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I:\Templates\"/>
    </mc:Choice>
  </mc:AlternateContent>
  <bookViews>
    <workbookView xWindow="0" yWindow="0" windowWidth="21570" windowHeight="7965"/>
  </bookViews>
  <sheets>
    <sheet name="Closure Analysis" sheetId="3" r:id="rId1"/>
    <sheet name="Baseline Comparison" sheetId="4" r:id="rId2"/>
    <sheet name="Top 5" sheetId="5" r:id="rId3"/>
  </sheets>
  <definedNames>
    <definedName name="_xlnm._FilterDatabase" localSheetId="0" hidden="1">'Closure Analysis'!$A$13:$Q$13</definedName>
    <definedName name="_xlnm.Database">#REF!</definedName>
  </definedNames>
  <calcPr calcId="152511"/>
</workbook>
</file>

<file path=xl/calcChain.xml><?xml version="1.0" encoding="utf-8"?>
<calcChain xmlns="http://schemas.openxmlformats.org/spreadsheetml/2006/main">
  <c r="H33" i="3" l="1"/>
  <c r="H34" i="3"/>
  <c r="H35" i="3"/>
  <c r="H36" i="3"/>
  <c r="H37" i="3"/>
  <c r="H38" i="3"/>
  <c r="H39" i="3"/>
  <c r="H40" i="3"/>
  <c r="H41" i="3"/>
  <c r="H42" i="3"/>
  <c r="H43" i="3"/>
  <c r="H44" i="3"/>
  <c r="H32" i="3"/>
  <c r="F35" i="3"/>
  <c r="F36" i="3"/>
  <c r="F37" i="3"/>
  <c r="F38" i="3"/>
  <c r="F39" i="3"/>
  <c r="F40" i="3"/>
  <c r="F41" i="3"/>
  <c r="F42" i="3"/>
  <c r="F43" i="3"/>
  <c r="F44" i="3"/>
  <c r="F34" i="3"/>
  <c r="F33" i="3"/>
  <c r="F32" i="3"/>
  <c r="H15" i="3"/>
  <c r="H16" i="3"/>
  <c r="H17" i="3"/>
  <c r="H18" i="3"/>
  <c r="H19" i="3"/>
  <c r="H20" i="3"/>
  <c r="H21" i="3"/>
  <c r="H22" i="3"/>
  <c r="H23" i="3"/>
  <c r="H24" i="3"/>
  <c r="H25" i="3"/>
  <c r="H26" i="3"/>
  <c r="H14" i="3"/>
  <c r="F15" i="3"/>
  <c r="F16" i="3"/>
  <c r="F17" i="3"/>
  <c r="F18" i="3"/>
  <c r="F19" i="3"/>
  <c r="F20" i="3"/>
  <c r="F21" i="3"/>
  <c r="F22" i="3"/>
  <c r="F23" i="3"/>
  <c r="F24" i="3"/>
  <c r="F25" i="3"/>
  <c r="F26" i="3"/>
  <c r="F14" i="3"/>
  <c r="D17" i="5"/>
  <c r="E7" i="5"/>
  <c r="D7" i="5"/>
  <c r="L25" i="3"/>
  <c r="K25" i="3"/>
  <c r="J25" i="3"/>
  <c r="I25" i="3"/>
  <c r="G25" i="3"/>
  <c r="E25" i="3"/>
  <c r="D25" i="3"/>
  <c r="C25" i="3"/>
  <c r="I21" i="4"/>
  <c r="J21" i="4" s="1"/>
  <c r="H21" i="4"/>
  <c r="L21" i="4" s="1"/>
  <c r="L22" i="4" s="1"/>
  <c r="F21" i="4"/>
  <c r="G21" i="4" s="1"/>
  <c r="D21" i="4"/>
  <c r="E21" i="4" s="1"/>
  <c r="C21" i="4"/>
  <c r="I20" i="4"/>
  <c r="J20" i="4" s="1"/>
  <c r="H20" i="4"/>
  <c r="L20" i="4" s="1"/>
  <c r="G19" i="4"/>
  <c r="F19" i="4"/>
  <c r="D19" i="4"/>
  <c r="E19" i="4" s="1"/>
  <c r="C19" i="4"/>
  <c r="L18" i="4"/>
  <c r="J18" i="4"/>
  <c r="L17" i="4"/>
  <c r="J17" i="4"/>
  <c r="L16" i="4"/>
  <c r="J16" i="4"/>
  <c r="G16" i="4"/>
  <c r="E16" i="4"/>
  <c r="L15" i="4"/>
  <c r="J15" i="4"/>
  <c r="G15" i="4"/>
  <c r="E15" i="4"/>
  <c r="L14" i="4"/>
  <c r="J14" i="4"/>
  <c r="G14" i="4"/>
  <c r="E14" i="4"/>
  <c r="L13" i="4"/>
  <c r="J13" i="4"/>
  <c r="G13" i="4"/>
  <c r="E13" i="4"/>
  <c r="L12" i="4"/>
  <c r="J12" i="4"/>
  <c r="G12" i="4"/>
  <c r="E12" i="4"/>
  <c r="L11" i="4"/>
  <c r="J11" i="4"/>
  <c r="G11" i="4"/>
  <c r="E11" i="4"/>
  <c r="L10" i="4"/>
  <c r="J10" i="4"/>
  <c r="G10" i="4"/>
  <c r="E10" i="4"/>
  <c r="L9" i="4"/>
  <c r="J9" i="4"/>
  <c r="G9" i="4"/>
  <c r="E9" i="4"/>
  <c r="L8" i="4"/>
  <c r="J8" i="4"/>
  <c r="G8" i="4"/>
  <c r="E8" i="4"/>
  <c r="L7" i="4"/>
  <c r="J7" i="4"/>
  <c r="G7" i="4"/>
  <c r="E7" i="4"/>
  <c r="J22" i="4" l="1"/>
  <c r="L26" i="3" l="1"/>
  <c r="K26" i="3"/>
  <c r="J26" i="3"/>
  <c r="I26" i="3"/>
  <c r="G26" i="3"/>
  <c r="E26" i="3"/>
  <c r="C26" i="3"/>
  <c r="C6" i="3" l="1"/>
  <c r="C7" i="3"/>
  <c r="C5" i="3"/>
  <c r="C4" i="3"/>
  <c r="G43" i="3"/>
  <c r="E43" i="3"/>
  <c r="D43" i="3"/>
  <c r="C43" i="3"/>
  <c r="D7" i="3" l="1"/>
  <c r="D4" i="3"/>
  <c r="D5" i="3"/>
  <c r="D6" i="3"/>
</calcChain>
</file>

<file path=xl/sharedStrings.xml><?xml version="1.0" encoding="utf-8"?>
<sst xmlns="http://schemas.openxmlformats.org/spreadsheetml/2006/main" count="99" uniqueCount="74">
  <si>
    <t>I</t>
  </si>
  <si>
    <t>F</t>
  </si>
  <si>
    <t>A</t>
  </si>
  <si>
    <t>B</t>
  </si>
  <si>
    <t>C</t>
  </si>
  <si>
    <t>D</t>
  </si>
  <si>
    <t>E</t>
  </si>
  <si>
    <t>G</t>
  </si>
  <si>
    <t>H</t>
  </si>
  <si>
    <t>J</t>
  </si>
  <si>
    <t>K</t>
  </si>
  <si>
    <t>L</t>
  </si>
  <si>
    <t># Baseline Claims Closed</t>
  </si>
  <si>
    <t># Baseline Claims Closed Below Baseline Incurred</t>
  </si>
  <si>
    <t>Calculated as limited incurred minus limited paid</t>
  </si>
  <si>
    <t>New Baseline as of 9.30.19</t>
  </si>
  <si>
    <t>Prior Baseline as of 4.30.18</t>
  </si>
  <si>
    <t>Accident Year</t>
  </si>
  <si>
    <t>Total 2018 and older</t>
  </si>
  <si>
    <t>Baseline: # Open Claims (excluding claims in B)</t>
  </si>
  <si>
    <t>Claims Paid 75% of Retention (Excluded)</t>
  </si>
  <si>
    <t>Claims Paid 75% of Retention (excluded)</t>
  </si>
  <si>
    <t>Limited Outstanding (claims in A)</t>
  </si>
  <si>
    <t>Limited Incurred (claims in A)</t>
  </si>
  <si>
    <t>Limited Incurred (claims in I)</t>
  </si>
  <si>
    <t>Limited Outstanding (claims in I)</t>
  </si>
  <si>
    <t>Total All Years</t>
  </si>
  <si>
    <t>Limited Incurred (claims from A)</t>
  </si>
  <si>
    <t>18 Months Results as of 9.30.19</t>
  </si>
  <si>
    <t>Gross Closure Rate (below baseline)</t>
  </si>
  <si>
    <t>All Years</t>
  </si>
  <si>
    <t>Historical Years</t>
  </si>
  <si>
    <t>Definitions</t>
  </si>
  <si>
    <t>Open claim definition defined by TPA; excludes claims defined in column B</t>
  </si>
  <si>
    <t>Claims that have paid 75%+ of the retention; These claims are be excluded from all other table columns</t>
  </si>
  <si>
    <t>Incurred is limited to retention</t>
  </si>
  <si>
    <t>Number of claims from column A that are closed per TPA status</t>
  </si>
  <si>
    <t>Number of closed claims with reduction in incurred since baseline valuation</t>
  </si>
  <si>
    <t>Calculated as current incurred minus baseline incurred for claims that closed with a reduction</t>
  </si>
  <si>
    <t>Current limited incurred for claims in column A</t>
  </si>
  <si>
    <t>I-L</t>
  </si>
  <si>
    <t>Same logic as columns A-D, but using a current valuation</t>
  </si>
  <si>
    <t>File Number</t>
  </si>
  <si>
    <t>Date of Loss</t>
  </si>
  <si>
    <t>Limited Variance</t>
  </si>
  <si>
    <t>Top 5 incurred claims- new baseline</t>
  </si>
  <si>
    <t>Top 5 reductions- from previous baseline</t>
  </si>
  <si>
    <t>Prior Baseline as of 3.31.18</t>
  </si>
  <si>
    <t>Accident Period</t>
  </si>
  <si>
    <t>Baseline: # Open Claims *</t>
  </si>
  <si>
    <t># Open Claims *</t>
  </si>
  <si>
    <t>Total 4/1/2016- 4/1/2017 and older</t>
  </si>
  <si>
    <t>Total 4/1/2018 - 4/1/2019 and older</t>
  </si>
  <si>
    <t>Average Outstanding
(C / A)</t>
  </si>
  <si>
    <t>Average Incurred
(D / A)</t>
  </si>
  <si>
    <t>Average Outstanding
(K / I)</t>
  </si>
  <si>
    <t>Average Incurred
(L / I)</t>
  </si>
  <si>
    <t>* Excludes claims paid 75%+ retention at each baseline</t>
  </si>
  <si>
    <t>Results Summary</t>
  </si>
  <si>
    <t>Results Details</t>
  </si>
  <si>
    <t>Current Baseline</t>
  </si>
  <si>
    <t>Total Closure Rate (Net)</t>
  </si>
  <si>
    <t>Gross Incurred Reductions as % of Outstanding</t>
  </si>
  <si>
    <t>Gross Reductions as % of Incurred</t>
  </si>
  <si>
    <t>Average Outstanding</t>
  </si>
  <si>
    <t>Average Incurred</t>
  </si>
  <si>
    <t>M</t>
  </si>
  <si>
    <t>N</t>
  </si>
  <si>
    <t>O</t>
  </si>
  <si>
    <t>P</t>
  </si>
  <si>
    <t>Total Incurred Reductions (claims from H)</t>
  </si>
  <si>
    <t># Open Claims (excluding claims from L)</t>
  </si>
  <si>
    <t>Limited Outstanding (claims in K)</t>
  </si>
  <si>
    <t>Limited Incurred (claims in 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</si>
</sst>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&quot;$&quot;#,##0"/>
    <numFmt numFmtId="169" formatCode="&quot;$&quot;#,##0.00"/>
  </numFmts>
  <fonts count="24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65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3F5E"/>
        <bgColor indexed="64"/>
      </patternFill>
    </fill>
    <fill>
      <patternFill patternType="solid">
        <fgColor rgb="FFF1B434"/>
        <bgColor indexed="64"/>
      </patternFill>
    </fill>
    <fill>
      <patternFill patternType="solid">
        <fgColor rgb="FF8DC8E8"/>
        <bgColor indexed="64"/>
      </patternFill>
    </fill>
    <fill>
      <patternFill patternType="solid">
        <fgColor rgb="FFC2DAE7"/>
        <bgColor indexed="64"/>
      </patternFill>
    </fill>
    <fill>
      <patternFill patternType="solid">
        <fgColor rgb="FFFDD26E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7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47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3" fillId="0" borderId="0"/>
    <xf numFmtId="9" fontId="20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99">
    <xf numFmtId="0" fontId="0" fillId="0" borderId="0" xfId="0"/>
    <xf numFmtId="0" fontId="20" fillId="0" borderId="0" xfId="42" applyAlignment="1">
      <alignment vertical="center"/>
    </xf>
    <xf numFmtId="0" fontId="20" fillId="0" borderId="0" xfId="42" applyAlignment="1">
      <alignment vertical="center" wrapText="1"/>
    </xf>
    <xf numFmtId="0" fontId="20" fillId="0" borderId="0" xfId="42" applyAlignment="1">
      <alignment horizontal="center" vertical="center"/>
    </xf>
    <xf numFmtId="0" fontId="20" fillId="0" borderId="10" xfId="42" applyBorder="1" applyAlignment="1">
      <alignment vertical="center"/>
    </xf>
    <xf numFmtId="0" fontId="20" fillId="0" borderId="11" xfId="42" applyBorder="1" applyAlignment="1">
      <alignment vertical="center"/>
    </xf>
    <xf numFmtId="0" fontId="20" fillId="0" borderId="14" xfId="42" applyBorder="1" applyAlignment="1">
      <alignment vertical="center"/>
    </xf>
    <xf numFmtId="0" fontId="20" fillId="0" borderId="21" xfId="42" applyBorder="1" applyAlignment="1">
      <alignment vertical="center"/>
    </xf>
    <xf numFmtId="0" fontId="20" fillId="34" borderId="27" xfId="42" applyFill="1" applyBorder="1" applyAlignment="1">
      <alignment vertical="center"/>
    </xf>
    <xf numFmtId="0" fontId="20" fillId="34" borderId="28" xfId="42" applyFill="1" applyBorder="1" applyAlignment="1">
      <alignment vertical="center"/>
    </xf>
    <xf numFmtId="164" fontId="20" fillId="0" borderId="22" xfId="42" applyNumberFormat="1" applyBorder="1" applyAlignment="1">
      <alignment vertical="center"/>
    </xf>
    <xf numFmtId="164" fontId="20" fillId="0" borderId="23" xfId="42" applyNumberFormat="1" applyBorder="1" applyAlignment="1">
      <alignment vertical="center"/>
    </xf>
    <xf numFmtId="164" fontId="20" fillId="0" borderId="10" xfId="42" applyNumberFormat="1" applyBorder="1" applyAlignment="1">
      <alignment vertical="center"/>
    </xf>
    <xf numFmtId="164" fontId="20" fillId="0" borderId="15" xfId="42" applyNumberFormat="1" applyBorder="1" applyAlignment="1">
      <alignment vertical="center"/>
    </xf>
    <xf numFmtId="164" fontId="20" fillId="34" borderId="28" xfId="42" applyNumberFormat="1" applyFill="1" applyBorder="1" applyAlignment="1">
      <alignment vertical="center"/>
    </xf>
    <xf numFmtId="164" fontId="20" fillId="34" borderId="29" xfId="42" applyNumberFormat="1" applyFill="1" applyBorder="1" applyAlignment="1">
      <alignment vertical="center"/>
    </xf>
    <xf numFmtId="164" fontId="0" fillId="34" borderId="29" xfId="43" applyNumberFormat="1" applyFont="1" applyFill="1" applyBorder="1" applyAlignment="1">
      <alignment vertical="center"/>
    </xf>
    <xf numFmtId="14" fontId="20" fillId="34" borderId="14" xfId="42" applyNumberFormat="1" applyFill="1" applyBorder="1" applyAlignment="1">
      <alignment vertical="center"/>
    </xf>
    <xf numFmtId="14" fontId="20" fillId="34" borderId="21" xfId="42" applyNumberFormat="1" applyFill="1" applyBorder="1" applyAlignment="1">
      <alignment vertical="center"/>
    </xf>
    <xf numFmtId="0" fontId="20" fillId="37" borderId="16" xfId="42" applyFill="1" applyBorder="1" applyAlignment="1">
      <alignment vertical="center" wrapText="1"/>
    </xf>
    <xf numFmtId="0" fontId="20" fillId="37" borderId="17" xfId="42" applyFill="1" applyBorder="1" applyAlignment="1">
      <alignment vertical="center" wrapText="1"/>
    </xf>
    <xf numFmtId="0" fontId="20" fillId="39" borderId="19" xfId="42" applyFill="1" applyBorder="1" applyAlignment="1">
      <alignment horizontal="center" vertical="center"/>
    </xf>
    <xf numFmtId="0" fontId="20" fillId="39" borderId="12" xfId="42" applyFill="1" applyBorder="1" applyAlignment="1">
      <alignment horizontal="center" vertical="center"/>
    </xf>
    <xf numFmtId="14" fontId="20" fillId="34" borderId="19" xfId="42" applyNumberFormat="1" applyFill="1" applyBorder="1" applyAlignment="1">
      <alignment vertical="center"/>
    </xf>
    <xf numFmtId="0" fontId="20" fillId="0" borderId="12" xfId="42" applyBorder="1" applyAlignment="1">
      <alignment vertical="center"/>
    </xf>
    <xf numFmtId="0" fontId="20" fillId="0" borderId="22" xfId="42" applyBorder="1" applyAlignment="1">
      <alignment vertical="center"/>
    </xf>
    <xf numFmtId="164" fontId="20" fillId="0" borderId="12" xfId="42" applyNumberFormat="1" applyBorder="1" applyAlignment="1">
      <alignment vertical="center"/>
    </xf>
    <xf numFmtId="164" fontId="20" fillId="0" borderId="13" xfId="42" applyNumberFormat="1" applyBorder="1" applyAlignment="1">
      <alignment vertical="center"/>
    </xf>
    <xf numFmtId="0" fontId="20" fillId="0" borderId="19" xfId="42" applyBorder="1" applyAlignment="1">
      <alignment vertical="center"/>
    </xf>
    <xf numFmtId="14" fontId="20" fillId="33" borderId="24" xfId="42" applyNumberFormat="1" applyFill="1" applyBorder="1" applyAlignment="1">
      <alignment vertical="center" wrapText="1"/>
    </xf>
    <xf numFmtId="0" fontId="2" fillId="39" borderId="16" xfId="42" applyFont="1" applyFill="1" applyBorder="1" applyAlignment="1">
      <alignment vertical="center" wrapText="1"/>
    </xf>
    <xf numFmtId="0" fontId="2" fillId="39" borderId="17" xfId="42" applyFont="1" applyFill="1" applyBorder="1" applyAlignment="1">
      <alignment vertical="center" wrapText="1"/>
    </xf>
    <xf numFmtId="0" fontId="22" fillId="39" borderId="17" xfId="42" applyFont="1" applyFill="1" applyBorder="1" applyAlignment="1">
      <alignment vertical="center" wrapText="1"/>
    </xf>
    <xf numFmtId="0" fontId="22" fillId="34" borderId="12" xfId="42" applyFont="1" applyFill="1" applyBorder="1" applyAlignment="1">
      <alignment vertical="center"/>
    </xf>
    <xf numFmtId="0" fontId="22" fillId="34" borderId="22" xfId="42" applyFont="1" applyFill="1" applyBorder="1" applyAlignment="1">
      <alignment vertical="center"/>
    </xf>
    <xf numFmtId="0" fontId="22" fillId="34" borderId="10" xfId="42" applyFont="1" applyFill="1" applyBorder="1" applyAlignment="1">
      <alignment vertical="center"/>
    </xf>
    <xf numFmtId="0" fontId="22" fillId="34" borderId="28" xfId="42" applyFont="1" applyFill="1" applyBorder="1" applyAlignment="1">
      <alignment vertical="center"/>
    </xf>
    <xf numFmtId="0" fontId="2" fillId="37" borderId="18" xfId="42" applyFont="1" applyFill="1" applyBorder="1" applyAlignment="1">
      <alignment vertical="center" wrapText="1"/>
    </xf>
    <xf numFmtId="164" fontId="0" fillId="0" borderId="13" xfId="43" applyNumberFormat="1" applyFont="1" applyBorder="1" applyAlignment="1">
      <alignment vertical="center"/>
    </xf>
    <xf numFmtId="164" fontId="0" fillId="0" borderId="23" xfId="43" applyNumberFormat="1" applyFont="1" applyBorder="1" applyAlignment="1">
      <alignment vertical="center"/>
    </xf>
    <xf numFmtId="164" fontId="0" fillId="0" borderId="15" xfId="43" applyNumberFormat="1" applyFont="1" applyBorder="1" applyAlignment="1">
      <alignment vertical="center"/>
    </xf>
    <xf numFmtId="0" fontId="2" fillId="38" borderId="17" xfId="42" applyFont="1" applyFill="1" applyBorder="1" applyAlignment="1">
      <alignment vertical="center" wrapText="1"/>
    </xf>
    <xf numFmtId="0" fontId="2" fillId="38" borderId="18" xfId="42" applyFont="1" applyFill="1" applyBorder="1" applyAlignment="1">
      <alignment vertical="center" wrapText="1"/>
    </xf>
    <xf numFmtId="0" fontId="22" fillId="38" borderId="17" xfId="42" applyFont="1" applyFill="1" applyBorder="1" applyAlignment="1">
      <alignment vertical="center" wrapText="1"/>
    </xf>
    <xf numFmtId="0" fontId="22" fillId="34" borderId="34" xfId="42" applyFont="1" applyFill="1" applyBorder="1" applyAlignment="1">
      <alignment vertical="center"/>
    </xf>
    <xf numFmtId="0" fontId="22" fillId="0" borderId="0" xfId="42" applyFont="1" applyAlignment="1">
      <alignment vertical="center"/>
    </xf>
    <xf numFmtId="0" fontId="2" fillId="34" borderId="27" xfId="42" applyFont="1" applyFill="1" applyBorder="1" applyAlignment="1">
      <alignment vertical="center"/>
    </xf>
    <xf numFmtId="0" fontId="20" fillId="33" borderId="39" xfId="42" applyFill="1" applyBorder="1" applyAlignment="1">
      <alignment vertical="center" wrapText="1"/>
    </xf>
    <xf numFmtId="0" fontId="22" fillId="33" borderId="39" xfId="42" applyFont="1" applyFill="1" applyBorder="1" applyAlignment="1">
      <alignment vertical="center" wrapText="1"/>
    </xf>
    <xf numFmtId="14" fontId="20" fillId="34" borderId="16" xfId="42" applyNumberFormat="1" applyFill="1" applyBorder="1" applyAlignment="1">
      <alignment vertical="center"/>
    </xf>
    <xf numFmtId="0" fontId="20" fillId="0" borderId="17" xfId="42" applyBorder="1" applyAlignment="1">
      <alignment vertical="center"/>
    </xf>
    <xf numFmtId="0" fontId="22" fillId="34" borderId="17" xfId="42" applyFont="1" applyFill="1" applyBorder="1" applyAlignment="1">
      <alignment vertical="center"/>
    </xf>
    <xf numFmtId="164" fontId="20" fillId="0" borderId="17" xfId="42" applyNumberFormat="1" applyBorder="1" applyAlignment="1">
      <alignment vertical="center"/>
    </xf>
    <xf numFmtId="164" fontId="20" fillId="0" borderId="18" xfId="42" applyNumberFormat="1" applyBorder="1" applyAlignment="1">
      <alignment vertical="center"/>
    </xf>
    <xf numFmtId="0" fontId="20" fillId="0" borderId="16" xfId="42" applyBorder="1" applyAlignment="1">
      <alignment vertical="center"/>
    </xf>
    <xf numFmtId="164" fontId="0" fillId="0" borderId="18" xfId="43" applyNumberFormat="1" applyFont="1" applyBorder="1" applyAlignment="1">
      <alignment vertical="center"/>
    </xf>
    <xf numFmtId="14" fontId="2" fillId="33" borderId="27" xfId="42" applyNumberFormat="1" applyFont="1" applyFill="1" applyBorder="1" applyAlignment="1">
      <alignment vertical="center" wrapText="1"/>
    </xf>
    <xf numFmtId="0" fontId="20" fillId="33" borderId="35" xfId="42" applyFill="1" applyBorder="1" applyAlignment="1">
      <alignment vertical="center" wrapText="1"/>
    </xf>
    <xf numFmtId="0" fontId="20" fillId="33" borderId="28" xfId="42" applyFill="1" applyBorder="1" applyAlignment="1">
      <alignment vertical="center" wrapText="1"/>
    </xf>
    <xf numFmtId="164" fontId="20" fillId="33" borderId="28" xfId="42" applyNumberFormat="1" applyFill="1" applyBorder="1" applyAlignment="1">
      <alignment vertical="center" wrapText="1"/>
    </xf>
    <xf numFmtId="164" fontId="20" fillId="33" borderId="29" xfId="42" applyNumberFormat="1" applyFill="1" applyBorder="1" applyAlignment="1">
      <alignment vertical="center" wrapText="1"/>
    </xf>
    <xf numFmtId="164" fontId="20" fillId="33" borderId="39" xfId="42" applyNumberFormat="1" applyFill="1" applyBorder="1" applyAlignment="1">
      <alignment vertical="center" wrapText="1"/>
    </xf>
    <xf numFmtId="0" fontId="2" fillId="0" borderId="0" xfId="42" applyFont="1" applyAlignment="1">
      <alignment vertical="center"/>
    </xf>
    <xf numFmtId="0" fontId="22" fillId="34" borderId="30" xfId="42" applyFont="1" applyFill="1" applyBorder="1" applyAlignment="1">
      <alignment vertical="center"/>
    </xf>
    <xf numFmtId="0" fontId="22" fillId="34" borderId="31" xfId="42" applyFont="1" applyFill="1" applyBorder="1" applyAlignment="1">
      <alignment vertical="center"/>
    </xf>
    <xf numFmtId="0" fontId="22" fillId="34" borderId="32" xfId="42" applyFont="1" applyFill="1" applyBorder="1" applyAlignment="1">
      <alignment vertical="center"/>
    </xf>
    <xf numFmtId="0" fontId="22" fillId="34" borderId="33" xfId="42" applyFont="1" applyFill="1" applyBorder="1" applyAlignment="1">
      <alignment vertical="center" wrapText="1"/>
    </xf>
    <xf numFmtId="0" fontId="22" fillId="34" borderId="28" xfId="42" applyFont="1" applyFill="1" applyBorder="1" applyAlignment="1">
      <alignment vertical="center" wrapText="1"/>
    </xf>
    <xf numFmtId="0" fontId="20" fillId="38" borderId="40" xfId="42" applyFill="1" applyBorder="1" applyAlignment="1">
      <alignment vertical="center" wrapText="1"/>
    </xf>
    <xf numFmtId="164" fontId="20" fillId="33" borderId="41" xfId="42" applyNumberFormat="1" applyFill="1" applyBorder="1" applyAlignment="1">
      <alignment vertical="center" wrapText="1"/>
    </xf>
    <xf numFmtId="0" fontId="20" fillId="33" borderId="27" xfId="42" applyFill="1" applyBorder="1" applyAlignment="1">
      <alignment vertical="center" wrapText="1"/>
    </xf>
    <xf numFmtId="0" fontId="2" fillId="0" borderId="10" xfId="42" applyFont="1" applyBorder="1" applyAlignment="1">
      <alignment vertical="center" wrapText="1"/>
    </xf>
    <xf numFmtId="0" fontId="2" fillId="40" borderId="10" xfId="42" applyFont="1" applyFill="1" applyBorder="1" applyAlignment="1">
      <alignment horizontal="center" vertical="center" wrapText="1"/>
    </xf>
    <xf numFmtId="0" fontId="20" fillId="0" borderId="24" xfId="42" applyFill="1" applyBorder="1" applyAlignment="1">
      <alignment vertical="center" wrapText="1"/>
    </xf>
    <xf numFmtId="164" fontId="20" fillId="0" borderId="25" xfId="42" applyNumberFormat="1" applyFill="1" applyBorder="1" applyAlignment="1">
      <alignment vertical="center" wrapText="1"/>
    </xf>
    <xf numFmtId="164" fontId="20" fillId="0" borderId="26" xfId="42" applyNumberFormat="1" applyFill="1" applyBorder="1" applyAlignment="1">
      <alignment vertical="center" wrapText="1"/>
    </xf>
    <xf numFmtId="0" fontId="20" fillId="0" borderId="10" xfId="42" applyBorder="1" applyAlignment="1">
      <alignment vertical="center" wrapText="1"/>
    </xf>
    <xf numFmtId="0" fontId="21" fillId="35" borderId="35" xfId="42" applyFont="1" applyFill="1" applyBorder="1" applyAlignment="1">
      <alignment horizontal="center" vertical="center"/>
    </xf>
    <xf numFmtId="0" fontId="21" fillId="35" borderId="36" xfId="42" applyFont="1" applyFill="1" applyBorder="1" applyAlignment="1">
      <alignment horizontal="center" vertical="center"/>
    </xf>
    <xf numFmtId="0" fontId="21" fillId="35" borderId="37" xfId="42" applyFont="1" applyFill="1" applyBorder="1" applyAlignment="1">
      <alignment horizontal="center" vertical="center"/>
    </xf>
    <xf numFmtId="9" fontId="20" fillId="0" borderId="10" xfId="46" applyFont="1" applyBorder="1" applyAlignment="1">
      <alignment horizontal="center" vertical="center" wrapText="1"/>
    </xf>
    <xf numFmtId="9" fontId="20" fillId="0" borderId="10" xfId="46" applyFont="1" applyBorder="1" applyAlignment="1">
      <alignment horizontal="center" vertical="center"/>
    </xf>
    <xf numFmtId="0" fontId="1" fillId="37" borderId="17" xfId="42" applyFont="1" applyFill="1" applyBorder="1" applyAlignment="1">
      <alignment vertical="center" wrapText="1"/>
    </xf>
    <xf numFmtId="0" fontId="1" fillId="0" borderId="0" xfId="42" applyFont="1" applyAlignment="1">
      <alignment vertical="center"/>
    </xf>
    <xf numFmtId="0" fontId="21" fillId="36" borderId="42" xfId="42" applyFont="1" applyFill="1" applyBorder="1" applyAlignment="1">
      <alignment horizontal="center" vertical="center"/>
    </xf>
    <xf numFmtId="0" fontId="21" fillId="36" borderId="36" xfId="42" applyFont="1" applyFill="1" applyBorder="1" applyAlignment="1">
      <alignment horizontal="center" vertical="center"/>
    </xf>
    <xf numFmtId="0" fontId="1" fillId="38" borderId="43" xfId="42" applyFont="1" applyFill="1" applyBorder="1" applyAlignment="1">
      <alignment horizontal="center" vertical="center"/>
    </xf>
    <xf numFmtId="0" fontId="1" fillId="38" borderId="44" xfId="42" applyFont="1" applyFill="1" applyBorder="1" applyAlignment="1">
      <alignment horizontal="center" vertical="center"/>
    </xf>
    <xf numFmtId="0" fontId="1" fillId="38" borderId="45" xfId="42" applyFont="1" applyFill="1" applyBorder="1" applyAlignment="1">
      <alignment horizontal="center" vertical="center"/>
    </xf>
    <xf numFmtId="0" fontId="1" fillId="39" borderId="12" xfId="42" applyFont="1" applyFill="1" applyBorder="1" applyAlignment="1">
      <alignment horizontal="center" vertical="center"/>
    </xf>
    <xf numFmtId="0" fontId="1" fillId="39" borderId="46" xfId="42" applyFont="1" applyFill="1" applyBorder="1" applyAlignment="1">
      <alignment horizontal="center" vertical="center"/>
    </xf>
    <xf numFmtId="0" fontId="1" fillId="38" borderId="47" xfId="42" applyFont="1" applyFill="1" applyBorder="1" applyAlignment="1">
      <alignment horizontal="center" vertical="center"/>
    </xf>
    <xf numFmtId="0" fontId="1" fillId="38" borderId="12" xfId="42" applyFont="1" applyFill="1" applyBorder="1" applyAlignment="1">
      <alignment horizontal="center" vertical="center"/>
    </xf>
    <xf numFmtId="0" fontId="1" fillId="38" borderId="46" xfId="42" applyFont="1" applyFill="1" applyBorder="1" applyAlignment="1">
      <alignment horizontal="center" vertical="center"/>
    </xf>
    <xf numFmtId="0" fontId="1" fillId="38" borderId="48" xfId="42" applyFont="1" applyFill="1" applyBorder="1" applyAlignment="1">
      <alignment horizontal="center" vertical="center"/>
    </xf>
    <xf numFmtId="0" fontId="20" fillId="39" borderId="24" xfId="42" applyFill="1" applyBorder="1" applyAlignment="1">
      <alignment vertical="center" wrapText="1"/>
    </xf>
    <xf numFmtId="0" fontId="1" fillId="39" borderId="25" xfId="42" applyFont="1" applyFill="1" applyBorder="1" applyAlignment="1">
      <alignment vertical="center" wrapText="1"/>
    </xf>
    <xf numFmtId="0" fontId="20" fillId="39" borderId="25" xfId="42" applyFill="1" applyBorder="1" applyAlignment="1">
      <alignment vertical="center" wrapText="1"/>
    </xf>
    <xf numFmtId="0" fontId="1" fillId="39" borderId="49" xfId="42" applyFont="1" applyFill="1" applyBorder="1" applyAlignment="1">
      <alignment vertical="center" wrapText="1"/>
    </xf>
    <xf numFmtId="0" fontId="20" fillId="39" borderId="49" xfId="42" applyFill="1" applyBorder="1" applyAlignment="1">
      <alignment vertical="center" wrapText="1"/>
    </xf>
    <xf numFmtId="0" fontId="1" fillId="38" borderId="50" xfId="42" applyFont="1" applyFill="1" applyBorder="1" applyAlignment="1">
      <alignment vertical="center" wrapText="1"/>
    </xf>
    <xf numFmtId="0" fontId="1" fillId="38" borderId="17" xfId="42" applyFont="1" applyFill="1" applyBorder="1" applyAlignment="1">
      <alignment vertical="center" wrapText="1"/>
    </xf>
    <xf numFmtId="0" fontId="1" fillId="38" borderId="51" xfId="42" applyFont="1" applyFill="1" applyBorder="1" applyAlignment="1">
      <alignment vertical="center" wrapText="1"/>
    </xf>
    <xf numFmtId="0" fontId="1" fillId="38" borderId="52" xfId="42" applyFont="1" applyFill="1" applyBorder="1" applyAlignment="1">
      <alignment vertical="center" wrapText="1"/>
    </xf>
    <xf numFmtId="164" fontId="1" fillId="0" borderId="46" xfId="42" applyNumberFormat="1" applyFont="1" applyBorder="1" applyAlignment="1">
      <alignment vertical="center"/>
    </xf>
    <xf numFmtId="164" fontId="20" fillId="0" borderId="46" xfId="42" applyNumberFormat="1" applyBorder="1" applyAlignment="1">
      <alignment vertical="center"/>
    </xf>
    <xf numFmtId="0" fontId="1" fillId="0" borderId="47" xfId="42" applyFont="1" applyBorder="1" applyAlignment="1">
      <alignment vertical="center"/>
    </xf>
    <xf numFmtId="164" fontId="20" fillId="0" borderId="48" xfId="42" applyNumberFormat="1" applyBorder="1" applyAlignment="1">
      <alignment vertical="center"/>
    </xf>
    <xf numFmtId="164" fontId="0" fillId="0" borderId="10" xfId="0" applyNumberFormat="1" applyBorder="1"/>
    <xf numFmtId="164" fontId="0" fillId="0" borderId="53" xfId="0" applyNumberFormat="1" applyBorder="1"/>
    <xf numFmtId="0" fontId="20" fillId="0" borderId="54" xfId="42" applyBorder="1" applyAlignment="1">
      <alignment vertical="center"/>
    </xf>
    <xf numFmtId="164" fontId="20" fillId="0" borderId="55" xfId="42" applyNumberFormat="1" applyBorder="1" applyAlignment="1">
      <alignment vertical="center"/>
    </xf>
    <xf numFmtId="164" fontId="20" fillId="0" borderId="56" xfId="42" applyNumberFormat="1" applyBorder="1" applyAlignment="1">
      <alignment vertical="center"/>
    </xf>
    <xf numFmtId="0" fontId="20" fillId="0" borderId="0" xfId="42" applyBorder="1" applyAlignment="1">
      <alignment vertical="center"/>
    </xf>
    <xf numFmtId="164" fontId="1" fillId="0" borderId="53" xfId="42" applyNumberFormat="1" applyFont="1" applyBorder="1" applyAlignment="1">
      <alignment vertical="center"/>
    </xf>
    <xf numFmtId="0" fontId="20" fillId="0" borderId="57" xfId="42" applyBorder="1" applyAlignment="1">
      <alignment vertical="center"/>
    </xf>
    <xf numFmtId="164" fontId="20" fillId="0" borderId="53" xfId="42" applyNumberFormat="1" applyBorder="1" applyAlignment="1">
      <alignment vertical="center"/>
    </xf>
    <xf numFmtId="164" fontId="20" fillId="0" borderId="58" xfId="42" applyNumberFormat="1" applyBorder="1" applyAlignment="1">
      <alignment vertical="center"/>
    </xf>
    <xf numFmtId="14" fontId="20" fillId="33" borderId="14" xfId="42" applyNumberFormat="1" applyFill="1" applyBorder="1" applyAlignment="1">
      <alignment vertical="center" wrapText="1"/>
    </xf>
    <xf numFmtId="0" fontId="20" fillId="33" borderId="10" xfId="42" applyFill="1" applyBorder="1" applyAlignment="1">
      <alignment vertical="center"/>
    </xf>
    <xf numFmtId="164" fontId="0" fillId="33" borderId="10" xfId="0" applyNumberFormat="1" applyFill="1" applyBorder="1"/>
    <xf numFmtId="164" fontId="20" fillId="33" borderId="53" xfId="42" applyNumberFormat="1" applyFill="1" applyBorder="1" applyAlignment="1">
      <alignment vertical="center"/>
    </xf>
    <xf numFmtId="164" fontId="0" fillId="33" borderId="53" xfId="0" applyNumberFormat="1" applyFill="1" applyBorder="1"/>
    <xf numFmtId="14" fontId="20" fillId="33" borderId="21" xfId="42" applyNumberFormat="1" applyFill="1" applyBorder="1" applyAlignment="1">
      <alignment vertical="center" wrapText="1"/>
    </xf>
    <xf numFmtId="164" fontId="20" fillId="33" borderId="10" xfId="42" applyNumberFormat="1" applyFill="1" applyBorder="1" applyAlignment="1">
      <alignment vertical="center"/>
    </xf>
    <xf numFmtId="169" fontId="20" fillId="33" borderId="53" xfId="42" applyNumberFormat="1" applyFill="1" applyBorder="1" applyAlignment="1">
      <alignment vertical="center"/>
    </xf>
    <xf numFmtId="14" fontId="20" fillId="33" borderId="59" xfId="42" applyNumberFormat="1" applyFill="1" applyBorder="1" applyAlignment="1">
      <alignment vertical="center" wrapText="1"/>
    </xf>
    <xf numFmtId="0" fontId="20" fillId="33" borderId="60" xfId="42" applyFill="1" applyBorder="1" applyAlignment="1">
      <alignment vertical="center" wrapText="1"/>
    </xf>
    <xf numFmtId="164" fontId="20" fillId="33" borderId="60" xfId="42" applyNumberFormat="1" applyFill="1" applyBorder="1" applyAlignment="1">
      <alignment vertical="center" wrapText="1"/>
    </xf>
    <xf numFmtId="169" fontId="20" fillId="33" borderId="61" xfId="42" applyNumberFormat="1" applyFill="1" applyBorder="1" applyAlignment="1">
      <alignment vertical="center" wrapText="1"/>
    </xf>
    <xf numFmtId="164" fontId="20" fillId="33" borderId="61" xfId="42" applyNumberFormat="1" applyFill="1" applyBorder="1" applyAlignment="1">
      <alignment vertical="center" wrapText="1"/>
    </xf>
    <xf numFmtId="0" fontId="20" fillId="33" borderId="62" xfId="42" applyFill="1" applyBorder="1" applyAlignment="1">
      <alignment vertical="center" wrapText="1"/>
    </xf>
    <xf numFmtId="164" fontId="20" fillId="33" borderId="63" xfId="42" applyNumberFormat="1" applyFill="1" applyBorder="1" applyAlignment="1">
      <alignment vertical="center" wrapText="1"/>
    </xf>
    <xf numFmtId="14" fontId="1" fillId="0" borderId="38" xfId="42" applyNumberFormat="1" applyFont="1" applyFill="1" applyBorder="1" applyAlignment="1">
      <alignment vertical="center" wrapText="1"/>
    </xf>
    <xf numFmtId="0" fontId="20" fillId="0" borderId="39" xfId="42" applyFill="1" applyBorder="1" applyAlignment="1">
      <alignment vertical="center" wrapText="1"/>
    </xf>
    <xf numFmtId="164" fontId="20" fillId="0" borderId="39" xfId="42" applyNumberFormat="1" applyFill="1" applyBorder="1" applyAlignment="1">
      <alignment vertical="center" wrapText="1"/>
    </xf>
    <xf numFmtId="164" fontId="20" fillId="0" borderId="41" xfId="42" applyNumberFormat="1" applyFill="1" applyBorder="1" applyAlignment="1">
      <alignment vertical="center" wrapText="1"/>
    </xf>
    <xf numFmtId="0" fontId="20" fillId="41" borderId="64" xfId="42" applyFill="1" applyBorder="1" applyAlignment="1">
      <alignment vertical="center" wrapText="1"/>
    </xf>
    <xf numFmtId="164" fontId="20" fillId="41" borderId="20" xfId="42" applyNumberFormat="1" applyFill="1" applyBorder="1" applyAlignment="1">
      <alignment vertical="center" wrapText="1"/>
    </xf>
    <xf numFmtId="164" fontId="20" fillId="41" borderId="65" xfId="42" applyNumberFormat="1" applyFill="1" applyBorder="1" applyAlignment="1">
      <alignment vertical="center" wrapText="1"/>
    </xf>
    <xf numFmtId="164" fontId="20" fillId="41" borderId="66" xfId="42" applyNumberFormat="1" applyFill="1" applyBorder="1" applyAlignment="1">
      <alignment vertical="center" wrapText="1"/>
    </xf>
    <xf numFmtId="14" fontId="1" fillId="0" borderId="14" xfId="42" applyNumberFormat="1" applyFont="1" applyFill="1" applyBorder="1" applyAlignment="1">
      <alignment vertical="center" wrapText="1"/>
    </xf>
    <xf numFmtId="0" fontId="20" fillId="41" borderId="10" xfId="42" applyFill="1" applyBorder="1" applyAlignment="1">
      <alignment vertical="center" wrapText="1"/>
    </xf>
    <xf numFmtId="164" fontId="20" fillId="41" borderId="10" xfId="42" applyNumberFormat="1" applyFill="1" applyBorder="1" applyAlignment="1">
      <alignment vertical="center" wrapText="1"/>
    </xf>
    <xf numFmtId="164" fontId="20" fillId="41" borderId="53" xfId="42" applyNumberFormat="1" applyFill="1" applyBorder="1" applyAlignment="1">
      <alignment vertical="center" wrapText="1"/>
    </xf>
    <xf numFmtId="0" fontId="20" fillId="0" borderId="57" xfId="42" applyFill="1" applyBorder="1" applyAlignment="1">
      <alignment vertical="center" wrapText="1"/>
    </xf>
    <xf numFmtId="164" fontId="20" fillId="0" borderId="32" xfId="42" applyNumberFormat="1" applyFill="1" applyBorder="1" applyAlignment="1">
      <alignment vertical="center" wrapText="1"/>
    </xf>
    <xf numFmtId="164" fontId="20" fillId="0" borderId="10" xfId="42" applyNumberFormat="1" applyFill="1" applyBorder="1" applyAlignment="1">
      <alignment vertical="center" wrapText="1"/>
    </xf>
    <xf numFmtId="164" fontId="20" fillId="0" borderId="67" xfId="42" applyNumberFormat="1" applyFill="1" applyBorder="1" applyAlignment="1">
      <alignment vertical="center" wrapText="1"/>
    </xf>
    <xf numFmtId="0" fontId="1" fillId="34" borderId="59" xfId="42" applyFont="1" applyFill="1" applyBorder="1" applyAlignment="1">
      <alignment vertical="center"/>
    </xf>
    <xf numFmtId="0" fontId="20" fillId="34" borderId="60" xfId="42" applyFill="1" applyBorder="1" applyAlignment="1">
      <alignment vertical="center"/>
    </xf>
    <xf numFmtId="164" fontId="20" fillId="34" borderId="60" xfId="42" applyNumberFormat="1" applyFill="1" applyBorder="1" applyAlignment="1">
      <alignment vertical="center"/>
    </xf>
    <xf numFmtId="164" fontId="20" fillId="34" borderId="61" xfId="42" applyNumberFormat="1" applyFill="1" applyBorder="1" applyAlignment="1">
      <alignment vertical="center"/>
    </xf>
    <xf numFmtId="0" fontId="20" fillId="34" borderId="68" xfId="42" applyFill="1" applyBorder="1" applyAlignment="1">
      <alignment vertical="center"/>
    </xf>
    <xf numFmtId="164" fontId="20" fillId="34" borderId="69" xfId="42" applyNumberFormat="1" applyFill="1" applyBorder="1" applyAlignment="1">
      <alignment vertical="center"/>
    </xf>
    <xf numFmtId="164" fontId="20" fillId="34" borderId="70" xfId="42" applyNumberFormat="1" applyFill="1" applyBorder="1" applyAlignment="1">
      <alignment vertical="center"/>
    </xf>
    <xf numFmtId="164" fontId="20" fillId="34" borderId="71" xfId="42" applyNumberFormat="1" applyFill="1" applyBorder="1" applyAlignment="1">
      <alignment vertical="center"/>
    </xf>
    <xf numFmtId="164" fontId="20" fillId="0" borderId="0" xfId="42" applyNumberFormat="1" applyAlignment="1">
      <alignment vertical="center"/>
    </xf>
    <xf numFmtId="0" fontId="2" fillId="0" borderId="0" xfId="42" applyFont="1" applyBorder="1" applyAlignment="1">
      <alignment vertical="center" wrapText="1"/>
    </xf>
    <xf numFmtId="9" fontId="20" fillId="0" borderId="0" xfId="46" applyFont="1" applyBorder="1" applyAlignment="1">
      <alignment horizontal="center" vertical="center"/>
    </xf>
    <xf numFmtId="14" fontId="20" fillId="34" borderId="24" xfId="42" applyNumberFormat="1" applyFill="1" applyBorder="1" applyAlignment="1">
      <alignment vertical="center"/>
    </xf>
    <xf numFmtId="0" fontId="20" fillId="0" borderId="25" xfId="42" applyBorder="1" applyAlignment="1">
      <alignment vertical="center"/>
    </xf>
    <xf numFmtId="0" fontId="22" fillId="34" borderId="25" xfId="42" applyFont="1" applyFill="1" applyBorder="1" applyAlignment="1">
      <alignment vertical="center"/>
    </xf>
    <xf numFmtId="164" fontId="20" fillId="0" borderId="25" xfId="42" applyNumberFormat="1" applyBorder="1" applyAlignment="1">
      <alignment vertical="center"/>
    </xf>
    <xf numFmtId="164" fontId="20" fillId="0" borderId="26" xfId="42" applyNumberFormat="1" applyBorder="1" applyAlignment="1">
      <alignment vertical="center"/>
    </xf>
    <xf numFmtId="0" fontId="20" fillId="0" borderId="24" xfId="42" applyBorder="1" applyAlignment="1">
      <alignment vertical="center"/>
    </xf>
    <xf numFmtId="164" fontId="0" fillId="0" borderId="26" xfId="43" applyNumberFormat="1" applyFont="1" applyBorder="1" applyAlignment="1">
      <alignment vertical="center"/>
    </xf>
    <xf numFmtId="14" fontId="1" fillId="34" borderId="19" xfId="42" applyNumberFormat="1" applyFont="1" applyFill="1" applyBorder="1" applyAlignment="1">
      <alignment vertical="center"/>
    </xf>
    <xf numFmtId="14" fontId="1" fillId="34" borderId="21" xfId="42" applyNumberFormat="1" applyFont="1" applyFill="1" applyBorder="1" applyAlignment="1">
      <alignment vertical="center"/>
    </xf>
    <xf numFmtId="14" fontId="1" fillId="33" borderId="38" xfId="42" applyNumberFormat="1" applyFont="1" applyFill="1" applyBorder="1" applyAlignment="1">
      <alignment vertical="center" wrapText="1"/>
    </xf>
    <xf numFmtId="0" fontId="23" fillId="0" borderId="0" xfId="42" applyFont="1" applyAlignment="1">
      <alignment vertical="center"/>
    </xf>
    <xf numFmtId="0" fontId="1" fillId="0" borderId="10" xfId="42" applyFont="1" applyBorder="1" applyAlignment="1">
      <alignment vertical="center" wrapText="1"/>
    </xf>
    <xf numFmtId="0" fontId="2" fillId="39" borderId="51" xfId="42" applyFont="1" applyFill="1" applyBorder="1" applyAlignment="1">
      <alignment vertical="center" wrapText="1"/>
    </xf>
    <xf numFmtId="164" fontId="20" fillId="0" borderId="49" xfId="42" applyNumberFormat="1" applyBorder="1" applyAlignment="1">
      <alignment vertical="center"/>
    </xf>
    <xf numFmtId="164" fontId="20" fillId="0" borderId="51" xfId="42" applyNumberFormat="1" applyBorder="1" applyAlignment="1">
      <alignment vertical="center"/>
    </xf>
    <xf numFmtId="164" fontId="20" fillId="34" borderId="42" xfId="42" applyNumberFormat="1" applyFill="1" applyBorder="1" applyAlignment="1">
      <alignment vertical="center"/>
    </xf>
    <xf numFmtId="164" fontId="20" fillId="0" borderId="49" xfId="42" applyNumberFormat="1" applyFill="1" applyBorder="1" applyAlignment="1">
      <alignment vertical="center" wrapText="1"/>
    </xf>
    <xf numFmtId="164" fontId="20" fillId="33" borderId="42" xfId="42" applyNumberFormat="1" applyFill="1" applyBorder="1" applyAlignment="1">
      <alignment vertical="center" wrapText="1"/>
    </xf>
    <xf numFmtId="0" fontId="21" fillId="36" borderId="37" xfId="42" applyFont="1" applyFill="1" applyBorder="1" applyAlignment="1">
      <alignment horizontal="center" vertical="center"/>
    </xf>
    <xf numFmtId="0" fontId="1" fillId="39" borderId="51" xfId="42" applyFont="1" applyFill="1" applyBorder="1" applyAlignment="1">
      <alignment vertical="center" wrapText="1"/>
    </xf>
    <xf numFmtId="0" fontId="20" fillId="38" borderId="38" xfId="42" applyFill="1" applyBorder="1" applyAlignment="1">
      <alignment vertical="center" wrapText="1"/>
    </xf>
    <xf numFmtId="0" fontId="20" fillId="0" borderId="35" xfId="42" applyBorder="1" applyAlignment="1">
      <alignment vertical="center"/>
    </xf>
    <xf numFmtId="0" fontId="2" fillId="38" borderId="35" xfId="42" applyFont="1" applyFill="1" applyBorder="1" applyAlignment="1">
      <alignment horizontal="center" vertical="center"/>
    </xf>
    <xf numFmtId="0" fontId="2" fillId="38" borderId="36" xfId="42" applyFont="1" applyFill="1" applyBorder="1" applyAlignment="1">
      <alignment horizontal="center" vertical="center"/>
    </xf>
    <xf numFmtId="0" fontId="2" fillId="38" borderId="37" xfId="42" applyFont="1" applyFill="1" applyBorder="1" applyAlignment="1">
      <alignment horizontal="center" vertical="center"/>
    </xf>
    <xf numFmtId="164" fontId="0" fillId="34" borderId="42" xfId="43" applyNumberFormat="1" applyFont="1" applyFill="1" applyBorder="1" applyAlignment="1">
      <alignment vertical="center"/>
    </xf>
    <xf numFmtId="0" fontId="1" fillId="39" borderId="18" xfId="42" applyFont="1" applyFill="1" applyBorder="1" applyAlignment="1">
      <alignment vertical="center" wrapText="1"/>
    </xf>
    <xf numFmtId="164" fontId="20" fillId="33" borderId="72" xfId="42" applyNumberFormat="1" applyFill="1" applyBorder="1" applyAlignment="1">
      <alignment vertical="center" wrapText="1"/>
    </xf>
    <xf numFmtId="0" fontId="1" fillId="39" borderId="13" xfId="42" applyFont="1" applyFill="1" applyBorder="1" applyAlignment="1">
      <alignment horizontal="center" vertical="center"/>
    </xf>
    <xf numFmtId="0" fontId="1" fillId="37" borderId="19" xfId="42" applyFont="1" applyFill="1" applyBorder="1" applyAlignment="1">
      <alignment horizontal="center" vertical="center"/>
    </xf>
    <xf numFmtId="0" fontId="1" fillId="37" borderId="12" xfId="42" applyFont="1" applyFill="1" applyBorder="1" applyAlignment="1">
      <alignment horizontal="center" vertical="center"/>
    </xf>
    <xf numFmtId="0" fontId="1" fillId="37" borderId="13" xfId="42" applyFont="1" applyFill="1" applyBorder="1" applyAlignment="1">
      <alignment horizontal="center" vertical="center"/>
    </xf>
    <xf numFmtId="0" fontId="1" fillId="38" borderId="21" xfId="42" applyFont="1" applyFill="1" applyBorder="1" applyAlignment="1">
      <alignment horizontal="center" vertical="center"/>
    </xf>
    <xf numFmtId="0" fontId="1" fillId="38" borderId="31" xfId="42" applyFont="1" applyFill="1" applyBorder="1" applyAlignment="1">
      <alignment horizontal="center" vertical="center"/>
    </xf>
    <xf numFmtId="0" fontId="1" fillId="38" borderId="22" xfId="42" applyFont="1" applyFill="1" applyBorder="1" applyAlignment="1">
      <alignment horizontal="center" vertical="center"/>
    </xf>
    <xf numFmtId="0" fontId="1" fillId="38" borderId="55" xfId="42" applyFont="1" applyFill="1" applyBorder="1" applyAlignment="1">
      <alignment horizontal="center" vertical="center"/>
    </xf>
    <xf numFmtId="0" fontId="1" fillId="38" borderId="23" xfId="42" applyFont="1" applyFill="1" applyBorder="1" applyAlignment="1">
      <alignment horizontal="center" vertical="center"/>
    </xf>
    <xf numFmtId="0" fontId="1" fillId="38" borderId="16" xfId="42" applyFont="1" applyFill="1" applyBorder="1" applyAlignment="1">
      <alignment vertical="center" wrapText="1"/>
    </xf>
    <xf numFmtId="0" fontId="1" fillId="0" borderId="0" xfId="42" applyFont="1" applyBorder="1" applyAlignment="1">
      <alignment vertical="center" wrapText="1"/>
    </xf>
  </cellXfs>
  <cellStyles count="4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4"/>
    <cellStyle name="Normal 3" xfId="42"/>
    <cellStyle name="Note" xfId="15" builtinId="10" customBuiltin="1"/>
    <cellStyle name="Output" xfId="10" builtinId="21" customBuiltin="1"/>
    <cellStyle name="Percent" xfId="46" builtinId="5"/>
    <cellStyle name="Percent 2" xfId="4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DD26E"/>
      <color rgb="FFC2DAE7"/>
      <color rgb="FF8DC8E8"/>
      <color rgb="FFF1B434"/>
      <color rgb="FF003F5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57"/>
  <sheetViews>
    <sheetView tabSelected="1" workbookViewId="0">
      <selection activeCell="F8" sqref="F8"/>
    </sheetView>
  </sheetViews>
  <sheetFormatPr defaultRowHeight="15" x14ac:dyDescent="0.25"/>
  <cols>
    <col min="1" max="1" width="5.85546875" style="1" customWidth="1"/>
    <col min="2" max="2" width="16.140625" style="1" customWidth="1"/>
    <col min="3" max="3" width="17.5703125" style="1" customWidth="1"/>
    <col min="4" max="4" width="19.42578125" style="1" customWidth="1"/>
    <col min="5" max="5" width="11.85546875" style="1" bestFit="1" customWidth="1"/>
    <col min="6" max="6" width="11.85546875" style="1" customWidth="1"/>
    <col min="7" max="7" width="11.85546875" style="1" bestFit="1" customWidth="1"/>
    <col min="8" max="8" width="11.85546875" style="1" customWidth="1"/>
    <col min="9" max="9" width="16.42578125" style="1" bestFit="1" customWidth="1"/>
    <col min="10" max="10" width="19.85546875" style="1" customWidth="1"/>
    <col min="11" max="11" width="21.85546875" style="1" customWidth="1"/>
    <col min="12" max="12" width="15.7109375" style="1" bestFit="1" customWidth="1"/>
    <col min="13" max="13" width="37.5703125" style="1" customWidth="1"/>
    <col min="14" max="14" width="33.5703125" style="1" bestFit="1" customWidth="1"/>
    <col min="15" max="15" width="11.5703125" style="1" bestFit="1" customWidth="1"/>
    <col min="16" max="16" width="14" style="1" bestFit="1" customWidth="1"/>
    <col min="17" max="17" width="14.7109375" style="1" customWidth="1"/>
    <col min="18" max="18" width="8.7109375" style="1" bestFit="1" customWidth="1"/>
    <col min="19" max="19" width="9.140625" style="1"/>
    <col min="20" max="20" width="16.85546875" style="1" customWidth="1"/>
    <col min="21" max="21" width="14.42578125" style="1" customWidth="1"/>
    <col min="22" max="22" width="16.42578125" style="1" customWidth="1"/>
    <col min="23" max="16384" width="9.140625" style="1"/>
  </cols>
  <sheetData>
    <row r="2" spans="1:12" ht="21" x14ac:dyDescent="0.25">
      <c r="A2" s="170" t="s">
        <v>58</v>
      </c>
    </row>
    <row r="3" spans="1:12" x14ac:dyDescent="0.25">
      <c r="B3" s="72"/>
      <c r="C3" s="72" t="s">
        <v>30</v>
      </c>
      <c r="D3" s="72" t="s">
        <v>31</v>
      </c>
    </row>
    <row r="4" spans="1:12" ht="30" x14ac:dyDescent="0.25">
      <c r="B4" s="171" t="s">
        <v>61</v>
      </c>
      <c r="C4" s="80">
        <f>I26/C26</f>
        <v>0.75879396984924619</v>
      </c>
      <c r="D4" s="80">
        <f>I25/C25</f>
        <v>0.60563380281690138</v>
      </c>
    </row>
    <row r="5" spans="1:12" ht="45" x14ac:dyDescent="0.25">
      <c r="B5" s="71" t="s">
        <v>29</v>
      </c>
      <c r="C5" s="81">
        <f>J26/C26</f>
        <v>0.52261306532663321</v>
      </c>
      <c r="D5" s="81">
        <f>J25/C25</f>
        <v>0.323943661971831</v>
      </c>
    </row>
    <row r="6" spans="1:12" ht="45" x14ac:dyDescent="0.25">
      <c r="B6" s="171" t="s">
        <v>62</v>
      </c>
      <c r="C6" s="81">
        <f>-K26/E26</f>
        <v>0.39858000259489962</v>
      </c>
      <c r="D6" s="81">
        <f>-K25/E25</f>
        <v>0.40558787082955888</v>
      </c>
    </row>
    <row r="7" spans="1:12" ht="45" x14ac:dyDescent="0.25">
      <c r="B7" s="171" t="s">
        <v>63</v>
      </c>
      <c r="C7" s="81">
        <f>-K26/G26</f>
        <v>0.17981916260085212</v>
      </c>
      <c r="D7" s="81">
        <f>-K25/G25</f>
        <v>0.17052589410707789</v>
      </c>
    </row>
    <row r="8" spans="1:12" x14ac:dyDescent="0.25">
      <c r="B8" s="198"/>
      <c r="C8" s="159"/>
      <c r="D8" s="159"/>
    </row>
    <row r="9" spans="1:12" x14ac:dyDescent="0.25">
      <c r="B9" s="158"/>
      <c r="C9" s="159"/>
      <c r="D9" s="159"/>
    </row>
    <row r="10" spans="1:12" ht="21.75" thickBot="1" x14ac:dyDescent="0.3">
      <c r="A10" s="170" t="s">
        <v>59</v>
      </c>
    </row>
    <row r="11" spans="1:12" ht="15.75" thickBot="1" x14ac:dyDescent="0.3">
      <c r="B11" s="5"/>
      <c r="C11" s="84" t="s">
        <v>16</v>
      </c>
      <c r="D11" s="85"/>
      <c r="E11" s="85"/>
      <c r="F11" s="85"/>
      <c r="G11" s="85"/>
      <c r="H11" s="178"/>
      <c r="I11" s="77" t="s">
        <v>28</v>
      </c>
      <c r="J11" s="78"/>
      <c r="K11" s="78"/>
      <c r="L11" s="79"/>
    </row>
    <row r="12" spans="1:12" s="3" customFormat="1" x14ac:dyDescent="0.25">
      <c r="B12" s="21"/>
      <c r="C12" s="22" t="s">
        <v>2</v>
      </c>
      <c r="D12" s="22" t="s">
        <v>3</v>
      </c>
      <c r="E12" s="22" t="s">
        <v>4</v>
      </c>
      <c r="F12" s="90" t="s">
        <v>5</v>
      </c>
      <c r="G12" s="90" t="s">
        <v>6</v>
      </c>
      <c r="H12" s="188" t="s">
        <v>1</v>
      </c>
      <c r="I12" s="189" t="s">
        <v>7</v>
      </c>
      <c r="J12" s="190" t="s">
        <v>8</v>
      </c>
      <c r="K12" s="190" t="s">
        <v>0</v>
      </c>
      <c r="L12" s="191" t="s">
        <v>9</v>
      </c>
    </row>
    <row r="13" spans="1:12" s="2" customFormat="1" ht="45.75" thickBot="1" x14ac:dyDescent="0.3">
      <c r="B13" s="30" t="s">
        <v>17</v>
      </c>
      <c r="C13" s="31" t="s">
        <v>19</v>
      </c>
      <c r="D13" s="32" t="s">
        <v>21</v>
      </c>
      <c r="E13" s="31" t="s">
        <v>22</v>
      </c>
      <c r="F13" s="179" t="s">
        <v>64</v>
      </c>
      <c r="G13" s="172" t="s">
        <v>23</v>
      </c>
      <c r="H13" s="186" t="s">
        <v>65</v>
      </c>
      <c r="I13" s="19" t="s">
        <v>12</v>
      </c>
      <c r="J13" s="20" t="s">
        <v>13</v>
      </c>
      <c r="K13" s="82" t="s">
        <v>70</v>
      </c>
      <c r="L13" s="37" t="s">
        <v>27</v>
      </c>
    </row>
    <row r="14" spans="1:12" s="2" customFormat="1" x14ac:dyDescent="0.25">
      <c r="B14" s="167">
        <v>39995</v>
      </c>
      <c r="C14" s="24">
        <v>4</v>
      </c>
      <c r="D14" s="33">
        <v>0</v>
      </c>
      <c r="E14" s="26">
        <v>85590.910000000018</v>
      </c>
      <c r="F14" s="105">
        <f>IFERROR(E14/C14,"-")</f>
        <v>21397.727500000005</v>
      </c>
      <c r="G14" s="105">
        <v>483190</v>
      </c>
      <c r="H14" s="27">
        <f>IFERROR(G14/C14,"-")</f>
        <v>120797.5</v>
      </c>
      <c r="I14" s="28">
        <v>2</v>
      </c>
      <c r="J14" s="24">
        <v>1</v>
      </c>
      <c r="K14" s="26">
        <v>-12277.919999999998</v>
      </c>
      <c r="L14" s="38">
        <v>909933.34</v>
      </c>
    </row>
    <row r="15" spans="1:12" s="2" customFormat="1" x14ac:dyDescent="0.25">
      <c r="B15" s="18">
        <v>40360</v>
      </c>
      <c r="C15" s="25"/>
      <c r="D15" s="34"/>
      <c r="E15" s="10"/>
      <c r="F15" s="111" t="str">
        <f t="shared" ref="F15:F26" si="0">IFERROR(E15/C15,"-")</f>
        <v>-</v>
      </c>
      <c r="G15" s="111"/>
      <c r="H15" s="11" t="str">
        <f t="shared" ref="H15:H26" si="1">IFERROR(G15/C15,"-")</f>
        <v>-</v>
      </c>
      <c r="I15" s="7"/>
      <c r="J15" s="25"/>
      <c r="K15" s="10"/>
      <c r="L15" s="39"/>
    </row>
    <row r="16" spans="1:12" s="2" customFormat="1" x14ac:dyDescent="0.25">
      <c r="B16" s="18">
        <v>40725</v>
      </c>
      <c r="C16" s="25"/>
      <c r="D16" s="34"/>
      <c r="E16" s="10"/>
      <c r="F16" s="111" t="str">
        <f t="shared" si="0"/>
        <v>-</v>
      </c>
      <c r="G16" s="111"/>
      <c r="H16" s="11" t="str">
        <f t="shared" si="1"/>
        <v>-</v>
      </c>
      <c r="I16" s="7"/>
      <c r="J16" s="25"/>
      <c r="K16" s="10"/>
      <c r="L16" s="39"/>
    </row>
    <row r="17" spans="1:12" s="2" customFormat="1" x14ac:dyDescent="0.25">
      <c r="B17" s="18">
        <v>41091</v>
      </c>
      <c r="C17" s="25"/>
      <c r="D17" s="34"/>
      <c r="E17" s="10"/>
      <c r="F17" s="111" t="str">
        <f t="shared" si="0"/>
        <v>-</v>
      </c>
      <c r="G17" s="111"/>
      <c r="H17" s="11" t="str">
        <f t="shared" si="1"/>
        <v>-</v>
      </c>
      <c r="I17" s="7"/>
      <c r="J17" s="25"/>
      <c r="K17" s="10"/>
      <c r="L17" s="39"/>
    </row>
    <row r="18" spans="1:12" x14ac:dyDescent="0.25">
      <c r="B18" s="18">
        <v>41456</v>
      </c>
      <c r="C18" s="25">
        <v>16</v>
      </c>
      <c r="D18" s="34">
        <v>0</v>
      </c>
      <c r="E18" s="10">
        <v>1330633.19</v>
      </c>
      <c r="F18" s="111">
        <f t="shared" si="0"/>
        <v>83164.574374999997</v>
      </c>
      <c r="G18" s="111">
        <v>2663333</v>
      </c>
      <c r="H18" s="11">
        <f t="shared" si="1"/>
        <v>166458.3125</v>
      </c>
      <c r="I18" s="7">
        <v>10</v>
      </c>
      <c r="J18" s="25">
        <v>5</v>
      </c>
      <c r="K18" s="10">
        <v>-861695.45</v>
      </c>
      <c r="L18" s="39">
        <v>2734867.88</v>
      </c>
    </row>
    <row r="19" spans="1:12" x14ac:dyDescent="0.25">
      <c r="B19" s="17">
        <v>41821</v>
      </c>
      <c r="C19" s="4">
        <v>51</v>
      </c>
      <c r="D19" s="35">
        <v>0</v>
      </c>
      <c r="E19" s="12">
        <v>1542935.57</v>
      </c>
      <c r="F19" s="116">
        <f t="shared" si="0"/>
        <v>30253.638627450982</v>
      </c>
      <c r="G19" s="116">
        <v>3891700</v>
      </c>
      <c r="H19" s="13">
        <f t="shared" si="1"/>
        <v>76307.843137254895</v>
      </c>
      <c r="I19" s="6">
        <v>31</v>
      </c>
      <c r="J19" s="4">
        <v>17</v>
      </c>
      <c r="K19" s="12">
        <v>-326225.90000000002</v>
      </c>
      <c r="L19" s="40">
        <v>5466358.8399999989</v>
      </c>
    </row>
    <row r="20" spans="1:12" x14ac:dyDescent="0.25">
      <c r="B20" s="160">
        <v>42186</v>
      </c>
      <c r="C20" s="161"/>
      <c r="D20" s="162"/>
      <c r="E20" s="163"/>
      <c r="F20" s="173" t="str">
        <f t="shared" si="0"/>
        <v>-</v>
      </c>
      <c r="G20" s="173"/>
      <c r="H20" s="164" t="str">
        <f t="shared" si="1"/>
        <v>-</v>
      </c>
      <c r="I20" s="165"/>
      <c r="J20" s="161"/>
      <c r="K20" s="163"/>
      <c r="L20" s="166"/>
    </row>
    <row r="21" spans="1:12" x14ac:dyDescent="0.25">
      <c r="B21" s="160">
        <v>42552</v>
      </c>
      <c r="C21" s="161"/>
      <c r="D21" s="162"/>
      <c r="E21" s="163"/>
      <c r="F21" s="173" t="str">
        <f t="shared" si="0"/>
        <v>-</v>
      </c>
      <c r="G21" s="173"/>
      <c r="H21" s="164" t="str">
        <f t="shared" si="1"/>
        <v>-</v>
      </c>
      <c r="I21" s="165"/>
      <c r="J21" s="161"/>
      <c r="K21" s="163"/>
      <c r="L21" s="166"/>
    </row>
    <row r="22" spans="1:12" x14ac:dyDescent="0.25">
      <c r="B22" s="160">
        <v>42917</v>
      </c>
      <c r="C22" s="161"/>
      <c r="D22" s="162"/>
      <c r="E22" s="163"/>
      <c r="F22" s="173" t="str">
        <f t="shared" si="0"/>
        <v>-</v>
      </c>
      <c r="G22" s="173"/>
      <c r="H22" s="164" t="str">
        <f t="shared" si="1"/>
        <v>-</v>
      </c>
      <c r="I22" s="165"/>
      <c r="J22" s="161"/>
      <c r="K22" s="163"/>
      <c r="L22" s="166"/>
    </row>
    <row r="23" spans="1:12" x14ac:dyDescent="0.25">
      <c r="B23" s="160">
        <v>43282</v>
      </c>
      <c r="C23" s="161"/>
      <c r="D23" s="162"/>
      <c r="E23" s="163"/>
      <c r="F23" s="173" t="str">
        <f t="shared" si="0"/>
        <v>-</v>
      </c>
      <c r="G23" s="173"/>
      <c r="H23" s="164" t="str">
        <f t="shared" si="1"/>
        <v>-</v>
      </c>
      <c r="I23" s="165"/>
      <c r="J23" s="161"/>
      <c r="K23" s="163"/>
      <c r="L23" s="166"/>
    </row>
    <row r="24" spans="1:12" ht="15.75" thickBot="1" x14ac:dyDescent="0.3">
      <c r="B24" s="49">
        <v>43647</v>
      </c>
      <c r="C24" s="50">
        <v>128</v>
      </c>
      <c r="D24" s="51">
        <v>0</v>
      </c>
      <c r="E24" s="52">
        <v>1057565.9800000004</v>
      </c>
      <c r="F24" s="174">
        <f t="shared" si="0"/>
        <v>8262.2342187500035</v>
      </c>
      <c r="G24" s="174">
        <v>1865091.29</v>
      </c>
      <c r="H24" s="53">
        <f t="shared" si="1"/>
        <v>14571.025703125</v>
      </c>
      <c r="I24" s="54">
        <v>108</v>
      </c>
      <c r="J24" s="50">
        <v>81</v>
      </c>
      <c r="K24" s="52">
        <v>-400787.25</v>
      </c>
      <c r="L24" s="55">
        <v>3765269.580000001</v>
      </c>
    </row>
    <row r="25" spans="1:12" ht="30.75" customHeight="1" thickBot="1" x14ac:dyDescent="0.3">
      <c r="B25" s="169" t="s">
        <v>18</v>
      </c>
      <c r="C25" s="47">
        <f>SUM(C14:C23)</f>
        <v>71</v>
      </c>
      <c r="D25" s="48">
        <f>SUM(D14:D23)</f>
        <v>0</v>
      </c>
      <c r="E25" s="61">
        <f>SUM(E14:E23)</f>
        <v>2959159.67</v>
      </c>
      <c r="F25" s="69">
        <f t="shared" si="0"/>
        <v>41678.305211267601</v>
      </c>
      <c r="G25" s="69">
        <f>SUM(G14:G23)</f>
        <v>7038223</v>
      </c>
      <c r="H25" s="187">
        <f t="shared" si="1"/>
        <v>99129.901408450707</v>
      </c>
      <c r="I25" s="70">
        <f>SUM(I14:I23)</f>
        <v>43</v>
      </c>
      <c r="J25" s="58">
        <f>SUM(J14:J23)</f>
        <v>23</v>
      </c>
      <c r="K25" s="59">
        <f>SUM(K14:K23)</f>
        <v>-1200199.27</v>
      </c>
      <c r="L25" s="60">
        <f>SUM(L14:L23)</f>
        <v>9111160.0599999987</v>
      </c>
    </row>
    <row r="26" spans="1:12" ht="30.75" customHeight="1" thickBot="1" x14ac:dyDescent="0.3">
      <c r="B26" s="46" t="s">
        <v>26</v>
      </c>
      <c r="C26" s="9">
        <f>SUM(C14:C24)</f>
        <v>199</v>
      </c>
      <c r="D26" s="36">
        <v>0</v>
      </c>
      <c r="E26" s="14">
        <f>SUM(E14:E24)</f>
        <v>4016725.6500000004</v>
      </c>
      <c r="F26" s="175">
        <f t="shared" si="0"/>
        <v>20184.551005025129</v>
      </c>
      <c r="G26" s="185">
        <f>SUM(G14:G24)</f>
        <v>8903314.2899999991</v>
      </c>
      <c r="H26" s="16">
        <f t="shared" si="1"/>
        <v>44740.272814070348</v>
      </c>
      <c r="I26" s="8">
        <f>SUM(I14:I24)</f>
        <v>151</v>
      </c>
      <c r="J26" s="9">
        <f>SUM(J14:J24)</f>
        <v>104</v>
      </c>
      <c r="K26" s="14">
        <f>SUM(K14:K24)</f>
        <v>-1600986.52</v>
      </c>
      <c r="L26" s="16">
        <f>SUM(L14:L24)</f>
        <v>12876429.640000001</v>
      </c>
    </row>
    <row r="27" spans="1:12" x14ac:dyDescent="0.25">
      <c r="B27" s="45"/>
    </row>
    <row r="28" spans="1:12" ht="21.75" thickBot="1" x14ac:dyDescent="0.3">
      <c r="A28" s="170" t="s">
        <v>60</v>
      </c>
    </row>
    <row r="29" spans="1:12" ht="15.75" thickBot="1" x14ac:dyDescent="0.3">
      <c r="B29" s="181"/>
      <c r="C29" s="182" t="s">
        <v>15</v>
      </c>
      <c r="D29" s="183"/>
      <c r="E29" s="183"/>
      <c r="F29" s="183"/>
      <c r="G29" s="183"/>
      <c r="H29" s="184"/>
    </row>
    <row r="30" spans="1:12" x14ac:dyDescent="0.25">
      <c r="B30" s="180"/>
      <c r="C30" s="192" t="s">
        <v>10</v>
      </c>
      <c r="D30" s="193" t="s">
        <v>11</v>
      </c>
      <c r="E30" s="194" t="s">
        <v>66</v>
      </c>
      <c r="F30" s="195" t="s">
        <v>67</v>
      </c>
      <c r="G30" s="195" t="s">
        <v>68</v>
      </c>
      <c r="H30" s="196" t="s">
        <v>69</v>
      </c>
    </row>
    <row r="31" spans="1:12" ht="45.75" thickBot="1" x14ac:dyDescent="0.3">
      <c r="B31" s="68" t="s">
        <v>17</v>
      </c>
      <c r="C31" s="197" t="s">
        <v>71</v>
      </c>
      <c r="D31" s="43" t="s">
        <v>20</v>
      </c>
      <c r="E31" s="101" t="s">
        <v>72</v>
      </c>
      <c r="F31" s="41" t="s">
        <v>64</v>
      </c>
      <c r="G31" s="101" t="s">
        <v>73</v>
      </c>
      <c r="H31" s="42" t="s">
        <v>65</v>
      </c>
    </row>
    <row r="32" spans="1:12" x14ac:dyDescent="0.25">
      <c r="B32" s="23">
        <v>39995</v>
      </c>
      <c r="C32" s="28">
        <v>2</v>
      </c>
      <c r="D32" s="63">
        <v>0</v>
      </c>
      <c r="E32" s="26">
        <v>348374.15</v>
      </c>
      <c r="F32" s="105">
        <f>IFERROR(E32/C32,"-")</f>
        <v>174187.07500000001</v>
      </c>
      <c r="G32" s="105">
        <v>775731</v>
      </c>
      <c r="H32" s="27">
        <f>IFERROR(G32/C32,"-")</f>
        <v>387865.5</v>
      </c>
    </row>
    <row r="33" spans="2:8" x14ac:dyDescent="0.25">
      <c r="B33" s="18">
        <v>40360</v>
      </c>
      <c r="C33" s="7"/>
      <c r="D33" s="64"/>
      <c r="E33" s="10"/>
      <c r="F33" s="111" t="str">
        <f t="shared" ref="F33:F44" si="2">IFERROR(E33/C33,"-")</f>
        <v>-</v>
      </c>
      <c r="G33" s="111"/>
      <c r="H33" s="11" t="str">
        <f t="shared" ref="H33:H44" si="3">IFERROR(G33/C33,"-")</f>
        <v>-</v>
      </c>
    </row>
    <row r="34" spans="2:8" x14ac:dyDescent="0.25">
      <c r="B34" s="18">
        <v>40725</v>
      </c>
      <c r="C34" s="7"/>
      <c r="D34" s="64"/>
      <c r="E34" s="10"/>
      <c r="F34" s="111" t="str">
        <f t="shared" si="2"/>
        <v>-</v>
      </c>
      <c r="G34" s="111"/>
      <c r="H34" s="11" t="str">
        <f t="shared" si="3"/>
        <v>-</v>
      </c>
    </row>
    <row r="35" spans="2:8" x14ac:dyDescent="0.25">
      <c r="B35" s="18">
        <v>41091</v>
      </c>
      <c r="C35" s="7"/>
      <c r="D35" s="64"/>
      <c r="E35" s="10"/>
      <c r="F35" s="111" t="str">
        <f t="shared" si="2"/>
        <v>-</v>
      </c>
      <c r="G35" s="111"/>
      <c r="H35" s="11" t="str">
        <f t="shared" si="3"/>
        <v>-</v>
      </c>
    </row>
    <row r="36" spans="2:8" x14ac:dyDescent="0.25">
      <c r="B36" s="168">
        <v>41456</v>
      </c>
      <c r="C36" s="7"/>
      <c r="D36" s="64"/>
      <c r="E36" s="10"/>
      <c r="F36" s="111" t="str">
        <f t="shared" si="2"/>
        <v>-</v>
      </c>
      <c r="G36" s="111"/>
      <c r="H36" s="11" t="str">
        <f t="shared" si="3"/>
        <v>-</v>
      </c>
    </row>
    <row r="37" spans="2:8" x14ac:dyDescent="0.25">
      <c r="B37" s="18">
        <v>41821</v>
      </c>
      <c r="C37" s="7"/>
      <c r="D37" s="64"/>
      <c r="E37" s="10"/>
      <c r="F37" s="111" t="str">
        <f t="shared" si="2"/>
        <v>-</v>
      </c>
      <c r="G37" s="111"/>
      <c r="H37" s="11" t="str">
        <f t="shared" si="3"/>
        <v>-</v>
      </c>
    </row>
    <row r="38" spans="2:8" x14ac:dyDescent="0.25">
      <c r="B38" s="18">
        <v>42186</v>
      </c>
      <c r="C38" s="7">
        <v>7</v>
      </c>
      <c r="D38" s="64">
        <v>0</v>
      </c>
      <c r="E38" s="10">
        <v>340804.59</v>
      </c>
      <c r="F38" s="111">
        <f t="shared" si="2"/>
        <v>48686.37</v>
      </c>
      <c r="G38" s="111">
        <v>1071560</v>
      </c>
      <c r="H38" s="11">
        <f t="shared" si="3"/>
        <v>153080</v>
      </c>
    </row>
    <row r="39" spans="2:8" x14ac:dyDescent="0.25">
      <c r="B39" s="17">
        <v>42552</v>
      </c>
      <c r="C39" s="6">
        <v>24</v>
      </c>
      <c r="D39" s="65">
        <v>0</v>
      </c>
      <c r="E39" s="12">
        <v>853017.67000000016</v>
      </c>
      <c r="F39" s="116">
        <f t="shared" si="2"/>
        <v>35542.402916666673</v>
      </c>
      <c r="G39" s="116">
        <v>2697024</v>
      </c>
      <c r="H39" s="13">
        <f t="shared" si="3"/>
        <v>112376</v>
      </c>
    </row>
    <row r="40" spans="2:8" x14ac:dyDescent="0.25">
      <c r="B40" s="17">
        <v>42917</v>
      </c>
      <c r="C40" s="6">
        <v>27</v>
      </c>
      <c r="D40" s="65">
        <v>0</v>
      </c>
      <c r="E40" s="12">
        <v>1071991.5700000003</v>
      </c>
      <c r="F40" s="116">
        <f t="shared" si="2"/>
        <v>39703.391481481493</v>
      </c>
      <c r="G40" s="116">
        <v>2622090</v>
      </c>
      <c r="H40" s="13">
        <f t="shared" si="3"/>
        <v>97114.444444444438</v>
      </c>
    </row>
    <row r="41" spans="2:8" x14ac:dyDescent="0.25">
      <c r="B41" s="17">
        <v>43282</v>
      </c>
      <c r="C41" s="6">
        <v>49</v>
      </c>
      <c r="D41" s="65">
        <v>0</v>
      </c>
      <c r="E41" s="12">
        <v>1493114.6900000002</v>
      </c>
      <c r="F41" s="116">
        <f t="shared" si="2"/>
        <v>30471.728367346943</v>
      </c>
      <c r="G41" s="116">
        <v>2767453.73</v>
      </c>
      <c r="H41" s="13">
        <f t="shared" si="3"/>
        <v>56478.647551020411</v>
      </c>
    </row>
    <row r="42" spans="2:8" ht="15.75" thickBot="1" x14ac:dyDescent="0.3">
      <c r="B42" s="29">
        <v>43647</v>
      </c>
      <c r="C42" s="73">
        <v>58</v>
      </c>
      <c r="D42" s="66">
        <v>0</v>
      </c>
      <c r="E42" s="74">
        <v>169510.97</v>
      </c>
      <c r="F42" s="176">
        <f t="shared" si="2"/>
        <v>2922.6029310344829</v>
      </c>
      <c r="G42" s="176">
        <v>238199</v>
      </c>
      <c r="H42" s="75">
        <f t="shared" si="3"/>
        <v>4106.8793103448279</v>
      </c>
    </row>
    <row r="43" spans="2:8" ht="30" customHeight="1" thickBot="1" x14ac:dyDescent="0.3">
      <c r="B43" s="56" t="s">
        <v>18</v>
      </c>
      <c r="C43" s="57">
        <f>SUM(C32:C41)</f>
        <v>109</v>
      </c>
      <c r="D43" s="67">
        <f>SUM(D32:D41)</f>
        <v>0</v>
      </c>
      <c r="E43" s="59">
        <f>SUM(E32:E41)</f>
        <v>4107302.6700000009</v>
      </c>
      <c r="F43" s="177">
        <f t="shared" si="2"/>
        <v>37681.675871559644</v>
      </c>
      <c r="G43" s="177">
        <f>SUM(G32:G41)</f>
        <v>9933858.7300000004</v>
      </c>
      <c r="H43" s="60">
        <f t="shared" si="3"/>
        <v>91136.318623853222</v>
      </c>
    </row>
    <row r="44" spans="2:8" ht="30" customHeight="1" thickBot="1" x14ac:dyDescent="0.3">
      <c r="B44" s="46" t="s">
        <v>26</v>
      </c>
      <c r="C44" s="8">
        <v>168</v>
      </c>
      <c r="D44" s="44">
        <v>0</v>
      </c>
      <c r="E44" s="14">
        <v>4278814.9700000007</v>
      </c>
      <c r="F44" s="175">
        <f t="shared" si="2"/>
        <v>25469.136726190482</v>
      </c>
      <c r="G44" s="175">
        <v>10229649.73</v>
      </c>
      <c r="H44" s="15">
        <f t="shared" si="3"/>
        <v>60890.772202380955</v>
      </c>
    </row>
    <row r="45" spans="2:8" x14ac:dyDescent="0.25">
      <c r="D45" s="45"/>
    </row>
    <row r="48" spans="2:8" x14ac:dyDescent="0.25">
      <c r="B48" s="62" t="s">
        <v>32</v>
      </c>
    </row>
    <row r="49" spans="2:3" x14ac:dyDescent="0.25">
      <c r="B49" s="1" t="s">
        <v>2</v>
      </c>
      <c r="C49" s="62" t="s">
        <v>33</v>
      </c>
    </row>
    <row r="50" spans="2:3" x14ac:dyDescent="0.25">
      <c r="B50" s="1" t="s">
        <v>3</v>
      </c>
      <c r="C50" s="62" t="s">
        <v>34</v>
      </c>
    </row>
    <row r="51" spans="2:3" x14ac:dyDescent="0.25">
      <c r="B51" s="1" t="s">
        <v>4</v>
      </c>
      <c r="C51" s="1" t="s">
        <v>14</v>
      </c>
    </row>
    <row r="52" spans="2:3" x14ac:dyDescent="0.25">
      <c r="B52" s="1" t="s">
        <v>5</v>
      </c>
      <c r="C52" s="62" t="s">
        <v>35</v>
      </c>
    </row>
    <row r="53" spans="2:3" x14ac:dyDescent="0.25">
      <c r="B53" s="1" t="s">
        <v>6</v>
      </c>
      <c r="C53" s="62" t="s">
        <v>36</v>
      </c>
    </row>
    <row r="54" spans="2:3" x14ac:dyDescent="0.25">
      <c r="B54" s="1" t="s">
        <v>1</v>
      </c>
      <c r="C54" s="62" t="s">
        <v>37</v>
      </c>
    </row>
    <row r="55" spans="2:3" x14ac:dyDescent="0.25">
      <c r="B55" s="1" t="s">
        <v>7</v>
      </c>
      <c r="C55" s="62" t="s">
        <v>38</v>
      </c>
    </row>
    <row r="56" spans="2:3" x14ac:dyDescent="0.25">
      <c r="B56" s="1" t="s">
        <v>8</v>
      </c>
      <c r="C56" s="62" t="s">
        <v>39</v>
      </c>
    </row>
    <row r="57" spans="2:3" x14ac:dyDescent="0.25">
      <c r="B57" s="62" t="s">
        <v>40</v>
      </c>
      <c r="C57" s="62" t="s">
        <v>41</v>
      </c>
    </row>
  </sheetData>
  <mergeCells count="3">
    <mergeCell ref="I11:L11"/>
    <mergeCell ref="C29:H29"/>
    <mergeCell ref="C11:H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23"/>
  <sheetViews>
    <sheetView workbookViewId="0">
      <selection activeCell="C13" sqref="C13"/>
    </sheetView>
  </sheetViews>
  <sheetFormatPr defaultRowHeight="15" x14ac:dyDescent="0.25"/>
  <cols>
    <col min="2" max="2" width="19.7109375" customWidth="1"/>
    <col min="3" max="3" width="16" customWidth="1"/>
    <col min="4" max="5" width="11.85546875" bestFit="1" customWidth="1"/>
    <col min="6" max="6" width="15.7109375" bestFit="1" customWidth="1"/>
    <col min="7" max="7" width="8.5703125" bestFit="1" customWidth="1"/>
    <col min="8" max="8" width="15.140625" bestFit="1" customWidth="1"/>
    <col min="9" max="10" width="11.85546875" bestFit="1" customWidth="1"/>
    <col min="11" max="11" width="15.7109375" bestFit="1" customWidth="1"/>
    <col min="12" max="12" width="8.5703125" bestFit="1" customWidth="1"/>
  </cols>
  <sheetData>
    <row r="3" spans="2:12" ht="15.75" thickBot="1" x14ac:dyDescent="0.3"/>
    <row r="4" spans="2:12" ht="15.75" thickBot="1" x14ac:dyDescent="0.3">
      <c r="B4" s="5"/>
      <c r="C4" s="84" t="s">
        <v>47</v>
      </c>
      <c r="D4" s="85"/>
      <c r="E4" s="85"/>
      <c r="F4" s="85"/>
      <c r="G4" s="85"/>
      <c r="H4" s="86" t="s">
        <v>15</v>
      </c>
      <c r="I4" s="87"/>
      <c r="J4" s="87"/>
      <c r="K4" s="87"/>
      <c r="L4" s="88"/>
    </row>
    <row r="5" spans="2:12" x14ac:dyDescent="0.25">
      <c r="B5" s="21"/>
      <c r="C5" s="22" t="s">
        <v>2</v>
      </c>
      <c r="D5" s="89" t="s">
        <v>4</v>
      </c>
      <c r="E5" s="90"/>
      <c r="F5" s="90" t="s">
        <v>5</v>
      </c>
      <c r="G5" s="90"/>
      <c r="H5" s="91" t="s">
        <v>0</v>
      </c>
      <c r="I5" s="92" t="s">
        <v>10</v>
      </c>
      <c r="J5" s="93"/>
      <c r="K5" s="93" t="s">
        <v>11</v>
      </c>
      <c r="L5" s="94"/>
    </row>
    <row r="6" spans="2:12" ht="45.75" thickBot="1" x14ac:dyDescent="0.3">
      <c r="B6" s="95" t="s">
        <v>48</v>
      </c>
      <c r="C6" s="96" t="s">
        <v>49</v>
      </c>
      <c r="D6" s="97" t="s">
        <v>22</v>
      </c>
      <c r="E6" s="98" t="s">
        <v>53</v>
      </c>
      <c r="F6" s="99" t="s">
        <v>23</v>
      </c>
      <c r="G6" s="98" t="s">
        <v>54</v>
      </c>
      <c r="H6" s="100" t="s">
        <v>50</v>
      </c>
      <c r="I6" s="101" t="s">
        <v>25</v>
      </c>
      <c r="J6" s="101" t="s">
        <v>55</v>
      </c>
      <c r="K6" s="102" t="s">
        <v>24</v>
      </c>
      <c r="L6" s="103" t="s">
        <v>56</v>
      </c>
    </row>
    <row r="7" spans="2:12" x14ac:dyDescent="0.25">
      <c r="B7" s="23">
        <v>39539</v>
      </c>
      <c r="C7" s="24">
        <v>0</v>
      </c>
      <c r="D7" s="26">
        <v>0</v>
      </c>
      <c r="E7" s="26">
        <f>IFERROR(D7/C7,0)</f>
        <v>0</v>
      </c>
      <c r="F7" s="104">
        <v>0</v>
      </c>
      <c r="G7" s="105">
        <f>IFERROR(F7/C7,0)</f>
        <v>0</v>
      </c>
      <c r="H7" s="106">
        <v>0</v>
      </c>
      <c r="I7" s="26">
        <v>0</v>
      </c>
      <c r="J7" s="26">
        <f>IFERROR(I7/H7,0)</f>
        <v>0</v>
      </c>
      <c r="K7" s="105">
        <v>0</v>
      </c>
      <c r="L7" s="107">
        <f>IFERROR(K7/H7,0)</f>
        <v>0</v>
      </c>
    </row>
    <row r="8" spans="2:12" x14ac:dyDescent="0.25">
      <c r="B8" s="18">
        <v>39904</v>
      </c>
      <c r="C8" s="25">
        <v>2</v>
      </c>
      <c r="D8" s="108">
        <v>102143.54000000001</v>
      </c>
      <c r="E8" s="12">
        <f t="shared" ref="E8:E16" si="0">IFERROR(D8/C8,0)</f>
        <v>51071.770000000004</v>
      </c>
      <c r="F8" s="109">
        <v>183816.1</v>
      </c>
      <c r="G8" s="109">
        <f t="shared" ref="G8:G16" si="1">IFERROR(F8/C8,0)</f>
        <v>91908.05</v>
      </c>
      <c r="H8" s="110">
        <v>2</v>
      </c>
      <c r="I8" s="10">
        <v>205351.40000000008</v>
      </c>
      <c r="J8" s="111">
        <f t="shared" ref="J8:J18" si="2">IFERROR(I8/H8,0)</f>
        <v>102675.70000000004</v>
      </c>
      <c r="K8" s="111">
        <v>427473.69000000006</v>
      </c>
      <c r="L8" s="112">
        <f t="shared" ref="L8:L18" si="3">IFERROR(K8/H8,0)</f>
        <v>213736.84500000003</v>
      </c>
    </row>
    <row r="9" spans="2:12" x14ac:dyDescent="0.25">
      <c r="B9" s="17">
        <v>40269</v>
      </c>
      <c r="C9" s="113">
        <v>0</v>
      </c>
      <c r="D9" s="12">
        <v>0</v>
      </c>
      <c r="E9" s="12">
        <f t="shared" si="0"/>
        <v>0</v>
      </c>
      <c r="F9" s="114">
        <v>0</v>
      </c>
      <c r="G9" s="114">
        <f t="shared" si="1"/>
        <v>0</v>
      </c>
      <c r="H9" s="115">
        <v>0</v>
      </c>
      <c r="I9" s="12">
        <v>0</v>
      </c>
      <c r="J9" s="116">
        <f t="shared" si="2"/>
        <v>0</v>
      </c>
      <c r="K9" s="116">
        <v>0</v>
      </c>
      <c r="L9" s="117">
        <f t="shared" si="3"/>
        <v>0</v>
      </c>
    </row>
    <row r="10" spans="2:12" x14ac:dyDescent="0.25">
      <c r="B10" s="17">
        <v>40634</v>
      </c>
      <c r="C10" s="4">
        <v>7</v>
      </c>
      <c r="D10" s="108">
        <v>264123.53999999998</v>
      </c>
      <c r="E10" s="12">
        <f t="shared" si="0"/>
        <v>37731.934285714284</v>
      </c>
      <c r="F10" s="109">
        <v>482820.64</v>
      </c>
      <c r="G10" s="109">
        <f t="shared" si="1"/>
        <v>68974.377142857149</v>
      </c>
      <c r="H10" s="115">
        <v>3</v>
      </c>
      <c r="I10" s="12">
        <v>122282.48999999999</v>
      </c>
      <c r="J10" s="116">
        <f t="shared" si="2"/>
        <v>40760.829999999994</v>
      </c>
      <c r="K10" s="116">
        <v>206919.90999999997</v>
      </c>
      <c r="L10" s="117">
        <f t="shared" si="3"/>
        <v>68973.30333333333</v>
      </c>
    </row>
    <row r="11" spans="2:12" x14ac:dyDescent="0.25">
      <c r="B11" s="17">
        <v>41000</v>
      </c>
      <c r="C11" s="4">
        <v>11</v>
      </c>
      <c r="D11" s="108">
        <v>385916.63</v>
      </c>
      <c r="E11" s="12">
        <f t="shared" si="0"/>
        <v>35083.33</v>
      </c>
      <c r="F11" s="109">
        <v>1221050.3800000001</v>
      </c>
      <c r="G11" s="109">
        <f t="shared" si="1"/>
        <v>111004.58000000002</v>
      </c>
      <c r="H11" s="115">
        <v>12</v>
      </c>
      <c r="I11" s="12">
        <v>802510.74999999977</v>
      </c>
      <c r="J11" s="116">
        <f t="shared" si="2"/>
        <v>66875.895833333314</v>
      </c>
      <c r="K11" s="116">
        <v>2322304.4499999997</v>
      </c>
      <c r="L11" s="117">
        <f t="shared" si="3"/>
        <v>193525.37083333332</v>
      </c>
    </row>
    <row r="12" spans="2:12" x14ac:dyDescent="0.25">
      <c r="B12" s="17">
        <v>41365</v>
      </c>
      <c r="C12" s="4">
        <v>39</v>
      </c>
      <c r="D12" s="108">
        <v>1499752.6</v>
      </c>
      <c r="E12" s="12">
        <f t="shared" si="0"/>
        <v>38455.194871794876</v>
      </c>
      <c r="F12" s="109">
        <v>4942870.49</v>
      </c>
      <c r="G12" s="109">
        <f t="shared" si="1"/>
        <v>126740.26897435899</v>
      </c>
      <c r="H12" s="115">
        <v>22</v>
      </c>
      <c r="I12" s="12">
        <v>959964.37</v>
      </c>
      <c r="J12" s="116">
        <f t="shared" si="2"/>
        <v>43634.744090909087</v>
      </c>
      <c r="K12" s="116">
        <v>3266264.1399999997</v>
      </c>
      <c r="L12" s="117">
        <f t="shared" si="3"/>
        <v>148466.55181818179</v>
      </c>
    </row>
    <row r="13" spans="2:12" x14ac:dyDescent="0.25">
      <c r="B13" s="17">
        <v>41730</v>
      </c>
      <c r="C13" s="4">
        <v>60</v>
      </c>
      <c r="D13" s="108">
        <v>1802203.8999999997</v>
      </c>
      <c r="E13" s="12">
        <f t="shared" si="0"/>
        <v>30036.731666666663</v>
      </c>
      <c r="F13" s="109">
        <v>6090339.2899999991</v>
      </c>
      <c r="G13" s="109">
        <f t="shared" si="1"/>
        <v>101505.65483333332</v>
      </c>
      <c r="H13" s="115">
        <v>31</v>
      </c>
      <c r="I13" s="12">
        <v>1685205.56</v>
      </c>
      <c r="J13" s="116">
        <f t="shared" si="2"/>
        <v>54361.469677419358</v>
      </c>
      <c r="K13" s="116">
        <v>4792890.26</v>
      </c>
      <c r="L13" s="117">
        <f t="shared" si="3"/>
        <v>154609.36322580645</v>
      </c>
    </row>
    <row r="14" spans="2:12" x14ac:dyDescent="0.25">
      <c r="B14" s="17">
        <v>42095</v>
      </c>
      <c r="C14" s="4">
        <v>119</v>
      </c>
      <c r="D14" s="108">
        <v>2887189.31</v>
      </c>
      <c r="E14" s="12">
        <f t="shared" si="0"/>
        <v>24262.095042016808</v>
      </c>
      <c r="F14" s="109">
        <v>9257141.2200000007</v>
      </c>
      <c r="G14" s="109">
        <f t="shared" si="1"/>
        <v>77791.102689075633</v>
      </c>
      <c r="H14" s="115">
        <v>52</v>
      </c>
      <c r="I14" s="12">
        <v>1818474.32</v>
      </c>
      <c r="J14" s="116">
        <f t="shared" si="2"/>
        <v>34970.660000000003</v>
      </c>
      <c r="K14" s="116">
        <v>6298027.46</v>
      </c>
      <c r="L14" s="117">
        <f t="shared" si="3"/>
        <v>121115.9126923077</v>
      </c>
    </row>
    <row r="15" spans="2:12" x14ac:dyDescent="0.25">
      <c r="B15" s="17">
        <v>42461</v>
      </c>
      <c r="C15" s="4">
        <v>257</v>
      </c>
      <c r="D15" s="108">
        <v>4844369.5799999982</v>
      </c>
      <c r="E15" s="12">
        <f t="shared" si="0"/>
        <v>18849.687081712054</v>
      </c>
      <c r="F15" s="109">
        <v>14356416.469999999</v>
      </c>
      <c r="G15" s="109">
        <f t="shared" si="1"/>
        <v>55861.542684824897</v>
      </c>
      <c r="H15" s="115">
        <v>90</v>
      </c>
      <c r="I15" s="12">
        <v>2826455.4899999993</v>
      </c>
      <c r="J15" s="116">
        <f t="shared" si="2"/>
        <v>31405.060999999991</v>
      </c>
      <c r="K15" s="116">
        <v>9797645.6099999975</v>
      </c>
      <c r="L15" s="117">
        <f t="shared" si="3"/>
        <v>108862.72899999998</v>
      </c>
    </row>
    <row r="16" spans="2:12" x14ac:dyDescent="0.25">
      <c r="B16" s="118">
        <v>42826</v>
      </c>
      <c r="C16" s="119">
        <v>914</v>
      </c>
      <c r="D16" s="120">
        <v>7511556.150000006</v>
      </c>
      <c r="E16" s="121">
        <f t="shared" si="0"/>
        <v>8218.3327680525235</v>
      </c>
      <c r="F16" s="122">
        <v>15052029.180000009</v>
      </c>
      <c r="G16" s="122">
        <f t="shared" si="1"/>
        <v>16468.303260393885</v>
      </c>
      <c r="H16" s="115">
        <v>209</v>
      </c>
      <c r="I16" s="12">
        <v>5112337.4800000014</v>
      </c>
      <c r="J16" s="116">
        <f t="shared" si="2"/>
        <v>24460.94488038278</v>
      </c>
      <c r="K16" s="116">
        <v>14900528.959999993</v>
      </c>
      <c r="L16" s="117">
        <f t="shared" si="3"/>
        <v>71294.396937799014</v>
      </c>
    </row>
    <row r="17" spans="2:12" x14ac:dyDescent="0.25">
      <c r="B17" s="123">
        <v>43191</v>
      </c>
      <c r="C17" s="119"/>
      <c r="D17" s="124"/>
      <c r="E17" s="125"/>
      <c r="F17" s="121"/>
      <c r="G17" s="121"/>
      <c r="H17" s="115">
        <v>501</v>
      </c>
      <c r="I17" s="12">
        <v>10353515.599999998</v>
      </c>
      <c r="J17" s="116">
        <f t="shared" si="2"/>
        <v>20665.699800399198</v>
      </c>
      <c r="K17" s="116">
        <v>23809229.050000012</v>
      </c>
      <c r="L17" s="117">
        <f t="shared" si="3"/>
        <v>47523.411277445135</v>
      </c>
    </row>
    <row r="18" spans="2:12" ht="15.75" thickBot="1" x14ac:dyDescent="0.3">
      <c r="B18" s="126">
        <v>43556</v>
      </c>
      <c r="C18" s="127"/>
      <c r="D18" s="128"/>
      <c r="E18" s="129"/>
      <c r="F18" s="130"/>
      <c r="G18" s="130"/>
      <c r="H18" s="131">
        <v>692</v>
      </c>
      <c r="I18" s="61">
        <v>6380996.0399999917</v>
      </c>
      <c r="J18" s="69">
        <f t="shared" si="2"/>
        <v>9221.0925433525899</v>
      </c>
      <c r="K18" s="69">
        <v>10358831.940000007</v>
      </c>
      <c r="L18" s="132">
        <f t="shared" si="3"/>
        <v>14969.410317919084</v>
      </c>
    </row>
    <row r="19" spans="2:12" ht="30" x14ac:dyDescent="0.25">
      <c r="B19" s="133" t="s">
        <v>51</v>
      </c>
      <c r="C19" s="134">
        <f>SUM(C7:C15)</f>
        <v>495</v>
      </c>
      <c r="D19" s="135">
        <f t="shared" ref="D19" si="4">SUM(D7:D15)</f>
        <v>11785699.099999998</v>
      </c>
      <c r="E19" s="136">
        <f>D19/C19</f>
        <v>23809.493131313127</v>
      </c>
      <c r="F19" s="136">
        <f t="shared" ref="F19" si="5">SUM(F7:F15)</f>
        <v>36534454.589999996</v>
      </c>
      <c r="G19" s="136">
        <f>F19/C19</f>
        <v>73806.978969696967</v>
      </c>
      <c r="H19" s="137"/>
      <c r="I19" s="138"/>
      <c r="J19" s="139"/>
      <c r="K19" s="139"/>
      <c r="L19" s="140"/>
    </row>
    <row r="20" spans="2:12" ht="30" x14ac:dyDescent="0.25">
      <c r="B20" s="141" t="s">
        <v>52</v>
      </c>
      <c r="C20" s="142"/>
      <c r="D20" s="143"/>
      <c r="E20" s="144"/>
      <c r="F20" s="144"/>
      <c r="G20" s="144"/>
      <c r="H20" s="145">
        <f>SUM(H7:H17)</f>
        <v>922</v>
      </c>
      <c r="I20" s="146">
        <f>SUM(I7:I17)</f>
        <v>23886097.459999997</v>
      </c>
      <c r="J20" s="147">
        <f>I20/H20</f>
        <v>25906.830216919738</v>
      </c>
      <c r="K20" s="147">
        <v>65821283.530000001</v>
      </c>
      <c r="L20" s="148">
        <f>K20/H20</f>
        <v>71389.678449023864</v>
      </c>
    </row>
    <row r="21" spans="2:12" ht="15.75" thickBot="1" x14ac:dyDescent="0.3">
      <c r="B21" s="149" t="s">
        <v>26</v>
      </c>
      <c r="C21" s="150">
        <f t="shared" ref="C21:H21" si="6">SUM(C7:C18)</f>
        <v>1409</v>
      </c>
      <c r="D21" s="151">
        <f t="shared" si="6"/>
        <v>19297255.250000004</v>
      </c>
      <c r="E21" s="152">
        <f>D21/C21</f>
        <v>13695.709900638754</v>
      </c>
      <c r="F21" s="152">
        <f t="shared" ref="F21" si="7">SUM(F7:F18)</f>
        <v>51586483.770000003</v>
      </c>
      <c r="G21" s="152">
        <f>F21/C21</f>
        <v>36612.124748048263</v>
      </c>
      <c r="H21" s="153">
        <f t="shared" si="6"/>
        <v>1614</v>
      </c>
      <c r="I21" s="154">
        <f>SUM(I7:I18)</f>
        <v>30267093.499999989</v>
      </c>
      <c r="J21" s="155">
        <f>I21/H21</f>
        <v>18752.846034696398</v>
      </c>
      <c r="K21" s="155">
        <v>76180115.470000014</v>
      </c>
      <c r="L21" s="156">
        <f>K21/H21</f>
        <v>47199.575879801741</v>
      </c>
    </row>
    <row r="22" spans="2:12" x14ac:dyDescent="0.25">
      <c r="B22" s="1"/>
      <c r="C22" s="1"/>
      <c r="D22" s="157"/>
      <c r="E22" s="157"/>
      <c r="F22" s="157"/>
      <c r="G22" s="157"/>
      <c r="H22" s="83"/>
      <c r="I22" s="1"/>
      <c r="J22" s="157">
        <f>J21-E21</f>
        <v>5057.1361340576441</v>
      </c>
      <c r="K22" s="1"/>
      <c r="L22" s="157">
        <f>L21-G21</f>
        <v>10587.451131753478</v>
      </c>
    </row>
    <row r="23" spans="2:12" x14ac:dyDescent="0.25">
      <c r="B23" s="83" t="s">
        <v>57</v>
      </c>
      <c r="C23" s="1"/>
      <c r="D23" s="157"/>
      <c r="E23" s="157"/>
      <c r="F23" s="157"/>
      <c r="G23" s="157"/>
      <c r="H23" s="1"/>
      <c r="I23" s="1"/>
      <c r="J23" s="1"/>
      <c r="K23" s="1"/>
      <c r="L23" s="1"/>
    </row>
  </sheetData>
  <mergeCells count="2">
    <mergeCell ref="C4:G4"/>
    <mergeCell ref="H4:L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F22"/>
  <sheetViews>
    <sheetView workbookViewId="0">
      <selection activeCell="D10" sqref="D10"/>
    </sheetView>
  </sheetViews>
  <sheetFormatPr defaultRowHeight="15" x14ac:dyDescent="0.25"/>
  <cols>
    <col min="2" max="12" width="19" customWidth="1"/>
  </cols>
  <sheetData>
    <row r="5" spans="2:6" s="1" customFormat="1" x14ac:dyDescent="0.25"/>
    <row r="6" spans="2:6" s="1" customFormat="1" x14ac:dyDescent="0.25">
      <c r="B6" s="83" t="s">
        <v>46</v>
      </c>
    </row>
    <row r="7" spans="2:6" s="1" customFormat="1" ht="45" x14ac:dyDescent="0.25">
      <c r="B7" s="72" t="s">
        <v>42</v>
      </c>
      <c r="C7" s="72" t="s">
        <v>43</v>
      </c>
      <c r="D7" s="72" t="str">
        <f>"Incurred -"&amp; 'Closure Analysis'!C11</f>
        <v>Incurred -Prior Baseline as of 4.30.18</v>
      </c>
      <c r="E7" s="72" t="str">
        <f>"Incurred -"&amp; 'Closure Analysis'!I11</f>
        <v>Incurred -18 Months Results as of 9.30.19</v>
      </c>
      <c r="F7" s="72" t="s">
        <v>44</v>
      </c>
    </row>
    <row r="8" spans="2:6" s="1" customFormat="1" x14ac:dyDescent="0.25">
      <c r="B8" s="76"/>
      <c r="C8" s="76"/>
      <c r="D8" s="76"/>
      <c r="E8" s="76"/>
      <c r="F8" s="76"/>
    </row>
    <row r="9" spans="2:6" s="1" customFormat="1" x14ac:dyDescent="0.25">
      <c r="B9" s="4"/>
      <c r="C9" s="4"/>
      <c r="D9" s="4"/>
      <c r="E9" s="4"/>
      <c r="F9" s="4"/>
    </row>
    <row r="10" spans="2:6" s="1" customFormat="1" x14ac:dyDescent="0.25">
      <c r="B10" s="4"/>
      <c r="C10" s="4"/>
      <c r="D10" s="4"/>
      <c r="E10" s="4"/>
      <c r="F10" s="4"/>
    </row>
    <row r="11" spans="2:6" s="1" customFormat="1" x14ac:dyDescent="0.25">
      <c r="B11" s="4"/>
      <c r="C11" s="4"/>
      <c r="D11" s="4"/>
      <c r="E11" s="4"/>
      <c r="F11" s="4"/>
    </row>
    <row r="12" spans="2:6" s="1" customFormat="1" x14ac:dyDescent="0.25">
      <c r="B12" s="4"/>
      <c r="C12" s="4"/>
      <c r="D12" s="4"/>
      <c r="E12" s="4"/>
      <c r="F12" s="4"/>
    </row>
    <row r="13" spans="2:6" s="1" customFormat="1" x14ac:dyDescent="0.25"/>
    <row r="14" spans="2:6" s="1" customFormat="1" x14ac:dyDescent="0.25"/>
    <row r="16" spans="2:6" x14ac:dyDescent="0.25">
      <c r="B16" s="83" t="s">
        <v>45</v>
      </c>
      <c r="C16" s="1"/>
      <c r="D16" s="1"/>
    </row>
    <row r="17" spans="2:4" ht="45" x14ac:dyDescent="0.25">
      <c r="B17" s="72" t="s">
        <v>42</v>
      </c>
      <c r="C17" s="72" t="s">
        <v>43</v>
      </c>
      <c r="D17" s="72" t="str">
        <f>"Incurred -"&amp; 'Closure Analysis'!C29</f>
        <v>Incurred -New Baseline as of 9.30.19</v>
      </c>
    </row>
    <row r="18" spans="2:4" x14ac:dyDescent="0.25">
      <c r="B18" s="76"/>
      <c r="C18" s="76"/>
      <c r="D18" s="76"/>
    </row>
    <row r="19" spans="2:4" x14ac:dyDescent="0.25">
      <c r="B19" s="4"/>
      <c r="C19" s="4"/>
      <c r="D19" s="4"/>
    </row>
    <row r="20" spans="2:4" x14ac:dyDescent="0.25">
      <c r="B20" s="4"/>
      <c r="C20" s="4"/>
      <c r="D20" s="4"/>
    </row>
    <row r="21" spans="2:4" x14ac:dyDescent="0.25">
      <c r="B21" s="4"/>
      <c r="C21" s="4"/>
      <c r="D21" s="4"/>
    </row>
    <row r="22" spans="2:4" x14ac:dyDescent="0.25">
      <c r="B22" s="4"/>
      <c r="C22" s="4"/>
      <c r="D2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Closure Analysis</vt:lpstr>
      <vt:lpstr>Baseline Comparison</vt:lpstr>
      <vt:lpstr>Top 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Wang</dc:creator>
  <cp:lastModifiedBy>Christopher Knight</cp:lastModifiedBy>
  <dcterms:created xsi:type="dcterms:W3CDTF">2019-11-05T23:27:03Z</dcterms:created>
  <dcterms:modified xsi:type="dcterms:W3CDTF">2019-12-06T19:45:32Z</dcterms:modified>
</cp:coreProperties>
</file>