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xr:revisionPtr revIDLastSave="0" documentId="13_ncr:1_{97DA95A1-288F-4286-8A93-8FC7C0FD57EB}" xr6:coauthVersionLast="47" xr6:coauthVersionMax="47" xr10:uidLastSave="{00000000-0000-0000-0000-000000000000}"/>
  <bookViews>
    <workbookView xWindow="-28920" yWindow="-285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1" l="1"/>
  <c r="K6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I5" i="1"/>
  <c r="J5" i="1" s="1"/>
  <c r="K5" i="1" s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<sst xmlns="http://schemas.openxmlformats.org/spreadsheetml/2006/main" count="48" uniqueCount="46">
  <si>
    <t>​</t>
  </si>
  <si>
    <r>
      <t>A</t>
    </r>
    <r>
      <rPr>
        <sz val="11"/>
        <color rgb="FF003F5E"/>
        <rFont val="Calibri"/>
        <family val="2"/>
      </rPr>
      <t>​</t>
    </r>
  </si>
  <si>
    <r>
      <t>B</t>
    </r>
    <r>
      <rPr>
        <sz val="11"/>
        <color rgb="FF003F5E"/>
        <rFont val="Calibri"/>
        <family val="2"/>
      </rPr>
      <t>​</t>
    </r>
  </si>
  <si>
    <r>
      <t>C</t>
    </r>
    <r>
      <rPr>
        <sz val="11"/>
        <color rgb="FF003F5E"/>
        <rFont val="Calibri"/>
        <family val="2"/>
      </rPr>
      <t>​</t>
    </r>
  </si>
  <si>
    <r>
      <t>D</t>
    </r>
    <r>
      <rPr>
        <sz val="11"/>
        <color rgb="FF003F5E"/>
        <rFont val="Calibri"/>
        <family val="2"/>
      </rPr>
      <t>​</t>
    </r>
  </si>
  <si>
    <r>
      <t>E</t>
    </r>
    <r>
      <rPr>
        <sz val="11"/>
        <color rgb="FF003F5E"/>
        <rFont val="Calibri"/>
        <family val="2"/>
      </rPr>
      <t>​</t>
    </r>
  </si>
  <si>
    <r>
      <t>F</t>
    </r>
    <r>
      <rPr>
        <sz val="11"/>
        <color rgb="FF003F5E"/>
        <rFont val="Calibri"/>
        <family val="2"/>
      </rPr>
      <t>​</t>
    </r>
  </si>
  <si>
    <r>
      <t>Policy Year</t>
    </r>
    <r>
      <rPr>
        <sz val="11"/>
        <color rgb="FF003F5E"/>
        <rFont val="Calibri"/>
        <family val="2"/>
      </rPr>
      <t>​</t>
    </r>
  </si>
  <si>
    <r>
      <t>Total Claims Count</t>
    </r>
    <r>
      <rPr>
        <sz val="11"/>
        <color rgb="FF003F5E"/>
        <rFont val="Calibri"/>
        <family val="2"/>
      </rPr>
      <t>​</t>
    </r>
  </si>
  <si>
    <r>
      <t>Open Claims Count</t>
    </r>
    <r>
      <rPr>
        <sz val="11"/>
        <color rgb="FF003F5E"/>
        <rFont val="Calibri"/>
        <family val="2"/>
      </rPr>
      <t>​</t>
    </r>
  </si>
  <si>
    <r>
      <t>Ultimate Cost Projection</t>
    </r>
    <r>
      <rPr>
        <sz val="11"/>
        <color rgb="FF003F5E"/>
        <rFont val="Calibri"/>
        <family val="2"/>
      </rPr>
      <t>​</t>
    </r>
  </si>
  <si>
    <t>Total</t>
  </si>
  <si>
    <t>A = Claims count excluding $0 net incurred claims​</t>
  </si>
  <si>
    <t>B = Open status defined by TPA; excludes $0 net incurred claims​</t>
  </si>
  <si>
    <t>D = C/B​</t>
  </si>
  <si>
    <t>G</t>
  </si>
  <si>
    <t>H</t>
  </si>
  <si>
    <t>I</t>
  </si>
  <si>
    <t>Average Outstanding​ (C/B)</t>
  </si>
  <si>
    <t>IBNR (I-E)</t>
  </si>
  <si>
    <t>Total Reserves (C+F)</t>
  </si>
  <si>
    <t>Average Reserves (G/B)</t>
  </si>
  <si>
    <t>2/7/12 - 2/6/13</t>
  </si>
  <si>
    <t>2/7/13 - 2/6/14</t>
  </si>
  <si>
    <t>2/7/14 - 2/6/15</t>
  </si>
  <si>
    <t>2/7/15 - 2/6/16</t>
  </si>
  <si>
    <t>2/7/16 - 2/6/17</t>
  </si>
  <si>
    <t>2/7/17 - 2/6/18</t>
  </si>
  <si>
    <t>2/7/17 - 2/6/19</t>
  </si>
  <si>
    <t>2/7/19 - 6/30/19</t>
  </si>
  <si>
    <t>2/7/11 - 2/6/12</t>
  </si>
  <si>
    <t>2/7/10 - 2/6/11</t>
  </si>
  <si>
    <t>before 2/7/10</t>
  </si>
  <si>
    <t>As of 6/30/2019</t>
  </si>
  <si>
    <t>As of 2/30/19</t>
  </si>
  <si>
    <t>Total Outstanding​ Limited</t>
  </si>
  <si>
    <t>Total Incurred​ Limited</t>
  </si>
  <si>
    <t>H = G/B</t>
  </si>
  <si>
    <t>G= C+F</t>
  </si>
  <si>
    <t>F = I-E</t>
  </si>
  <si>
    <t>C = Total Limited Outstanding​</t>
  </si>
  <si>
    <t>E = Total Limited Net Incurred​</t>
  </si>
  <si>
    <t>I = Ultimate cost projection from x/xx/xx report (table #, page #)</t>
  </si>
  <si>
    <t>Retention</t>
  </si>
  <si>
    <t>BB</t>
  </si>
  <si>
    <t>Open Claims Paid Over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</si>
</sst>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3F5E"/>
      <name val="Calibri"/>
      <family val="2"/>
    </font>
    <font>
      <b/>
      <sz val="13"/>
      <color theme="0"/>
      <name val="Calibri"/>
      <family val="2"/>
    </font>
    <font>
      <b/>
      <sz val="13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0"/>
      <color rgb="FF003F5E"/>
      <name val="Calibri"/>
      <family val="2"/>
    </font>
    <font>
      <sz val="4"/>
      <color rgb="FF003F5E"/>
      <name val="Calibri"/>
      <family val="2"/>
    </font>
    <font>
      <b/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6999E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3F5E"/>
        <bgColor indexed="64"/>
      </patternFill>
    </fill>
    <fill>
      <patternFill patternType="solid">
        <fgColor rgb="FFF1B434"/>
        <bgColor indexed="64"/>
      </patternFill>
    </fill>
    <fill>
      <patternFill patternType="solid">
        <fgColor rgb="FF778E1D"/>
        <bgColor indexed="64"/>
      </patternFill>
    </fill>
    <fill>
      <patternFill patternType="solid">
        <fgColor rgb="FF8DC8E8"/>
        <bgColor indexed="64"/>
      </patternFill>
    </fill>
    <fill>
      <patternFill patternType="solid">
        <fgColor rgb="FF53565A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7" fillId="10" borderId="0" xfId="0" applyFont="1" applyFill="1" applyBorder="1" applyAlignment="1">
      <alignment horizontal="center" vertical="center" wrapText="1"/>
    </xf>
    <xf numFmtId="0" fontId="7" fillId="11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164" fontId="5" fillId="0" borderId="0" xfId="1" applyNumberFormat="1" applyFont="1" applyBorder="1" applyAlignment="1">
      <alignment horizontal="right" vertical="center" wrapText="1" indent="1"/>
    </xf>
    <xf numFmtId="1" fontId="5" fillId="0" borderId="0" xfId="1" applyNumberFormat="1" applyFont="1" applyBorder="1" applyAlignment="1">
      <alignment horizontal="right" vertical="center" wrapText="1" indent="1"/>
    </xf>
    <xf numFmtId="6" fontId="5" fillId="0" borderId="0" xfId="0" applyNumberFormat="1" applyFont="1" applyBorder="1" applyAlignment="1">
      <alignment horizontal="right" vertical="center" wrapText="1"/>
    </xf>
    <xf numFmtId="164" fontId="6" fillId="6" borderId="0" xfId="1" applyNumberFormat="1" applyFont="1" applyFill="1" applyBorder="1" applyAlignment="1">
      <alignment horizontal="right" vertical="center" wrapText="1"/>
    </xf>
    <xf numFmtId="1" fontId="6" fillId="6" borderId="0" xfId="0" applyNumberFormat="1" applyFont="1" applyFill="1" applyBorder="1" applyAlignment="1">
      <alignment horizontal="right" vertical="center" wrapText="1"/>
    </xf>
    <xf numFmtId="165" fontId="6" fillId="6" borderId="0" xfId="0" applyNumberFormat="1" applyFont="1" applyFill="1" applyBorder="1" applyAlignment="1">
      <alignment horizontal="right" vertical="center" wrapText="1"/>
    </xf>
    <xf numFmtId="2" fontId="0" fillId="0" borderId="0" xfId="0" applyNumberFormat="1"/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1" fillId="8" borderId="0" xfId="0" applyFont="1" applyFill="1" applyBorder="1" applyAlignment="1">
      <alignment horizontal="center" vertical="center" wrapText="1"/>
    </xf>
    <xf numFmtId="0" fontId="11" fillId="10" borderId="0" xfId="0" applyFont="1" applyFill="1" applyBorder="1" applyAlignment="1">
      <alignment horizontal="center" vertical="center" wrapText="1"/>
    </xf>
    <xf numFmtId="0" fontId="11" fillId="7" borderId="0" xfId="0" applyFont="1" applyFill="1" applyBorder="1" applyAlignment="1">
      <alignment horizontal="center" vertical="center" wrapText="1"/>
    </xf>
    <xf numFmtId="0" fontId="11" fillId="9" borderId="0" xfId="0" applyFont="1" applyFill="1" applyBorder="1" applyAlignment="1">
      <alignment horizontal="center" vertical="center" wrapText="1"/>
    </xf>
    <xf numFmtId="0" fontId="5" fillId="12" borderId="0" xfId="0" applyNumberFormat="1" applyFont="1" applyFill="1" applyBorder="1" applyAlignment="1">
      <alignment horizontal="right" vertical="center" wrapText="1"/>
    </xf>
    <xf numFmtId="0" fontId="5" fillId="12" borderId="0" xfId="0" applyFont="1" applyFill="1" applyBorder="1" applyAlignment="1">
      <alignment horizontal="right" vertical="center" wrapText="1"/>
    </xf>
    <xf numFmtId="6" fontId="8" fillId="12" borderId="0" xfId="0" applyNumberFormat="1" applyFont="1" applyFill="1" applyBorder="1" applyAlignment="1">
      <alignment horizontal="right" vertical="center" wrapText="1"/>
    </xf>
    <xf numFmtId="0" fontId="8" fillId="12" borderId="0" xfId="0" applyNumberFormat="1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599004</xdr:colOff>
      <xdr:row>3</xdr:row>
      <xdr:rowOff>8338</xdr:rowOff>
    </xdr:from>
    <xdr:ext cx="781111" cy="1914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8693898">
          <a:off x="32407" y="1556010"/>
          <a:ext cx="1914306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Sample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E4" sqref="E4"/>
    </sheetView>
  </sheetViews>
  <sheetFormatPr defaultRowHeight="15" x14ac:dyDescent="0.25"/>
  <cols>
    <col min="1" max="1" width="24.140625" customWidth="1"/>
    <col min="2" max="2" width="9.42578125" customWidth="1"/>
    <col min="3" max="12" width="15.7109375" customWidth="1"/>
  </cols>
  <sheetData>
    <row r="1" spans="1:12" ht="17.25" x14ac:dyDescent="0.25">
      <c r="A1" s="1" t="s">
        <v>0</v>
      </c>
      <c r="B1" s="20"/>
      <c r="C1" s="27" t="s">
        <v>33</v>
      </c>
      <c r="D1" s="27"/>
      <c r="E1" s="27"/>
      <c r="F1" s="27"/>
      <c r="G1" s="27"/>
      <c r="H1" s="27"/>
      <c r="I1" s="28" t="s">
        <v>34</v>
      </c>
      <c r="J1" s="28"/>
      <c r="K1" s="28"/>
      <c r="L1" s="28"/>
    </row>
    <row r="2" spans="1:12" x14ac:dyDescent="0.25">
      <c r="A2" s="2" t="s">
        <v>0</v>
      </c>
      <c r="B2" s="20"/>
      <c r="C2" s="3" t="s">
        <v>1</v>
      </c>
      <c r="D2" s="3" t="s">
        <v>2</v>
      </c>
      <c r="E2" s="3" t="s">
        <v>44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15</v>
      </c>
      <c r="K2" s="3" t="s">
        <v>16</v>
      </c>
      <c r="L2" s="3" t="s">
        <v>17</v>
      </c>
    </row>
    <row r="3" spans="1:12" ht="45" x14ac:dyDescent="0.25">
      <c r="A3" s="4" t="s">
        <v>7</v>
      </c>
      <c r="B3" s="20" t="s">
        <v>43</v>
      </c>
      <c r="C3" s="5" t="s">
        <v>8</v>
      </c>
      <c r="D3" s="6" t="s">
        <v>9</v>
      </c>
      <c r="E3" s="6" t="s">
        <v>45</v>
      </c>
      <c r="F3" s="21" t="s">
        <v>35</v>
      </c>
      <c r="G3" s="19" t="s">
        <v>18</v>
      </c>
      <c r="H3" s="22" t="s">
        <v>36</v>
      </c>
      <c r="I3" s="20" t="s">
        <v>19</v>
      </c>
      <c r="J3" s="7" t="s">
        <v>20</v>
      </c>
      <c r="K3" s="7" t="s">
        <v>21</v>
      </c>
      <c r="L3" s="8" t="s">
        <v>10</v>
      </c>
    </row>
    <row r="4" spans="1:12" x14ac:dyDescent="0.25">
      <c r="A4" s="9" t="s">
        <v>32</v>
      </c>
      <c r="B4" s="9"/>
      <c r="C4" s="10"/>
      <c r="D4" s="11"/>
      <c r="E4" s="11"/>
      <c r="F4" s="12"/>
      <c r="G4" s="23" t="str">
        <f>IFERROR(F4/D4,"")</f>
        <v/>
      </c>
      <c r="H4" s="12"/>
      <c r="I4" s="25"/>
      <c r="J4" s="25"/>
      <c r="K4" s="25"/>
      <c r="L4" s="12"/>
    </row>
    <row r="5" spans="1:12" x14ac:dyDescent="0.25">
      <c r="A5" s="9" t="s">
        <v>31</v>
      </c>
      <c r="B5" s="9"/>
      <c r="C5" s="10"/>
      <c r="D5" s="11"/>
      <c r="E5" s="11"/>
      <c r="F5" s="12"/>
      <c r="G5" s="24" t="str">
        <f t="shared" ref="G5:G15" si="0">IFERROR(F5/D5,"")</f>
        <v/>
      </c>
      <c r="H5" s="12"/>
      <c r="I5" s="25">
        <f t="shared" ref="I5:I14" si="1">L5-H5</f>
        <v>0</v>
      </c>
      <c r="J5" s="25">
        <f>F5+I5</f>
        <v>0</v>
      </c>
      <c r="K5" s="26" t="str">
        <f>IFERROR(J5/D5,"")</f>
        <v/>
      </c>
      <c r="L5" s="12"/>
    </row>
    <row r="6" spans="1:12" x14ac:dyDescent="0.25">
      <c r="A6" s="9" t="s">
        <v>30</v>
      </c>
      <c r="B6" s="9"/>
      <c r="C6" s="10"/>
      <c r="D6" s="11"/>
      <c r="E6" s="11"/>
      <c r="F6" s="12"/>
      <c r="G6" s="24" t="str">
        <f t="shared" si="0"/>
        <v/>
      </c>
      <c r="H6" s="12"/>
      <c r="I6" s="25">
        <f t="shared" si="1"/>
        <v>0</v>
      </c>
      <c r="J6" s="25">
        <f t="shared" ref="J6:J14" si="2">F6+I6</f>
        <v>0</v>
      </c>
      <c r="K6" s="25" t="str">
        <f t="shared" ref="K6:K14" si="3">IFERROR(J6/D6,"")</f>
        <v/>
      </c>
      <c r="L6" s="12"/>
    </row>
    <row r="7" spans="1:12" x14ac:dyDescent="0.25">
      <c r="A7" s="9" t="s">
        <v>22</v>
      </c>
      <c r="B7" s="9"/>
      <c r="C7" s="10"/>
      <c r="D7" s="11"/>
      <c r="E7" s="11"/>
      <c r="F7" s="12"/>
      <c r="G7" s="24" t="str">
        <f t="shared" si="0"/>
        <v/>
      </c>
      <c r="H7" s="12"/>
      <c r="I7" s="25">
        <f t="shared" si="1"/>
        <v>0</v>
      </c>
      <c r="J7" s="25">
        <f t="shared" si="2"/>
        <v>0</v>
      </c>
      <c r="K7" s="25" t="str">
        <f t="shared" si="3"/>
        <v/>
      </c>
      <c r="L7" s="12"/>
    </row>
    <row r="8" spans="1:12" x14ac:dyDescent="0.25">
      <c r="A8" s="9" t="s">
        <v>23</v>
      </c>
      <c r="B8" s="9"/>
      <c r="C8" s="10"/>
      <c r="D8" s="11"/>
      <c r="E8" s="11"/>
      <c r="F8" s="12"/>
      <c r="G8" s="24" t="str">
        <f t="shared" si="0"/>
        <v/>
      </c>
      <c r="H8" s="12"/>
      <c r="I8" s="25">
        <f t="shared" si="1"/>
        <v>0</v>
      </c>
      <c r="J8" s="25">
        <f t="shared" si="2"/>
        <v>0</v>
      </c>
      <c r="K8" s="25" t="str">
        <f t="shared" si="3"/>
        <v/>
      </c>
      <c r="L8" s="12"/>
    </row>
    <row r="9" spans="1:12" x14ac:dyDescent="0.25">
      <c r="A9" s="9" t="s">
        <v>24</v>
      </c>
      <c r="B9" s="9"/>
      <c r="C9" s="10"/>
      <c r="D9" s="11"/>
      <c r="E9" s="11"/>
      <c r="F9" s="12"/>
      <c r="G9" s="24" t="str">
        <f t="shared" si="0"/>
        <v/>
      </c>
      <c r="H9" s="12"/>
      <c r="I9" s="25">
        <f t="shared" si="1"/>
        <v>0</v>
      </c>
      <c r="J9" s="25">
        <f t="shared" si="2"/>
        <v>0</v>
      </c>
      <c r="K9" s="25" t="str">
        <f t="shared" si="3"/>
        <v/>
      </c>
      <c r="L9" s="12"/>
    </row>
    <row r="10" spans="1:12" x14ac:dyDescent="0.25">
      <c r="A10" s="9" t="s">
        <v>25</v>
      </c>
      <c r="B10" s="9"/>
      <c r="C10" s="10"/>
      <c r="D10" s="11"/>
      <c r="E10" s="11"/>
      <c r="F10" s="12"/>
      <c r="G10" s="24" t="str">
        <f t="shared" si="0"/>
        <v/>
      </c>
      <c r="H10" s="12"/>
      <c r="I10" s="25">
        <f t="shared" si="1"/>
        <v>0</v>
      </c>
      <c r="J10" s="25">
        <f t="shared" si="2"/>
        <v>0</v>
      </c>
      <c r="K10" s="25" t="str">
        <f t="shared" si="3"/>
        <v/>
      </c>
      <c r="L10" s="12"/>
    </row>
    <row r="11" spans="1:12" x14ac:dyDescent="0.25">
      <c r="A11" s="9" t="s">
        <v>26</v>
      </c>
      <c r="B11" s="9"/>
      <c r="C11" s="10"/>
      <c r="D11" s="11"/>
      <c r="E11" s="11"/>
      <c r="F11" s="12"/>
      <c r="G11" s="24" t="str">
        <f t="shared" si="0"/>
        <v/>
      </c>
      <c r="H11" s="12"/>
      <c r="I11" s="25">
        <f t="shared" si="1"/>
        <v>0</v>
      </c>
      <c r="J11" s="25">
        <f t="shared" si="2"/>
        <v>0</v>
      </c>
      <c r="K11" s="25" t="str">
        <f t="shared" si="3"/>
        <v/>
      </c>
      <c r="L11" s="12"/>
    </row>
    <row r="12" spans="1:12" x14ac:dyDescent="0.25">
      <c r="A12" s="9" t="s">
        <v>27</v>
      </c>
      <c r="B12" s="9"/>
      <c r="C12" s="10"/>
      <c r="D12" s="11"/>
      <c r="E12" s="11"/>
      <c r="F12" s="12"/>
      <c r="G12" s="24" t="str">
        <f t="shared" si="0"/>
        <v/>
      </c>
      <c r="H12" s="12"/>
      <c r="I12" s="25">
        <f t="shared" si="1"/>
        <v>0</v>
      </c>
      <c r="J12" s="25">
        <f t="shared" si="2"/>
        <v>0</v>
      </c>
      <c r="K12" s="25" t="str">
        <f t="shared" si="3"/>
        <v/>
      </c>
      <c r="L12" s="12"/>
    </row>
    <row r="13" spans="1:12" x14ac:dyDescent="0.25">
      <c r="A13" s="9" t="s">
        <v>28</v>
      </c>
      <c r="B13" s="9"/>
      <c r="C13" s="10"/>
      <c r="D13" s="11"/>
      <c r="E13" s="11"/>
      <c r="F13" s="12"/>
      <c r="G13" s="24" t="str">
        <f t="shared" si="0"/>
        <v/>
      </c>
      <c r="H13" s="12"/>
      <c r="I13" s="25">
        <f t="shared" si="1"/>
        <v>0</v>
      </c>
      <c r="J13" s="25">
        <f t="shared" si="2"/>
        <v>0</v>
      </c>
      <c r="K13" s="25" t="str">
        <f t="shared" si="3"/>
        <v/>
      </c>
      <c r="L13" s="12"/>
    </row>
    <row r="14" spans="1:12" x14ac:dyDescent="0.25">
      <c r="A14" s="9" t="s">
        <v>29</v>
      </c>
      <c r="B14" s="9"/>
      <c r="C14" s="10"/>
      <c r="D14" s="11"/>
      <c r="E14" s="11"/>
      <c r="F14" s="12"/>
      <c r="G14" s="24" t="str">
        <f t="shared" si="0"/>
        <v/>
      </c>
      <c r="H14" s="12"/>
      <c r="I14" s="25">
        <f t="shared" si="1"/>
        <v>0</v>
      </c>
      <c r="J14" s="25">
        <f t="shared" si="2"/>
        <v>0</v>
      </c>
      <c r="K14" s="25" t="str">
        <f t="shared" si="3"/>
        <v/>
      </c>
      <c r="L14" s="12"/>
    </row>
    <row r="15" spans="1:12" x14ac:dyDescent="0.25">
      <c r="A15" s="6" t="s">
        <v>11</v>
      </c>
      <c r="B15" s="6"/>
      <c r="C15" s="13"/>
      <c r="D15" s="14"/>
      <c r="E15" s="14"/>
      <c r="F15" s="15"/>
      <c r="G15" s="15" t="str">
        <f t="shared" si="0"/>
        <v/>
      </c>
      <c r="H15" s="15"/>
      <c r="I15" s="15"/>
      <c r="J15" s="15"/>
      <c r="K15" s="15"/>
      <c r="L15" s="15"/>
    </row>
    <row r="18" spans="1:3" x14ac:dyDescent="0.25">
      <c r="A18" s="17" t="s">
        <v>0</v>
      </c>
      <c r="B18" s="17"/>
    </row>
    <row r="19" spans="1:3" x14ac:dyDescent="0.25">
      <c r="A19" s="18" t="s">
        <v>12</v>
      </c>
      <c r="B19" s="18"/>
    </row>
    <row r="20" spans="1:3" x14ac:dyDescent="0.25">
      <c r="A20" s="18" t="s">
        <v>13</v>
      </c>
      <c r="B20" s="18"/>
    </row>
    <row r="21" spans="1:3" x14ac:dyDescent="0.25">
      <c r="A21" s="18" t="s">
        <v>40</v>
      </c>
      <c r="B21" s="18"/>
    </row>
    <row r="22" spans="1:3" x14ac:dyDescent="0.25">
      <c r="A22" s="18" t="s">
        <v>14</v>
      </c>
      <c r="B22" s="18"/>
    </row>
    <row r="23" spans="1:3" x14ac:dyDescent="0.25">
      <c r="A23" s="18" t="s">
        <v>41</v>
      </c>
      <c r="B23" s="18"/>
      <c r="C23" s="16"/>
    </row>
    <row r="24" spans="1:3" x14ac:dyDescent="0.25">
      <c r="A24" s="18" t="s">
        <v>39</v>
      </c>
      <c r="B24" s="18"/>
      <c r="C24" s="16"/>
    </row>
    <row r="25" spans="1:3" x14ac:dyDescent="0.25">
      <c r="A25" s="18" t="s">
        <v>38</v>
      </c>
      <c r="B25" s="18"/>
      <c r="C25" s="16"/>
    </row>
    <row r="26" spans="1:3" x14ac:dyDescent="0.25">
      <c r="A26" s="18" t="s">
        <v>37</v>
      </c>
      <c r="B26" s="18"/>
      <c r="C26" s="16"/>
    </row>
    <row r="27" spans="1:3" x14ac:dyDescent="0.25">
      <c r="A27" s="18" t="s">
        <v>42</v>
      </c>
      <c r="B27" s="18"/>
      <c r="C27" s="16"/>
    </row>
  </sheetData>
  <mergeCells count="2">
    <mergeCell ref="C1:H1"/>
    <mergeCell ref="I1:L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Edgewood Partiners Insurance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Wang</dc:creator>
  <cp:lastModifiedBy>Chris Knight</cp:lastModifiedBy>
  <dcterms:created xsi:type="dcterms:W3CDTF">2019-10-22T19:01:42Z</dcterms:created>
  <dcterms:modified xsi:type="dcterms:W3CDTF">2022-04-01T17:47:04Z</dcterms:modified>
</cp:coreProperties>
</file>