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/>
  <mc:AlternateContent xmlns:mc="http://schemas.openxmlformats.org/markup-compatibility/2006">
    <mc:Choice Requires="x15">
      <x15ac:absPath xmlns:x15ac="http://schemas.microsoft.com/office/spreadsheetml/2010/11/ac" url="/Users/maryupshaw/Downloads/"/>
    </mc:Choice>
  </mc:AlternateContent>
  <xr:revisionPtr revIDLastSave="0" documentId="8_{684498B0-0085-BD4E-9324-9F5E1429F9BD}" xr6:coauthVersionLast="47" xr6:coauthVersionMax="47" xr10:uidLastSave="{00000000-0000-0000-0000-000000000000}"/>
  <bookViews>
    <workbookView xWindow="0" yWindow="1000" windowWidth="35840" windowHeight="18920" xr2:uid="{00000000-000D-0000-FFFF-FFFF00000000}"/>
  </bookViews>
  <sheets>
    <sheet name="Claims" sheetId="1" r:id="rId1"/>
    <sheet name="Transactions" sheetId="2" r:id="rId2"/>
    <sheet name="Notes" sheetId="3" r:id="rId3"/>
    <sheet name="Incidents" sheetId="4" r:id="rId4"/>
    <sheet name="Policy" sheetId="5" r:id="rId5"/>
    <sheet name="ControlTotal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" i="6" l="1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E2" i="6"/>
  <c r="D2" i="6"/>
  <c r="C2" i="6"/>
  <c r="B2" i="6"/>
  <c r="F2" i="6" l="1"/>
  <c r="G2" i="6"/>
  <c r="H2" i="6" l="1"/>
</calcChain>
</file>

<file path=xl/sharedStrings.xml><?xml version="1.0" encoding="utf-8"?>
<sst xmlns="http://schemas.openxmlformats.org/spreadsheetml/2006/main" count="887" uniqueCount="421">
  <si>
    <t>Organization</t>
  </si>
  <si>
    <t>Claim Number</t>
  </si>
  <si>
    <t>Activity</t>
  </si>
  <si>
    <t>Coverage</t>
  </si>
  <si>
    <t>Occurrence Number</t>
  </si>
  <si>
    <t>Claim Adjuster Name</t>
  </si>
  <si>
    <t>Site</t>
  </si>
  <si>
    <t>Loss Date</t>
  </si>
  <si>
    <t>Loss Time</t>
  </si>
  <si>
    <t>Report Date</t>
  </si>
  <si>
    <t>Employer Report Date</t>
  </si>
  <si>
    <t>Close Date</t>
  </si>
  <si>
    <t>Reopen Date</t>
  </si>
  <si>
    <t>Location Code</t>
  </si>
  <si>
    <t>Accident State</t>
  </si>
  <si>
    <t>Claimant</t>
  </si>
  <si>
    <t>Status</t>
  </si>
  <si>
    <t>Social Security</t>
  </si>
  <si>
    <t>Loss Description</t>
  </si>
  <si>
    <t>Event Description</t>
  </si>
  <si>
    <t>Major Injury</t>
  </si>
  <si>
    <t>Carrier Code</t>
  </si>
  <si>
    <t>Cause Code</t>
  </si>
  <si>
    <t>Body Part Code</t>
  </si>
  <si>
    <t>Nature Code</t>
  </si>
  <si>
    <t>Medical Reserve</t>
  </si>
  <si>
    <t>Expense Reserve</t>
  </si>
  <si>
    <t>Indemnity Reserve</t>
  </si>
  <si>
    <t>Legal Reserve</t>
  </si>
  <si>
    <t>Other Reserve</t>
  </si>
  <si>
    <t>Recovery Reserve</t>
  </si>
  <si>
    <t>Subrogation Reserve</t>
  </si>
  <si>
    <t>Medical Paid</t>
  </si>
  <si>
    <t>Expense Paid</t>
  </si>
  <si>
    <t>Indemnity Paid</t>
  </si>
  <si>
    <t>Legal Paid</t>
  </si>
  <si>
    <t>Other Paid</t>
  </si>
  <si>
    <t>Recovery Paid</t>
  </si>
  <si>
    <t>Subrogation Paid</t>
  </si>
  <si>
    <t>ReferenceNumber</t>
  </si>
  <si>
    <t>Policy Number</t>
  </si>
  <si>
    <t>OSHA Recordable</t>
  </si>
  <si>
    <t>Disability Date</t>
  </si>
  <si>
    <t>Last Worked Date</t>
  </si>
  <si>
    <t>RTW Full Date</t>
  </si>
  <si>
    <t>RTW Restricted Date</t>
  </si>
  <si>
    <t>OSHA Code</t>
  </si>
  <si>
    <t>Claimant Address 1</t>
  </si>
  <si>
    <t>Claimant Address 2</t>
  </si>
  <si>
    <t>Claimant City</t>
  </si>
  <si>
    <t>Claimant State</t>
  </si>
  <si>
    <t>Claimant Postal Code</t>
  </si>
  <si>
    <t>Country</t>
  </si>
  <si>
    <t>Claimant Home Phone</t>
  </si>
  <si>
    <t>Claimant Work Phone</t>
  </si>
  <si>
    <t>Claimant Age</t>
  </si>
  <si>
    <t>Birth Date</t>
  </si>
  <si>
    <t>Death Date</t>
  </si>
  <si>
    <t>Number Of Dependents</t>
  </si>
  <si>
    <t>Marital Status</t>
  </si>
  <si>
    <t>Gender</t>
  </si>
  <si>
    <t>Hire Date</t>
  </si>
  <si>
    <t>Length Of Service</t>
  </si>
  <si>
    <t>State Assigned Claim Number</t>
  </si>
  <si>
    <t>Occupation</t>
  </si>
  <si>
    <t>Department Name</t>
  </si>
  <si>
    <t>Supervisor</t>
  </si>
  <si>
    <t>Employment Status</t>
  </si>
  <si>
    <t>Average Weekly Wage</t>
  </si>
  <si>
    <t>VIN</t>
  </si>
  <si>
    <t>Vehicle Make</t>
  </si>
  <si>
    <t>Vehicle Model</t>
  </si>
  <si>
    <t>Vehicle Year</t>
  </si>
  <si>
    <t>Driver Name</t>
  </si>
  <si>
    <t>Drivers License Number</t>
  </si>
  <si>
    <t>Drivers License State</t>
  </si>
  <si>
    <t>OSHA Privacy Case</t>
  </si>
  <si>
    <t>Event Location</t>
  </si>
  <si>
    <t>Accident Type Code</t>
  </si>
  <si>
    <t>Preventable</t>
  </si>
  <si>
    <t>Accident Longitude</t>
  </si>
  <si>
    <t>Accident Latitude</t>
  </si>
  <si>
    <t>Custom Text 1</t>
  </si>
  <si>
    <t>Custom Text 2</t>
  </si>
  <si>
    <t>Custom Text 3</t>
  </si>
  <si>
    <t>Custom Text 4</t>
  </si>
  <si>
    <t>Custom Text 5</t>
  </si>
  <si>
    <t>Custom Code 1</t>
  </si>
  <si>
    <t>Custom Code 2</t>
  </si>
  <si>
    <t>Custom Code 3</t>
  </si>
  <si>
    <t>Custom Code 4</t>
  </si>
  <si>
    <t>Custom Code 5</t>
  </si>
  <si>
    <t>Custom Date 1</t>
  </si>
  <si>
    <t>Custom Date 2</t>
  </si>
  <si>
    <t>Custom Date 3</t>
  </si>
  <si>
    <t>Custom Date 4</t>
  </si>
  <si>
    <t>Custom Date 5</t>
  </si>
  <si>
    <t>Custom Flag 1</t>
  </si>
  <si>
    <t>Custom Flag 2</t>
  </si>
  <si>
    <t>Custom Flag 3</t>
  </si>
  <si>
    <t>Custom Flag 4</t>
  </si>
  <si>
    <t>Custom Flag 5</t>
  </si>
  <si>
    <t>Custom Money 1</t>
  </si>
  <si>
    <t>Custom Money 2</t>
  </si>
  <si>
    <t>Custom Money 3</t>
  </si>
  <si>
    <t>Custom Money 4</t>
  </si>
  <si>
    <t>Custom Money 5</t>
  </si>
  <si>
    <t>Custom Number 1</t>
  </si>
  <si>
    <t>Custom Number 2</t>
  </si>
  <si>
    <t>Custom Number 3</t>
  </si>
  <si>
    <t>Custom Number 4</t>
  </si>
  <si>
    <t>Custom Number 5</t>
  </si>
  <si>
    <t>Custom Text 6</t>
  </si>
  <si>
    <t>Custom Text 7</t>
  </si>
  <si>
    <t>Custom Text 8</t>
  </si>
  <si>
    <t>Custom Text 9</t>
  </si>
  <si>
    <t>Custom Text 10</t>
  </si>
  <si>
    <t>Custom Code 6</t>
  </si>
  <si>
    <t>Custom Code 7</t>
  </si>
  <si>
    <t>Custom Code 8</t>
  </si>
  <si>
    <t>Custom Code 9</t>
  </si>
  <si>
    <t>Custom Code 10</t>
  </si>
  <si>
    <t>Custom Date 6</t>
  </si>
  <si>
    <t>Custom Date 7</t>
  </si>
  <si>
    <t>Custom Date 8</t>
  </si>
  <si>
    <t>Custom Date 9</t>
  </si>
  <si>
    <t>Custom Date 10</t>
  </si>
  <si>
    <t>Custom Flag 6</t>
  </si>
  <si>
    <t>Custom Flag 7</t>
  </si>
  <si>
    <t>Custom Flag 8</t>
  </si>
  <si>
    <t>Custom Flag 9</t>
  </si>
  <si>
    <t>Custom Flag 10</t>
  </si>
  <si>
    <t>Custom Money 6</t>
  </si>
  <si>
    <t>Custom Money 7</t>
  </si>
  <si>
    <t>Custom Money 8</t>
  </si>
  <si>
    <t>Custom Money 9</t>
  </si>
  <si>
    <t>Custom Money 10</t>
  </si>
  <si>
    <t>Custom Number 6</t>
  </si>
  <si>
    <t>Custom Number 7</t>
  </si>
  <si>
    <t>Custom Number 8</t>
  </si>
  <si>
    <t>Custom Number 9</t>
  </si>
  <si>
    <t>Custom Number 10</t>
  </si>
  <si>
    <t>Department Code</t>
  </si>
  <si>
    <t>Custom Text 11</t>
  </si>
  <si>
    <t>Custom Text 12</t>
  </si>
  <si>
    <t>Custom Text 13</t>
  </si>
  <si>
    <t>Custom Text 14</t>
  </si>
  <si>
    <t>Custom Text 15</t>
  </si>
  <si>
    <t>Custom Text 16</t>
  </si>
  <si>
    <t>Custom Text 17</t>
  </si>
  <si>
    <t>Custom Text 18</t>
  </si>
  <si>
    <t>Custom Text 19</t>
  </si>
  <si>
    <t>Custom Text 20</t>
  </si>
  <si>
    <t>Custom Text 21</t>
  </si>
  <si>
    <t>Custom Text 22</t>
  </si>
  <si>
    <t>Custom Text 23</t>
  </si>
  <si>
    <t>Custom Text 24</t>
  </si>
  <si>
    <t>Custom Text 25</t>
  </si>
  <si>
    <t>Custom Text 26</t>
  </si>
  <si>
    <t>Custom Text 27</t>
  </si>
  <si>
    <t>Custom Text 28</t>
  </si>
  <si>
    <t>Custom Text 29</t>
  </si>
  <si>
    <t>Custom Text 30</t>
  </si>
  <si>
    <t>Custom Code 11</t>
  </si>
  <si>
    <t>Custom Code 12</t>
  </si>
  <si>
    <t>Custom Code 13</t>
  </si>
  <si>
    <t>Custom Code 14</t>
  </si>
  <si>
    <t>Custom Code 15</t>
  </si>
  <si>
    <t>Custom Code 16</t>
  </si>
  <si>
    <t>Custom Code 17</t>
  </si>
  <si>
    <t>Custom Code 18</t>
  </si>
  <si>
    <t>Custom Code 19</t>
  </si>
  <si>
    <t>Custom Code 20</t>
  </si>
  <si>
    <t>Custom Code 21</t>
  </si>
  <si>
    <t>Custom Code 22</t>
  </si>
  <si>
    <t>Custom Code 23</t>
  </si>
  <si>
    <t>Custom Code 24</t>
  </si>
  <si>
    <t>Custom Code 25</t>
  </si>
  <si>
    <t>Custom Code 26</t>
  </si>
  <si>
    <t>Custom Code 27</t>
  </si>
  <si>
    <t>Custom Code 28</t>
  </si>
  <si>
    <t>Custom Code 29</t>
  </si>
  <si>
    <t>Custom Code 30</t>
  </si>
  <si>
    <t>Custom Date 11</t>
  </si>
  <si>
    <t>Custom Date 12</t>
  </si>
  <si>
    <t>Custom Date 13</t>
  </si>
  <si>
    <t>Custom Date 14</t>
  </si>
  <si>
    <t>Custom Date 15</t>
  </si>
  <si>
    <t>Custom Date 16</t>
  </si>
  <si>
    <t>Custom Date 17</t>
  </si>
  <si>
    <t>Custom Date 18</t>
  </si>
  <si>
    <t>Custom Date 19</t>
  </si>
  <si>
    <t>Custom Date 20</t>
  </si>
  <si>
    <t>Custom Date 21</t>
  </si>
  <si>
    <t>Custom Date 22</t>
  </si>
  <si>
    <t>Custom Date 23</t>
  </si>
  <si>
    <t>Custom Date 24</t>
  </si>
  <si>
    <t>Custom Date 25</t>
  </si>
  <si>
    <t>Custom Date 26</t>
  </si>
  <si>
    <t>Custom Date 27</t>
  </si>
  <si>
    <t>Custom Date 28</t>
  </si>
  <si>
    <t>Custom Date 29</t>
  </si>
  <si>
    <t>Custom Date 30</t>
  </si>
  <si>
    <t>Custom Flag 11</t>
  </si>
  <si>
    <t>Custom Flag 12</t>
  </si>
  <si>
    <t>Custom Flag 13</t>
  </si>
  <si>
    <t>Custom Flag 14</t>
  </si>
  <si>
    <t>Custom Flag 15</t>
  </si>
  <si>
    <t>Custom Flag 16</t>
  </si>
  <si>
    <t>Custom Flag 17</t>
  </si>
  <si>
    <t>Custom Flag 18</t>
  </si>
  <si>
    <t>Custom Flag 19</t>
  </si>
  <si>
    <t>Custom Flag 20</t>
  </si>
  <si>
    <t>Custom Number 11</t>
  </si>
  <si>
    <t>Custom Number 12</t>
  </si>
  <si>
    <t>Custom Number 13</t>
  </si>
  <si>
    <t>Custom Number 14</t>
  </si>
  <si>
    <t>Custom Number 15</t>
  </si>
  <si>
    <t>Custom Number 16</t>
  </si>
  <si>
    <t>Custom Number 17</t>
  </si>
  <si>
    <t>Custom Number 18</t>
  </si>
  <si>
    <t>Custom Number 19</t>
  </si>
  <si>
    <t>Custom Number 20</t>
  </si>
  <si>
    <t>* DO NOT DELETE *</t>
  </si>
  <si>
    <t>AAAAA1234567890</t>
  </si>
  <si>
    <t>A</t>
  </si>
  <si>
    <t>AA</t>
  </si>
  <si>
    <t>AAAAAAAAAAAAAAAAAAAAAAAAAAAAAAAAAAAAAAAAAAAAAAAAAA</t>
  </si>
  <si>
    <t>1234</t>
  </si>
  <si>
    <t>1/1/1900</t>
  </si>
  <si>
    <t>AAAAAAAAAAAAAAA</t>
  </si>
  <si>
    <t>AAAAAAAAA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</si>
  <si>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</si>
  <si>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AAAAAAAA</t>
  </si>
  <si>
    <t>0.00</t>
  </si>
  <si>
    <t>Y</t>
  </si>
  <si>
    <t>AAAAAAAAAAAAAAAAAAAAA</t>
  </si>
  <si>
    <t>AAAAAAAAAAAAAAAAAAAA</t>
  </si>
  <si>
    <t>AAAAAAAAAAAAAAAAAAAAAAAAA</t>
  </si>
  <si>
    <t>1900</t>
  </si>
  <si>
    <t>AAAAAAAAAAAAAAAAAAAAAAAAAAAAAAAAAAAAAAAAAAAAAAAAAAAAAAAAAAAAAAAAAAAAAAAAAAAAAAAAAAAAAAAAAAAAAAAAAAAAAAAAAAAAAAAAAAAAAAAAAAAAAAAAAAAAAAAAAAAAAAAAAAAAAAAAAAAAAAAAAAAAAAAAAAAAAAAAAAAAAAAAAAAAAAAAAAAAAAAAAAAAAAAAAAAAAAAAAAAAAAAAAAAAAAAAAAAAAAAAAAAAAAAAAA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</si>
  <si>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</si>
  <si>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Dynamic Industries, Inc.</t>
  </si>
  <si>
    <t>97TT97979797</t>
  </si>
  <si>
    <t>WC</t>
  </si>
  <si>
    <t>Fred Adjuster</t>
  </si>
  <si>
    <t>Loading Dock</t>
  </si>
  <si>
    <t>2/17/2010</t>
  </si>
  <si>
    <t>LOC1</t>
  </si>
  <si>
    <t>NJ</t>
  </si>
  <si>
    <t>NY</t>
  </si>
  <si>
    <t>Aubrey, Jack</t>
  </si>
  <si>
    <t>O</t>
  </si>
  <si>
    <t>111224444</t>
  </si>
  <si>
    <t>Lacerated leg on machinery</t>
  </si>
  <si>
    <t>Claimant tripped on machine that was left out</t>
  </si>
  <si>
    <t>CIGNA</t>
  </si>
  <si>
    <t>STRUCK</t>
  </si>
  <si>
    <t>LEG</t>
  </si>
  <si>
    <t>CUT</t>
  </si>
  <si>
    <t>N</t>
  </si>
  <si>
    <t>R</t>
  </si>
  <si>
    <t>TT1312414124</t>
  </si>
  <si>
    <t>RR786876</t>
  </si>
  <si>
    <t>123 Blue Avenue</t>
  </si>
  <si>
    <t>Apartment 30G</t>
  </si>
  <si>
    <t>Fair Lawn</t>
  </si>
  <si>
    <t>NH</t>
  </si>
  <si>
    <t>07451</t>
  </si>
  <si>
    <t>USA</t>
  </si>
  <si>
    <t>(201) 111-2222</t>
  </si>
  <si>
    <t>(201) 333-4444</t>
  </si>
  <si>
    <t>M</t>
  </si>
  <si>
    <t>NJ77676868768</t>
  </si>
  <si>
    <t>A10001</t>
  </si>
  <si>
    <t>Loader</t>
  </si>
  <si>
    <t>Cargo</t>
  </si>
  <si>
    <t>Stephen Maturin</t>
  </si>
  <si>
    <t>E</t>
  </si>
  <si>
    <t>WW78687687687</t>
  </si>
  <si>
    <t>Ford</t>
  </si>
  <si>
    <t>Mustang</t>
  </si>
  <si>
    <t>Jack Aubrey</t>
  </si>
  <si>
    <t>NJ3252523</t>
  </si>
  <si>
    <t>Werehouse Loading Docks - A</t>
  </si>
  <si>
    <t>Text</t>
  </si>
  <si>
    <t>AAAA</t>
  </si>
  <si>
    <t>BBBB</t>
  </si>
  <si>
    <t>CCCC</t>
  </si>
  <si>
    <t>DDDD</t>
  </si>
  <si>
    <t>EEEE</t>
  </si>
  <si>
    <t>Sequence</t>
  </si>
  <si>
    <t>Type</t>
  </si>
  <si>
    <t>Category</t>
  </si>
  <si>
    <t>Sub Category</t>
  </si>
  <si>
    <t>Amount</t>
  </si>
  <si>
    <t>Transaction Date</t>
  </si>
  <si>
    <t>Service From</t>
  </si>
  <si>
    <t>Service To</t>
  </si>
  <si>
    <t>Payee Name</t>
  </si>
  <si>
    <t>IRS Vendor</t>
  </si>
  <si>
    <t>Invoice Number</t>
  </si>
  <si>
    <t>AAAAAAAAAAAAAAAAAAAAAAAAAAAAAAAAAAAAAAAAAAAAAAAAAAAAAAAAAAAAAAAAAAAAAAAAAAAAAAAAAAAAAAAAAAAAAAAAAAAAAAAAAAAAAAAAAAAAAAAAAAAAAAAAAAAAAAAAAAAAAAAAAAAAAAAAAAAAAAAAAAAAAAAAAAAAAAAAAAAAAAAAAAAAAAAAAAAAAAAAAAAAAAAAAAAAAAAAAAAAAAAAAAAAAAAAAAAAAAAAAAAAAAAAA</t>
  </si>
  <si>
    <t>AAAAAAAAAAAAAAAAAAAAAAAAAAAAAAAAAAAAAAAAAAAAAAAAA</t>
  </si>
  <si>
    <t>1</t>
  </si>
  <si>
    <t>Barney Rubble</t>
  </si>
  <si>
    <t>AETNA</t>
  </si>
  <si>
    <t>123124</t>
  </si>
  <si>
    <t>AAAAA</t>
  </si>
  <si>
    <t>BBBBB</t>
  </si>
  <si>
    <t>CCCCC</t>
  </si>
  <si>
    <t>DDDDD</t>
  </si>
  <si>
    <t>EEEEE</t>
  </si>
  <si>
    <t>BB</t>
  </si>
  <si>
    <t>CC</t>
  </si>
  <si>
    <t>DD</t>
  </si>
  <si>
    <t>EE</t>
  </si>
  <si>
    <t>Note Type</t>
  </si>
  <si>
    <t>Body</t>
  </si>
  <si>
    <t>Parent Key</t>
  </si>
  <si>
    <t>Entry Date</t>
  </si>
  <si>
    <t>Entry User</t>
  </si>
  <si>
    <t>Author Name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</si>
  <si>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</si>
  <si>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AAAAAAAAAAAAAAAAAAAAAAAAAAAAAAAAAAAAAAAAAAAAAAAAAAAAAAAAAAAAAAAAAAAAAAAAAAAAAAAAAAAAAAAAAAAAAAAAAAAAAAAAAAAAAAAAAAAAAAAAAAAAAAAAAAAAAAAAAAAAAAAAAAAAAA</t>
  </si>
  <si>
    <t>OSHA</t>
  </si>
  <si>
    <t>Claimant left work on 5/23/2010</t>
  </si>
  <si>
    <t>Claim</t>
  </si>
  <si>
    <t>Fred Flinstone</t>
  </si>
  <si>
    <t>Incident Number</t>
  </si>
  <si>
    <t>Incident Type</t>
  </si>
  <si>
    <t>Accident Street 1</t>
  </si>
  <si>
    <t>Accident City</t>
  </si>
  <si>
    <t>Accident County</t>
  </si>
  <si>
    <t>Accident Postal Code</t>
  </si>
  <si>
    <t>Activity During Accident</t>
  </si>
  <si>
    <t>Object Causing Injury</t>
  </si>
  <si>
    <t>Carrier Policy Number</t>
  </si>
  <si>
    <t>Carrier Policy Effective Date</t>
  </si>
  <si>
    <t>OSHA Case Number</t>
  </si>
  <si>
    <t>Time Bagan Work</t>
  </si>
  <si>
    <t>Expected Lost Time</t>
  </si>
  <si>
    <t>Job Classification Code</t>
  </si>
  <si>
    <t>Employee Number</t>
  </si>
  <si>
    <t>Days Worked Per Week</t>
  </si>
  <si>
    <t>Substance Test</t>
  </si>
  <si>
    <t>Substance Test Type Code</t>
  </si>
  <si>
    <t>Substance Test Result Code</t>
  </si>
  <si>
    <t>AAAAAAAAAAAAAAAAAAAAAAAAAAAAAAAAAAAAAAAA</t>
  </si>
  <si>
    <t>AAAAAAAAAAAAAAAAAAAAAAAAAAAAAAAAAAAAAAAAAAAAAAAA</t>
  </si>
  <si>
    <t>EMPINJ</t>
  </si>
  <si>
    <t>Bergen</t>
  </si>
  <si>
    <t>Attemping to put away spare parts</t>
  </si>
  <si>
    <t>Machine with lots of gears and doodads</t>
  </si>
  <si>
    <t>O73754BB</t>
  </si>
  <si>
    <t>B6748634</t>
  </si>
  <si>
    <t>AABC</t>
  </si>
  <si>
    <t>DRUG</t>
  </si>
  <si>
    <t>NEG</t>
  </si>
  <si>
    <t>Description</t>
  </si>
  <si>
    <t>Layer Type</t>
  </si>
  <si>
    <t>Policy Type</t>
  </si>
  <si>
    <t>Carrier</t>
  </si>
  <si>
    <t>Broker</t>
  </si>
  <si>
    <t>Effective Date</t>
  </si>
  <si>
    <t>Expiry Date</t>
  </si>
  <si>
    <t>Retro Date</t>
  </si>
  <si>
    <t>Tail Date</t>
  </si>
  <si>
    <t>Quota Share</t>
  </si>
  <si>
    <t>Limit</t>
  </si>
  <si>
    <t>Aggregate Limit</t>
  </si>
  <si>
    <t>Deductible</t>
  </si>
  <si>
    <t>Retention Type</t>
  </si>
  <si>
    <t>Attach Amount</t>
  </si>
  <si>
    <t>Is Limit Per Claim</t>
  </si>
  <si>
    <t>Is Deductible Per Claim</t>
  </si>
  <si>
    <t>Premium</t>
  </si>
  <si>
    <t>Commission Percentage</t>
  </si>
  <si>
    <t>Placement Fee</t>
  </si>
  <si>
    <t>Expected Loss Count</t>
  </si>
  <si>
    <t>Expected Ultimate Incurred</t>
  </si>
  <si>
    <t>Policy Details</t>
  </si>
  <si>
    <t>Currency Code</t>
  </si>
  <si>
    <t>Terms And Conditions</t>
  </si>
  <si>
    <t>Aggregate Deductible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</si>
  <si>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</si>
  <si>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TRAV-2007-WC</t>
  </si>
  <si>
    <t>WC 2007</t>
  </si>
  <si>
    <t>P</t>
  </si>
  <si>
    <t>TRAV</t>
  </si>
  <si>
    <t>AON</t>
  </si>
  <si>
    <t>1/1/2007</t>
  </si>
  <si>
    <t>12/31/2007</t>
  </si>
  <si>
    <t>D</t>
  </si>
  <si>
    <t>Total Claims</t>
  </si>
  <si>
    <t>Open Claim Count</t>
  </si>
  <si>
    <t>Closed Claim Count</t>
  </si>
  <si>
    <t>Reopen Claim Count</t>
  </si>
  <si>
    <t>Total Incurred</t>
  </si>
  <si>
    <t>Total Paid</t>
  </si>
  <si>
    <t>Total Outstanding</t>
  </si>
  <si>
    <t>Reserve 1</t>
  </si>
  <si>
    <t>Reserve 2</t>
  </si>
  <si>
    <t>Reserve 3</t>
  </si>
  <si>
    <t>Reserve 4</t>
  </si>
  <si>
    <t>Reserve 5</t>
  </si>
  <si>
    <t>Reserve 6</t>
  </si>
  <si>
    <t>Reserve 7</t>
  </si>
  <si>
    <t>Paid 1</t>
  </si>
  <si>
    <t>Paid 2</t>
  </si>
  <si>
    <t>Paid 3</t>
  </si>
  <si>
    <t>Paid 4</t>
  </si>
  <si>
    <t>Paid 5</t>
  </si>
  <si>
    <t>Paid 6</t>
  </si>
  <si>
    <t>Paid 7</t>
  </si>
  <si>
    <t>Transaction Count</t>
  </si>
  <si>
    <t>Reserve Count</t>
  </si>
  <si>
    <t>Payment Count</t>
  </si>
  <si>
    <t>Note Count</t>
  </si>
  <si>
    <t>Policy Count</t>
  </si>
  <si>
    <t>Parent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</si>
</sst>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indexed="8"/>
      <name val="Calibri"/>
    </font>
    <font>
      <sz val="11"/>
      <color indexed="23"/>
      <name val="Calibri"/>
    </font>
    <font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indexed="53"/>
        <bgColor indexed="64"/>
      </patternFill>
    </fill>
    <fill>
      <patternFill patternType="solid">
        <fgColor indexed="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2" borderId="0" applyNumberFormat="0" applyFont="0" applyFill="0" applyBorder="0" applyAlignment="0" applyProtection="0"/>
  </cellStyleXfs>
  <cellXfs count="52">
    <xf numFmtId="0" fontId="0" fillId="2" borderId="0" xfId="0"/>
    <xf numFmtId="49" fontId="0" fillId="2" borderId="0" xfId="0" applyNumberFormat="1"/>
    <xf numFmtId="14" fontId="0" fillId="2" borderId="0" xfId="0" applyNumberFormat="1"/>
    <xf numFmtId="49" fontId="1" fillId="3" borderId="0" xfId="0" applyNumberFormat="1" applyFont="1" applyFill="1" applyAlignment="1">
      <alignment horizontal="left"/>
    </xf>
    <xf numFmtId="0" fontId="1" fillId="4" borderId="0" xfId="0" applyNumberFormat="1" applyFont="1" applyFill="1" applyAlignment="1">
      <alignment horizontal="left"/>
    </xf>
    <xf numFmtId="0" fontId="1" fillId="3" borderId="0" xfId="0" applyNumberFormat="1" applyFont="1" applyFill="1" applyAlignment="1">
      <alignment horizontal="left"/>
    </xf>
    <xf numFmtId="49" fontId="1" fillId="4" borderId="0" xfId="0" applyNumberFormat="1" applyFont="1" applyFill="1" applyAlignment="1">
      <alignment horizontal="left"/>
    </xf>
    <xf numFmtId="49" fontId="1" fillId="4" borderId="0" xfId="0" applyNumberFormat="1" applyFont="1" applyFill="1" applyBorder="1" applyAlignment="1" applyProtection="1">
      <alignment horizontal="left"/>
    </xf>
    <xf numFmtId="14" fontId="1" fillId="3" borderId="0" xfId="0" applyNumberFormat="1" applyFont="1" applyFill="1" applyBorder="1" applyAlignment="1" applyProtection="1">
      <alignment horizontal="left"/>
    </xf>
    <xf numFmtId="49" fontId="1" fillId="3" borderId="0" xfId="0" applyNumberFormat="1" applyFont="1" applyFill="1" applyBorder="1" applyAlignment="1" applyProtection="1">
      <alignment horizontal="left"/>
    </xf>
    <xf numFmtId="14" fontId="1" fillId="4" borderId="0" xfId="0" applyNumberFormat="1" applyFont="1" applyFill="1" applyBorder="1" applyAlignment="1" applyProtection="1">
      <alignment horizontal="left"/>
    </xf>
    <xf numFmtId="2" fontId="1" fillId="4" borderId="0" xfId="0" applyNumberFormat="1" applyFont="1" applyFill="1" applyBorder="1" applyAlignment="1" applyProtection="1">
      <alignment horizontal="left"/>
    </xf>
    <xf numFmtId="49" fontId="2" fillId="2" borderId="0" xfId="0" applyNumberFormat="1" applyFont="1" applyAlignment="1">
      <alignment horizontal="left"/>
    </xf>
    <xf numFmtId="0" fontId="2" fillId="2" borderId="0" xfId="0" applyNumberFormat="1" applyFont="1" applyAlignment="1">
      <alignment horizontal="left"/>
    </xf>
    <xf numFmtId="49" fontId="2" fillId="2" borderId="0" xfId="0" applyNumberFormat="1" applyFont="1" applyFill="1" applyBorder="1" applyAlignment="1" applyProtection="1">
      <alignment horizontal="left"/>
    </xf>
    <xf numFmtId="14" fontId="2" fillId="2" borderId="0" xfId="0" applyNumberFormat="1" applyFont="1" applyFill="1" applyBorder="1" applyAlignment="1" applyProtection="1">
      <alignment horizontal="left"/>
    </xf>
    <xf numFmtId="0" fontId="2" fillId="2" borderId="0" xfId="0" applyFont="1"/>
    <xf numFmtId="14" fontId="2" fillId="2" borderId="0" xfId="0" applyNumberFormat="1" applyFont="1"/>
    <xf numFmtId="49" fontId="2" fillId="2" borderId="0" xfId="0" applyNumberFormat="1" applyFont="1"/>
    <xf numFmtId="4" fontId="2" fillId="2" borderId="0" xfId="0" applyNumberFormat="1" applyFont="1"/>
    <xf numFmtId="1" fontId="0" fillId="2" borderId="0" xfId="0" applyNumberFormat="1"/>
    <xf numFmtId="2" fontId="0" fillId="2" borderId="0" xfId="0" applyNumberFormat="1"/>
    <xf numFmtId="49" fontId="1" fillId="4" borderId="0" xfId="0" applyNumberFormat="1" applyFont="1" applyFill="1"/>
    <xf numFmtId="49" fontId="1" fillId="3" borderId="0" xfId="0" applyNumberFormat="1" applyFont="1" applyFill="1"/>
    <xf numFmtId="1" fontId="1" fillId="4" borderId="0" xfId="0" applyNumberFormat="1" applyFont="1" applyFill="1"/>
    <xf numFmtId="2" fontId="1" fillId="3" borderId="0" xfId="0" applyNumberFormat="1" applyFont="1" applyFill="1"/>
    <xf numFmtId="14" fontId="1" fillId="3" borderId="0" xfId="0" applyNumberFormat="1" applyFont="1" applyFill="1"/>
    <xf numFmtId="14" fontId="1" fillId="4" borderId="0" xfId="0" applyNumberFormat="1" applyFont="1" applyFill="1"/>
    <xf numFmtId="2" fontId="1" fillId="4" borderId="0" xfId="0" applyNumberFormat="1" applyFont="1" applyFill="1"/>
    <xf numFmtId="49" fontId="0" fillId="2" borderId="0" xfId="0" applyNumberFormat="1" applyAlignment="1">
      <alignment vertical="top" wrapText="1"/>
    </xf>
    <xf numFmtId="49" fontId="1" fillId="3" borderId="0" xfId="0" applyNumberFormat="1" applyFont="1" applyFill="1" applyAlignment="1">
      <alignment vertical="top" wrapText="1"/>
    </xf>
    <xf numFmtId="49" fontId="1" fillId="4" borderId="0" xfId="0" applyNumberFormat="1" applyFont="1" applyFill="1" applyAlignment="1">
      <alignment vertical="top" wrapText="1"/>
    </xf>
    <xf numFmtId="49" fontId="1" fillId="3" borderId="0" xfId="0" applyNumberFormat="1" applyFont="1" applyFill="1" applyBorder="1" applyAlignment="1" applyProtection="1"/>
    <xf numFmtId="2" fontId="1" fillId="4" borderId="0" xfId="0" applyNumberFormat="1" applyFont="1" applyFill="1" applyAlignment="1"/>
    <xf numFmtId="2" fontId="1" fillId="4" borderId="0" xfId="0" applyNumberFormat="1" applyFont="1" applyFill="1" applyBorder="1" applyAlignment="1" applyProtection="1">
      <alignment horizontal="right"/>
    </xf>
    <xf numFmtId="2" fontId="1" fillId="4" borderId="0" xfId="0" applyNumberFormat="1" applyFont="1" applyFill="1" applyAlignment="1">
      <alignment horizontal="right"/>
    </xf>
    <xf numFmtId="1" fontId="1" fillId="4" borderId="0" xfId="0" applyNumberFormat="1" applyFont="1" applyFill="1" applyAlignment="1">
      <alignment horizontal="right"/>
    </xf>
    <xf numFmtId="49" fontId="1" fillId="4" borderId="0" xfId="0" applyNumberFormat="1" applyFont="1" applyFill="1" applyAlignment="1">
      <alignment horizontal="right"/>
    </xf>
    <xf numFmtId="0" fontId="1" fillId="4" borderId="0" xfId="0" applyFont="1" applyFill="1"/>
    <xf numFmtId="49" fontId="1" fillId="4" borderId="0" xfId="0" applyNumberFormat="1" applyFont="1" applyFill="1" applyBorder="1" applyAlignment="1" applyProtection="1"/>
    <xf numFmtId="0" fontId="1" fillId="4" borderId="0" xfId="0" applyNumberFormat="1" applyFont="1" applyFill="1"/>
    <xf numFmtId="49" fontId="3" fillId="2" borderId="0" xfId="0" applyNumberFormat="1" applyFont="1" applyFill="1" applyBorder="1" applyAlignment="1" applyProtection="1">
      <alignment horizontal="right"/>
    </xf>
    <xf numFmtId="49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 applyProtection="1">
      <alignment horizontal="left"/>
    </xf>
    <xf numFmtId="49" fontId="0" fillId="2" borderId="0" xfId="0" applyNumberFormat="1" applyAlignment="1">
      <alignment horizontal="left"/>
    </xf>
    <xf numFmtId="2" fontId="0" fillId="2" borderId="0" xfId="0" applyNumberFormat="1" applyAlignment="1"/>
    <xf numFmtId="2" fontId="3" fillId="2" borderId="0" xfId="0" applyNumberFormat="1" applyFont="1" applyFill="1" applyBorder="1" applyAlignment="1" applyProtection="1">
      <alignment horizontal="right"/>
    </xf>
    <xf numFmtId="2" fontId="0" fillId="2" borderId="0" xfId="0" applyNumberFormat="1" applyAlignment="1">
      <alignment horizontal="right"/>
    </xf>
    <xf numFmtId="1" fontId="0" fillId="2" borderId="0" xfId="0" applyNumberFormat="1" applyAlignment="1">
      <alignment horizontal="right"/>
    </xf>
    <xf numFmtId="49" fontId="2" fillId="2" borderId="0" xfId="0" applyNumberFormat="1" applyFont="1" applyFill="1" applyBorder="1" applyAlignment="1" applyProtection="1">
      <alignment horizontal="right"/>
    </xf>
    <xf numFmtId="49" fontId="3" fillId="2" borderId="0" xfId="0" applyNumberFormat="1" applyFont="1" applyFill="1" applyBorder="1" applyAlignment="1" applyProtection="1"/>
    <xf numFmtId="4" fontId="0" fillId="2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zoomScaleNormal="100" workbookViewId="0"/>
  </sheetViews>
  <sheetFormatPr baseColWidth="10" defaultColWidth="8.83203125" defaultRowHeight="15" x14ac:dyDescent="0.2"/>
  <cols>
    <col min="1" max="1" width="18.6640625" customWidth="1"/>
    <col min="2" max="2" width="16.83203125" style="1" customWidth="1"/>
    <col min="3" max="3" width="16.1640625" customWidth="1"/>
    <col min="4" max="4" width="14.5" style="2" customWidth="1"/>
    <col min="5" max="5" width="15" customWidth="1"/>
    <col min="6" max="6" width="16.5" customWidth="1"/>
    <col min="7" max="7" width="15.5" customWidth="1"/>
    <col min="8" max="8" width="20.6640625" style="1" customWidth="1"/>
    <col min="9" max="9" width="31.83203125" customWidth="1"/>
    <col min="11" max="11" width="94.33203125" customWidth="1"/>
    <col min="12" max="12" width="18" customWidth="1"/>
    <col min="13" max="13" width="17.1640625" customWidth="1"/>
    <col min="14" max="14" width="17.5" customWidth="1"/>
    <col min="15" max="15" width="17.33203125" customWidth="1"/>
    <col min="16" max="16" width="17.1640625" customWidth="1"/>
    <col min="17" max="17" width="18.33203125" customWidth="1"/>
    <col min="18" max="18" width="18.6640625" customWidth="1"/>
    <col min="19" max="19" width="16.83203125" customWidth="1"/>
    <col min="20" max="20" width="16.33203125" customWidth="1"/>
    <col min="21" max="21" width="17.5" customWidth="1"/>
    <col min="22" max="22" width="15.5" customWidth="1"/>
    <col min="23" max="23" width="14.6640625" customWidth="1"/>
    <col min="24" max="24" width="15.33203125" customWidth="1"/>
    <col min="25" max="25" width="16.83203125" customWidth="1"/>
  </cols>
  <sheetData>
    <row r="1" spans="1:25" x14ac:dyDescent="0.2">
      <c r="A1" s="3" t="s">
        <v>0</v>
      </c>
      <c r="B1" s="3" t="s">
        <v>1</v>
      </c>
      <c r="C1" s="5" t="s">
        <v>3</v>
      </c>
      <c r="D1" s="8" t="s">
        <v>7</v>
      </c>
      <c r="E1" s="9" t="s">
        <v>9</v>
      </c>
      <c r="F1" s="9" t="s">
        <v>11</v>
      </c>
      <c r="G1" s="9" t="s">
        <v>12</v>
      </c>
      <c r="H1" s="9" t="s">
        <v>13</v>
      </c>
      <c r="I1" s="9" t="s">
        <v>15</v>
      </c>
      <c r="J1" s="9" t="s">
        <v>16</v>
      </c>
      <c r="K1" s="9" t="s">
        <v>18</v>
      </c>
      <c r="L1" s="9" t="s">
        <v>25</v>
      </c>
      <c r="M1" s="9" t="s">
        <v>26</v>
      </c>
      <c r="N1" s="9" t="s">
        <v>27</v>
      </c>
      <c r="O1" s="7" t="s">
        <v>28</v>
      </c>
      <c r="P1" s="7" t="s">
        <v>29</v>
      </c>
      <c r="Q1" s="7" t="s">
        <v>30</v>
      </c>
      <c r="R1" s="7" t="s">
        <v>31</v>
      </c>
      <c r="S1" s="9" t="s">
        <v>32</v>
      </c>
      <c r="T1" s="9" t="s">
        <v>33</v>
      </c>
      <c r="U1" s="9" t="s">
        <v>34</v>
      </c>
      <c r="V1" s="7" t="s">
        <v>35</v>
      </c>
      <c r="W1" s="7" t="s">
        <v>36</v>
      </c>
      <c r="X1" s="7" t="s">
        <v>37</v>
      </c>
      <c r="Y1" s="7" t="s">
        <v>38</v>
      </c>
    </row>
    <row r="2" spans="1:25" x14ac:dyDescent="0.2">
      <c r="A2" s="6" t="s">
        <v>223</v>
      </c>
      <c r="B2" s="6" t="s">
        <v>224</v>
      </c>
      <c r="C2" s="4" t="s">
        <v>226</v>
      </c>
      <c r="D2" s="10">
        <v>1</v>
      </c>
      <c r="E2" s="10" t="s">
        <v>229</v>
      </c>
      <c r="F2" s="10" t="s">
        <v>229</v>
      </c>
      <c r="G2" s="10" t="s">
        <v>229</v>
      </c>
      <c r="H2" s="7" t="s">
        <v>230</v>
      </c>
      <c r="I2" s="7" t="s">
        <v>227</v>
      </c>
      <c r="J2" s="7" t="s">
        <v>225</v>
      </c>
      <c r="K2" s="7" t="s">
        <v>232</v>
      </c>
      <c r="L2" s="11">
        <v>0</v>
      </c>
      <c r="M2" s="11" t="s">
        <v>234</v>
      </c>
      <c r="N2" s="11" t="s">
        <v>234</v>
      </c>
      <c r="O2" s="11" t="s">
        <v>234</v>
      </c>
      <c r="P2" s="11" t="s">
        <v>234</v>
      </c>
      <c r="Q2" s="11" t="s">
        <v>234</v>
      </c>
      <c r="R2" s="11" t="s">
        <v>234</v>
      </c>
      <c r="S2" s="11" t="s">
        <v>234</v>
      </c>
      <c r="T2" s="11" t="s">
        <v>234</v>
      </c>
      <c r="U2" s="11" t="s">
        <v>234</v>
      </c>
      <c r="V2" s="11" t="s">
        <v>234</v>
      </c>
      <c r="W2" s="11" t="s">
        <v>234</v>
      </c>
      <c r="X2" s="11" t="s">
        <v>234</v>
      </c>
      <c r="Y2" s="11" t="s">
        <v>234</v>
      </c>
    </row>
    <row r="3" spans="1:25" x14ac:dyDescent="0.2">
      <c r="A3" s="12" t="s">
        <v>242</v>
      </c>
      <c r="B3" s="12" t="s">
        <v>243</v>
      </c>
      <c r="C3" s="13" t="s">
        <v>244</v>
      </c>
      <c r="D3" s="15" t="s">
        <v>247</v>
      </c>
      <c r="E3" s="17">
        <v>40228</v>
      </c>
      <c r="F3" s="17">
        <v>40238</v>
      </c>
      <c r="G3" s="17">
        <v>40242</v>
      </c>
      <c r="H3" s="18" t="s">
        <v>248</v>
      </c>
      <c r="I3" s="16" t="s">
        <v>251</v>
      </c>
      <c r="J3" s="16" t="s">
        <v>252</v>
      </c>
      <c r="K3" s="16" t="s">
        <v>254</v>
      </c>
      <c r="L3" s="19">
        <v>1000.12</v>
      </c>
      <c r="M3" s="19">
        <v>1000.12</v>
      </c>
      <c r="N3" s="19">
        <v>1000.12</v>
      </c>
      <c r="O3" s="19">
        <v>1000.12</v>
      </c>
      <c r="P3" s="19">
        <v>1000.12</v>
      </c>
      <c r="Q3" s="19">
        <v>1000.12</v>
      </c>
      <c r="R3" s="19">
        <v>1000.12</v>
      </c>
      <c r="S3" s="19">
        <v>1000.12</v>
      </c>
      <c r="T3" s="19">
        <v>1000.12</v>
      </c>
      <c r="U3" s="19">
        <v>1000.12</v>
      </c>
      <c r="V3" s="19">
        <v>1000.12</v>
      </c>
      <c r="W3" s="19">
        <v>1000.12</v>
      </c>
      <c r="X3" s="19">
        <v>1000.12</v>
      </c>
      <c r="Y3" s="19">
        <v>1000.12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3"/>
  <sheetViews>
    <sheetView topLeftCell="C1" zoomScaleNormal="100" workbookViewId="0"/>
  </sheetViews>
  <sheetFormatPr baseColWidth="10" defaultColWidth="8.83203125" defaultRowHeight="15" x14ac:dyDescent="0.2"/>
  <cols>
    <col min="1" max="1" width="20.1640625" style="1" customWidth="1"/>
    <col min="2" max="2" width="25.33203125" style="1" customWidth="1"/>
    <col min="3" max="3" width="19" style="1" customWidth="1"/>
    <col min="4" max="4" width="9.6640625" style="20" customWidth="1"/>
    <col min="5" max="6" width="9.1640625" style="1" customWidth="1"/>
    <col min="7" max="7" width="26.6640625" style="1" customWidth="1"/>
    <col min="8" max="8" width="9.1640625" style="21" customWidth="1"/>
    <col min="9" max="9" width="17.1640625" style="2" customWidth="1"/>
    <col min="10" max="10" width="9.1640625" style="1" customWidth="1"/>
    <col min="11" max="12" width="13" style="2" customWidth="1"/>
    <col min="13" max="13" width="67.33203125" style="1" customWidth="1"/>
    <col min="14" max="14" width="28.1640625" customWidth="1"/>
    <col min="15" max="15" width="30.5" style="1" customWidth="1"/>
    <col min="16" max="16" width="41.5" style="1" customWidth="1"/>
    <col min="17" max="17" width="42.33203125" style="1" customWidth="1"/>
    <col min="18" max="18" width="49.6640625" style="1" customWidth="1"/>
    <col min="19" max="19" width="46.6640625" style="1" customWidth="1"/>
    <col min="20" max="20" width="58.6640625" style="1" customWidth="1"/>
    <col min="21" max="21" width="15.5" style="1" customWidth="1"/>
    <col min="22" max="22" width="15" style="1" customWidth="1"/>
    <col min="23" max="23" width="14.5" style="1" customWidth="1"/>
    <col min="24" max="24" width="15.5" style="1" customWidth="1"/>
    <col min="25" max="25" width="14.1640625" style="1" customWidth="1"/>
    <col min="26" max="26" width="13.83203125" style="2" customWidth="1"/>
    <col min="27" max="27" width="13.6640625" style="2" customWidth="1"/>
    <col min="28" max="28" width="14.5" style="2" customWidth="1"/>
    <col min="29" max="29" width="13.1640625" style="2" customWidth="1"/>
    <col min="30" max="30" width="14" style="2" customWidth="1"/>
    <col min="31" max="31" width="12.6640625" customWidth="1"/>
    <col min="32" max="32" width="14" customWidth="1"/>
    <col min="33" max="33" width="13.83203125" customWidth="1"/>
    <col min="34" max="34" width="12.83203125" customWidth="1"/>
    <col min="35" max="35" width="13.5" customWidth="1"/>
    <col min="36" max="36" width="16.83203125" style="21" customWidth="1"/>
    <col min="37" max="37" width="15.5" style="21" customWidth="1"/>
    <col min="38" max="38" width="15.6640625" style="21" customWidth="1"/>
    <col min="39" max="39" width="15.5" style="21" customWidth="1"/>
    <col min="40" max="40" width="16.33203125" style="21" customWidth="1"/>
    <col min="41" max="41" width="17.6640625" style="21" customWidth="1"/>
    <col min="42" max="42" width="16.5" style="21" customWidth="1"/>
    <col min="43" max="43" width="17.1640625" style="21" customWidth="1"/>
    <col min="44" max="44" width="18.33203125" style="21" customWidth="1"/>
    <col min="45" max="45" width="16.83203125" style="21" customWidth="1"/>
  </cols>
  <sheetData>
    <row r="1" spans="1:45" x14ac:dyDescent="0.2">
      <c r="A1" s="22" t="s">
        <v>0</v>
      </c>
      <c r="B1" s="23" t="s">
        <v>1</v>
      </c>
      <c r="C1" s="22" t="s">
        <v>2</v>
      </c>
      <c r="D1" s="24" t="s">
        <v>291</v>
      </c>
      <c r="E1" s="23" t="s">
        <v>292</v>
      </c>
      <c r="F1" s="23" t="s">
        <v>293</v>
      </c>
      <c r="G1" s="22" t="s">
        <v>294</v>
      </c>
      <c r="H1" s="25" t="s">
        <v>295</v>
      </c>
      <c r="I1" s="26" t="s">
        <v>296</v>
      </c>
      <c r="J1" s="22" t="s">
        <v>16</v>
      </c>
      <c r="K1" s="27" t="s">
        <v>297</v>
      </c>
      <c r="L1" s="27" t="s">
        <v>298</v>
      </c>
      <c r="M1" s="22" t="s">
        <v>299</v>
      </c>
      <c r="N1" s="27" t="s">
        <v>300</v>
      </c>
      <c r="O1" s="22" t="s">
        <v>301</v>
      </c>
      <c r="P1" s="22" t="s">
        <v>82</v>
      </c>
      <c r="Q1" s="22" t="s">
        <v>83</v>
      </c>
      <c r="R1" s="22" t="s">
        <v>84</v>
      </c>
      <c r="S1" s="22" t="s">
        <v>85</v>
      </c>
      <c r="T1" s="22" t="s">
        <v>86</v>
      </c>
      <c r="U1" s="22" t="s">
        <v>87</v>
      </c>
      <c r="V1" s="22" t="s">
        <v>88</v>
      </c>
      <c r="W1" s="22" t="s">
        <v>89</v>
      </c>
      <c r="X1" s="22" t="s">
        <v>90</v>
      </c>
      <c r="Y1" s="22" t="s">
        <v>91</v>
      </c>
      <c r="Z1" s="27" t="s">
        <v>92</v>
      </c>
      <c r="AA1" s="27" t="s">
        <v>93</v>
      </c>
      <c r="AB1" s="27" t="s">
        <v>94</v>
      </c>
      <c r="AC1" s="27" t="s">
        <v>95</v>
      </c>
      <c r="AD1" s="27" t="s">
        <v>96</v>
      </c>
      <c r="AE1" s="27" t="s">
        <v>97</v>
      </c>
      <c r="AF1" s="27" t="s">
        <v>98</v>
      </c>
      <c r="AG1" s="27" t="s">
        <v>99</v>
      </c>
      <c r="AH1" s="27" t="s">
        <v>100</v>
      </c>
      <c r="AI1" s="27" t="s">
        <v>101</v>
      </c>
      <c r="AJ1" s="28" t="s">
        <v>102</v>
      </c>
      <c r="AK1" s="28" t="s">
        <v>103</v>
      </c>
      <c r="AL1" s="28" t="s">
        <v>104</v>
      </c>
      <c r="AM1" s="28" t="s">
        <v>105</v>
      </c>
      <c r="AN1" s="28" t="s">
        <v>106</v>
      </c>
      <c r="AO1" s="28" t="s">
        <v>107</v>
      </c>
      <c r="AP1" s="28" t="s">
        <v>108</v>
      </c>
      <c r="AQ1" s="28" t="s">
        <v>109</v>
      </c>
      <c r="AR1" s="28" t="s">
        <v>110</v>
      </c>
      <c r="AS1" s="28" t="s">
        <v>111</v>
      </c>
    </row>
    <row r="2" spans="1:45" x14ac:dyDescent="0.2">
      <c r="A2" s="6" t="s">
        <v>223</v>
      </c>
      <c r="B2" s="22" t="s">
        <v>238</v>
      </c>
      <c r="C2" s="22" t="s">
        <v>225</v>
      </c>
      <c r="D2" s="24">
        <v>1234</v>
      </c>
      <c r="E2" s="22" t="s">
        <v>225</v>
      </c>
      <c r="F2" s="22" t="s">
        <v>225</v>
      </c>
      <c r="G2" s="22" t="s">
        <v>233</v>
      </c>
      <c r="H2" s="28">
        <v>0</v>
      </c>
      <c r="I2" s="27">
        <v>1</v>
      </c>
      <c r="J2" s="22" t="s">
        <v>225</v>
      </c>
      <c r="K2" s="27">
        <v>1</v>
      </c>
      <c r="L2" s="27">
        <v>1</v>
      </c>
      <c r="M2" s="22" t="s">
        <v>302</v>
      </c>
      <c r="N2" s="27" t="s">
        <v>303</v>
      </c>
      <c r="O2" s="22" t="s">
        <v>303</v>
      </c>
      <c r="P2" s="22" t="s">
        <v>241</v>
      </c>
      <c r="Q2" s="22" t="s">
        <v>241</v>
      </c>
      <c r="R2" s="22" t="s">
        <v>241</v>
      </c>
      <c r="S2" s="22" t="s">
        <v>241</v>
      </c>
      <c r="T2" s="22" t="s">
        <v>241</v>
      </c>
      <c r="U2" s="22" t="s">
        <v>233</v>
      </c>
      <c r="V2" s="22" t="s">
        <v>233</v>
      </c>
      <c r="W2" s="22" t="s">
        <v>233</v>
      </c>
      <c r="X2" s="22" t="s">
        <v>233</v>
      </c>
      <c r="Y2" s="22" t="s">
        <v>233</v>
      </c>
      <c r="Z2" s="27">
        <v>1</v>
      </c>
      <c r="AA2" s="27">
        <v>1</v>
      </c>
      <c r="AB2" s="27">
        <v>1</v>
      </c>
      <c r="AC2" s="27">
        <v>1</v>
      </c>
      <c r="AD2" s="27">
        <v>1</v>
      </c>
      <c r="AE2" s="27" t="s">
        <v>235</v>
      </c>
      <c r="AF2" s="27" t="s">
        <v>235</v>
      </c>
      <c r="AG2" s="27" t="s">
        <v>235</v>
      </c>
      <c r="AH2" s="27" t="s">
        <v>235</v>
      </c>
      <c r="AI2" s="27" t="s">
        <v>235</v>
      </c>
      <c r="AJ2" s="28">
        <v>0</v>
      </c>
      <c r="AK2" s="28">
        <v>0</v>
      </c>
      <c r="AL2" s="28">
        <v>0</v>
      </c>
      <c r="AM2" s="28">
        <v>0</v>
      </c>
      <c r="AN2" s="28">
        <v>0</v>
      </c>
      <c r="AO2" s="28">
        <v>0</v>
      </c>
      <c r="AP2" s="28">
        <v>0</v>
      </c>
      <c r="AQ2" s="28">
        <v>0</v>
      </c>
      <c r="AR2" s="28">
        <v>0</v>
      </c>
      <c r="AS2" s="28">
        <v>0</v>
      </c>
    </row>
    <row r="3" spans="1:45" x14ac:dyDescent="0.2">
      <c r="A3" s="1" t="s">
        <v>242</v>
      </c>
      <c r="B3" s="13" t="s">
        <v>243</v>
      </c>
      <c r="C3" s="12" t="s">
        <v>225</v>
      </c>
      <c r="D3" s="20">
        <v>1</v>
      </c>
      <c r="E3" s="1" t="s">
        <v>261</v>
      </c>
      <c r="F3" s="1" t="s">
        <v>304</v>
      </c>
      <c r="H3" s="21">
        <v>1000.98</v>
      </c>
      <c r="I3" s="2">
        <v>40323</v>
      </c>
      <c r="J3" s="1" t="s">
        <v>252</v>
      </c>
      <c r="K3" s="2">
        <v>40309</v>
      </c>
      <c r="L3" s="2">
        <v>40310</v>
      </c>
      <c r="M3" s="1" t="s">
        <v>305</v>
      </c>
      <c r="N3" t="s">
        <v>306</v>
      </c>
      <c r="O3" s="1" t="s">
        <v>307</v>
      </c>
      <c r="P3" s="1" t="s">
        <v>308</v>
      </c>
      <c r="Q3" s="1" t="s">
        <v>309</v>
      </c>
      <c r="R3" s="1" t="s">
        <v>310</v>
      </c>
      <c r="S3" s="1" t="s">
        <v>311</v>
      </c>
      <c r="T3" s="1" t="s">
        <v>312</v>
      </c>
      <c r="U3" s="1" t="s">
        <v>226</v>
      </c>
      <c r="V3" s="1" t="s">
        <v>313</v>
      </c>
      <c r="W3" s="1" t="s">
        <v>314</v>
      </c>
      <c r="X3" s="1" t="s">
        <v>315</v>
      </c>
      <c r="Y3" s="1" t="s">
        <v>316</v>
      </c>
      <c r="Z3" s="2">
        <v>40299</v>
      </c>
      <c r="AA3" s="2">
        <v>40300</v>
      </c>
      <c r="AB3" s="2">
        <v>40301</v>
      </c>
      <c r="AC3" s="2">
        <v>40302</v>
      </c>
      <c r="AD3" s="2">
        <v>40303</v>
      </c>
      <c r="AE3" t="s">
        <v>235</v>
      </c>
      <c r="AF3" t="s">
        <v>260</v>
      </c>
      <c r="AG3" t="s">
        <v>235</v>
      </c>
      <c r="AH3" t="s">
        <v>260</v>
      </c>
      <c r="AI3" t="s">
        <v>235</v>
      </c>
      <c r="AJ3" s="21">
        <v>1000.11</v>
      </c>
      <c r="AK3" s="21">
        <v>1000.12</v>
      </c>
      <c r="AL3" s="21">
        <v>1000.13</v>
      </c>
      <c r="AM3" s="21">
        <v>1000.14</v>
      </c>
      <c r="AN3" s="21">
        <v>1000.15</v>
      </c>
      <c r="AO3" s="21">
        <v>2000.11</v>
      </c>
      <c r="AP3" s="21">
        <v>2000.12</v>
      </c>
      <c r="AQ3" s="21">
        <v>2000.13</v>
      </c>
      <c r="AR3" s="21">
        <v>2000.14</v>
      </c>
      <c r="AS3" s="21">
        <v>2000.15</v>
      </c>
    </row>
  </sheetData>
  <pageMargins left="0.7" right="0.7" top="0.75" bottom="0.75" header="0.3" footer="0.3"/>
  <pageSetup paperSize="9" scale="30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zoomScaleNormal="100" workbookViewId="0">
      <selection activeCell="D1" sqref="D1"/>
    </sheetView>
  </sheetViews>
  <sheetFormatPr baseColWidth="10" defaultColWidth="8.83203125" defaultRowHeight="15" x14ac:dyDescent="0.2"/>
  <cols>
    <col min="1" max="1" width="22.1640625" style="1" customWidth="1"/>
    <col min="2" max="2" width="28" style="1" customWidth="1"/>
    <col min="3" max="3" width="81.5" style="29" customWidth="1"/>
    <col min="4" max="4" width="20.1640625" style="1" customWidth="1"/>
    <col min="5" max="5" width="22.5" style="1" customWidth="1"/>
    <col min="6" max="6" width="12.5" style="2" customWidth="1"/>
    <col min="7" max="7" width="45" style="1" customWidth="1"/>
    <col min="8" max="8" width="48.33203125" style="1" customWidth="1"/>
  </cols>
  <sheetData>
    <row r="1" spans="1:8" ht="16" x14ac:dyDescent="0.2">
      <c r="A1" s="22" t="s">
        <v>0</v>
      </c>
      <c r="B1" s="23" t="s">
        <v>317</v>
      </c>
      <c r="C1" s="30" t="s">
        <v>318</v>
      </c>
      <c r="D1" s="22" t="s">
        <v>420</v>
      </c>
      <c r="E1" s="22" t="s">
        <v>319</v>
      </c>
      <c r="F1" s="22" t="s">
        <v>320</v>
      </c>
      <c r="G1" s="22" t="s">
        <v>321</v>
      </c>
      <c r="H1" s="23" t="s">
        <v>322</v>
      </c>
    </row>
    <row r="2" spans="1:8" ht="409.6" x14ac:dyDescent="0.2">
      <c r="A2" s="6" t="s">
        <v>223</v>
      </c>
      <c r="B2" s="22" t="s">
        <v>237</v>
      </c>
      <c r="C2" s="31" t="s">
        <v>323</v>
      </c>
      <c r="D2" s="22" t="s">
        <v>303</v>
      </c>
      <c r="E2" s="22" t="s">
        <v>303</v>
      </c>
      <c r="F2" s="22" t="s">
        <v>229</v>
      </c>
      <c r="G2" s="22" t="s">
        <v>240</v>
      </c>
      <c r="H2" s="22" t="s">
        <v>324</v>
      </c>
    </row>
    <row r="3" spans="1:8" ht="16" x14ac:dyDescent="0.2">
      <c r="A3" s="1" t="s">
        <v>242</v>
      </c>
      <c r="B3" s="1" t="s">
        <v>325</v>
      </c>
      <c r="C3" s="29" t="s">
        <v>326</v>
      </c>
      <c r="D3" s="1" t="s">
        <v>327</v>
      </c>
      <c r="E3" s="12" t="s">
        <v>243</v>
      </c>
      <c r="F3" s="2">
        <v>40322</v>
      </c>
      <c r="H3" s="1" t="s">
        <v>328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P3"/>
  <sheetViews>
    <sheetView zoomScaleNormal="100" workbookViewId="0"/>
  </sheetViews>
  <sheetFormatPr baseColWidth="10" defaultColWidth="8.83203125" defaultRowHeight="15" x14ac:dyDescent="0.2"/>
  <cols>
    <col min="1" max="1" width="18.6640625" customWidth="1"/>
    <col min="2" max="2" width="16.83203125" style="1" customWidth="1"/>
    <col min="4" max="4" width="16.1640625" customWidth="1"/>
    <col min="5" max="5" width="22.5" style="1" customWidth="1"/>
    <col min="6" max="6" width="31.33203125" customWidth="1"/>
    <col min="7" max="7" width="26.33203125" customWidth="1"/>
    <col min="8" max="8" width="14.5" style="2" customWidth="1"/>
    <col min="10" max="10" width="15" customWidth="1"/>
    <col min="11" max="11" width="31.83203125" customWidth="1"/>
    <col min="12" max="12" width="24.6640625" customWidth="1"/>
    <col min="13" max="13" width="20.6640625" style="1" customWidth="1"/>
    <col min="14" max="15" width="16.83203125" customWidth="1"/>
    <col min="16" max="17" width="17" customWidth="1"/>
    <col min="18" max="18" width="16.83203125" customWidth="1"/>
    <col min="20" max="20" width="14.33203125" style="1" customWidth="1"/>
    <col min="21" max="21" width="94.33203125" customWidth="1"/>
    <col min="22" max="24" width="100.5" customWidth="1"/>
    <col min="25" max="25" width="13.83203125" customWidth="1"/>
    <col min="26" max="26" width="18.5" style="1" customWidth="1"/>
    <col min="27" max="27" width="15.33203125" style="1" customWidth="1"/>
    <col min="28" max="29" width="15.5" style="1" customWidth="1"/>
    <col min="30" max="30" width="28.33203125" style="1" customWidth="1"/>
    <col min="31" max="32" width="31.1640625" style="1" customWidth="1"/>
    <col min="33" max="33" width="24.6640625" customWidth="1"/>
    <col min="34" max="34" width="17.5" customWidth="1"/>
    <col min="35" max="35" width="31.1640625" style="1" customWidth="1"/>
    <col min="36" max="36" width="49" customWidth="1"/>
    <col min="37" max="37" width="53.33203125" customWidth="1"/>
    <col min="38" max="38" width="26.6640625" customWidth="1"/>
    <col min="39" max="39" width="15.83203125" customWidth="1"/>
    <col min="40" max="40" width="22" style="1" customWidth="1"/>
    <col min="41" max="41" width="15.33203125" customWidth="1"/>
    <col min="42" max="42" width="27.33203125" style="1" customWidth="1"/>
    <col min="43" max="43" width="25.5" style="1" customWidth="1"/>
    <col min="44" max="44" width="14.33203125" customWidth="1"/>
    <col min="45" max="45" width="17.5" customWidth="1"/>
    <col min="46" max="46" width="14.5" customWidth="1"/>
    <col min="47" max="47" width="18.83203125" customWidth="1"/>
    <col min="48" max="48" width="12.5" customWidth="1"/>
    <col min="49" max="49" width="16.33203125" customWidth="1"/>
    <col min="50" max="50" width="12.33203125" customWidth="1"/>
    <col min="51" max="51" width="13.6640625" customWidth="1"/>
    <col min="52" max="52" width="11.5" customWidth="1"/>
    <col min="53" max="53" width="12.5" customWidth="1"/>
    <col min="54" max="54" width="23.6640625" customWidth="1"/>
    <col min="55" max="55" width="16" customWidth="1"/>
    <col min="56" max="56" width="10.83203125" customWidth="1"/>
    <col min="57" max="57" width="11.5" customWidth="1"/>
    <col min="58" max="58" width="18.83203125" customWidth="1"/>
    <col min="59" max="59" width="38.5" style="1" customWidth="1"/>
    <col min="60" max="60" width="18" style="1" customWidth="1"/>
    <col min="61" max="61" width="31.6640625" customWidth="1"/>
    <col min="62" max="62" width="29.83203125" customWidth="1"/>
    <col min="63" max="63" width="26.5" customWidth="1"/>
    <col min="64" max="64" width="26.6640625" customWidth="1"/>
    <col min="65" max="65" width="28.5" customWidth="1"/>
    <col min="66" max="66" width="22" customWidth="1"/>
    <col min="67" max="67" width="18.5" customWidth="1"/>
    <col min="68" max="68" width="21.83203125" customWidth="1"/>
    <col min="69" max="69" width="27.5" style="1" customWidth="1"/>
    <col min="70" max="70" width="17.5" style="1" customWidth="1"/>
    <col min="71" max="71" width="19.83203125" style="1" customWidth="1"/>
    <col min="72" max="72" width="13.5" customWidth="1"/>
    <col min="73" max="73" width="24.83203125" customWidth="1"/>
    <col min="74" max="74" width="23.1640625" style="1" customWidth="1"/>
    <col min="75" max="75" width="20" customWidth="1"/>
    <col min="76" max="76" width="17.6640625" customWidth="1"/>
    <col min="77" max="77" width="40.6640625" customWidth="1"/>
    <col min="78" max="78" width="14.1640625" customWidth="1"/>
    <col min="79" max="79" width="17.83203125" customWidth="1"/>
    <col min="80" max="81" width="28.5" customWidth="1"/>
    <col min="82" max="82" width="19.33203125" customWidth="1"/>
    <col min="83" max="83" width="17.5" customWidth="1"/>
    <col min="84" max="84" width="26.1640625" customWidth="1"/>
    <col min="85" max="85" width="29" customWidth="1"/>
    <col min="86" max="86" width="29.33203125" customWidth="1"/>
    <col min="87" max="87" width="27.5" customWidth="1"/>
    <col min="88" max="88" width="33.1640625" customWidth="1"/>
    <col min="89" max="89" width="14.1640625" style="1" customWidth="1"/>
    <col min="90" max="90" width="14.6640625" style="1" customWidth="1"/>
    <col min="91" max="91" width="14.83203125" style="1" customWidth="1"/>
    <col min="92" max="92" width="14.5" style="1" customWidth="1"/>
    <col min="93" max="93" width="14.33203125" style="1" customWidth="1"/>
    <col min="94" max="94" width="13.6640625" customWidth="1"/>
    <col min="95" max="95" width="13.83203125" customWidth="1"/>
    <col min="96" max="96" width="13.33203125" customWidth="1"/>
    <col min="97" max="97" width="13.5" customWidth="1"/>
    <col min="98" max="98" width="13.33203125" customWidth="1"/>
    <col min="99" max="99" width="13.1640625" customWidth="1"/>
    <col min="100" max="100" width="13" customWidth="1"/>
    <col min="101" max="101" width="13.5" customWidth="1"/>
    <col min="102" max="102" width="13.1640625" customWidth="1"/>
    <col min="103" max="103" width="13.33203125" customWidth="1"/>
    <col min="104" max="104" width="18.33203125" customWidth="1"/>
    <col min="105" max="105" width="18.5" customWidth="1"/>
    <col min="106" max="106" width="16.6640625" customWidth="1"/>
    <col min="107" max="107" width="17.6640625" customWidth="1"/>
    <col min="108" max="108" width="17" customWidth="1"/>
    <col min="109" max="109" width="19.83203125" customWidth="1"/>
    <col min="110" max="110" width="19.5" customWidth="1"/>
    <col min="111" max="111" width="21" customWidth="1"/>
    <col min="112" max="112" width="17.83203125" customWidth="1"/>
    <col min="113" max="113" width="17.5" customWidth="1"/>
    <col min="114" max="114" width="15.33203125" customWidth="1"/>
    <col min="115" max="115" width="14.5" customWidth="1"/>
    <col min="116" max="116" width="16.1640625" customWidth="1"/>
    <col min="117" max="117" width="14.83203125" customWidth="1"/>
    <col min="118" max="118" width="16.33203125" customWidth="1"/>
    <col min="119" max="119" width="15.1640625" style="1" customWidth="1"/>
    <col min="120" max="120" width="16" style="1" customWidth="1"/>
    <col min="121" max="121" width="16.1640625" style="1" customWidth="1"/>
    <col min="122" max="122" width="16.83203125" style="1" customWidth="1"/>
    <col min="123" max="123" width="16.6640625" style="1" customWidth="1"/>
    <col min="124" max="124" width="13.5" customWidth="1"/>
    <col min="125" max="125" width="13.33203125" customWidth="1"/>
    <col min="126" max="126" width="15.5" customWidth="1"/>
    <col min="127" max="127" width="15.1640625" customWidth="1"/>
    <col min="128" max="128" width="14.5" customWidth="1"/>
    <col min="129" max="129" width="14.33203125" customWidth="1"/>
    <col min="130" max="130" width="13.6640625" customWidth="1"/>
    <col min="131" max="131" width="14.1640625" customWidth="1"/>
    <col min="132" max="133" width="14.5" customWidth="1"/>
    <col min="134" max="134" width="16" customWidth="1"/>
    <col min="135" max="135" width="18" customWidth="1"/>
    <col min="136" max="136" width="15.83203125" customWidth="1"/>
    <col min="137" max="137" width="15.5" customWidth="1"/>
    <col min="138" max="138" width="17.83203125" customWidth="1"/>
    <col min="139" max="139" width="19.6640625" customWidth="1"/>
    <col min="140" max="140" width="16.33203125" customWidth="1"/>
    <col min="141" max="141" width="19.5" customWidth="1"/>
    <col min="142" max="142" width="17.5" customWidth="1"/>
    <col min="143" max="143" width="18.83203125" customWidth="1"/>
    <col min="144" max="144" width="17.5" customWidth="1"/>
    <col min="145" max="145" width="29.5" customWidth="1"/>
    <col min="146" max="146" width="24.1640625" customWidth="1"/>
    <col min="147" max="147" width="23" customWidth="1"/>
    <col min="148" max="148" width="30.83203125" customWidth="1"/>
    <col min="149" max="149" width="33.6640625" customWidth="1"/>
    <col min="150" max="150" width="36.33203125" customWidth="1"/>
    <col min="151" max="151" width="31" customWidth="1"/>
    <col min="152" max="152" width="42.83203125" customWidth="1"/>
    <col min="153" max="153" width="29.83203125" customWidth="1"/>
    <col min="154" max="154" width="46.1640625" customWidth="1"/>
    <col min="155" max="155" width="36.6640625" customWidth="1"/>
    <col min="156" max="156" width="46.5" customWidth="1"/>
    <col min="157" max="157" width="41.33203125" customWidth="1"/>
    <col min="158" max="158" width="50.5" customWidth="1"/>
    <col min="159" max="159" width="48.5" customWidth="1"/>
    <col min="160" max="160" width="42.5" customWidth="1"/>
    <col min="161" max="161" width="54.83203125" customWidth="1"/>
    <col min="162" max="162" width="47.5" customWidth="1"/>
    <col min="163" max="163" width="47.6640625" customWidth="1"/>
    <col min="164" max="164" width="57" customWidth="1"/>
    <col min="165" max="165" width="15.6640625" style="1" customWidth="1"/>
    <col min="166" max="166" width="14.5" style="1" customWidth="1"/>
    <col min="167" max="168" width="15.5" style="1" customWidth="1"/>
    <col min="169" max="169" width="15" style="1" customWidth="1"/>
    <col min="170" max="170" width="18.5" style="1" customWidth="1"/>
    <col min="171" max="171" width="14.5" style="1" customWidth="1"/>
    <col min="172" max="172" width="15.5" style="1" customWidth="1"/>
    <col min="173" max="173" width="16" style="1" customWidth="1"/>
    <col min="174" max="174" width="16.5" style="1" customWidth="1"/>
    <col min="175" max="175" width="15" style="1" customWidth="1"/>
    <col min="176" max="176" width="14.83203125" style="1" customWidth="1"/>
    <col min="177" max="177" width="16.1640625" style="1" customWidth="1"/>
    <col min="178" max="178" width="16" style="1" customWidth="1"/>
    <col min="179" max="179" width="16.5" style="1" customWidth="1"/>
    <col min="180" max="180" width="14.83203125" style="1" customWidth="1"/>
    <col min="181" max="181" width="14.6640625" style="1" customWidth="1"/>
    <col min="182" max="182" width="16" style="1" customWidth="1"/>
    <col min="183" max="183" width="15" style="1" customWidth="1"/>
    <col min="184" max="184" width="15.83203125" style="1" customWidth="1"/>
    <col min="185" max="185" width="14.5" customWidth="1"/>
    <col min="186" max="186" width="15.5" customWidth="1"/>
    <col min="187" max="187" width="15.33203125" customWidth="1"/>
    <col min="188" max="188" width="14.6640625" customWidth="1"/>
    <col min="189" max="189" width="15.5" customWidth="1"/>
    <col min="190" max="190" width="15" customWidth="1"/>
    <col min="191" max="191" width="15.83203125" customWidth="1"/>
    <col min="192" max="192" width="14.6640625" customWidth="1"/>
    <col min="193" max="204" width="14.83203125" customWidth="1"/>
    <col min="205" max="214" width="14.33203125" customWidth="1"/>
  </cols>
  <sheetData>
    <row r="1" spans="1:224" x14ac:dyDescent="0.2">
      <c r="A1" s="3" t="s">
        <v>0</v>
      </c>
      <c r="B1" s="3" t="s">
        <v>329</v>
      </c>
      <c r="C1" s="4" t="s">
        <v>2</v>
      </c>
      <c r="D1" s="5" t="s">
        <v>330</v>
      </c>
      <c r="E1" s="6" t="s">
        <v>4</v>
      </c>
      <c r="F1" s="6" t="s">
        <v>5</v>
      </c>
      <c r="G1" s="7" t="s">
        <v>6</v>
      </c>
      <c r="H1" s="8" t="s">
        <v>7</v>
      </c>
      <c r="I1" s="7" t="s">
        <v>8</v>
      </c>
      <c r="J1" s="9" t="s">
        <v>9</v>
      </c>
      <c r="K1" s="9" t="s">
        <v>15</v>
      </c>
      <c r="L1" s="7" t="s">
        <v>10</v>
      </c>
      <c r="M1" s="9" t="s">
        <v>13</v>
      </c>
      <c r="N1" s="7" t="s">
        <v>331</v>
      </c>
      <c r="O1" s="7" t="s">
        <v>332</v>
      </c>
      <c r="P1" s="7" t="s">
        <v>14</v>
      </c>
      <c r="Q1" s="7" t="s">
        <v>333</v>
      </c>
      <c r="R1" s="7" t="s">
        <v>334</v>
      </c>
      <c r="S1" s="9" t="s">
        <v>16</v>
      </c>
      <c r="T1" s="7" t="s">
        <v>17</v>
      </c>
      <c r="U1" s="9" t="s">
        <v>18</v>
      </c>
      <c r="V1" s="7" t="s">
        <v>19</v>
      </c>
      <c r="W1" s="7" t="s">
        <v>335</v>
      </c>
      <c r="X1" s="7" t="s">
        <v>336</v>
      </c>
      <c r="Y1" s="7" t="s">
        <v>20</v>
      </c>
      <c r="Z1" s="7" t="s">
        <v>21</v>
      </c>
      <c r="AA1" s="7" t="s">
        <v>22</v>
      </c>
      <c r="AB1" s="7" t="s">
        <v>23</v>
      </c>
      <c r="AC1" s="7" t="s">
        <v>24</v>
      </c>
      <c r="AD1" s="7" t="s">
        <v>39</v>
      </c>
      <c r="AE1" s="7" t="s">
        <v>40</v>
      </c>
      <c r="AF1" s="7" t="s">
        <v>337</v>
      </c>
      <c r="AG1" s="7" t="s">
        <v>338</v>
      </c>
      <c r="AH1" s="7" t="s">
        <v>41</v>
      </c>
      <c r="AI1" s="7" t="s">
        <v>339</v>
      </c>
      <c r="AJ1" s="7" t="s">
        <v>47</v>
      </c>
      <c r="AK1" s="7" t="s">
        <v>48</v>
      </c>
      <c r="AL1" s="7" t="s">
        <v>49</v>
      </c>
      <c r="AM1" s="7" t="s">
        <v>50</v>
      </c>
      <c r="AN1" s="7" t="s">
        <v>51</v>
      </c>
      <c r="AO1" s="7" t="s">
        <v>52</v>
      </c>
      <c r="AP1" s="7" t="s">
        <v>53</v>
      </c>
      <c r="AQ1" s="7" t="s">
        <v>54</v>
      </c>
      <c r="AR1" s="7" t="s">
        <v>42</v>
      </c>
      <c r="AS1" s="7" t="s">
        <v>43</v>
      </c>
      <c r="AT1" s="7" t="s">
        <v>44</v>
      </c>
      <c r="AU1" s="7" t="s">
        <v>45</v>
      </c>
      <c r="AV1" s="7" t="s">
        <v>340</v>
      </c>
      <c r="AW1" s="7" t="s">
        <v>341</v>
      </c>
      <c r="AX1" s="7" t="s">
        <v>46</v>
      </c>
      <c r="AY1" s="7" t="s">
        <v>55</v>
      </c>
      <c r="AZ1" s="7" t="s">
        <v>56</v>
      </c>
      <c r="BA1" s="7" t="s">
        <v>57</v>
      </c>
      <c r="BB1" s="7" t="s">
        <v>58</v>
      </c>
      <c r="BC1" s="7" t="s">
        <v>59</v>
      </c>
      <c r="BD1" s="7" t="s">
        <v>60</v>
      </c>
      <c r="BE1" s="7" t="s">
        <v>61</v>
      </c>
      <c r="BF1" s="7" t="s">
        <v>62</v>
      </c>
      <c r="BG1" s="7" t="s">
        <v>63</v>
      </c>
      <c r="BH1" s="7" t="s">
        <v>342</v>
      </c>
      <c r="BI1" s="7" t="s">
        <v>64</v>
      </c>
      <c r="BJ1" s="7" t="s">
        <v>65</v>
      </c>
      <c r="BK1" s="7" t="s">
        <v>66</v>
      </c>
      <c r="BL1" s="7" t="s">
        <v>343</v>
      </c>
      <c r="BM1" s="7" t="s">
        <v>78</v>
      </c>
      <c r="BN1" s="7" t="s">
        <v>344</v>
      </c>
      <c r="BO1" s="7" t="s">
        <v>67</v>
      </c>
      <c r="BP1" s="7" t="s">
        <v>68</v>
      </c>
      <c r="BQ1" s="7" t="s">
        <v>69</v>
      </c>
      <c r="BR1" s="7" t="s">
        <v>70</v>
      </c>
      <c r="BS1" s="7" t="s">
        <v>71</v>
      </c>
      <c r="BT1" s="7" t="s">
        <v>72</v>
      </c>
      <c r="BU1" s="7" t="s">
        <v>73</v>
      </c>
      <c r="BV1" s="7" t="s">
        <v>74</v>
      </c>
      <c r="BW1" s="7" t="s">
        <v>75</v>
      </c>
      <c r="BX1" s="7" t="s">
        <v>76</v>
      </c>
      <c r="BY1" s="7" t="s">
        <v>77</v>
      </c>
      <c r="BZ1" s="7" t="s">
        <v>79</v>
      </c>
      <c r="CA1" s="7" t="s">
        <v>345</v>
      </c>
      <c r="CB1" s="7" t="s">
        <v>346</v>
      </c>
      <c r="CC1" s="7" t="s">
        <v>347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91</v>
      </c>
      <c r="CP1" s="7" t="s">
        <v>92</v>
      </c>
      <c r="CQ1" s="7" t="s">
        <v>93</v>
      </c>
      <c r="CR1" s="7" t="s">
        <v>94</v>
      </c>
      <c r="CS1" s="7" t="s">
        <v>95</v>
      </c>
      <c r="CT1" s="7" t="s">
        <v>96</v>
      </c>
      <c r="CU1" s="7" t="s">
        <v>97</v>
      </c>
      <c r="CV1" s="7" t="s">
        <v>98</v>
      </c>
      <c r="CW1" s="7" t="s">
        <v>99</v>
      </c>
      <c r="CX1" s="7" t="s">
        <v>100</v>
      </c>
      <c r="CY1" s="7" t="s">
        <v>101</v>
      </c>
      <c r="CZ1" s="7" t="s">
        <v>102</v>
      </c>
      <c r="DA1" s="7" t="s">
        <v>103</v>
      </c>
      <c r="DB1" s="7" t="s">
        <v>104</v>
      </c>
      <c r="DC1" s="7" t="s">
        <v>105</v>
      </c>
      <c r="DD1" s="7" t="s">
        <v>106</v>
      </c>
      <c r="DE1" s="7" t="s">
        <v>107</v>
      </c>
      <c r="DF1" s="7" t="s">
        <v>108</v>
      </c>
      <c r="DG1" s="7" t="s">
        <v>109</v>
      </c>
      <c r="DH1" s="7" t="s">
        <v>110</v>
      </c>
      <c r="DI1" s="7" t="s">
        <v>111</v>
      </c>
      <c r="DJ1" s="7" t="s">
        <v>112</v>
      </c>
      <c r="DK1" s="7" t="s">
        <v>113</v>
      </c>
      <c r="DL1" s="7" t="s">
        <v>114</v>
      </c>
      <c r="DM1" s="7" t="s">
        <v>115</v>
      </c>
      <c r="DN1" s="7" t="s">
        <v>116</v>
      </c>
      <c r="DO1" s="7" t="s">
        <v>117</v>
      </c>
      <c r="DP1" s="7" t="s">
        <v>118</v>
      </c>
      <c r="DQ1" s="7" t="s">
        <v>119</v>
      </c>
      <c r="DR1" s="7" t="s">
        <v>120</v>
      </c>
      <c r="DS1" s="7" t="s">
        <v>121</v>
      </c>
      <c r="DT1" s="7" t="s">
        <v>122</v>
      </c>
      <c r="DU1" s="7" t="s">
        <v>123</v>
      </c>
      <c r="DV1" s="7" t="s">
        <v>124</v>
      </c>
      <c r="DW1" s="7" t="s">
        <v>125</v>
      </c>
      <c r="DX1" s="7" t="s">
        <v>126</v>
      </c>
      <c r="DY1" s="7" t="s">
        <v>127</v>
      </c>
      <c r="DZ1" s="7" t="s">
        <v>128</v>
      </c>
      <c r="EA1" s="7" t="s">
        <v>129</v>
      </c>
      <c r="EB1" s="7" t="s">
        <v>130</v>
      </c>
      <c r="EC1" s="7" t="s">
        <v>131</v>
      </c>
      <c r="ED1" s="7" t="s">
        <v>132</v>
      </c>
      <c r="EE1" s="7" t="s">
        <v>133</v>
      </c>
      <c r="EF1" s="7" t="s">
        <v>134</v>
      </c>
      <c r="EG1" s="7" t="s">
        <v>135</v>
      </c>
      <c r="EH1" s="7" t="s">
        <v>136</v>
      </c>
      <c r="EI1" s="7" t="s">
        <v>137</v>
      </c>
      <c r="EJ1" s="7" t="s">
        <v>138</v>
      </c>
      <c r="EK1" s="7" t="s">
        <v>139</v>
      </c>
      <c r="EL1" s="7" t="s">
        <v>140</v>
      </c>
      <c r="EM1" s="7" t="s">
        <v>141</v>
      </c>
      <c r="EN1" s="7" t="s">
        <v>142</v>
      </c>
      <c r="EO1" s="7" t="s">
        <v>143</v>
      </c>
      <c r="EP1" s="7" t="s">
        <v>144</v>
      </c>
      <c r="EQ1" s="7" t="s">
        <v>145</v>
      </c>
      <c r="ER1" s="7" t="s">
        <v>146</v>
      </c>
      <c r="ES1" s="7" t="s">
        <v>147</v>
      </c>
      <c r="ET1" s="7" t="s">
        <v>148</v>
      </c>
      <c r="EU1" s="7" t="s">
        <v>149</v>
      </c>
      <c r="EV1" s="7" t="s">
        <v>150</v>
      </c>
      <c r="EW1" s="7" t="s">
        <v>151</v>
      </c>
      <c r="EX1" s="7" t="s">
        <v>152</v>
      </c>
      <c r="EY1" s="7" t="s">
        <v>153</v>
      </c>
      <c r="EZ1" s="7" t="s">
        <v>154</v>
      </c>
      <c r="FA1" s="7" t="s">
        <v>155</v>
      </c>
      <c r="FB1" s="7" t="s">
        <v>156</v>
      </c>
      <c r="FC1" s="7" t="s">
        <v>157</v>
      </c>
      <c r="FD1" s="7" t="s">
        <v>158</v>
      </c>
      <c r="FE1" s="7" t="s">
        <v>159</v>
      </c>
      <c r="FF1" s="7" t="s">
        <v>160</v>
      </c>
      <c r="FG1" s="7" t="s">
        <v>161</v>
      </c>
      <c r="FH1" s="7" t="s">
        <v>162</v>
      </c>
      <c r="FI1" s="7" t="s">
        <v>163</v>
      </c>
      <c r="FJ1" s="7" t="s">
        <v>164</v>
      </c>
      <c r="FK1" s="7" t="s">
        <v>165</v>
      </c>
      <c r="FL1" s="7" t="s">
        <v>166</v>
      </c>
      <c r="FM1" s="7" t="s">
        <v>167</v>
      </c>
      <c r="FN1" s="7" t="s">
        <v>168</v>
      </c>
      <c r="FO1" s="7" t="s">
        <v>169</v>
      </c>
      <c r="FP1" s="7" t="s">
        <v>170</v>
      </c>
      <c r="FQ1" s="7" t="s">
        <v>171</v>
      </c>
      <c r="FR1" s="7" t="s">
        <v>172</v>
      </c>
      <c r="FS1" s="7" t="s">
        <v>173</v>
      </c>
      <c r="FT1" s="7" t="s">
        <v>174</v>
      </c>
      <c r="FU1" s="7" t="s">
        <v>175</v>
      </c>
      <c r="FV1" s="7" t="s">
        <v>176</v>
      </c>
      <c r="FW1" s="7" t="s">
        <v>177</v>
      </c>
      <c r="FX1" s="7" t="s">
        <v>178</v>
      </c>
      <c r="FY1" s="7" t="s">
        <v>179</v>
      </c>
      <c r="FZ1" s="7" t="s">
        <v>180</v>
      </c>
      <c r="GA1" s="7" t="s">
        <v>181</v>
      </c>
      <c r="GB1" s="7" t="s">
        <v>182</v>
      </c>
      <c r="GC1" s="7" t="s">
        <v>183</v>
      </c>
      <c r="GD1" s="7" t="s">
        <v>184</v>
      </c>
      <c r="GE1" s="7" t="s">
        <v>185</v>
      </c>
      <c r="GF1" s="7" t="s">
        <v>186</v>
      </c>
      <c r="GG1" s="7" t="s">
        <v>187</v>
      </c>
      <c r="GH1" s="7" t="s">
        <v>188</v>
      </c>
      <c r="GI1" s="7" t="s">
        <v>189</v>
      </c>
      <c r="GJ1" s="7" t="s">
        <v>190</v>
      </c>
      <c r="GK1" s="7" t="s">
        <v>191</v>
      </c>
      <c r="GL1" s="7" t="s">
        <v>192</v>
      </c>
      <c r="GM1" s="7" t="s">
        <v>193</v>
      </c>
      <c r="GN1" s="7" t="s">
        <v>194</v>
      </c>
      <c r="GO1" s="7" t="s">
        <v>195</v>
      </c>
      <c r="GP1" s="7" t="s">
        <v>196</v>
      </c>
      <c r="GQ1" s="7" t="s">
        <v>197</v>
      </c>
      <c r="GR1" s="7" t="s">
        <v>198</v>
      </c>
      <c r="GS1" s="7" t="s">
        <v>199</v>
      </c>
      <c r="GT1" s="7" t="s">
        <v>200</v>
      </c>
      <c r="GU1" s="7" t="s">
        <v>201</v>
      </c>
      <c r="GV1" s="7" t="s">
        <v>202</v>
      </c>
      <c r="GW1" s="7" t="s">
        <v>203</v>
      </c>
      <c r="GX1" s="7" t="s">
        <v>204</v>
      </c>
      <c r="GY1" s="7" t="s">
        <v>205</v>
      </c>
      <c r="GZ1" s="7" t="s">
        <v>206</v>
      </c>
      <c r="HA1" s="7" t="s">
        <v>207</v>
      </c>
      <c r="HB1" s="7" t="s">
        <v>208</v>
      </c>
      <c r="HC1" s="7" t="s">
        <v>209</v>
      </c>
      <c r="HD1" s="7" t="s">
        <v>210</v>
      </c>
      <c r="HE1" s="7" t="s">
        <v>211</v>
      </c>
      <c r="HF1" s="7" t="s">
        <v>212</v>
      </c>
      <c r="HG1" s="7" t="s">
        <v>213</v>
      </c>
      <c r="HH1" s="7" t="s">
        <v>214</v>
      </c>
      <c r="HI1" s="7" t="s">
        <v>215</v>
      </c>
      <c r="HJ1" s="7" t="s">
        <v>216</v>
      </c>
      <c r="HK1" s="7" t="s">
        <v>217</v>
      </c>
      <c r="HL1" s="7" t="s">
        <v>218</v>
      </c>
      <c r="HM1" s="7" t="s">
        <v>219</v>
      </c>
      <c r="HN1" s="7" t="s">
        <v>220</v>
      </c>
      <c r="HO1" s="7" t="s">
        <v>221</v>
      </c>
      <c r="HP1" s="7" t="s">
        <v>222</v>
      </c>
    </row>
    <row r="2" spans="1:224" x14ac:dyDescent="0.2">
      <c r="A2" s="6" t="s">
        <v>223</v>
      </c>
      <c r="B2" s="6" t="s">
        <v>224</v>
      </c>
      <c r="C2" s="4" t="s">
        <v>225</v>
      </c>
      <c r="D2" s="7" t="s">
        <v>227</v>
      </c>
      <c r="E2" s="6" t="s">
        <v>224</v>
      </c>
      <c r="G2" s="7" t="s">
        <v>227</v>
      </c>
      <c r="H2" s="10">
        <v>1</v>
      </c>
      <c r="I2" s="7" t="s">
        <v>228</v>
      </c>
      <c r="J2" s="10" t="s">
        <v>229</v>
      </c>
      <c r="K2" s="7" t="s">
        <v>227</v>
      </c>
      <c r="L2" s="10" t="s">
        <v>229</v>
      </c>
      <c r="M2" s="7" t="s">
        <v>230</v>
      </c>
      <c r="N2" s="6" t="s">
        <v>227</v>
      </c>
      <c r="O2" s="6" t="s">
        <v>227</v>
      </c>
      <c r="P2" s="7" t="s">
        <v>226</v>
      </c>
      <c r="Q2" s="6" t="s">
        <v>227</v>
      </c>
      <c r="R2" s="6" t="s">
        <v>237</v>
      </c>
      <c r="S2" s="7" t="s">
        <v>225</v>
      </c>
      <c r="T2" s="7" t="s">
        <v>231</v>
      </c>
      <c r="U2" s="7" t="s">
        <v>232</v>
      </c>
      <c r="V2" s="7" t="s">
        <v>232</v>
      </c>
      <c r="W2" s="7" t="s">
        <v>232</v>
      </c>
      <c r="X2" s="7" t="s">
        <v>232</v>
      </c>
      <c r="Y2" s="7" t="s">
        <v>225</v>
      </c>
      <c r="Z2" s="7" t="s">
        <v>348</v>
      </c>
      <c r="AA2" s="7" t="s">
        <v>348</v>
      </c>
      <c r="AB2" s="7" t="s">
        <v>348</v>
      </c>
      <c r="AC2" s="7" t="s">
        <v>348</v>
      </c>
      <c r="AD2" s="7" t="s">
        <v>236</v>
      </c>
      <c r="AE2" s="7" t="s">
        <v>227</v>
      </c>
      <c r="AF2" s="7" t="s">
        <v>227</v>
      </c>
      <c r="AG2" s="10" t="s">
        <v>229</v>
      </c>
      <c r="AH2" s="7" t="s">
        <v>235</v>
      </c>
      <c r="AI2" s="7" t="s">
        <v>237</v>
      </c>
      <c r="AJ2" s="7" t="s">
        <v>227</v>
      </c>
      <c r="AK2" s="7" t="s">
        <v>227</v>
      </c>
      <c r="AL2" s="7" t="s">
        <v>227</v>
      </c>
      <c r="AM2" s="7" t="s">
        <v>226</v>
      </c>
      <c r="AN2" s="7" t="s">
        <v>237</v>
      </c>
      <c r="AO2" s="7" t="s">
        <v>233</v>
      </c>
      <c r="AP2" s="7" t="s">
        <v>237</v>
      </c>
      <c r="AQ2" s="7" t="s">
        <v>237</v>
      </c>
      <c r="AR2" s="10" t="s">
        <v>229</v>
      </c>
      <c r="AS2" s="10" t="s">
        <v>229</v>
      </c>
      <c r="AT2" s="10" t="s">
        <v>229</v>
      </c>
      <c r="AU2" s="10" t="s">
        <v>229</v>
      </c>
      <c r="AV2" s="11" t="s">
        <v>228</v>
      </c>
      <c r="AW2" s="11" t="s">
        <v>235</v>
      </c>
      <c r="AX2" s="7" t="s">
        <v>225</v>
      </c>
      <c r="AY2" s="11" t="s">
        <v>228</v>
      </c>
      <c r="AZ2" s="7" t="s">
        <v>229</v>
      </c>
      <c r="BA2" s="7" t="s">
        <v>229</v>
      </c>
      <c r="BB2" s="11" t="s">
        <v>228</v>
      </c>
      <c r="BC2" s="7" t="s">
        <v>225</v>
      </c>
      <c r="BD2" s="7" t="s">
        <v>225</v>
      </c>
      <c r="BE2" s="7" t="s">
        <v>229</v>
      </c>
      <c r="BF2" s="11" t="s">
        <v>228</v>
      </c>
      <c r="BG2" s="7" t="s">
        <v>238</v>
      </c>
      <c r="BH2" s="7" t="s">
        <v>349</v>
      </c>
      <c r="BI2" s="7" t="s">
        <v>227</v>
      </c>
      <c r="BJ2" s="7" t="s">
        <v>227</v>
      </c>
      <c r="BK2" s="7" t="s">
        <v>227</v>
      </c>
      <c r="BL2" s="7" t="s">
        <v>238</v>
      </c>
      <c r="BM2" s="7" t="s">
        <v>227</v>
      </c>
      <c r="BN2" s="7" t="s">
        <v>228</v>
      </c>
      <c r="BO2" s="7" t="s">
        <v>225</v>
      </c>
      <c r="BP2" s="11" t="s">
        <v>234</v>
      </c>
      <c r="BQ2" s="7" t="s">
        <v>237</v>
      </c>
      <c r="BR2" s="7" t="s">
        <v>237</v>
      </c>
      <c r="BS2" s="7" t="s">
        <v>237</v>
      </c>
      <c r="BT2" s="11" t="s">
        <v>239</v>
      </c>
      <c r="BU2" s="7" t="s">
        <v>227</v>
      </c>
      <c r="BV2" s="7" t="s">
        <v>237</v>
      </c>
      <c r="BW2" s="7" t="s">
        <v>226</v>
      </c>
      <c r="BX2" s="7" t="s">
        <v>235</v>
      </c>
      <c r="BY2" s="7" t="s">
        <v>240</v>
      </c>
      <c r="BZ2" s="7" t="s">
        <v>235</v>
      </c>
      <c r="CA2" s="7" t="s">
        <v>235</v>
      </c>
      <c r="CB2" s="7" t="s">
        <v>227</v>
      </c>
      <c r="CC2" s="7" t="s">
        <v>227</v>
      </c>
      <c r="CD2" s="11" t="s">
        <v>234</v>
      </c>
      <c r="CE2" s="11" t="s">
        <v>234</v>
      </c>
      <c r="CF2" s="7" t="s">
        <v>241</v>
      </c>
      <c r="CG2" s="7" t="s">
        <v>241</v>
      </c>
      <c r="CH2" s="7" t="s">
        <v>241</v>
      </c>
      <c r="CI2" s="7" t="s">
        <v>241</v>
      </c>
      <c r="CJ2" s="7" t="s">
        <v>241</v>
      </c>
      <c r="CK2" s="7" t="s">
        <v>233</v>
      </c>
      <c r="CL2" s="7" t="s">
        <v>233</v>
      </c>
      <c r="CM2" s="7" t="s">
        <v>233</v>
      </c>
      <c r="CN2" s="7" t="s">
        <v>233</v>
      </c>
      <c r="CO2" s="7" t="s">
        <v>233</v>
      </c>
      <c r="CP2" s="10">
        <v>1</v>
      </c>
      <c r="CQ2" s="10">
        <v>1</v>
      </c>
      <c r="CR2" s="10">
        <v>1</v>
      </c>
      <c r="CS2" s="10">
        <v>1</v>
      </c>
      <c r="CT2" s="10">
        <v>1</v>
      </c>
      <c r="CU2" s="7" t="s">
        <v>235</v>
      </c>
      <c r="CV2" s="7" t="s">
        <v>235</v>
      </c>
      <c r="CW2" s="7" t="s">
        <v>235</v>
      </c>
      <c r="CX2" s="7" t="s">
        <v>235</v>
      </c>
      <c r="CY2" s="7" t="s">
        <v>235</v>
      </c>
      <c r="CZ2" s="11" t="s">
        <v>234</v>
      </c>
      <c r="DA2" s="11" t="s">
        <v>234</v>
      </c>
      <c r="DB2" s="11" t="s">
        <v>234</v>
      </c>
      <c r="DC2" s="11" t="s">
        <v>234</v>
      </c>
      <c r="DD2" s="11" t="s">
        <v>234</v>
      </c>
      <c r="DE2" s="11" t="s">
        <v>234</v>
      </c>
      <c r="DF2" s="11" t="s">
        <v>234</v>
      </c>
      <c r="DG2" s="11" t="s">
        <v>234</v>
      </c>
      <c r="DH2" s="11" t="s">
        <v>234</v>
      </c>
      <c r="DI2" s="11" t="s">
        <v>234</v>
      </c>
      <c r="DJ2" s="7" t="s">
        <v>241</v>
      </c>
      <c r="DK2" s="7" t="s">
        <v>241</v>
      </c>
      <c r="DL2" s="7" t="s">
        <v>241</v>
      </c>
      <c r="DM2" s="7" t="s">
        <v>241</v>
      </c>
      <c r="DN2" s="7" t="s">
        <v>241</v>
      </c>
      <c r="DO2" s="7" t="s">
        <v>233</v>
      </c>
      <c r="DP2" s="7" t="s">
        <v>233</v>
      </c>
      <c r="DQ2" s="7" t="s">
        <v>233</v>
      </c>
      <c r="DR2" s="7" t="s">
        <v>233</v>
      </c>
      <c r="DS2" s="7" t="s">
        <v>233</v>
      </c>
      <c r="DT2" s="10">
        <v>1</v>
      </c>
      <c r="DU2" s="10">
        <v>1</v>
      </c>
      <c r="DV2" s="10">
        <v>1</v>
      </c>
      <c r="DW2" s="10">
        <v>1</v>
      </c>
      <c r="DX2" s="10">
        <v>1</v>
      </c>
      <c r="DY2" s="7" t="s">
        <v>235</v>
      </c>
      <c r="DZ2" s="7" t="s">
        <v>235</v>
      </c>
      <c r="EA2" s="7" t="s">
        <v>235</v>
      </c>
      <c r="EB2" s="7" t="s">
        <v>235</v>
      </c>
      <c r="EC2" s="7" t="s">
        <v>235</v>
      </c>
      <c r="ED2" s="11" t="s">
        <v>234</v>
      </c>
      <c r="EE2" s="11" t="s">
        <v>234</v>
      </c>
      <c r="EF2" s="11" t="s">
        <v>234</v>
      </c>
      <c r="EG2" s="11" t="s">
        <v>234</v>
      </c>
      <c r="EH2" s="11" t="s">
        <v>234</v>
      </c>
      <c r="EI2" s="11" t="s">
        <v>234</v>
      </c>
      <c r="EJ2" s="11" t="s">
        <v>234</v>
      </c>
      <c r="EK2" s="11" t="s">
        <v>234</v>
      </c>
      <c r="EL2" s="11" t="s">
        <v>234</v>
      </c>
      <c r="EM2" s="11" t="s">
        <v>234</v>
      </c>
      <c r="EN2" s="11" t="s">
        <v>233</v>
      </c>
      <c r="EO2" s="7" t="s">
        <v>241</v>
      </c>
      <c r="EP2" s="7" t="s">
        <v>241</v>
      </c>
      <c r="EQ2" s="7" t="s">
        <v>241</v>
      </c>
      <c r="ER2" s="7" t="s">
        <v>241</v>
      </c>
      <c r="ES2" s="7" t="s">
        <v>241</v>
      </c>
      <c r="ET2" s="7" t="s">
        <v>241</v>
      </c>
      <c r="EU2" s="7" t="s">
        <v>241</v>
      </c>
      <c r="EV2" s="7" t="s">
        <v>241</v>
      </c>
      <c r="EW2" s="7" t="s">
        <v>241</v>
      </c>
      <c r="EX2" s="7" t="s">
        <v>241</v>
      </c>
      <c r="EY2" s="7" t="s">
        <v>241</v>
      </c>
      <c r="EZ2" s="7" t="s">
        <v>241</v>
      </c>
      <c r="FA2" s="7" t="s">
        <v>241</v>
      </c>
      <c r="FB2" s="7" t="s">
        <v>241</v>
      </c>
      <c r="FC2" s="7" t="s">
        <v>241</v>
      </c>
      <c r="FD2" s="7" t="s">
        <v>241</v>
      </c>
      <c r="FE2" s="7" t="s">
        <v>241</v>
      </c>
      <c r="FF2" s="7" t="s">
        <v>241</v>
      </c>
      <c r="FG2" s="7" t="s">
        <v>241</v>
      </c>
      <c r="FH2" s="7" t="s">
        <v>241</v>
      </c>
      <c r="FI2" s="7" t="s">
        <v>233</v>
      </c>
      <c r="FJ2" s="7" t="s">
        <v>233</v>
      </c>
      <c r="FK2" s="7" t="s">
        <v>233</v>
      </c>
      <c r="FL2" s="7" t="s">
        <v>233</v>
      </c>
      <c r="FM2" s="7" t="s">
        <v>233</v>
      </c>
      <c r="FN2" s="7" t="s">
        <v>233</v>
      </c>
      <c r="FO2" s="7" t="s">
        <v>233</v>
      </c>
      <c r="FP2" s="7" t="s">
        <v>233</v>
      </c>
      <c r="FQ2" s="7" t="s">
        <v>233</v>
      </c>
      <c r="FR2" s="7" t="s">
        <v>233</v>
      </c>
      <c r="FS2" s="7" t="s">
        <v>233</v>
      </c>
      <c r="FT2" s="7" t="s">
        <v>233</v>
      </c>
      <c r="FU2" s="7" t="s">
        <v>233</v>
      </c>
      <c r="FV2" s="7" t="s">
        <v>233</v>
      </c>
      <c r="FW2" s="7" t="s">
        <v>233</v>
      </c>
      <c r="FX2" s="7" t="s">
        <v>233</v>
      </c>
      <c r="FY2" s="7" t="s">
        <v>233</v>
      </c>
      <c r="FZ2" s="7" t="s">
        <v>233</v>
      </c>
      <c r="GA2" s="7" t="s">
        <v>233</v>
      </c>
      <c r="GB2" s="7" t="s">
        <v>233</v>
      </c>
      <c r="GC2" s="10">
        <v>1</v>
      </c>
      <c r="GD2" s="10">
        <v>1</v>
      </c>
      <c r="GE2" s="10">
        <v>1</v>
      </c>
      <c r="GF2" s="10">
        <v>1</v>
      </c>
      <c r="GG2" s="10">
        <v>1</v>
      </c>
      <c r="GH2" s="10">
        <v>1</v>
      </c>
      <c r="GI2" s="10">
        <v>1</v>
      </c>
      <c r="GJ2" s="10">
        <v>1</v>
      </c>
      <c r="GK2" s="10">
        <v>1</v>
      </c>
      <c r="GL2" s="10">
        <v>1</v>
      </c>
      <c r="GM2" s="10">
        <v>1</v>
      </c>
      <c r="GN2" s="10">
        <v>1</v>
      </c>
      <c r="GO2" s="10">
        <v>1</v>
      </c>
      <c r="GP2" s="10">
        <v>1</v>
      </c>
      <c r="GQ2" s="10">
        <v>1</v>
      </c>
      <c r="GR2" s="10">
        <v>1</v>
      </c>
      <c r="GS2" s="10">
        <v>1</v>
      </c>
      <c r="GT2" s="10">
        <v>1</v>
      </c>
      <c r="GU2" s="10">
        <v>1</v>
      </c>
      <c r="GV2" s="10">
        <v>1</v>
      </c>
      <c r="GW2" s="7" t="s">
        <v>235</v>
      </c>
      <c r="GX2" s="7" t="s">
        <v>235</v>
      </c>
      <c r="GY2" s="7" t="s">
        <v>235</v>
      </c>
      <c r="GZ2" s="7" t="s">
        <v>235</v>
      </c>
      <c r="HA2" s="7" t="s">
        <v>235</v>
      </c>
      <c r="HB2" s="7" t="s">
        <v>235</v>
      </c>
      <c r="HC2" s="7" t="s">
        <v>235</v>
      </c>
      <c r="HD2" s="7" t="s">
        <v>235</v>
      </c>
      <c r="HE2" s="7" t="s">
        <v>235</v>
      </c>
      <c r="HF2" s="7" t="s">
        <v>235</v>
      </c>
      <c r="HG2" s="11" t="s">
        <v>234</v>
      </c>
      <c r="HH2" s="11" t="s">
        <v>234</v>
      </c>
      <c r="HI2" s="11" t="s">
        <v>234</v>
      </c>
      <c r="HJ2" s="11" t="s">
        <v>234</v>
      </c>
      <c r="HK2" s="11" t="s">
        <v>234</v>
      </c>
      <c r="HL2" s="11" t="s">
        <v>234</v>
      </c>
      <c r="HM2" s="11" t="s">
        <v>234</v>
      </c>
      <c r="HN2" s="11" t="s">
        <v>234</v>
      </c>
      <c r="HO2" s="11" t="s">
        <v>234</v>
      </c>
      <c r="HP2" s="11" t="s">
        <v>234</v>
      </c>
    </row>
    <row r="3" spans="1:224" x14ac:dyDescent="0.2">
      <c r="A3" s="12" t="s">
        <v>242</v>
      </c>
      <c r="B3" s="12" t="s">
        <v>243</v>
      </c>
      <c r="C3" s="13" t="s">
        <v>225</v>
      </c>
      <c r="D3" s="13" t="s">
        <v>350</v>
      </c>
      <c r="E3" s="12" t="s">
        <v>243</v>
      </c>
      <c r="F3" s="12" t="s">
        <v>245</v>
      </c>
      <c r="G3" s="14" t="s">
        <v>246</v>
      </c>
      <c r="H3" s="15" t="s">
        <v>247</v>
      </c>
      <c r="I3" s="16">
        <v>300</v>
      </c>
      <c r="J3" s="17">
        <v>40228</v>
      </c>
      <c r="K3" s="16" t="s">
        <v>251</v>
      </c>
      <c r="L3" s="17">
        <v>40228</v>
      </c>
      <c r="M3" s="18" t="s">
        <v>248</v>
      </c>
      <c r="N3" s="16" t="s">
        <v>250</v>
      </c>
      <c r="O3" s="16" t="s">
        <v>250</v>
      </c>
      <c r="P3" s="16" t="s">
        <v>249</v>
      </c>
      <c r="Q3" s="16" t="s">
        <v>351</v>
      </c>
      <c r="R3" s="16">
        <v>11111</v>
      </c>
      <c r="S3" s="16" t="s">
        <v>252</v>
      </c>
      <c r="T3" s="18" t="s">
        <v>253</v>
      </c>
      <c r="U3" s="16" t="s">
        <v>254</v>
      </c>
      <c r="V3" s="16" t="s">
        <v>255</v>
      </c>
      <c r="W3" s="16" t="s">
        <v>352</v>
      </c>
      <c r="X3" s="16" t="s">
        <v>353</v>
      </c>
      <c r="Y3" s="16" t="s">
        <v>235</v>
      </c>
      <c r="Z3" s="18" t="s">
        <v>256</v>
      </c>
      <c r="AA3" s="18" t="s">
        <v>257</v>
      </c>
      <c r="AB3" s="18" t="s">
        <v>258</v>
      </c>
      <c r="AC3" s="18" t="s">
        <v>259</v>
      </c>
      <c r="AD3" s="18" t="s">
        <v>262</v>
      </c>
      <c r="AE3" s="18" t="s">
        <v>263</v>
      </c>
      <c r="AF3" s="18" t="s">
        <v>263</v>
      </c>
      <c r="AG3" s="17">
        <v>40179</v>
      </c>
      <c r="AH3" s="16" t="s">
        <v>235</v>
      </c>
      <c r="AI3" s="18" t="s">
        <v>354</v>
      </c>
      <c r="AJ3" s="16" t="s">
        <v>264</v>
      </c>
      <c r="AK3" s="16" t="s">
        <v>265</v>
      </c>
      <c r="AL3" s="16" t="s">
        <v>266</v>
      </c>
      <c r="AM3" s="16" t="s">
        <v>267</v>
      </c>
      <c r="AN3" s="18" t="s">
        <v>268</v>
      </c>
      <c r="AO3" s="16" t="s">
        <v>269</v>
      </c>
      <c r="AP3" s="18" t="s">
        <v>270</v>
      </c>
      <c r="AQ3" s="18" t="s">
        <v>271</v>
      </c>
      <c r="AR3" s="17">
        <v>40241</v>
      </c>
      <c r="AS3" s="17">
        <v>40240</v>
      </c>
      <c r="AT3" s="17">
        <v>40242</v>
      </c>
      <c r="AU3" s="17">
        <v>40243</v>
      </c>
      <c r="AV3" s="16">
        <v>1</v>
      </c>
      <c r="AW3" s="16" t="s">
        <v>235</v>
      </c>
      <c r="AX3" s="16" t="s">
        <v>252</v>
      </c>
      <c r="AY3" s="16">
        <v>34</v>
      </c>
      <c r="AZ3" s="17">
        <v>27793</v>
      </c>
      <c r="BA3" s="17">
        <v>40252</v>
      </c>
      <c r="BB3" s="16">
        <v>2</v>
      </c>
      <c r="BC3" s="16" t="s">
        <v>272</v>
      </c>
      <c r="BD3" s="16" t="s">
        <v>272</v>
      </c>
      <c r="BE3" s="17">
        <v>38554</v>
      </c>
      <c r="BF3" s="16">
        <v>5</v>
      </c>
      <c r="BG3" s="18" t="s">
        <v>273</v>
      </c>
      <c r="BH3" s="18" t="s">
        <v>274</v>
      </c>
      <c r="BI3" s="16" t="s">
        <v>275</v>
      </c>
      <c r="BJ3" s="16" t="s">
        <v>276</v>
      </c>
      <c r="BK3" s="16" t="s">
        <v>277</v>
      </c>
      <c r="BL3" s="16" t="s">
        <v>355</v>
      </c>
      <c r="BM3" s="16" t="s">
        <v>356</v>
      </c>
      <c r="BN3" s="16">
        <v>5</v>
      </c>
      <c r="BO3" s="16" t="s">
        <v>278</v>
      </c>
      <c r="BP3" s="19">
        <v>2000</v>
      </c>
      <c r="BQ3" s="18" t="s">
        <v>279</v>
      </c>
      <c r="BR3" s="18" t="s">
        <v>280</v>
      </c>
      <c r="BS3" s="18" t="s">
        <v>281</v>
      </c>
      <c r="BT3" s="16">
        <v>1966</v>
      </c>
      <c r="BU3" s="16" t="s">
        <v>282</v>
      </c>
      <c r="BV3" s="18" t="s">
        <v>283</v>
      </c>
      <c r="BW3" s="16" t="s">
        <v>249</v>
      </c>
      <c r="BX3" s="16" t="s">
        <v>235</v>
      </c>
      <c r="BY3" s="16" t="s">
        <v>284</v>
      </c>
      <c r="BZ3" s="16" t="s">
        <v>235</v>
      </c>
      <c r="CA3" s="16" t="s">
        <v>235</v>
      </c>
      <c r="CB3" s="16" t="s">
        <v>357</v>
      </c>
      <c r="CC3" s="16" t="s">
        <v>358</v>
      </c>
      <c r="CD3" s="16">
        <v>40.934750000000001</v>
      </c>
      <c r="CE3" s="16">
        <v>-74.117932999999994</v>
      </c>
      <c r="CF3" s="16" t="s">
        <v>285</v>
      </c>
      <c r="CG3" s="16" t="s">
        <v>285</v>
      </c>
      <c r="CH3" s="16" t="s">
        <v>285</v>
      </c>
      <c r="CI3" s="16" t="s">
        <v>285</v>
      </c>
      <c r="CJ3" s="16" t="s">
        <v>285</v>
      </c>
      <c r="CK3" s="18" t="s">
        <v>286</v>
      </c>
      <c r="CL3" s="18" t="s">
        <v>287</v>
      </c>
      <c r="CM3" s="18" t="s">
        <v>288</v>
      </c>
      <c r="CN3" s="18" t="s">
        <v>289</v>
      </c>
      <c r="CO3" s="18" t="s">
        <v>290</v>
      </c>
      <c r="CP3" s="17">
        <v>36526</v>
      </c>
      <c r="CQ3" s="17">
        <v>36526</v>
      </c>
      <c r="CR3" s="17">
        <v>36526</v>
      </c>
      <c r="CS3" s="17">
        <v>36526</v>
      </c>
      <c r="CT3" s="17">
        <v>36526</v>
      </c>
      <c r="CU3" s="16" t="s">
        <v>235</v>
      </c>
      <c r="CV3" s="16" t="s">
        <v>235</v>
      </c>
      <c r="CW3" s="16" t="s">
        <v>235</v>
      </c>
      <c r="CX3" s="16" t="s">
        <v>235</v>
      </c>
      <c r="CY3" s="16" t="s">
        <v>235</v>
      </c>
      <c r="CZ3" s="19">
        <v>1000.01</v>
      </c>
      <c r="DA3" s="19">
        <v>1000.01</v>
      </c>
      <c r="DB3" s="19">
        <v>1000.01</v>
      </c>
      <c r="DC3" s="19">
        <v>1000.01</v>
      </c>
      <c r="DD3" s="19">
        <v>1000.01</v>
      </c>
      <c r="DE3" s="16">
        <v>500.2</v>
      </c>
      <c r="DF3" s="16">
        <v>500.2</v>
      </c>
      <c r="DG3" s="16">
        <v>500.2</v>
      </c>
      <c r="DH3" s="16">
        <v>500.2</v>
      </c>
      <c r="DI3" s="16">
        <v>500.2</v>
      </c>
      <c r="DJ3" s="16" t="s">
        <v>285</v>
      </c>
      <c r="DK3" s="16" t="s">
        <v>285</v>
      </c>
      <c r="DL3" s="16" t="s">
        <v>285</v>
      </c>
      <c r="DM3" s="16" t="s">
        <v>285</v>
      </c>
      <c r="DN3" s="16" t="s">
        <v>285</v>
      </c>
      <c r="DO3" s="18" t="s">
        <v>286</v>
      </c>
      <c r="DP3" s="18" t="s">
        <v>287</v>
      </c>
      <c r="DQ3" s="18" t="s">
        <v>288</v>
      </c>
      <c r="DR3" s="18" t="s">
        <v>289</v>
      </c>
      <c r="DS3" s="18" t="s">
        <v>290</v>
      </c>
      <c r="DT3" s="17">
        <v>36526</v>
      </c>
      <c r="DU3" s="17">
        <v>36526</v>
      </c>
      <c r="DV3" s="17">
        <v>36526</v>
      </c>
      <c r="DW3" s="17">
        <v>36526</v>
      </c>
      <c r="DX3" s="17">
        <v>36526</v>
      </c>
      <c r="DY3" s="16" t="s">
        <v>235</v>
      </c>
      <c r="DZ3" s="16" t="s">
        <v>235</v>
      </c>
      <c r="EA3" s="16" t="s">
        <v>235</v>
      </c>
      <c r="EB3" s="16" t="s">
        <v>235</v>
      </c>
      <c r="EC3" s="16" t="s">
        <v>235</v>
      </c>
      <c r="ED3" s="19">
        <v>1000.01</v>
      </c>
      <c r="EE3" s="19">
        <v>1000.01</v>
      </c>
      <c r="EF3" s="19">
        <v>1000.01</v>
      </c>
      <c r="EG3" s="19">
        <v>1000.01</v>
      </c>
      <c r="EH3" s="19">
        <v>1000.01</v>
      </c>
      <c r="EI3" s="16">
        <v>500.2</v>
      </c>
      <c r="EJ3" s="16">
        <v>500.2</v>
      </c>
      <c r="EK3" s="16">
        <v>500.2</v>
      </c>
      <c r="EL3" s="16">
        <v>500.2</v>
      </c>
      <c r="EM3" s="16">
        <v>500.2</v>
      </c>
      <c r="EN3" t="s">
        <v>286</v>
      </c>
      <c r="EO3" s="16" t="s">
        <v>285</v>
      </c>
      <c r="EP3" s="16" t="s">
        <v>285</v>
      </c>
      <c r="EQ3" s="16" t="s">
        <v>285</v>
      </c>
      <c r="ER3" s="16" t="s">
        <v>285</v>
      </c>
      <c r="ES3" s="16" t="s">
        <v>285</v>
      </c>
      <c r="ET3" s="16" t="s">
        <v>285</v>
      </c>
      <c r="EU3" s="16" t="s">
        <v>285</v>
      </c>
      <c r="EV3" s="16" t="s">
        <v>285</v>
      </c>
      <c r="EW3" s="16" t="s">
        <v>285</v>
      </c>
      <c r="EX3" s="16" t="s">
        <v>285</v>
      </c>
      <c r="EY3" s="16" t="s">
        <v>285</v>
      </c>
      <c r="EZ3" s="16" t="s">
        <v>285</v>
      </c>
      <c r="FA3" s="16" t="s">
        <v>285</v>
      </c>
      <c r="FB3" s="16" t="s">
        <v>285</v>
      </c>
      <c r="FC3" s="16" t="s">
        <v>285</v>
      </c>
      <c r="FD3" s="16" t="s">
        <v>285</v>
      </c>
      <c r="FE3" s="16" t="s">
        <v>285</v>
      </c>
      <c r="FF3" s="16" t="s">
        <v>285</v>
      </c>
      <c r="FG3" s="16" t="s">
        <v>285</v>
      </c>
      <c r="FH3" s="16" t="s">
        <v>285</v>
      </c>
      <c r="FI3" s="18" t="s">
        <v>286</v>
      </c>
      <c r="FJ3" s="18" t="s">
        <v>287</v>
      </c>
      <c r="FK3" s="18" t="s">
        <v>288</v>
      </c>
      <c r="FL3" s="18" t="s">
        <v>289</v>
      </c>
      <c r="FM3" s="18" t="s">
        <v>290</v>
      </c>
      <c r="FN3" s="18" t="s">
        <v>286</v>
      </c>
      <c r="FO3" s="18" t="s">
        <v>287</v>
      </c>
      <c r="FP3" s="18" t="s">
        <v>288</v>
      </c>
      <c r="FQ3" s="18" t="s">
        <v>289</v>
      </c>
      <c r="FR3" s="18" t="s">
        <v>290</v>
      </c>
      <c r="FS3" s="18" t="s">
        <v>286</v>
      </c>
      <c r="FT3" s="18" t="s">
        <v>287</v>
      </c>
      <c r="FU3" s="18" t="s">
        <v>288</v>
      </c>
      <c r="FV3" s="18" t="s">
        <v>289</v>
      </c>
      <c r="FW3" s="18" t="s">
        <v>290</v>
      </c>
      <c r="FX3" s="18" t="s">
        <v>286</v>
      </c>
      <c r="FY3" s="18" t="s">
        <v>287</v>
      </c>
      <c r="FZ3" s="18" t="s">
        <v>288</v>
      </c>
      <c r="GA3" s="18" t="s">
        <v>289</v>
      </c>
      <c r="GB3" s="18" t="s">
        <v>290</v>
      </c>
      <c r="GC3" s="17">
        <v>36526</v>
      </c>
      <c r="GD3" s="17">
        <v>36526</v>
      </c>
      <c r="GE3" s="17">
        <v>36526</v>
      </c>
      <c r="GF3" s="17">
        <v>36526</v>
      </c>
      <c r="GG3" s="17">
        <v>36526</v>
      </c>
      <c r="GH3" s="17">
        <v>36526</v>
      </c>
      <c r="GI3" s="17">
        <v>36526</v>
      </c>
      <c r="GJ3" s="17">
        <v>36526</v>
      </c>
      <c r="GK3" s="17">
        <v>36526</v>
      </c>
      <c r="GL3" s="17">
        <v>36526</v>
      </c>
      <c r="GM3" s="17">
        <v>36526</v>
      </c>
      <c r="GN3" s="17">
        <v>36526</v>
      </c>
      <c r="GO3" s="17">
        <v>36526</v>
      </c>
      <c r="GP3" s="17">
        <v>36526</v>
      </c>
      <c r="GQ3" s="17">
        <v>36526</v>
      </c>
      <c r="GR3" s="17">
        <v>36526</v>
      </c>
      <c r="GS3" s="17">
        <v>36526</v>
      </c>
      <c r="GT3" s="17">
        <v>36526</v>
      </c>
      <c r="GU3" s="17">
        <v>36526</v>
      </c>
      <c r="GV3" s="17">
        <v>36526</v>
      </c>
      <c r="GW3" s="16" t="s">
        <v>235</v>
      </c>
      <c r="GX3" s="16" t="s">
        <v>235</v>
      </c>
      <c r="GY3" s="16" t="s">
        <v>235</v>
      </c>
      <c r="GZ3" s="16" t="s">
        <v>235</v>
      </c>
      <c r="HA3" s="16" t="s">
        <v>235</v>
      </c>
      <c r="HB3" s="16" t="s">
        <v>235</v>
      </c>
      <c r="HC3" s="16" t="s">
        <v>235</v>
      </c>
      <c r="HD3" s="16" t="s">
        <v>235</v>
      </c>
      <c r="HE3" s="16" t="s">
        <v>235</v>
      </c>
      <c r="HF3" s="16" t="s">
        <v>235</v>
      </c>
      <c r="HG3" s="16">
        <v>500.2</v>
      </c>
      <c r="HH3" s="16">
        <v>500.2</v>
      </c>
      <c r="HI3" s="16">
        <v>500.2</v>
      </c>
      <c r="HJ3" s="16">
        <v>500.2</v>
      </c>
      <c r="HK3" s="16">
        <v>500.2</v>
      </c>
      <c r="HL3" s="16">
        <v>500.2</v>
      </c>
      <c r="HM3" s="16">
        <v>500.2</v>
      </c>
      <c r="HN3" s="16">
        <v>500.2</v>
      </c>
      <c r="HO3" s="16">
        <v>500.2</v>
      </c>
      <c r="HP3" s="16">
        <v>500.2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14"/>
  <sheetViews>
    <sheetView zoomScaleNormal="100" workbookViewId="0"/>
  </sheetViews>
  <sheetFormatPr baseColWidth="10" defaultColWidth="8.83203125" defaultRowHeight="15" x14ac:dyDescent="0.2"/>
  <cols>
    <col min="1" max="1" width="23.33203125" customWidth="1"/>
    <col min="2" max="2" width="52.1640625" customWidth="1"/>
    <col min="3" max="3" width="58" style="1" customWidth="1"/>
    <col min="4" max="4" width="9.1640625" style="1" customWidth="1"/>
    <col min="5" max="5" width="10.5" style="1" customWidth="1"/>
    <col min="6" max="6" width="14.1640625" style="1" customWidth="1"/>
    <col min="7" max="7" width="13.1640625" style="1" customWidth="1"/>
    <col min="8" max="8" width="17.1640625" style="1" customWidth="1"/>
    <col min="9" max="9" width="14.33203125" style="1" customWidth="1"/>
    <col min="10" max="10" width="13.5" style="1" customWidth="1"/>
    <col min="11" max="11" width="12.1640625" style="1" customWidth="1"/>
    <col min="12" max="12" width="10.6640625" style="1" customWidth="1"/>
    <col min="13" max="13" width="13.6640625" style="21" customWidth="1"/>
    <col min="14" max="14" width="12" style="21" customWidth="1"/>
    <col min="15" max="15" width="15.1640625" style="21" customWidth="1"/>
    <col min="16" max="16" width="14.5" style="21" customWidth="1"/>
    <col min="17" max="17" width="16.5" style="1" customWidth="1"/>
    <col min="18" max="18" width="15.5" style="21" customWidth="1"/>
    <col min="19" max="19" width="17.1640625" style="1" customWidth="1"/>
    <col min="20" max="20" width="22.1640625" style="1" customWidth="1"/>
    <col min="21" max="21" width="15.5" style="21" customWidth="1"/>
    <col min="22" max="22" width="24.5" style="21" customWidth="1"/>
    <col min="23" max="23" width="16.33203125" style="21" customWidth="1"/>
    <col min="24" max="24" width="21.5" style="20" customWidth="1"/>
    <col min="25" max="25" width="28.83203125" style="21" customWidth="1"/>
    <col min="26" max="26" width="36" style="1" customWidth="1"/>
    <col min="27" max="27" width="14.5" style="1" customWidth="1"/>
    <col min="28" max="28" width="43.1640625" customWidth="1"/>
    <col min="29" max="29" width="35" style="21" customWidth="1"/>
    <col min="30" max="30" width="15.5" customWidth="1"/>
    <col min="31" max="31" width="17.83203125" customWidth="1"/>
    <col min="32" max="32" width="19.5" customWidth="1"/>
    <col min="33" max="33" width="24" customWidth="1"/>
    <col min="34" max="34" width="23.5" customWidth="1"/>
    <col min="35" max="35" width="19" customWidth="1"/>
    <col min="36" max="36" width="18.5" customWidth="1"/>
    <col min="37" max="37" width="17.1640625" customWidth="1"/>
    <col min="38" max="38" width="16.1640625" customWidth="1"/>
    <col min="39" max="39" width="17.5" customWidth="1"/>
    <col min="40" max="40" width="14.33203125" customWidth="1"/>
    <col min="41" max="42" width="13.5" customWidth="1"/>
    <col min="43" max="44" width="13.83203125" customWidth="1"/>
    <col min="45" max="45" width="13.6640625" customWidth="1"/>
    <col min="46" max="46" width="13.83203125" customWidth="1"/>
    <col min="47" max="47" width="12.6640625" customWidth="1"/>
    <col min="48" max="48" width="12.83203125" customWidth="1"/>
    <col min="49" max="49" width="13.6640625" customWidth="1"/>
    <col min="50" max="50" width="15.33203125" customWidth="1"/>
    <col min="51" max="52" width="16.1640625" customWidth="1"/>
    <col min="53" max="53" width="16" customWidth="1"/>
    <col min="54" max="54" width="16.1640625" customWidth="1"/>
    <col min="55" max="55" width="16.5" customWidth="1"/>
    <col min="56" max="56" width="17.83203125" customWidth="1"/>
    <col min="57" max="57" width="17" customWidth="1"/>
    <col min="58" max="59" width="17.33203125" customWidth="1"/>
  </cols>
  <sheetData>
    <row r="1" spans="1:59" x14ac:dyDescent="0.2">
      <c r="A1" s="6" t="s">
        <v>0</v>
      </c>
      <c r="B1" s="23" t="s">
        <v>40</v>
      </c>
      <c r="C1" s="23" t="s">
        <v>359</v>
      </c>
      <c r="D1" s="22" t="s">
        <v>360</v>
      </c>
      <c r="E1" s="22" t="s">
        <v>361</v>
      </c>
      <c r="F1" s="6" t="s">
        <v>362</v>
      </c>
      <c r="G1" s="7" t="s">
        <v>363</v>
      </c>
      <c r="H1" s="32" t="s">
        <v>3</v>
      </c>
      <c r="I1" s="9" t="s">
        <v>364</v>
      </c>
      <c r="J1" s="3" t="s">
        <v>365</v>
      </c>
      <c r="K1" s="3" t="s">
        <v>366</v>
      </c>
      <c r="L1" s="3" t="s">
        <v>367</v>
      </c>
      <c r="M1" s="33" t="s">
        <v>368</v>
      </c>
      <c r="N1" s="34" t="s">
        <v>369</v>
      </c>
      <c r="O1" s="34" t="s">
        <v>370</v>
      </c>
      <c r="P1" s="34" t="s">
        <v>371</v>
      </c>
      <c r="Q1" s="22" t="s">
        <v>372</v>
      </c>
      <c r="R1" s="35" t="s">
        <v>373</v>
      </c>
      <c r="S1" s="22" t="s">
        <v>374</v>
      </c>
      <c r="T1" s="22" t="s">
        <v>375</v>
      </c>
      <c r="U1" s="35" t="s">
        <v>376</v>
      </c>
      <c r="V1" s="35" t="s">
        <v>377</v>
      </c>
      <c r="W1" s="35" t="s">
        <v>378</v>
      </c>
      <c r="X1" s="36" t="s">
        <v>379</v>
      </c>
      <c r="Y1" s="35" t="s">
        <v>380</v>
      </c>
      <c r="Z1" s="37" t="s">
        <v>381</v>
      </c>
      <c r="AA1" s="37" t="s">
        <v>382</v>
      </c>
      <c r="AB1" s="38" t="s">
        <v>383</v>
      </c>
      <c r="AC1" s="28" t="s">
        <v>384</v>
      </c>
      <c r="AD1" s="7" t="s">
        <v>82</v>
      </c>
      <c r="AE1" s="7" t="s">
        <v>83</v>
      </c>
      <c r="AF1" s="7" t="s">
        <v>84</v>
      </c>
      <c r="AG1" s="7" t="s">
        <v>85</v>
      </c>
      <c r="AH1" s="7" t="s">
        <v>86</v>
      </c>
      <c r="AI1" s="7" t="s">
        <v>87</v>
      </c>
      <c r="AJ1" s="7" t="s">
        <v>88</v>
      </c>
      <c r="AK1" s="7" t="s">
        <v>89</v>
      </c>
      <c r="AL1" s="7" t="s">
        <v>90</v>
      </c>
      <c r="AM1" s="7" t="s">
        <v>91</v>
      </c>
      <c r="AN1" s="7" t="s">
        <v>92</v>
      </c>
      <c r="AO1" s="7" t="s">
        <v>93</v>
      </c>
      <c r="AP1" s="7" t="s">
        <v>94</v>
      </c>
      <c r="AQ1" s="7" t="s">
        <v>95</v>
      </c>
      <c r="AR1" s="7" t="s">
        <v>96</v>
      </c>
      <c r="AS1" s="7" t="s">
        <v>97</v>
      </c>
      <c r="AT1" s="7" t="s">
        <v>98</v>
      </c>
      <c r="AU1" s="7" t="s">
        <v>99</v>
      </c>
      <c r="AV1" s="7" t="s">
        <v>100</v>
      </c>
      <c r="AW1" s="7" t="s">
        <v>101</v>
      </c>
      <c r="AX1" s="7" t="s">
        <v>102</v>
      </c>
      <c r="AY1" s="7" t="s">
        <v>103</v>
      </c>
      <c r="AZ1" s="7" t="s">
        <v>104</v>
      </c>
      <c r="BA1" s="7" t="s">
        <v>105</v>
      </c>
      <c r="BB1" s="7" t="s">
        <v>106</v>
      </c>
      <c r="BC1" s="7" t="s">
        <v>107</v>
      </c>
      <c r="BD1" s="7" t="s">
        <v>108</v>
      </c>
      <c r="BE1" s="7" t="s">
        <v>109</v>
      </c>
      <c r="BF1" s="7" t="s">
        <v>110</v>
      </c>
      <c r="BG1" s="7" t="s">
        <v>111</v>
      </c>
    </row>
    <row r="2" spans="1:59" x14ac:dyDescent="0.2">
      <c r="A2" s="6" t="s">
        <v>223</v>
      </c>
      <c r="B2" s="22" t="s">
        <v>227</v>
      </c>
      <c r="C2" s="22" t="s">
        <v>240</v>
      </c>
      <c r="D2" s="22" t="s">
        <v>225</v>
      </c>
      <c r="E2" s="22" t="s">
        <v>225</v>
      </c>
      <c r="F2" s="6" t="s">
        <v>233</v>
      </c>
      <c r="G2" s="7" t="s">
        <v>233</v>
      </c>
      <c r="H2" s="39" t="s">
        <v>233</v>
      </c>
      <c r="I2" s="7" t="s">
        <v>229</v>
      </c>
      <c r="J2" s="6" t="s">
        <v>229</v>
      </c>
      <c r="K2" s="6" t="s">
        <v>229</v>
      </c>
      <c r="L2" s="6" t="s">
        <v>229</v>
      </c>
      <c r="M2" s="33">
        <v>0</v>
      </c>
      <c r="N2" s="34">
        <v>0</v>
      </c>
      <c r="O2" s="34">
        <v>0</v>
      </c>
      <c r="P2" s="34">
        <v>0</v>
      </c>
      <c r="Q2" s="22" t="s">
        <v>225</v>
      </c>
      <c r="R2" s="35">
        <v>0</v>
      </c>
      <c r="S2" s="22" t="s">
        <v>235</v>
      </c>
      <c r="T2" s="22" t="s">
        <v>235</v>
      </c>
      <c r="U2" s="35">
        <v>0</v>
      </c>
      <c r="V2" s="35">
        <v>0</v>
      </c>
      <c r="W2" s="35">
        <v>0</v>
      </c>
      <c r="X2" s="36">
        <v>0</v>
      </c>
      <c r="Y2" s="35">
        <v>0</v>
      </c>
      <c r="Z2" s="22" t="s">
        <v>240</v>
      </c>
      <c r="AA2" s="22" t="s">
        <v>233</v>
      </c>
      <c r="AB2" s="40" t="s">
        <v>385</v>
      </c>
      <c r="AC2" s="28">
        <v>0</v>
      </c>
      <c r="AD2" s="7" t="s">
        <v>241</v>
      </c>
      <c r="AE2" s="7" t="s">
        <v>241</v>
      </c>
      <c r="AF2" s="7" t="s">
        <v>241</v>
      </c>
      <c r="AG2" s="7" t="s">
        <v>241</v>
      </c>
      <c r="AH2" s="7" t="s">
        <v>241</v>
      </c>
      <c r="AI2" s="7" t="s">
        <v>233</v>
      </c>
      <c r="AJ2" s="7" t="s">
        <v>233</v>
      </c>
      <c r="AK2" s="7" t="s">
        <v>233</v>
      </c>
      <c r="AL2" s="7" t="s">
        <v>233</v>
      </c>
      <c r="AM2" s="7" t="s">
        <v>233</v>
      </c>
      <c r="AN2" s="10">
        <v>1</v>
      </c>
      <c r="AO2" s="10">
        <v>1</v>
      </c>
      <c r="AP2" s="10">
        <v>1</v>
      </c>
      <c r="AQ2" s="10">
        <v>1</v>
      </c>
      <c r="AR2" s="10">
        <v>1</v>
      </c>
      <c r="AS2" s="7" t="s">
        <v>235</v>
      </c>
      <c r="AT2" s="7" t="s">
        <v>235</v>
      </c>
      <c r="AU2" s="7" t="s">
        <v>235</v>
      </c>
      <c r="AV2" s="7" t="s">
        <v>235</v>
      </c>
      <c r="AW2" s="7" t="s">
        <v>235</v>
      </c>
      <c r="AX2" s="11" t="s">
        <v>234</v>
      </c>
      <c r="AY2" s="11" t="s">
        <v>234</v>
      </c>
      <c r="AZ2" s="11" t="s">
        <v>234</v>
      </c>
      <c r="BA2" s="11" t="s">
        <v>234</v>
      </c>
      <c r="BB2" s="11" t="s">
        <v>234</v>
      </c>
      <c r="BC2" s="11" t="s">
        <v>234</v>
      </c>
      <c r="BD2" s="11" t="s">
        <v>234</v>
      </c>
      <c r="BE2" s="11" t="s">
        <v>234</v>
      </c>
      <c r="BF2" s="11" t="s">
        <v>234</v>
      </c>
      <c r="BG2" s="11" t="s">
        <v>234</v>
      </c>
    </row>
    <row r="3" spans="1:59" x14ac:dyDescent="0.2">
      <c r="A3" s="12" t="s">
        <v>242</v>
      </c>
      <c r="B3" s="18" t="s">
        <v>386</v>
      </c>
      <c r="C3" s="18" t="s">
        <v>387</v>
      </c>
      <c r="D3" s="18" t="s">
        <v>388</v>
      </c>
      <c r="E3" s="18" t="s">
        <v>252</v>
      </c>
      <c r="F3" s="12" t="s">
        <v>389</v>
      </c>
      <c r="G3" s="41" t="s">
        <v>390</v>
      </c>
      <c r="H3" s="42" t="s">
        <v>244</v>
      </c>
      <c r="I3" s="43" t="s">
        <v>391</v>
      </c>
      <c r="J3" s="44" t="s">
        <v>392</v>
      </c>
      <c r="K3" s="44"/>
      <c r="L3" s="44"/>
      <c r="M3" s="45"/>
      <c r="N3" s="46">
        <v>500000</v>
      </c>
      <c r="O3" s="46">
        <v>5000000</v>
      </c>
      <c r="P3" s="46">
        <v>10000</v>
      </c>
      <c r="Q3" s="1" t="s">
        <v>393</v>
      </c>
      <c r="R3" s="47"/>
      <c r="S3" s="1" t="b">
        <v>1</v>
      </c>
      <c r="T3" s="1" t="b">
        <v>1</v>
      </c>
      <c r="U3" s="47">
        <v>2000000</v>
      </c>
      <c r="V3" s="47">
        <v>0.05</v>
      </c>
      <c r="W3" s="47"/>
      <c r="X3" s="48"/>
      <c r="Y3" s="47"/>
      <c r="AD3" s="16" t="s">
        <v>285</v>
      </c>
      <c r="AE3" s="16" t="s">
        <v>285</v>
      </c>
      <c r="AF3" s="16" t="s">
        <v>285</v>
      </c>
      <c r="AG3" s="16" t="s">
        <v>285</v>
      </c>
      <c r="AH3" s="16" t="s">
        <v>285</v>
      </c>
      <c r="AI3" s="16" t="s">
        <v>286</v>
      </c>
      <c r="AJ3" s="16" t="s">
        <v>287</v>
      </c>
      <c r="AK3" s="16" t="s">
        <v>288</v>
      </c>
      <c r="AL3" s="16" t="s">
        <v>289</v>
      </c>
      <c r="AM3" s="16" t="s">
        <v>290</v>
      </c>
      <c r="AN3" s="17">
        <v>36526</v>
      </c>
      <c r="AO3" s="17">
        <v>36526</v>
      </c>
      <c r="AP3" s="17">
        <v>36526</v>
      </c>
      <c r="AQ3" s="17">
        <v>36526</v>
      </c>
      <c r="AR3" s="17">
        <v>36526</v>
      </c>
      <c r="AS3" s="16" t="s">
        <v>235</v>
      </c>
      <c r="AT3" s="16" t="s">
        <v>235</v>
      </c>
      <c r="AU3" s="16" t="s">
        <v>235</v>
      </c>
      <c r="AV3" s="16" t="s">
        <v>235</v>
      </c>
      <c r="AW3" s="16" t="s">
        <v>235</v>
      </c>
      <c r="AX3" s="19">
        <v>1000.01</v>
      </c>
      <c r="AY3" s="19">
        <v>1000.01</v>
      </c>
      <c r="AZ3" s="19">
        <v>1000.01</v>
      </c>
      <c r="BA3" s="19">
        <v>1000.01</v>
      </c>
      <c r="BB3" s="19">
        <v>1000.01</v>
      </c>
      <c r="BC3" s="16">
        <v>500.2</v>
      </c>
      <c r="BD3" s="16">
        <v>500.2</v>
      </c>
      <c r="BE3" s="16">
        <v>500.2</v>
      </c>
      <c r="BF3" s="16">
        <v>500.2</v>
      </c>
      <c r="BG3" s="16">
        <v>500.2</v>
      </c>
    </row>
    <row r="4" spans="1:59" x14ac:dyDescent="0.2">
      <c r="B4" s="18"/>
      <c r="C4" s="18"/>
      <c r="D4" s="18"/>
      <c r="E4" s="18"/>
      <c r="F4" s="44"/>
      <c r="G4" s="49"/>
      <c r="H4" s="50"/>
      <c r="I4" s="43"/>
      <c r="J4" s="44"/>
      <c r="K4" s="44"/>
      <c r="L4" s="44"/>
      <c r="M4" s="45"/>
      <c r="N4" s="46"/>
      <c r="O4" s="46"/>
      <c r="P4" s="46"/>
      <c r="R4" s="47"/>
      <c r="U4" s="47"/>
      <c r="V4" s="47"/>
      <c r="W4" s="47"/>
      <c r="X4" s="48"/>
      <c r="Y4" s="47"/>
    </row>
    <row r="5" spans="1:59" x14ac:dyDescent="0.2">
      <c r="B5" s="18"/>
      <c r="C5" s="18"/>
      <c r="D5" s="18"/>
      <c r="E5" s="18"/>
      <c r="F5" s="44"/>
      <c r="G5" s="49"/>
      <c r="H5" s="50"/>
      <c r="I5" s="43"/>
      <c r="J5" s="44"/>
      <c r="K5" s="44"/>
      <c r="L5" s="44"/>
      <c r="M5" s="45"/>
      <c r="N5" s="46"/>
      <c r="O5" s="46"/>
      <c r="P5" s="46"/>
      <c r="R5" s="47"/>
      <c r="U5" s="47"/>
      <c r="V5" s="47"/>
      <c r="W5" s="47"/>
      <c r="X5" s="48"/>
      <c r="Y5" s="47"/>
    </row>
    <row r="6" spans="1:59" x14ac:dyDescent="0.2">
      <c r="B6" s="18"/>
      <c r="C6" s="18"/>
      <c r="D6" s="18"/>
      <c r="E6" s="18"/>
      <c r="F6" s="44"/>
      <c r="G6" s="49"/>
      <c r="H6" s="50"/>
      <c r="I6" s="43"/>
      <c r="J6" s="44"/>
      <c r="K6" s="44"/>
      <c r="L6" s="44"/>
      <c r="M6" s="45"/>
      <c r="N6" s="46"/>
      <c r="O6" s="46"/>
      <c r="P6" s="46"/>
      <c r="R6" s="47"/>
      <c r="U6" s="47"/>
      <c r="V6" s="47"/>
      <c r="W6" s="47"/>
      <c r="X6" s="48"/>
      <c r="Y6" s="47"/>
    </row>
    <row r="7" spans="1:59" x14ac:dyDescent="0.2">
      <c r="B7" s="18"/>
      <c r="C7" s="18"/>
      <c r="D7" s="18"/>
      <c r="E7" s="18"/>
      <c r="F7" s="12"/>
      <c r="G7" s="41"/>
      <c r="H7" s="42"/>
      <c r="I7" s="43"/>
      <c r="J7" s="44"/>
      <c r="K7" s="44"/>
      <c r="L7" s="44"/>
      <c r="M7" s="45"/>
      <c r="N7" s="46"/>
      <c r="O7" s="46"/>
      <c r="P7" s="46"/>
      <c r="R7" s="47"/>
      <c r="U7" s="47"/>
      <c r="V7" s="47"/>
      <c r="W7" s="47"/>
      <c r="X7" s="48"/>
      <c r="Y7" s="47"/>
    </row>
    <row r="8" spans="1:59" x14ac:dyDescent="0.2">
      <c r="B8" s="18"/>
      <c r="C8" s="18"/>
      <c r="D8" s="18"/>
      <c r="E8" s="18"/>
      <c r="F8" s="44"/>
      <c r="G8" s="49"/>
      <c r="H8" s="50"/>
      <c r="I8" s="43"/>
      <c r="J8" s="44"/>
      <c r="K8" s="44"/>
      <c r="L8" s="44"/>
      <c r="M8" s="45"/>
      <c r="N8" s="46"/>
      <c r="O8" s="46"/>
      <c r="P8" s="46"/>
      <c r="R8" s="47"/>
      <c r="U8" s="47"/>
      <c r="V8" s="47"/>
      <c r="W8" s="47"/>
      <c r="X8" s="48"/>
      <c r="Y8" s="47"/>
    </row>
    <row r="9" spans="1:59" x14ac:dyDescent="0.2">
      <c r="B9" s="18"/>
      <c r="C9" s="18"/>
      <c r="D9" s="18"/>
      <c r="E9" s="18"/>
      <c r="F9" s="44"/>
      <c r="G9" s="49"/>
      <c r="H9" s="50"/>
      <c r="I9" s="43"/>
      <c r="J9" s="44"/>
      <c r="K9" s="44"/>
      <c r="L9" s="44"/>
      <c r="M9" s="45"/>
      <c r="N9" s="46"/>
      <c r="O9" s="46"/>
      <c r="P9" s="46"/>
      <c r="R9" s="47"/>
      <c r="U9" s="47"/>
      <c r="V9" s="47"/>
      <c r="W9" s="47"/>
      <c r="X9" s="48"/>
      <c r="Y9" s="47"/>
    </row>
    <row r="10" spans="1:59" x14ac:dyDescent="0.2">
      <c r="B10" s="18"/>
      <c r="C10" s="18"/>
      <c r="D10" s="18"/>
      <c r="E10" s="18"/>
      <c r="F10" s="44"/>
      <c r="G10" s="49"/>
      <c r="H10" s="50"/>
      <c r="I10" s="43"/>
      <c r="J10" s="44"/>
      <c r="K10" s="44"/>
      <c r="L10" s="44"/>
      <c r="M10" s="45"/>
      <c r="N10" s="46"/>
      <c r="O10" s="46"/>
      <c r="P10" s="46"/>
      <c r="R10" s="47"/>
      <c r="U10" s="47"/>
      <c r="V10" s="47"/>
      <c r="W10" s="47"/>
      <c r="X10" s="48"/>
      <c r="Y10" s="47"/>
    </row>
    <row r="11" spans="1:59" x14ac:dyDescent="0.2">
      <c r="B11" s="18"/>
      <c r="C11" s="18"/>
      <c r="D11" s="18"/>
      <c r="E11" s="18"/>
      <c r="F11" s="12"/>
      <c r="G11" s="41"/>
      <c r="H11" s="42"/>
      <c r="I11" s="43"/>
      <c r="J11" s="44"/>
      <c r="K11" s="44"/>
      <c r="L11" s="44"/>
      <c r="M11" s="45"/>
      <c r="N11" s="46"/>
      <c r="O11" s="46"/>
      <c r="P11" s="46"/>
      <c r="R11" s="47"/>
      <c r="U11" s="47"/>
      <c r="V11" s="47"/>
      <c r="W11" s="47"/>
      <c r="X11" s="48"/>
      <c r="Y11" s="47"/>
    </row>
    <row r="12" spans="1:59" x14ac:dyDescent="0.2">
      <c r="B12" s="18"/>
      <c r="C12" s="18"/>
      <c r="D12" s="18"/>
      <c r="E12" s="18"/>
      <c r="F12" s="44"/>
      <c r="G12" s="49"/>
      <c r="H12" s="42"/>
      <c r="I12" s="43"/>
      <c r="J12" s="44"/>
      <c r="K12" s="44"/>
      <c r="L12" s="44"/>
      <c r="M12" s="45"/>
      <c r="N12" s="46"/>
      <c r="O12" s="46"/>
      <c r="P12" s="46"/>
      <c r="R12" s="47"/>
      <c r="U12" s="47"/>
      <c r="V12" s="47"/>
      <c r="W12" s="47"/>
      <c r="X12" s="48"/>
      <c r="Y12" s="47"/>
    </row>
    <row r="13" spans="1:59" x14ac:dyDescent="0.2">
      <c r="B13" s="18"/>
      <c r="C13" s="18"/>
      <c r="D13" s="18"/>
      <c r="E13" s="18"/>
      <c r="F13" s="44"/>
      <c r="G13" s="49"/>
      <c r="H13" s="42"/>
      <c r="I13" s="43"/>
      <c r="J13" s="44"/>
      <c r="K13" s="44"/>
      <c r="L13" s="44"/>
      <c r="M13" s="45"/>
      <c r="N13" s="46"/>
      <c r="O13" s="46"/>
      <c r="P13" s="46"/>
      <c r="R13" s="47"/>
      <c r="U13" s="47"/>
      <c r="V13" s="47"/>
      <c r="W13" s="47"/>
      <c r="X13" s="48"/>
      <c r="Y13" s="47"/>
    </row>
    <row r="14" spans="1:59" x14ac:dyDescent="0.2">
      <c r="B14" s="18"/>
      <c r="C14" s="18"/>
      <c r="D14" s="18"/>
      <c r="E14" s="18"/>
      <c r="F14" s="44"/>
      <c r="G14" s="49"/>
      <c r="H14" s="42"/>
      <c r="I14" s="43"/>
      <c r="J14" s="44"/>
      <c r="K14" s="44"/>
      <c r="L14" s="44"/>
      <c r="M14" s="45"/>
      <c r="N14" s="46"/>
      <c r="O14" s="46"/>
      <c r="P14" s="46"/>
      <c r="R14" s="47"/>
      <c r="U14" s="47"/>
      <c r="V14" s="47"/>
      <c r="W14" s="47"/>
      <c r="X14" s="48"/>
      <c r="Y14" s="47"/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"/>
  <sheetViews>
    <sheetView topLeftCell="K1" zoomScaleNormal="100" workbookViewId="0"/>
  </sheetViews>
  <sheetFormatPr baseColWidth="10" defaultColWidth="8.83203125" defaultRowHeight="15" x14ac:dyDescent="0.2"/>
  <cols>
    <col min="1" max="1" width="16.6640625" customWidth="1"/>
    <col min="23" max="23" width="17" customWidth="1"/>
    <col min="24" max="24" width="15" customWidth="1"/>
    <col min="25" max="25" width="14.33203125" customWidth="1"/>
    <col min="26" max="26" width="13.6640625" customWidth="1"/>
  </cols>
  <sheetData>
    <row r="1" spans="1:27" x14ac:dyDescent="0.2">
      <c r="A1" s="22" t="s">
        <v>0</v>
      </c>
      <c r="B1" s="22" t="s">
        <v>394</v>
      </c>
      <c r="C1" s="22" t="s">
        <v>395</v>
      </c>
      <c r="D1" s="22" t="s">
        <v>396</v>
      </c>
      <c r="E1" s="22" t="s">
        <v>397</v>
      </c>
      <c r="F1" s="22" t="s">
        <v>398</v>
      </c>
      <c r="G1" s="22" t="s">
        <v>399</v>
      </c>
      <c r="H1" s="22" t="s">
        <v>400</v>
      </c>
      <c r="I1" s="22" t="s">
        <v>401</v>
      </c>
      <c r="J1" s="22" t="s">
        <v>402</v>
      </c>
      <c r="K1" s="22" t="s">
        <v>403</v>
      </c>
      <c r="L1" s="22" t="s">
        <v>404</v>
      </c>
      <c r="M1" s="22" t="s">
        <v>405</v>
      </c>
      <c r="N1" s="22" t="s">
        <v>406</v>
      </c>
      <c r="O1" s="22" t="s">
        <v>407</v>
      </c>
      <c r="P1" s="22" t="s">
        <v>408</v>
      </c>
      <c r="Q1" s="22" t="s">
        <v>409</v>
      </c>
      <c r="R1" s="22" t="s">
        <v>410</v>
      </c>
      <c r="S1" s="22" t="s">
        <v>411</v>
      </c>
      <c r="T1" s="22" t="s">
        <v>412</v>
      </c>
      <c r="U1" s="22" t="s">
        <v>413</v>
      </c>
      <c r="V1" s="22" t="s">
        <v>414</v>
      </c>
      <c r="W1" s="22" t="s">
        <v>415</v>
      </c>
      <c r="X1" s="22" t="s">
        <v>416</v>
      </c>
      <c r="Y1" s="22" t="s">
        <v>417</v>
      </c>
      <c r="Z1" s="22" t="s">
        <v>418</v>
      </c>
      <c r="AA1" s="22" t="s">
        <v>419</v>
      </c>
    </row>
    <row r="2" spans="1:27" x14ac:dyDescent="0.2">
      <c r="A2" s="12" t="s">
        <v>242</v>
      </c>
      <c r="B2" s="20">
        <f>COUNTA(Claims!B3:B1001)</f>
        <v>1</v>
      </c>
      <c r="C2" s="20">
        <f>COUNTIF(Claims!J3:J1001,"O")</f>
        <v>1</v>
      </c>
      <c r="D2" s="20">
        <f>COUNTIF(Claims!J3:J1001,"C")</f>
        <v>0</v>
      </c>
      <c r="E2" s="20">
        <f>COUNTIF(Claims!J3:J1001,"R")</f>
        <v>0</v>
      </c>
      <c r="F2" s="51">
        <f>I2+J2+K2+L2+M2-N2-O2</f>
        <v>3000.3600000000006</v>
      </c>
      <c r="G2" s="51">
        <f>P2+Q2+R2+S2+T2-U2-V2</f>
        <v>3000.3600000000006</v>
      </c>
      <c r="H2" s="51">
        <f>F2-G2</f>
        <v>0</v>
      </c>
      <c r="I2" s="51">
        <f>SUM(Claims!L3:L1001)</f>
        <v>1000.12</v>
      </c>
      <c r="J2" s="51">
        <f>SUM(Claims!M3:M1001)</f>
        <v>1000.12</v>
      </c>
      <c r="K2" s="51">
        <f>SUM(Claims!N3:N1001)</f>
        <v>1000.12</v>
      </c>
      <c r="L2" s="51">
        <f>SUM(Claims!O3:O1001)</f>
        <v>1000.12</v>
      </c>
      <c r="M2" s="51">
        <f>SUM(Claims!P3:P1001)</f>
        <v>1000.12</v>
      </c>
      <c r="N2" s="51">
        <f>SUM(Claims!Q3:Q1001)</f>
        <v>1000.12</v>
      </c>
      <c r="O2" s="51">
        <f>SUM(Claims!R3:R1001)</f>
        <v>1000.12</v>
      </c>
      <c r="P2" s="51">
        <f>SUM(Claims!S3:S1001)</f>
        <v>1000.12</v>
      </c>
      <c r="Q2" s="51">
        <f>SUM(Claims!T3:T1001)</f>
        <v>1000.12</v>
      </c>
      <c r="R2" s="51">
        <f>SUM(Claims!U3:U1001)</f>
        <v>1000.12</v>
      </c>
      <c r="S2" s="51">
        <f>SUM(Claims!V3:V1001)</f>
        <v>1000.12</v>
      </c>
      <c r="T2" s="51">
        <f>SUM(Claims!W3:W1001)</f>
        <v>1000.12</v>
      </c>
      <c r="U2" s="51">
        <f>SUM(Claims!X3:X1001)</f>
        <v>1000.12</v>
      </c>
      <c r="V2" s="51">
        <f>SUM(Claims!Y3:Y1001)</f>
        <v>1000.12</v>
      </c>
      <c r="W2" s="20">
        <f>COUNTA(Transactions!B3:B1001)</f>
        <v>1</v>
      </c>
      <c r="X2" s="20">
        <f>COUNTIF(Transactions!E3:E1001,"R")</f>
        <v>1</v>
      </c>
      <c r="Y2" s="20">
        <f>COUNTIF(Transactions!E3:E1001,"P")</f>
        <v>0</v>
      </c>
      <c r="Z2" s="20">
        <f>COUNTA(Notes!C3:C1001)</f>
        <v>1</v>
      </c>
      <c r="AA2">
        <v>0</v>
      </c>
    </row>
  </sheetData>
  <pageMargins left="0.7" right="0.7" top="0.75" bottom="0.75" header="0.3" footer="0.3"/>
  <pageSetup paperSize="9" scale="30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Claims</vt:lpstr>
      <vt:lpstr>Transactions</vt:lpstr>
      <vt:lpstr>Notes</vt:lpstr>
      <vt:lpstr>Incidents</vt:lpstr>
      <vt:lpstr>Policy</vt:lpstr>
      <vt:lpstr>ControlTotals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</dc:creator>
  <cp:lastModifiedBy>Microsoft Office User</cp:lastModifiedBy>
  <dcterms:created xsi:type="dcterms:W3CDTF">2022-12-14T19:47:52Z</dcterms:created>
  <dcterms:modified xsi:type="dcterms:W3CDTF">2023-01-10T19:57:08Z</dcterms:modified>
</cp:coreProperties>
</file>