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2BEDD5F0-660D-41EE-8ABF-B1D18E1DC96A}" xr6:coauthVersionLast="47" xr6:coauthVersionMax="47" xr10:uidLastSave="{00000000-0000-0000-0000-000000000000}"/>
  <bookViews>
    <workbookView xWindow="-120" yWindow="-120" windowWidth="29040" windowHeight="15840" tabRatio="901" activeTab="2" xr2:uid="{00000000-000D-0000-FFFF-FFFF00000000}"/>
  </bookViews>
  <sheets>
    <sheet name="Instructions" sheetId="17" r:id="rId1"/>
    <sheet name="execute" sheetId="18" r:id="rId2"/>
    <sheet name="Analysis" sheetId="41" r:id="rId3"/>
    <sheet name="Loss Run 1" sheetId="36" r:id="rId4"/>
    <sheet name="Loss Run 2" sheetId="37" r:id="rId5"/>
    <sheet name="Loss Run 3" sheetId="38" r:id="rId6"/>
    <sheet name="Total Scorecards" sheetId="9" r:id="rId7"/>
    <sheet name="Filtered Scorecard 1" sheetId="22" r:id="rId8"/>
    <sheet name="Filtered Scorecard 2" sheetId="23" r:id="rId9"/>
    <sheet name="Filtered Scorecard 3" sheetId="24" r:id="rId10"/>
    <sheet name="Indemnity Rate" sheetId="33" r:id="rId11"/>
    <sheet name="Ultimate Severity" sheetId="35" r:id="rId12"/>
    <sheet name="Litigation Analysis" sheetId="34" r:id="rId13"/>
    <sheet name="Runoff Schedule" sheetId="39" r:id="rId14"/>
  </sheets>
  <externalReferences>
    <externalReference r:id="rId15"/>
  </externalReferences>
  <definedNames>
    <definedName name="_xlnm._FilterDatabase" localSheetId="1" hidden="1">execute!$H$1:$U$46516</definedName>
    <definedName name="_xlnm._FilterDatabase" localSheetId="6" hidden="1">'Total Scorecards'!$M$15:$M$21</definedName>
    <definedName name="Closed">execute!$O$2:$O$100000</definedName>
    <definedName name="DOL">execute!$I$2:$I$100000</definedName>
    <definedName name="Filter1">execute!$S$2:$S$100000</definedName>
    <definedName name="IncLim">execute!$K$2:$K$100000</definedName>
    <definedName name="IncYr_yn">execute!$A$32</definedName>
    <definedName name="indType">execute!$N$2:$N$100000</definedName>
    <definedName name="Lit">execute!$Q$2:$Q$100000</definedName>
    <definedName name="Months">execute!$U$2:$U$100000</definedName>
    <definedName name="months1">execute!$D$32</definedName>
    <definedName name="months2">execute!$D$33</definedName>
    <definedName name="months3">execute!$D$34</definedName>
    <definedName name="months4">execute!$D$35</definedName>
    <definedName name="months5">execute!$D$36</definedName>
    <definedName name="osLim">execute!$M$2:$M$100000</definedName>
    <definedName name="pdLim">execute!$L$2:$L$100000</definedName>
    <definedName name="PY">execute!$J$2:$J$100000</definedName>
    <definedName name="PY1_">execute!$A$26</definedName>
    <definedName name="PY1_ret">'Total Scorecards'!$N$5</definedName>
    <definedName name="PY1_ult">'Total Scorecards'!$O$5</definedName>
    <definedName name="PY1_ultCt">'Total Scorecards'!$P$5</definedName>
    <definedName name="PY2_">execute!$A$25</definedName>
    <definedName name="PY2_ret">'Total Scorecards'!$N$6</definedName>
    <definedName name="PY2_ult">'Total Scorecards'!$O$6</definedName>
    <definedName name="PY2_ultCt">'Total Scorecards'!$P$6</definedName>
    <definedName name="PY3_">execute!$A$24</definedName>
    <definedName name="PY3_ret">'Total Scorecards'!$N$7</definedName>
    <definedName name="PY3_ult">'Total Scorecards'!$O$7</definedName>
    <definedName name="PY3_ultCt">'Total Scorecards'!$P$7</definedName>
    <definedName name="PY4_">execute!$A$23</definedName>
    <definedName name="PY4_ret">'Total Scorecards'!$N$8</definedName>
    <definedName name="PY4_ult">'Total Scorecards'!$O$8</definedName>
    <definedName name="PY4_ultCt">'Total Scorecards'!$P$8</definedName>
    <definedName name="PY5_">execute!$A$22</definedName>
    <definedName name="PY5_ret">'Total Scorecards'!$N$9</definedName>
    <definedName name="PY5_ult">'Total Scorecards'!$O$9</definedName>
    <definedName name="PY5_ultCt">'Total Scorecards'!$P$9</definedName>
    <definedName name="PY6_">execute!$A$21</definedName>
    <definedName name="PY6_ret">'Total Scorecards'!$N$10</definedName>
    <definedName name="PY6_ult">'Total Scorecards'!$O$10</definedName>
    <definedName name="PY6_ultCt">'Total Scorecards'!$P$10</definedName>
    <definedName name="PY7_">execute!$A$20</definedName>
    <definedName name="PY7_ult">'Total Scorecards'!$O$11</definedName>
    <definedName name="PY7_ultCT">'Total Scorecards'!$P$11</definedName>
    <definedName name="PY8_">execute!$A$19</definedName>
    <definedName name="PY8_ult">'Total Scorecards'!$O$12</definedName>
    <definedName name="PY8_ultCt">'Total Scorecards'!$P$12</definedName>
    <definedName name="Source1">execute!$B$9</definedName>
    <definedName name="Source2">execute!$B$10</definedName>
    <definedName name="Source3">execute!$B$11</definedName>
    <definedName name="Val_current">execute!$A$5</definedName>
    <definedName name="Valuation">execute!$T$2:$T$100000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4" l="1"/>
  <c r="M10" i="24"/>
  <c r="M9" i="24"/>
  <c r="M8" i="24"/>
  <c r="M7" i="24"/>
  <c r="M6" i="24" a="1"/>
  <c r="M6" i="24" s="1"/>
  <c r="M5" i="24" a="1"/>
  <c r="M5" i="24" s="1"/>
  <c r="M11" i="23"/>
  <c r="M10" i="23"/>
  <c r="M9" i="23"/>
  <c r="M8" i="23"/>
  <c r="M7" i="23"/>
  <c r="M6" i="23" a="1"/>
  <c r="M6" i="23" s="1"/>
  <c r="M5" i="23" a="1"/>
  <c r="M5" i="23" s="1"/>
  <c r="M11" i="22"/>
  <c r="M10" i="22"/>
  <c r="M9" i="22"/>
  <c r="M8" i="22"/>
  <c r="M7" i="22"/>
  <c r="M6" i="22" a="1"/>
  <c r="M6" i="22" s="1"/>
  <c r="M5" i="22" a="1"/>
  <c r="M5" i="22" s="1"/>
  <c r="M11" i="9"/>
  <c r="M10" i="9"/>
  <c r="M9" i="9"/>
  <c r="M8" i="9"/>
  <c r="M7" i="9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" i="18"/>
  <c r="F141" i="24" l="1"/>
  <c r="D61" i="24"/>
  <c r="D51" i="24" a="1"/>
  <c r="D51" i="24" s="1"/>
  <c r="F11" i="24"/>
  <c r="F101" i="24"/>
  <c r="D21" i="24"/>
  <c r="E130" i="24" a="1"/>
  <c r="E130" i="24" s="1"/>
  <c r="F50" i="24" a="1"/>
  <c r="F50" i="24" s="1"/>
  <c r="F91" i="24" a="1"/>
  <c r="F91" i="24" s="1"/>
  <c r="E50" i="24" a="1"/>
  <c r="E50" i="24" s="1"/>
  <c r="F51" i="24" a="1"/>
  <c r="F51" i="24" s="1"/>
  <c r="E51" i="24" a="1"/>
  <c r="E51" i="24" s="1"/>
  <c r="F61" i="24"/>
  <c r="D130" i="24" a="1"/>
  <c r="D130" i="24" s="1"/>
  <c r="E141" i="24"/>
  <c r="F21" i="24"/>
  <c r="F131" i="24" a="1"/>
  <c r="F131" i="24" s="1"/>
  <c r="E91" i="24" a="1"/>
  <c r="E91" i="24" s="1"/>
  <c r="D50" i="24" a="1"/>
  <c r="D50" i="24" s="1"/>
  <c r="E11" i="24"/>
  <c r="E131" i="24" a="1"/>
  <c r="E131" i="24" s="1"/>
  <c r="D131" i="24" a="1"/>
  <c r="D131" i="24" s="1"/>
  <c r="E10" i="24"/>
  <c r="D101" i="24"/>
  <c r="D90" i="24" a="1"/>
  <c r="D90" i="24" s="1"/>
  <c r="D10" i="24" a="1"/>
  <c r="D10" i="24" s="1"/>
  <c r="E101" i="24"/>
  <c r="D91" i="24" a="1"/>
  <c r="D91" i="24" s="1"/>
  <c r="D11" i="24"/>
  <c r="E61" i="24"/>
  <c r="F90" i="24" a="1"/>
  <c r="F90" i="24" s="1"/>
  <c r="F10" i="24" a="1"/>
  <c r="F10" i="24" s="1"/>
  <c r="E21" i="24"/>
  <c r="E90" i="24" a="1"/>
  <c r="E90" i="24" s="1"/>
  <c r="F130" i="24"/>
  <c r="D141" i="24"/>
  <c r="F141" i="23"/>
  <c r="F101" i="23"/>
  <c r="D21" i="23"/>
  <c r="E130" i="23" a="1"/>
  <c r="E130" i="23" s="1"/>
  <c r="F91" i="23" a="1"/>
  <c r="F91" i="23" s="1"/>
  <c r="E50" i="23" a="1"/>
  <c r="E50" i="23" s="1"/>
  <c r="F11" i="23"/>
  <c r="D91" i="23" a="1"/>
  <c r="D91" i="23" s="1"/>
  <c r="D10" i="23" a="1"/>
  <c r="D10" i="23" s="1"/>
  <c r="D51" i="23" a="1"/>
  <c r="D51" i="23" s="1"/>
  <c r="F50" i="23" a="1"/>
  <c r="F50" i="23" s="1"/>
  <c r="F61" i="23"/>
  <c r="D130" i="23" a="1"/>
  <c r="D130" i="23" s="1"/>
  <c r="E91" i="23" a="1"/>
  <c r="E91" i="23" s="1"/>
  <c r="D50" i="23" a="1"/>
  <c r="D50" i="23" s="1"/>
  <c r="E11" i="23"/>
  <c r="D11" i="23"/>
  <c r="E51" i="23" a="1"/>
  <c r="E51" i="23" s="1"/>
  <c r="D101" i="23"/>
  <c r="E141" i="23"/>
  <c r="F21" i="23"/>
  <c r="E101" i="23"/>
  <c r="F131" i="23" a="1"/>
  <c r="F131" i="23" s="1"/>
  <c r="F90" i="23" a="1"/>
  <c r="F90" i="23" s="1"/>
  <c r="F10" i="23" a="1"/>
  <c r="F10" i="23" s="1"/>
  <c r="D131" i="23" a="1"/>
  <c r="D131" i="23" s="1"/>
  <c r="D90" i="23" a="1"/>
  <c r="D90" i="23" s="1"/>
  <c r="F130" i="23"/>
  <c r="E61" i="23"/>
  <c r="E131" i="23" a="1"/>
  <c r="E131" i="23" s="1"/>
  <c r="E90" i="23" a="1"/>
  <c r="E90" i="23" s="1"/>
  <c r="F51" i="23" a="1"/>
  <c r="F51" i="23" s="1"/>
  <c r="E10" i="23"/>
  <c r="E21" i="23"/>
  <c r="D61" i="23"/>
  <c r="D141" i="23"/>
  <c r="D101" i="22"/>
  <c r="D131" i="22" a="1"/>
  <c r="D131" i="22" s="1"/>
  <c r="F90" i="22" a="1"/>
  <c r="F90" i="22" s="1"/>
  <c r="D50" i="22" a="1"/>
  <c r="D50" i="22" s="1"/>
  <c r="E11" i="22"/>
  <c r="E61" i="22"/>
  <c r="F50" i="22" a="1"/>
  <c r="F50" i="22" s="1"/>
  <c r="E21" i="22"/>
  <c r="F141" i="22"/>
  <c r="D61" i="22"/>
  <c r="F130" i="22"/>
  <c r="E90" i="22" a="1"/>
  <c r="E90" i="22" s="1"/>
  <c r="D11" i="22"/>
  <c r="D90" i="22" a="1"/>
  <c r="D90" i="22" s="1"/>
  <c r="D51" i="22" a="1"/>
  <c r="D51" i="22" s="1"/>
  <c r="E91" i="22" a="1"/>
  <c r="E91" i="22" s="1"/>
  <c r="D141" i="22"/>
  <c r="D91" i="22" a="1"/>
  <c r="D91" i="22" s="1"/>
  <c r="F101" i="22"/>
  <c r="D21" i="22"/>
  <c r="F61" i="22"/>
  <c r="E130" i="22" a="1"/>
  <c r="E130" i="22" s="1"/>
  <c r="F51" i="22" a="1"/>
  <c r="F51" i="22" s="1"/>
  <c r="F11" i="22"/>
  <c r="E101" i="22"/>
  <c r="F91" i="22" a="1"/>
  <c r="F91" i="22" s="1"/>
  <c r="E50" i="22" a="1"/>
  <c r="E50" i="22" s="1"/>
  <c r="E141" i="22"/>
  <c r="F21" i="22"/>
  <c r="D130" i="22" a="1"/>
  <c r="D130" i="22" s="1"/>
  <c r="E51" i="22" a="1"/>
  <c r="E51" i="22" s="1"/>
  <c r="F10" i="22" a="1"/>
  <c r="F10" i="22" s="1"/>
  <c r="E10" i="22"/>
  <c r="F131" i="22" a="1"/>
  <c r="F131" i="22" s="1"/>
  <c r="E131" i="22" a="1"/>
  <c r="E131" i="22" s="1"/>
  <c r="D10" i="22" a="1"/>
  <c r="D10" i="22" s="1"/>
  <c r="A5" i="18" a="1"/>
  <c r="A5" i="18" s="1"/>
  <c r="I197" i="22" l="1"/>
  <c r="H197" i="22"/>
  <c r="I197" i="23"/>
  <c r="H197" i="23"/>
  <c r="I197" i="24"/>
  <c r="H197" i="24"/>
  <c r="I206" i="9"/>
  <c r="H206" i="9"/>
  <c r="I157" i="22"/>
  <c r="H157" i="22"/>
  <c r="I157" i="23"/>
  <c r="H157" i="23"/>
  <c r="I157" i="24"/>
  <c r="H157" i="24"/>
  <c r="I166" i="9"/>
  <c r="H166" i="9"/>
  <c r="I117" i="22"/>
  <c r="H117" i="22"/>
  <c r="I117" i="23"/>
  <c r="H117" i="23"/>
  <c r="I117" i="24"/>
  <c r="H117" i="24"/>
  <c r="I126" i="9"/>
  <c r="H126" i="9"/>
  <c r="I77" i="22"/>
  <c r="H77" i="22"/>
  <c r="I77" i="23"/>
  <c r="H77" i="23"/>
  <c r="I77" i="24"/>
  <c r="H77" i="24"/>
  <c r="I86" i="9"/>
  <c r="H86" i="9"/>
  <c r="I37" i="22"/>
  <c r="H37" i="22"/>
  <c r="I37" i="23"/>
  <c r="H37" i="23"/>
  <c r="I37" i="24"/>
  <c r="H37" i="24"/>
  <c r="I46" i="9"/>
  <c r="H46" i="9"/>
  <c r="F32" i="34" l="1"/>
  <c r="F30" i="34"/>
  <c r="E32" i="34"/>
  <c r="E30" i="34"/>
  <c r="D32" i="34"/>
  <c r="D30" i="34"/>
  <c r="C32" i="34"/>
  <c r="C30" i="34"/>
  <c r="D6" i="34"/>
  <c r="C6" i="34"/>
  <c r="A1" i="24" l="1"/>
  <c r="I141" i="24"/>
  <c r="H141" i="24"/>
  <c r="I131" i="24"/>
  <c r="H131" i="24"/>
  <c r="I130" i="24"/>
  <c r="H130" i="24"/>
  <c r="I101" i="24"/>
  <c r="H101" i="24"/>
  <c r="I91" i="24"/>
  <c r="H91" i="24"/>
  <c r="I90" i="24"/>
  <c r="H90" i="24"/>
  <c r="I61" i="24"/>
  <c r="H61" i="24"/>
  <c r="I50" i="24"/>
  <c r="H50" i="24"/>
  <c r="I21" i="24"/>
  <c r="H21" i="24"/>
  <c r="I10" i="24"/>
  <c r="H10" i="24"/>
  <c r="I141" i="23"/>
  <c r="H141" i="23"/>
  <c r="I131" i="23"/>
  <c r="H131" i="23"/>
  <c r="I130" i="23"/>
  <c r="H130" i="23"/>
  <c r="I101" i="23"/>
  <c r="H101" i="23"/>
  <c r="I91" i="23"/>
  <c r="H91" i="23"/>
  <c r="I90" i="23"/>
  <c r="H90" i="23"/>
  <c r="I61" i="23"/>
  <c r="H61" i="23"/>
  <c r="I50" i="23"/>
  <c r="H50" i="23"/>
  <c r="I21" i="23"/>
  <c r="H21" i="23"/>
  <c r="I10" i="23"/>
  <c r="H10" i="23"/>
  <c r="I141" i="22"/>
  <c r="H141" i="22"/>
  <c r="I131" i="22"/>
  <c r="H131" i="22"/>
  <c r="I130" i="22"/>
  <c r="H130" i="22"/>
  <c r="I101" i="22"/>
  <c r="H101" i="22"/>
  <c r="I91" i="22"/>
  <c r="H91" i="22"/>
  <c r="I90" i="22"/>
  <c r="H90" i="22"/>
  <c r="I61" i="22"/>
  <c r="H61" i="22"/>
  <c r="I50" i="22"/>
  <c r="H50" i="22"/>
  <c r="I21" i="22"/>
  <c r="H21" i="22"/>
  <c r="I10" i="22"/>
  <c r="H10" i="22"/>
  <c r="D6" i="35" l="1" a="1"/>
  <c r="D6" i="35" s="1"/>
  <c r="D7" i="35" a="1"/>
  <c r="D7" i="35" s="1"/>
  <c r="D8" i="35" a="1"/>
  <c r="D8" i="35" s="1"/>
  <c r="D9" i="35" a="1"/>
  <c r="D9" i="35" s="1"/>
  <c r="D10" i="35" a="1"/>
  <c r="D10" i="35" s="1"/>
  <c r="D11" i="35" a="1"/>
  <c r="D11" i="35" s="1"/>
  <c r="D12" i="35" a="1"/>
  <c r="D12" i="35" s="1"/>
  <c r="C6" i="35" a="1"/>
  <c r="C6" i="35" s="1"/>
  <c r="C7" i="35" a="1"/>
  <c r="C7" i="35" s="1"/>
  <c r="C8" i="35" a="1"/>
  <c r="C8" i="35" s="1"/>
  <c r="C9" i="35" a="1"/>
  <c r="C9" i="35" s="1"/>
  <c r="C10" i="35" a="1"/>
  <c r="C10" i="35" s="1"/>
  <c r="C11" i="35" a="1"/>
  <c r="C11" i="35" s="1"/>
  <c r="C12" i="35" a="1"/>
  <c r="C12" i="35" s="1"/>
  <c r="E7" i="35" l="1"/>
  <c r="E6" i="35"/>
  <c r="E9" i="35"/>
  <c r="E12" i="35"/>
  <c r="E11" i="35"/>
  <c r="E10" i="35"/>
  <c r="E8" i="35"/>
  <c r="F177" i="9" l="1" a="1"/>
  <c r="F177" i="9" s="1"/>
  <c r="E177" i="9" a="1"/>
  <c r="E177" i="9" s="1"/>
  <c r="D177" i="9" a="1"/>
  <c r="D177" i="9" s="1"/>
  <c r="C173" i="9"/>
  <c r="K9" i="23" l="1"/>
  <c r="K9" i="24"/>
  <c r="K9" i="22"/>
  <c r="H30" i="34" l="1"/>
  <c r="H32" i="34" l="1"/>
  <c r="E6" i="34"/>
  <c r="G32" i="34"/>
  <c r="G30" i="34"/>
  <c r="I51" i="23" l="1"/>
  <c r="H51" i="23"/>
  <c r="I51" i="22"/>
  <c r="H51" i="22"/>
  <c r="I51" i="24"/>
  <c r="H51" i="24"/>
  <c r="H31" i="34"/>
  <c r="D31" i="34"/>
  <c r="F31" i="34"/>
  <c r="E31" i="34"/>
  <c r="E7" i="34"/>
  <c r="D7" i="34"/>
  <c r="D14" i="34" s="1"/>
  <c r="D13" i="34" s="1"/>
  <c r="C7" i="34"/>
  <c r="C14" i="34" s="1"/>
  <c r="C13" i="34" s="1"/>
  <c r="C31" i="34"/>
  <c r="G31" i="34"/>
  <c r="K8" i="24" l="1"/>
  <c r="K7" i="24"/>
  <c r="K6" i="24"/>
  <c r="K5" i="24"/>
  <c r="K4" i="24"/>
  <c r="K3" i="24"/>
  <c r="K2" i="24"/>
  <c r="K8" i="23"/>
  <c r="K7" i="23"/>
  <c r="K6" i="23"/>
  <c r="K5" i="23"/>
  <c r="K4" i="23"/>
  <c r="K3" i="23"/>
  <c r="K2" i="23"/>
  <c r="K3" i="22"/>
  <c r="K4" i="22"/>
  <c r="K5" i="22"/>
  <c r="K6" i="22"/>
  <c r="K7" i="22"/>
  <c r="K8" i="22"/>
  <c r="K2" i="22"/>
  <c r="H11" i="23" l="1"/>
  <c r="I11" i="23"/>
  <c r="I11" i="22"/>
  <c r="H11" i="22"/>
  <c r="I11" i="24"/>
  <c r="H11" i="24"/>
  <c r="C124" i="22"/>
  <c r="C124" i="23"/>
  <c r="C124" i="24"/>
  <c r="C133" i="9"/>
  <c r="C84" i="24"/>
  <c r="C44" i="24"/>
  <c r="C4" i="24"/>
  <c r="M2" i="24"/>
  <c r="C84" i="23"/>
  <c r="C44" i="23"/>
  <c r="C4" i="23"/>
  <c r="A1" i="23"/>
  <c r="M2" i="23" s="1"/>
  <c r="C84" i="22"/>
  <c r="C44" i="22"/>
  <c r="C4" i="22"/>
  <c r="A1" i="22"/>
  <c r="M2" i="22" s="1"/>
  <c r="C93" i="9"/>
  <c r="A1" i="9"/>
  <c r="M2" i="9" s="1"/>
  <c r="C53" i="9"/>
  <c r="C13" i="9"/>
  <c r="E137" i="9" l="1" a="1"/>
  <c r="E137" i="9" s="1"/>
  <c r="D97" i="9" a="1"/>
  <c r="D97" i="9" s="1"/>
  <c r="F97" i="9" a="1"/>
  <c r="F97" i="9" s="1"/>
  <c r="D128" i="22" a="1"/>
  <c r="D128" i="22" s="1"/>
  <c r="F128" i="22" a="1"/>
  <c r="F128" i="22" s="1"/>
  <c r="E88" i="22" a="1"/>
  <c r="E88" i="22" s="1"/>
  <c r="D48" i="22" a="1"/>
  <c r="D48" i="22" s="1"/>
  <c r="F48" i="22" a="1"/>
  <c r="F48" i="22" s="1"/>
  <c r="E57" i="9" a="1"/>
  <c r="E57" i="9" s="1"/>
  <c r="D128" i="23" a="1"/>
  <c r="D128" i="23" s="1"/>
  <c r="F128" i="23" a="1"/>
  <c r="F128" i="23" s="1"/>
  <c r="E88" i="23" a="1"/>
  <c r="E88" i="23" s="1"/>
  <c r="D48" i="23" a="1"/>
  <c r="D48" i="23" s="1"/>
  <c r="F48" i="23" a="1"/>
  <c r="F48" i="23" s="1"/>
  <c r="E48" i="24" a="1"/>
  <c r="E48" i="24" s="1"/>
  <c r="D128" i="24" a="1"/>
  <c r="D128" i="24" s="1"/>
  <c r="F128" i="24" a="1"/>
  <c r="F128" i="24" s="1"/>
  <c r="E88" i="24" a="1"/>
  <c r="E88" i="24" s="1"/>
  <c r="D48" i="24" a="1"/>
  <c r="D48" i="24" s="1"/>
  <c r="F48" i="24" a="1"/>
  <c r="F48" i="24" s="1"/>
  <c r="F88" i="24" a="1"/>
  <c r="F88" i="24" s="1"/>
  <c r="D137" i="9" a="1"/>
  <c r="D137" i="9" s="1"/>
  <c r="F137" i="9" a="1"/>
  <c r="F137" i="9" s="1"/>
  <c r="E97" i="9" a="1"/>
  <c r="E97" i="9" s="1"/>
  <c r="D57" i="9" a="1"/>
  <c r="D57" i="9" s="1"/>
  <c r="F57" i="9" a="1"/>
  <c r="F57" i="9" s="1"/>
  <c r="E128" i="22" a="1"/>
  <c r="E128" i="22" s="1"/>
  <c r="D88" i="22" a="1"/>
  <c r="D88" i="22" s="1"/>
  <c r="F88" i="22" a="1"/>
  <c r="F88" i="22" s="1"/>
  <c r="E48" i="22" a="1"/>
  <c r="E48" i="22" s="1"/>
  <c r="E128" i="24" a="1"/>
  <c r="E128" i="24" s="1"/>
  <c r="E128" i="23" a="1"/>
  <c r="E128" i="23" s="1"/>
  <c r="D88" i="23" a="1"/>
  <c r="D88" i="23" s="1"/>
  <c r="F88" i="23" a="1"/>
  <c r="F88" i="23" s="1"/>
  <c r="E48" i="23" a="1"/>
  <c r="E48" i="23" s="1"/>
  <c r="D88" i="24" a="1"/>
  <c r="D88" i="24" s="1"/>
  <c r="E17" i="9" a="1"/>
  <c r="E17" i="9" s="1"/>
  <c r="D17" i="9" a="1"/>
  <c r="D17" i="9" s="1"/>
  <c r="F8" i="22" a="1"/>
  <c r="F8" i="22" s="1"/>
  <c r="F8" i="23" a="1"/>
  <c r="F8" i="23" s="1"/>
  <c r="F8" i="24" a="1"/>
  <c r="F8" i="24" s="1"/>
  <c r="D8" i="23" a="1"/>
  <c r="D8" i="23" s="1"/>
  <c r="D8" i="24" a="1"/>
  <c r="D8" i="24" s="1"/>
  <c r="D8" i="22" a="1"/>
  <c r="D8" i="22" s="1"/>
  <c r="F17" i="9" a="1"/>
  <c r="F17" i="9" s="1"/>
  <c r="E8" i="22" a="1"/>
  <c r="E8" i="22" s="1"/>
  <c r="E8" i="23" a="1"/>
  <c r="E8" i="23" s="1"/>
  <c r="E8" i="24" a="1"/>
  <c r="E8" i="24" s="1"/>
  <c r="D32" i="18" l="1"/>
  <c r="A2" i="24" l="1"/>
  <c r="A2" i="9"/>
  <c r="A2" i="22"/>
  <c r="A2" i="23"/>
  <c r="D33" i="18"/>
  <c r="D34" i="18" l="1"/>
  <c r="D35" i="18" l="1"/>
  <c r="D36" i="18" l="1"/>
  <c r="D37" i="18" l="1"/>
  <c r="B20" i="18"/>
  <c r="B6" i="35"/>
  <c r="B5" i="33"/>
  <c r="E46" i="22" a="1"/>
  <c r="E46" i="22" s="1"/>
  <c r="D6" i="24" a="1"/>
  <c r="D6" i="24" s="1"/>
  <c r="E46" i="24" a="1"/>
  <c r="E46" i="24" s="1"/>
  <c r="E46" i="23" a="1"/>
  <c r="E46" i="23" s="1"/>
  <c r="D6" i="22" a="1"/>
  <c r="D6" i="22" s="1"/>
  <c r="J14" i="18"/>
  <c r="D6" i="23" a="1"/>
  <c r="D6" i="23" s="1"/>
  <c r="E55" i="9" a="1"/>
  <c r="E55" i="9" s="1"/>
  <c r="D15" i="9" a="1"/>
  <c r="D15" i="9" s="1"/>
  <c r="F95" i="9" a="1"/>
  <c r="F95" i="9" s="1"/>
  <c r="C94" i="9" s="1"/>
  <c r="J24" i="18"/>
  <c r="J7" i="18"/>
  <c r="J6" i="18"/>
  <c r="J12" i="18"/>
  <c r="J9" i="18"/>
  <c r="J23" i="18"/>
  <c r="J13" i="18"/>
  <c r="F86" i="23" a="1"/>
  <c r="F86" i="23" s="1"/>
  <c r="C85" i="23" s="1"/>
  <c r="J17" i="18"/>
  <c r="B24" i="18"/>
  <c r="J10" i="18"/>
  <c r="J8" i="18"/>
  <c r="J20" i="18"/>
  <c r="F86" i="22" a="1"/>
  <c r="F86" i="22" s="1"/>
  <c r="C85" i="22" s="1"/>
  <c r="F86" i="24" a="1"/>
  <c r="F86" i="24" s="1"/>
  <c r="C85" i="24" s="1"/>
  <c r="B9" i="33"/>
  <c r="J19" i="18"/>
  <c r="J15" i="18"/>
  <c r="J11" i="18"/>
  <c r="J25" i="18"/>
  <c r="J16" i="18"/>
  <c r="J21" i="18"/>
  <c r="B10" i="35"/>
  <c r="J18" i="18"/>
  <c r="J5" i="18"/>
  <c r="J22" i="18"/>
  <c r="D46" i="23" a="1"/>
  <c r="D46" i="23" s="1"/>
  <c r="D55" i="9" a="1"/>
  <c r="D55" i="9" s="1"/>
  <c r="E86" i="24" a="1"/>
  <c r="E86" i="24" s="1"/>
  <c r="D46" i="22" a="1"/>
  <c r="D46" i="22" s="1"/>
  <c r="D46" i="24" a="1"/>
  <c r="D46" i="24" s="1"/>
  <c r="E86" i="22" a="1"/>
  <c r="E86" i="22" s="1"/>
  <c r="E86" i="23" a="1"/>
  <c r="E86" i="23" s="1"/>
  <c r="E95" i="9" a="1"/>
  <c r="E95" i="9" s="1"/>
  <c r="F126" i="23" a="1"/>
  <c r="F126" i="23" s="1"/>
  <c r="C125" i="23" s="1"/>
  <c r="F126" i="24" a="1"/>
  <c r="F135" i="9" a="1"/>
  <c r="F135" i="9" s="1"/>
  <c r="C134" i="9" s="1"/>
  <c r="B8" i="33"/>
  <c r="D76" i="22"/>
  <c r="B9" i="35"/>
  <c r="B23" i="18"/>
  <c r="F126" i="22" a="1"/>
  <c r="F126" i="22" s="1"/>
  <c r="C125" i="22" s="1"/>
  <c r="F126" i="24"/>
  <c r="C125" i="24" s="1"/>
  <c r="B8" i="35"/>
  <c r="B22" i="18"/>
  <c r="E126" i="22" a="1"/>
  <c r="E126" i="22" s="1"/>
  <c r="I128" i="22" s="1" a="1"/>
  <c r="I128" i="22" s="1"/>
  <c r="D86" i="22" a="1"/>
  <c r="D86" i="22" s="1"/>
  <c r="E126" i="24" a="1"/>
  <c r="E126" i="24" s="1"/>
  <c r="D95" i="9" a="1"/>
  <c r="D95" i="9" s="1"/>
  <c r="D86" i="23" a="1"/>
  <c r="D86" i="23" s="1"/>
  <c r="D86" i="24" a="1"/>
  <c r="D86" i="24" s="1"/>
  <c r="E135" i="9" a="1"/>
  <c r="E135" i="9" s="1"/>
  <c r="F175" i="9" a="1"/>
  <c r="F175" i="9" s="1"/>
  <c r="C174" i="9" s="1"/>
  <c r="E126" i="23" a="1"/>
  <c r="E126" i="23" s="1"/>
  <c r="B7" i="33"/>
  <c r="H88" i="24" l="1" a="1"/>
  <c r="H88" i="24" s="1"/>
  <c r="I128" i="23" a="1"/>
  <c r="I128" i="23" s="1"/>
  <c r="I88" i="23" a="1"/>
  <c r="I88" i="23" s="1"/>
  <c r="I88" i="24" a="1"/>
  <c r="I88" i="24" s="1"/>
  <c r="H88" i="23" a="1"/>
  <c r="H88" i="23" s="1"/>
  <c r="I137" i="9" a="1"/>
  <c r="I137" i="9" s="1"/>
  <c r="I128" i="24" a="1"/>
  <c r="I128" i="24" s="1"/>
  <c r="H97" i="9" a="1"/>
  <c r="H97" i="9" s="1"/>
  <c r="I97" i="9" a="1"/>
  <c r="I97" i="9" s="1"/>
  <c r="I88" i="22" a="1"/>
  <c r="I88" i="22" s="1"/>
  <c r="H88" i="22" a="1"/>
  <c r="H88" i="22" s="1"/>
  <c r="D175" i="9" a="1"/>
  <c r="D175" i="9" s="1"/>
  <c r="H177" i="9" s="1" a="1"/>
  <c r="H177" i="9" s="1"/>
  <c r="D135" i="9" a="1"/>
  <c r="D135" i="9" s="1"/>
  <c r="H137" i="9" s="1" a="1"/>
  <c r="H137" i="9" s="1"/>
  <c r="B7" i="35"/>
  <c r="D126" i="22" a="1"/>
  <c r="D126" i="22" s="1"/>
  <c r="H128" i="22" s="1" a="1"/>
  <c r="H128" i="22" s="1"/>
  <c r="D126" i="24" a="1"/>
  <c r="D126" i="24" s="1"/>
  <c r="H128" i="24" s="1" a="1"/>
  <c r="H128" i="24" s="1"/>
  <c r="B21" i="18"/>
  <c r="D126" i="23" a="1"/>
  <c r="D126" i="23" s="1"/>
  <c r="H128" i="23" s="1" a="1"/>
  <c r="H128" i="23" s="1"/>
  <c r="E175" i="9" a="1"/>
  <c r="E175" i="9" s="1"/>
  <c r="I177" i="9" s="1" a="1"/>
  <c r="I177" i="9" s="1"/>
  <c r="B6" i="33"/>
  <c r="F33" i="23"/>
  <c r="B26" i="18"/>
  <c r="J2" i="18" s="1"/>
  <c r="E57" i="22" s="1" a="1"/>
  <c r="E57" i="22" s="1"/>
  <c r="F15" i="9" a="1"/>
  <c r="F15" i="9" s="1"/>
  <c r="F6" i="24" a="1"/>
  <c r="F6" i="24"/>
  <c r="B11" i="33"/>
  <c r="F55" i="9" a="1"/>
  <c r="F55" i="9" s="1"/>
  <c r="E15" i="9" a="1"/>
  <c r="E15" i="9" s="1"/>
  <c r="F46" i="23" a="1"/>
  <c r="F46" i="23" s="1"/>
  <c r="F46" i="22" a="1"/>
  <c r="F46" i="22" s="1"/>
  <c r="M6" i="9" a="1"/>
  <c r="M6" i="9" s="1"/>
  <c r="E6" i="22" a="1"/>
  <c r="E6" i="22" s="1"/>
  <c r="B11" i="35"/>
  <c r="E6" i="24" a="1"/>
  <c r="E6" i="24"/>
  <c r="I8" i="24" s="1" a="1"/>
  <c r="I8" i="24" s="1"/>
  <c r="J3" i="18"/>
  <c r="B25" i="18"/>
  <c r="J4" i="18" s="1"/>
  <c r="B10" i="33"/>
  <c r="F46" i="24" a="1"/>
  <c r="F46" i="24" s="1"/>
  <c r="E6" i="23" a="1"/>
  <c r="E6" i="23" s="1"/>
  <c r="D200" i="9" l="1" a="1"/>
  <c r="D200" i="9" s="1"/>
  <c r="D151" i="22" a="1"/>
  <c r="D151" i="22" s="1"/>
  <c r="D33" i="22" a="1"/>
  <c r="D33" i="22" s="1"/>
  <c r="F62" i="9" a="1"/>
  <c r="F62" i="9" s="1"/>
  <c r="D31" i="22" a="1"/>
  <c r="D31" i="22" s="1"/>
  <c r="E151" i="23" a="1"/>
  <c r="E151" i="23" s="1"/>
  <c r="D162" i="9" a="1"/>
  <c r="D162" i="9" s="1"/>
  <c r="E79" i="22" a="1"/>
  <c r="E79" i="22" s="1"/>
  <c r="D73" i="23" a="1"/>
  <c r="D73" i="23" s="1"/>
  <c r="D119" i="22"/>
  <c r="E162" i="9" a="1"/>
  <c r="E162" i="9" s="1"/>
  <c r="D159" i="22"/>
  <c r="D35" i="9" a="1"/>
  <c r="D35" i="9" s="1"/>
  <c r="F106" i="22" a="1"/>
  <c r="F106" i="22" s="1"/>
  <c r="E71" i="22" a="1"/>
  <c r="E71" i="22" s="1"/>
  <c r="E151" i="24" a="1"/>
  <c r="E151" i="24" s="1"/>
  <c r="D7" i="33" a="1"/>
  <c r="D7" i="33" s="1"/>
  <c r="D9" i="33" a="1"/>
  <c r="D9" i="33" s="1"/>
  <c r="D158" i="9" a="1"/>
  <c r="D158" i="9" s="1"/>
  <c r="D66" i="24" a="1"/>
  <c r="D66" i="24" s="1"/>
  <c r="F151" i="22" a="1"/>
  <c r="F151" i="22" s="1"/>
  <c r="E137" i="22" a="1"/>
  <c r="E137" i="22" s="1"/>
  <c r="E168" i="9" a="1"/>
  <c r="E168" i="9" s="1"/>
  <c r="D71" i="23" a="1"/>
  <c r="D71" i="23" s="1"/>
  <c r="D57" i="22" a="1"/>
  <c r="D57" i="22" s="1"/>
  <c r="F106" i="23" a="1"/>
  <c r="F106" i="23" s="1"/>
  <c r="F155" i="22" a="1"/>
  <c r="F155" i="22" s="1"/>
  <c r="D102" i="9" a="1"/>
  <c r="D102" i="9" s="1"/>
  <c r="F102" i="9" a="1"/>
  <c r="F102" i="9" s="1"/>
  <c r="D31" i="23" a="1"/>
  <c r="D31" i="23" s="1"/>
  <c r="D94" i="24" a="1"/>
  <c r="D94" i="24" s="1"/>
  <c r="D88" i="9" a="1"/>
  <c r="D88" i="9" s="1"/>
  <c r="E144" i="23" a="1"/>
  <c r="E144" i="23" s="1"/>
  <c r="E155" i="22" a="1"/>
  <c r="E155" i="22" s="1"/>
  <c r="D64" i="24" a="1"/>
  <c r="D64" i="24" s="1"/>
  <c r="E153" i="22" a="1"/>
  <c r="E153" i="22" s="1"/>
  <c r="D79" i="22"/>
  <c r="D84" i="9" a="1"/>
  <c r="D84" i="9" s="1"/>
  <c r="D36" i="23" a="1"/>
  <c r="D36" i="23" s="1"/>
  <c r="D53" i="24" a="1"/>
  <c r="D53" i="24" s="1"/>
  <c r="D125" i="9" a="1"/>
  <c r="D125" i="9" s="1"/>
  <c r="D75" i="24" a="1"/>
  <c r="D75" i="24" s="1"/>
  <c r="F97" i="24" a="1"/>
  <c r="F97" i="24" s="1"/>
  <c r="F115" i="24" a="1"/>
  <c r="F115" i="24" s="1"/>
  <c r="F97" i="22" a="1"/>
  <c r="F97" i="22" s="1"/>
  <c r="D17" i="24" a="1"/>
  <c r="D17" i="24" s="1"/>
  <c r="D59" i="24" a="1"/>
  <c r="D59" i="24" s="1"/>
  <c r="E53" i="23" a="1"/>
  <c r="E53" i="23" s="1"/>
  <c r="E188" i="9" a="1"/>
  <c r="E188" i="9" s="1"/>
  <c r="D113" i="23" a="1"/>
  <c r="D113" i="23" s="1"/>
  <c r="E159" i="24"/>
  <c r="D118" i="9" a="1"/>
  <c r="D118" i="9" s="1"/>
  <c r="D71" i="24" a="1"/>
  <c r="D71" i="24" s="1"/>
  <c r="D72" i="24" s="1"/>
  <c r="E120" i="9" a="1"/>
  <c r="E120" i="9" s="1"/>
  <c r="F137" i="24" a="1"/>
  <c r="F137" i="24" s="1"/>
  <c r="D156" i="22" a="1"/>
  <c r="D156" i="22" s="1"/>
  <c r="F94" i="23" a="1"/>
  <c r="F94" i="23" s="1"/>
  <c r="E93" i="22" a="1"/>
  <c r="E93" i="22" s="1"/>
  <c r="E94" i="24" a="1"/>
  <c r="E94" i="24" s="1"/>
  <c r="E53" i="22" a="1"/>
  <c r="E53" i="22" s="1"/>
  <c r="F159" i="23"/>
  <c r="D38" i="9" a="1"/>
  <c r="D38" i="9" s="1"/>
  <c r="E111" i="24" a="1"/>
  <c r="E111" i="24" s="1"/>
  <c r="E139" i="24" a="1"/>
  <c r="E139" i="24" s="1"/>
  <c r="F183" i="9" a="1"/>
  <c r="F183" i="9" s="1"/>
  <c r="D63" i="9" a="1"/>
  <c r="D63" i="9" s="1"/>
  <c r="D153" i="22" a="1"/>
  <c r="D153" i="22" s="1"/>
  <c r="D94" i="22" a="1"/>
  <c r="D94" i="22" s="1"/>
  <c r="D139" i="24" a="1"/>
  <c r="D139" i="24" s="1"/>
  <c r="F119" i="24"/>
  <c r="D36" i="24" a="1"/>
  <c r="D36" i="24" s="1"/>
  <c r="D156" i="24" a="1"/>
  <c r="D156" i="24" s="1"/>
  <c r="E205" i="9" a="1"/>
  <c r="E205" i="9" s="1"/>
  <c r="F106" i="24" a="1"/>
  <c r="F106" i="24" s="1"/>
  <c r="E155" i="24" a="1"/>
  <c r="E155" i="24" s="1"/>
  <c r="D193" i="9" a="1"/>
  <c r="D193" i="9" s="1"/>
  <c r="E64" i="23" a="1"/>
  <c r="E64" i="23" s="1"/>
  <c r="D139" i="23" a="1"/>
  <c r="D139" i="23" s="1"/>
  <c r="E156" i="23" a="1"/>
  <c r="E156" i="23" s="1"/>
  <c r="D134" i="24" a="1"/>
  <c r="D134" i="24" s="1"/>
  <c r="D164" i="9" a="1"/>
  <c r="D164" i="9" s="1"/>
  <c r="D113" i="9" a="1"/>
  <c r="D113" i="9" s="1"/>
  <c r="E113" i="22" a="1"/>
  <c r="E113" i="22" s="1"/>
  <c r="D42" i="9" a="1"/>
  <c r="D42" i="9" s="1"/>
  <c r="D43" i="9" s="1"/>
  <c r="D113" i="24" a="1"/>
  <c r="D113" i="24" s="1"/>
  <c r="D26" i="22" a="1"/>
  <c r="D26" i="22" s="1"/>
  <c r="E153" i="23" a="1"/>
  <c r="E153" i="23" s="1"/>
  <c r="E159" i="23"/>
  <c r="D53" i="22" a="1"/>
  <c r="D53" i="22" s="1"/>
  <c r="D113" i="22" a="1"/>
  <c r="D113" i="22" s="1"/>
  <c r="D104" i="22" a="1"/>
  <c r="D104" i="22" s="1"/>
  <c r="E97" i="23" a="1"/>
  <c r="E97" i="23" s="1"/>
  <c r="E66" i="24" a="1"/>
  <c r="E66" i="24" s="1"/>
  <c r="F153" i="22" a="1"/>
  <c r="F153" i="22" s="1"/>
  <c r="F99" i="24" a="1"/>
  <c r="F99" i="24" s="1"/>
  <c r="E76" i="22" a="1"/>
  <c r="E76" i="22" s="1"/>
  <c r="E73" i="23" a="1"/>
  <c r="E73" i="23" s="1"/>
  <c r="F116" i="24" a="1"/>
  <c r="F116" i="24" s="1"/>
  <c r="E115" i="23" a="1"/>
  <c r="E115" i="23" s="1"/>
  <c r="D151" i="23" a="1"/>
  <c r="D151" i="23" s="1"/>
  <c r="E155" i="9" a="1"/>
  <c r="E155" i="9" s="1"/>
  <c r="D57" i="23" a="1"/>
  <c r="D57" i="23" s="1"/>
  <c r="E204" i="9" a="1"/>
  <c r="E204" i="9" s="1"/>
  <c r="E73" i="9" a="1"/>
  <c r="E73" i="9" s="1"/>
  <c r="D204" i="9" a="1"/>
  <c r="D204" i="9" s="1"/>
  <c r="E146" i="9" a="1"/>
  <c r="E146" i="9" s="1"/>
  <c r="D26" i="9" a="1"/>
  <c r="D26" i="9" s="1"/>
  <c r="E94" i="23" a="1"/>
  <c r="E94" i="23" s="1"/>
  <c r="D54" i="24" a="1"/>
  <c r="D54" i="24" s="1"/>
  <c r="E102" i="9" a="1"/>
  <c r="E102" i="9" s="1"/>
  <c r="E139" i="22" a="1"/>
  <c r="E139" i="22" s="1"/>
  <c r="D137" i="22" a="1"/>
  <c r="D137" i="22" s="1"/>
  <c r="E59" i="23" a="1"/>
  <c r="E59" i="23" s="1"/>
  <c r="C5" i="33" a="1"/>
  <c r="C5" i="33" s="1"/>
  <c r="D19" i="22" a="1"/>
  <c r="D19" i="22" s="1"/>
  <c r="F193" i="9" a="1"/>
  <c r="F193" i="9" s="1"/>
  <c r="E76" i="23" a="1"/>
  <c r="E76" i="23" s="1"/>
  <c r="E153" i="9" a="1"/>
  <c r="E153" i="9" s="1"/>
  <c r="E118" i="9" a="1"/>
  <c r="E118" i="9" s="1"/>
  <c r="E88" i="9" a="1"/>
  <c r="E88" i="9" s="1"/>
  <c r="E106" i="24" a="1"/>
  <c r="E106" i="24" s="1"/>
  <c r="D26" i="24" a="1"/>
  <c r="D26" i="24" s="1"/>
  <c r="E119" i="23"/>
  <c r="E71" i="23" a="1"/>
  <c r="E71" i="23" s="1"/>
  <c r="E72" i="23" s="1"/>
  <c r="E113" i="23" a="1"/>
  <c r="E113" i="23" s="1"/>
  <c r="E160" i="9" a="1"/>
  <c r="E160" i="9" s="1"/>
  <c r="E161" i="9" s="1"/>
  <c r="F111" i="22" a="1"/>
  <c r="F111" i="22" s="1"/>
  <c r="D99" i="23" a="1"/>
  <c r="D99" i="23" s="1"/>
  <c r="D13" i="24" a="1"/>
  <c r="D13" i="24" s="1"/>
  <c r="F164" i="9" a="1"/>
  <c r="F164" i="9" s="1"/>
  <c r="D165" i="9" a="1"/>
  <c r="D165" i="9" s="1"/>
  <c r="D160" i="9" a="1"/>
  <c r="D160" i="9" s="1"/>
  <c r="C9" i="33" a="1"/>
  <c r="C9" i="33" s="1"/>
  <c r="D119" i="24"/>
  <c r="D39" i="23"/>
  <c r="D128" i="9" a="1"/>
  <c r="D128" i="9" s="1"/>
  <c r="D129" i="9" s="1"/>
  <c r="E57" i="23" a="1"/>
  <c r="E57" i="23" s="1"/>
  <c r="E164" i="9" a="1"/>
  <c r="E164" i="9" s="1"/>
  <c r="D205" i="9" a="1"/>
  <c r="D205" i="9" s="1"/>
  <c r="D156" i="23" a="1"/>
  <c r="D156" i="23" s="1"/>
  <c r="F143" i="9" a="1"/>
  <c r="F143" i="9" s="1"/>
  <c r="D35" i="22" a="1"/>
  <c r="D35" i="22" s="1"/>
  <c r="D24" i="24" a="1"/>
  <c r="D24" i="24" s="1"/>
  <c r="D115" i="24" a="1"/>
  <c r="D115" i="24" s="1"/>
  <c r="E144" i="24" a="1"/>
  <c r="E144" i="24" s="1"/>
  <c r="E97" i="22" a="1"/>
  <c r="E97" i="22" s="1"/>
  <c r="F108" i="9" a="1"/>
  <c r="F108" i="9" s="1"/>
  <c r="D97" i="24" a="1"/>
  <c r="D97" i="24" s="1"/>
  <c r="D186" i="9" a="1"/>
  <c r="D186" i="9" s="1"/>
  <c r="D59" i="23" a="1"/>
  <c r="D59" i="23" s="1"/>
  <c r="F97" i="23" a="1"/>
  <c r="F97" i="23" s="1"/>
  <c r="E137" i="24" a="1"/>
  <c r="E137" i="24" s="1"/>
  <c r="D44" i="9" a="1"/>
  <c r="D44" i="9" s="1"/>
  <c r="E79" i="24" a="1"/>
  <c r="E79" i="24" s="1"/>
  <c r="D111" i="22" a="1"/>
  <c r="D111" i="22" s="1"/>
  <c r="D112" i="22" s="1"/>
  <c r="E158" i="9" a="1"/>
  <c r="E158" i="9" s="1"/>
  <c r="E157" i="9" s="1"/>
  <c r="E82" i="9" a="1"/>
  <c r="E82" i="9" s="1"/>
  <c r="D133" i="24" a="1"/>
  <c r="D133" i="24" s="1"/>
  <c r="F115" i="23" a="1"/>
  <c r="F115" i="23" s="1"/>
  <c r="F186" i="9" a="1"/>
  <c r="F186" i="9" s="1"/>
  <c r="E54" i="23" a="1"/>
  <c r="E54" i="23" s="1"/>
  <c r="D22" i="9" a="1"/>
  <c r="D22" i="9" s="1"/>
  <c r="E104" i="23" a="1"/>
  <c r="E104" i="23" s="1"/>
  <c r="D73" i="22" a="1"/>
  <c r="D73" i="22" s="1"/>
  <c r="E99" i="24" a="1"/>
  <c r="E99" i="24" s="1"/>
  <c r="D54" i="23" a="1"/>
  <c r="D54" i="23" s="1"/>
  <c r="E111" i="23" a="1"/>
  <c r="E111" i="23" s="1"/>
  <c r="D78" i="9" a="1"/>
  <c r="D78" i="9" s="1"/>
  <c r="E155" i="23" a="1"/>
  <c r="E155" i="23" s="1"/>
  <c r="D39" i="22"/>
  <c r="D33" i="24" a="1"/>
  <c r="D33" i="24" s="1"/>
  <c r="D34" i="24" s="1"/>
  <c r="D79" i="24"/>
  <c r="D80" i="24" s="1"/>
  <c r="D116" i="23" a="1"/>
  <c r="D116" i="23" s="1"/>
  <c r="D134" i="22" a="1"/>
  <c r="D134" i="22" s="1"/>
  <c r="F116" i="23" a="1"/>
  <c r="F116" i="23" s="1"/>
  <c r="F156" i="22" a="1"/>
  <c r="F156" i="22" s="1"/>
  <c r="D59" i="22" a="1"/>
  <c r="D59" i="22" s="1"/>
  <c r="D64" i="23" a="1"/>
  <c r="D64" i="23" s="1"/>
  <c r="D155" i="22" a="1"/>
  <c r="D155" i="22" s="1"/>
  <c r="E115" i="9" a="1"/>
  <c r="E115" i="9" s="1"/>
  <c r="F146" i="24" a="1"/>
  <c r="F146" i="24" s="1"/>
  <c r="E182" i="9" a="1"/>
  <c r="E182" i="9" s="1"/>
  <c r="D35" i="24" a="1"/>
  <c r="D35" i="24" s="1"/>
  <c r="E133" i="23" a="1"/>
  <c r="E133" i="23" s="1"/>
  <c r="D137" i="24" a="1"/>
  <c r="D137" i="24" s="1"/>
  <c r="I17" i="9" a="1"/>
  <c r="I17" i="9" s="1"/>
  <c r="D146" i="23" a="1"/>
  <c r="D146" i="23" s="1"/>
  <c r="D39" i="24"/>
  <c r="D40" i="24" s="1"/>
  <c r="D31" i="24" a="1"/>
  <c r="D31" i="24" s="1"/>
  <c r="D32" i="24" s="1"/>
  <c r="E75" i="9" a="1"/>
  <c r="E75" i="9" s="1"/>
  <c r="E76" i="9" s="1"/>
  <c r="E71" i="24" a="1"/>
  <c r="E71" i="24" s="1"/>
  <c r="D106" i="23" a="1"/>
  <c r="D106" i="23" s="1"/>
  <c r="D119" i="23"/>
  <c r="D155" i="9" a="1"/>
  <c r="D155" i="9" s="1"/>
  <c r="E73" i="24" a="1"/>
  <c r="E73" i="24" s="1"/>
  <c r="E74" i="24" s="1"/>
  <c r="F188" i="9" a="1"/>
  <c r="F188" i="9" s="1"/>
  <c r="D48" i="9" a="1"/>
  <c r="D48" i="9" s="1"/>
  <c r="D49" i="9" s="1"/>
  <c r="E79" i="23" a="1"/>
  <c r="E79" i="23" s="1"/>
  <c r="E80" i="23" s="1"/>
  <c r="D93" i="23" a="1"/>
  <c r="D93" i="23" s="1"/>
  <c r="E113" i="24" a="1"/>
  <c r="E113" i="24" s="1"/>
  <c r="E114" i="24" s="1"/>
  <c r="F137" i="23" a="1"/>
  <c r="F137" i="23" s="1"/>
  <c r="D33" i="23" a="1"/>
  <c r="D33" i="23" s="1"/>
  <c r="D13" i="22" a="1"/>
  <c r="D13" i="22" s="1"/>
  <c r="E57" i="24" a="1"/>
  <c r="E57" i="24" s="1"/>
  <c r="D155" i="24" a="1"/>
  <c r="D155" i="24" s="1"/>
  <c r="D66" i="22" a="1"/>
  <c r="D66" i="22" s="1"/>
  <c r="E146" i="23" a="1"/>
  <c r="E146" i="23" s="1"/>
  <c r="E147" i="23" s="1"/>
  <c r="E115" i="22" a="1"/>
  <c r="E115" i="22" s="1"/>
  <c r="F204" i="9" a="1"/>
  <c r="F204" i="9" s="1"/>
  <c r="E139" i="23" a="1"/>
  <c r="E139" i="23" s="1"/>
  <c r="D57" i="24" a="1"/>
  <c r="D57" i="24" s="1"/>
  <c r="D93" i="24" a="1"/>
  <c r="D93" i="24" s="1"/>
  <c r="E134" i="22" a="1"/>
  <c r="E134" i="22" s="1"/>
  <c r="E99" i="22" a="1"/>
  <c r="E99" i="22" s="1"/>
  <c r="D99" i="22" a="1"/>
  <c r="D99" i="22" s="1"/>
  <c r="E108" i="9" a="1"/>
  <c r="E108" i="9" s="1"/>
  <c r="E202" i="9" a="1"/>
  <c r="E202" i="9" s="1"/>
  <c r="F106" i="9" a="1"/>
  <c r="F106" i="9" s="1"/>
  <c r="E153" i="24" a="1"/>
  <c r="E153" i="24" s="1"/>
  <c r="D24" i="22" a="1"/>
  <c r="D24" i="22" s="1"/>
  <c r="E66" i="22" a="1"/>
  <c r="E66" i="22" s="1"/>
  <c r="C6" i="33" a="1"/>
  <c r="C6" i="33" s="1"/>
  <c r="D82" i="9" a="1"/>
  <c r="D82" i="9" s="1"/>
  <c r="D111" i="24" a="1"/>
  <c r="D111" i="24" s="1"/>
  <c r="D8" i="33" a="1"/>
  <c r="D8" i="33" s="1"/>
  <c r="D66" i="23" a="1"/>
  <c r="D66" i="23" s="1"/>
  <c r="D67" i="23" s="1"/>
  <c r="D40" i="9" a="1"/>
  <c r="D40" i="9" s="1"/>
  <c r="E113" i="9" a="1"/>
  <c r="E113" i="9" s="1"/>
  <c r="E73" i="22" a="1"/>
  <c r="E73" i="22" s="1"/>
  <c r="E74" i="22" s="1"/>
  <c r="E146" i="22" a="1"/>
  <c r="E146" i="22" s="1"/>
  <c r="D115" i="9" a="1"/>
  <c r="D115" i="9" s="1"/>
  <c r="D116" i="9" s="1"/>
  <c r="D208" i="9" a="1"/>
  <c r="D208" i="9" s="1"/>
  <c r="E119" i="24"/>
  <c r="E64" i="22" a="1"/>
  <c r="E64" i="22" s="1"/>
  <c r="D19" i="24" a="1"/>
  <c r="D19" i="24" s="1"/>
  <c r="D62" i="9" a="1"/>
  <c r="D62" i="9" s="1"/>
  <c r="D73" i="9" a="1"/>
  <c r="D73" i="9" s="1"/>
  <c r="D53" i="23" a="1"/>
  <c r="D53" i="23" s="1"/>
  <c r="E116" i="22" a="1"/>
  <c r="E116" i="22" s="1"/>
  <c r="E93" i="24" a="1"/>
  <c r="E93" i="24" s="1"/>
  <c r="E165" i="9" a="1"/>
  <c r="E165" i="9" s="1"/>
  <c r="D54" i="22" a="1"/>
  <c r="D54" i="22" s="1"/>
  <c r="F115" i="9" a="1"/>
  <c r="F115" i="9" s="1"/>
  <c r="F155" i="23" a="1"/>
  <c r="F155" i="23" s="1"/>
  <c r="E183" i="9" a="1"/>
  <c r="E183" i="9" s="1"/>
  <c r="D115" i="22" a="1"/>
  <c r="D115" i="22" s="1"/>
  <c r="E116" i="24" a="1"/>
  <c r="E116" i="24" s="1"/>
  <c r="F200" i="9" a="1"/>
  <c r="F200" i="9" s="1"/>
  <c r="D36" i="22" a="1"/>
  <c r="D36" i="22" s="1"/>
  <c r="E124" i="9" a="1"/>
  <c r="E124" i="9" s="1"/>
  <c r="D66" i="9" a="1"/>
  <c r="D66" i="9" s="1"/>
  <c r="F153" i="9" a="1"/>
  <c r="F153" i="9" s="1"/>
  <c r="F139" i="23" a="1"/>
  <c r="F139" i="23" s="1"/>
  <c r="D99" i="24" a="1"/>
  <c r="D99" i="24" s="1"/>
  <c r="F122" i="9" a="1"/>
  <c r="F122" i="9" s="1"/>
  <c r="D106" i="24" a="1"/>
  <c r="D106" i="24" s="1"/>
  <c r="D104" i="23" a="1"/>
  <c r="D104" i="23" s="1"/>
  <c r="F144" i="22" a="1"/>
  <c r="F144" i="22" s="1"/>
  <c r="E66" i="23" a="1"/>
  <c r="E66" i="23" s="1"/>
  <c r="E67" i="23" s="1"/>
  <c r="E78" i="9" a="1"/>
  <c r="E78" i="9" s="1"/>
  <c r="E77" i="9" s="1"/>
  <c r="D80" i="9" a="1"/>
  <c r="D80" i="9" s="1"/>
  <c r="D81" i="9" s="1"/>
  <c r="E80" i="9" a="1"/>
  <c r="E80" i="9" s="1"/>
  <c r="E81" i="9" s="1"/>
  <c r="E122" i="9" a="1"/>
  <c r="E122" i="9" s="1"/>
  <c r="D26" i="23" a="1"/>
  <c r="D26" i="23" s="1"/>
  <c r="E151" i="22" a="1"/>
  <c r="E151" i="22" s="1"/>
  <c r="D122" i="9" a="1"/>
  <c r="D122" i="9" s="1"/>
  <c r="D5" i="33" a="1"/>
  <c r="D5" i="33" s="1"/>
  <c r="E5" i="33" s="1"/>
  <c r="D24" i="23" a="1"/>
  <c r="D24" i="23" s="1"/>
  <c r="F134" i="23" a="1"/>
  <c r="F134" i="23" s="1"/>
  <c r="D73" i="24" a="1"/>
  <c r="D73" i="24" s="1"/>
  <c r="D74" i="24" s="1"/>
  <c r="E106" i="23" a="1"/>
  <c r="E106" i="23" s="1"/>
  <c r="E107" i="23" s="1"/>
  <c r="E75" i="24" a="1"/>
  <c r="E75" i="24" s="1"/>
  <c r="E106" i="22" a="1"/>
  <c r="E106" i="22" s="1"/>
  <c r="E186" i="9" a="1"/>
  <c r="E186" i="9" s="1"/>
  <c r="E146" i="24" a="1"/>
  <c r="E146" i="24" s="1"/>
  <c r="E147" i="24" s="1"/>
  <c r="E106" i="9" a="1"/>
  <c r="E106" i="9" s="1"/>
  <c r="D14" i="24" a="1"/>
  <c r="D14" i="24" s="1"/>
  <c r="F93" i="22" a="1"/>
  <c r="F93" i="22" s="1"/>
  <c r="D106" i="22" a="1"/>
  <c r="D106" i="22" s="1"/>
  <c r="D107" i="22" s="1"/>
  <c r="F113" i="9" a="1"/>
  <c r="F113" i="9" s="1"/>
  <c r="D45" i="9" a="1"/>
  <c r="D45" i="9" s="1"/>
  <c r="D137" i="23" a="1"/>
  <c r="D137" i="23" s="1"/>
  <c r="D79" i="23"/>
  <c r="D80" i="23" s="1"/>
  <c r="D134" i="23" a="1"/>
  <c r="D134" i="23" s="1"/>
  <c r="D13" i="23" a="1"/>
  <c r="D13" i="23" s="1"/>
  <c r="E104" i="24" a="1"/>
  <c r="E104" i="24" s="1"/>
  <c r="E156" i="24" a="1"/>
  <c r="E156" i="24" s="1"/>
  <c r="E133" i="22" a="1"/>
  <c r="E133" i="22" s="1"/>
  <c r="D97" i="22" a="1"/>
  <c r="D97" i="22" s="1"/>
  <c r="E59" i="24" a="1"/>
  <c r="E59" i="24" s="1"/>
  <c r="F38" i="9" a="1"/>
  <c r="F38" i="9" s="1"/>
  <c r="F44" i="9" a="1"/>
  <c r="F44" i="9" s="1"/>
  <c r="F45" i="9" a="1"/>
  <c r="F45" i="9" s="1"/>
  <c r="F31" i="22" a="1"/>
  <c r="F31" i="22" s="1"/>
  <c r="F66" i="22" a="1"/>
  <c r="F66" i="22" s="1"/>
  <c r="E35" i="23" a="1"/>
  <c r="E35" i="23" s="1"/>
  <c r="F82" i="9" a="1"/>
  <c r="F82" i="9" s="1"/>
  <c r="F66" i="24" a="1"/>
  <c r="F66" i="24" s="1"/>
  <c r="E28" i="9" a="1"/>
  <c r="E28" i="9" s="1"/>
  <c r="F73" i="23" a="1"/>
  <c r="F73" i="23" s="1"/>
  <c r="F54" i="22" a="1"/>
  <c r="F54" i="22" s="1"/>
  <c r="E33" i="24" a="1"/>
  <c r="E33" i="24" s="1"/>
  <c r="E26" i="22" a="1"/>
  <c r="E26" i="22" s="1"/>
  <c r="E24" i="24" a="1"/>
  <c r="E24" i="24" s="1"/>
  <c r="E17" i="22" a="1"/>
  <c r="E17" i="22" s="1"/>
  <c r="F88" i="9" a="1"/>
  <c r="F88" i="9" s="1"/>
  <c r="E33" i="22" a="1"/>
  <c r="E33" i="22" s="1"/>
  <c r="F71" i="22" a="1"/>
  <c r="F71" i="22" s="1"/>
  <c r="E36" i="23" a="1"/>
  <c r="E36" i="23" s="1"/>
  <c r="E19" i="22" a="1"/>
  <c r="E19" i="22" s="1"/>
  <c r="D146" i="22" a="1"/>
  <c r="D146" i="22" s="1"/>
  <c r="E99" i="23" a="1"/>
  <c r="E99" i="23" s="1"/>
  <c r="F113" i="24" a="1"/>
  <c r="F113" i="24" s="1"/>
  <c r="D142" i="9" a="1"/>
  <c r="D142" i="9" s="1"/>
  <c r="E97" i="24" a="1"/>
  <c r="E97" i="24" s="1"/>
  <c r="F151" i="23" a="1"/>
  <c r="F151" i="23" s="1"/>
  <c r="E53" i="24" a="1"/>
  <c r="E53" i="24" s="1"/>
  <c r="E80" i="24" s="1"/>
  <c r="F128" i="9" a="1"/>
  <c r="F128" i="9" s="1"/>
  <c r="F94" i="22" a="1"/>
  <c r="F94" i="22" s="1"/>
  <c r="E62" i="9" a="1"/>
  <c r="E62" i="9" s="1"/>
  <c r="E89" i="9" s="1"/>
  <c r="E66" i="9" a="1"/>
  <c r="E66" i="9" s="1"/>
  <c r="E74" i="9" s="1"/>
  <c r="E208" i="9" a="1"/>
  <c r="E208" i="9" s="1"/>
  <c r="E209" i="9" s="1"/>
  <c r="F165" i="9" a="1"/>
  <c r="F165" i="9" s="1"/>
  <c r="D133" i="22" a="1"/>
  <c r="D133" i="22" s="1"/>
  <c r="D160" i="22" s="1"/>
  <c r="E195" i="9" a="1"/>
  <c r="E195" i="9" s="1"/>
  <c r="F36" i="23" a="1"/>
  <c r="F36" i="23" s="1"/>
  <c r="F24" i="24" a="1"/>
  <c r="F24" i="24" s="1"/>
  <c r="E45" i="9" a="1"/>
  <c r="E45" i="9" s="1"/>
  <c r="F73" i="24" a="1"/>
  <c r="F73" i="24" s="1"/>
  <c r="E35" i="24" a="1"/>
  <c r="E35" i="24" s="1"/>
  <c r="F53" i="24" a="1"/>
  <c r="F53" i="24" s="1"/>
  <c r="F80" i="9" a="1"/>
  <c r="F80" i="9" s="1"/>
  <c r="I80" i="9" s="1"/>
  <c r="F64" i="22" a="1"/>
  <c r="F64" i="22" s="1"/>
  <c r="E36" i="22" a="1"/>
  <c r="E36" i="22" s="1"/>
  <c r="F66" i="23" a="1"/>
  <c r="F66" i="23" s="1"/>
  <c r="E48" i="9" a="1"/>
  <c r="E48" i="9" s="1"/>
  <c r="F79" i="22" a="1"/>
  <c r="F79" i="22" s="1"/>
  <c r="E31" i="22" a="1"/>
  <c r="E31" i="22" s="1"/>
  <c r="D168" i="9" a="1"/>
  <c r="D168" i="9" s="1"/>
  <c r="D169" i="9" s="1"/>
  <c r="D14" i="22" a="1"/>
  <c r="D14" i="22" s="1"/>
  <c r="E93" i="23" a="1"/>
  <c r="E93" i="23" s="1"/>
  <c r="E120" i="23" s="1"/>
  <c r="F104" i="23" a="1"/>
  <c r="F104" i="23" s="1"/>
  <c r="F156" i="23" a="1"/>
  <c r="F156" i="23" s="1"/>
  <c r="E54" i="22" a="1"/>
  <c r="E54" i="22" s="1"/>
  <c r="E137" i="23" a="1"/>
  <c r="E137" i="23" s="1"/>
  <c r="D75" i="22" a="1"/>
  <c r="D75" i="22" s="1"/>
  <c r="F99" i="22" a="1"/>
  <c r="F99" i="22" s="1"/>
  <c r="D144" i="24" a="1"/>
  <c r="D144" i="24" s="1"/>
  <c r="D17" i="22" a="1"/>
  <c r="D17" i="22" s="1"/>
  <c r="D94" i="23" a="1"/>
  <c r="D94" i="23" s="1"/>
  <c r="E68" i="9" a="1"/>
  <c r="E68" i="9" s="1"/>
  <c r="E159" i="22"/>
  <c r="E160" i="22" s="1"/>
  <c r="D202" i="9" a="1"/>
  <c r="D202" i="9" s="1"/>
  <c r="C8" i="33" a="1"/>
  <c r="C8" i="33" s="1"/>
  <c r="E8" i="33" s="1"/>
  <c r="E125" i="9" a="1"/>
  <c r="E125" i="9" s="1"/>
  <c r="D28" i="9" a="1"/>
  <c r="D28" i="9" s="1"/>
  <c r="D103" i="9" a="1"/>
  <c r="D103" i="9" s="1"/>
  <c r="D33" i="9" a="1"/>
  <c r="D33" i="9" s="1"/>
  <c r="D37" i="9" s="1"/>
  <c r="F39" i="23"/>
  <c r="F42" i="9" a="1"/>
  <c r="F42" i="9" s="1"/>
  <c r="F26" i="9" a="1"/>
  <c r="F26" i="9" s="1"/>
  <c r="E33" i="9" a="1"/>
  <c r="E33" i="9" s="1"/>
  <c r="F64" i="23" a="1"/>
  <c r="F64" i="23" s="1"/>
  <c r="F71" i="23" a="1"/>
  <c r="F71" i="23" s="1"/>
  <c r="F75" i="24" a="1"/>
  <c r="F75" i="24" s="1"/>
  <c r="F79" i="23" a="1"/>
  <c r="F79" i="23" s="1"/>
  <c r="F64" i="24" a="1"/>
  <c r="F64" i="24" s="1"/>
  <c r="E19" i="23" a="1"/>
  <c r="E19" i="23" s="1"/>
  <c r="F57" i="22" a="1"/>
  <c r="F57" i="22" s="1"/>
  <c r="F59" i="22" a="1"/>
  <c r="F59" i="22" s="1"/>
  <c r="E35" i="9" a="1"/>
  <c r="E35" i="9" s="1"/>
  <c r="E36" i="9" s="1"/>
  <c r="E24" i="22" a="1"/>
  <c r="E24" i="22" s="1"/>
  <c r="E23" i="9" a="1"/>
  <c r="E23" i="9" s="1"/>
  <c r="F75" i="22" a="1"/>
  <c r="F75" i="22" s="1"/>
  <c r="F104" i="24" a="1"/>
  <c r="F104" i="24" s="1"/>
  <c r="D93" i="22" a="1"/>
  <c r="D93" i="22" s="1"/>
  <c r="D120" i="22" s="1"/>
  <c r="E103" i="9" a="1"/>
  <c r="E103" i="9" s="1"/>
  <c r="D151" i="24" a="1"/>
  <c r="D151" i="24" s="1"/>
  <c r="D155" i="23" a="1"/>
  <c r="D155" i="23" s="1"/>
  <c r="E142" i="9" a="1"/>
  <c r="E142" i="9" s="1"/>
  <c r="E169" i="9" s="1"/>
  <c r="D17" i="23" a="1"/>
  <c r="D17" i="23" s="1"/>
  <c r="F144" i="24" a="1"/>
  <c r="F144" i="24" s="1"/>
  <c r="F208" i="9" a="1"/>
  <c r="F208" i="9" s="1"/>
  <c r="D104" i="24" a="1"/>
  <c r="D104" i="24" s="1"/>
  <c r="D112" i="24" s="1"/>
  <c r="E143" i="9" a="1"/>
  <c r="E143" i="9" s="1"/>
  <c r="I143" i="9" s="1"/>
  <c r="F139" i="24" a="1"/>
  <c r="F139" i="24" s="1"/>
  <c r="F119" i="22"/>
  <c r="D144" i="22" a="1"/>
  <c r="D144" i="22" s="1"/>
  <c r="D152" i="22" s="1"/>
  <c r="F142" i="9" a="1"/>
  <c r="F142" i="9" s="1"/>
  <c r="E156" i="22" a="1"/>
  <c r="E156" i="22" s="1"/>
  <c r="F13" i="24" a="1"/>
  <c r="F13" i="24" s="1"/>
  <c r="F17" i="23" a="1"/>
  <c r="F17" i="23" s="1"/>
  <c r="F33" i="22" a="1"/>
  <c r="F33" i="22" s="1"/>
  <c r="F26" i="24" a="1"/>
  <c r="F26" i="24" s="1"/>
  <c r="E33" i="23" a="1"/>
  <c r="E33" i="23" s="1"/>
  <c r="E31" i="23" a="1"/>
  <c r="E31" i="23" s="1"/>
  <c r="F53" i="23" a="1"/>
  <c r="F53" i="23" s="1"/>
  <c r="E14" i="24" a="1"/>
  <c r="E14" i="24" s="1"/>
  <c r="F85" i="9" a="1"/>
  <c r="F85" i="9" s="1"/>
  <c r="F54" i="24" a="1"/>
  <c r="F54" i="24" s="1"/>
  <c r="E13" i="24" a="1"/>
  <c r="E13" i="24" s="1"/>
  <c r="F63" i="9" a="1"/>
  <c r="F63" i="9" s="1"/>
  <c r="E26" i="9" a="1"/>
  <c r="E26" i="9" s="1"/>
  <c r="E36" i="24" a="1"/>
  <c r="E36" i="24" s="1"/>
  <c r="F151" i="24" a="1"/>
  <c r="F151" i="24" s="1"/>
  <c r="E75" i="22" a="1"/>
  <c r="E75" i="22" s="1"/>
  <c r="D153" i="24" a="1"/>
  <c r="D153" i="24" s="1"/>
  <c r="E115" i="24" a="1"/>
  <c r="E115" i="24" s="1"/>
  <c r="F148" i="9" a="1"/>
  <c r="F148" i="9" s="1"/>
  <c r="C7" i="33" a="1"/>
  <c r="C7" i="33" s="1"/>
  <c r="F93" i="23" a="1"/>
  <c r="F93" i="23" s="1"/>
  <c r="F104" i="22" a="1"/>
  <c r="F104" i="22" s="1"/>
  <c r="F107" i="22" s="1"/>
  <c r="F124" i="9" a="1"/>
  <c r="F124" i="9" s="1"/>
  <c r="F94" i="24" a="1"/>
  <c r="F94" i="24" s="1"/>
  <c r="D64" i="22" a="1"/>
  <c r="D64" i="22" s="1"/>
  <c r="D67" i="22" s="1"/>
  <c r="F156" i="24" a="1"/>
  <c r="F156" i="24" s="1"/>
  <c r="D75" i="9" a="1"/>
  <c r="D75" i="9" s="1"/>
  <c r="D146" i="9" a="1"/>
  <c r="D146" i="9" s="1"/>
  <c r="E84" i="9" a="1"/>
  <c r="E84" i="9" s="1"/>
  <c r="F116" i="22" a="1"/>
  <c r="F116" i="22" s="1"/>
  <c r="D188" i="9" a="1"/>
  <c r="D188" i="9" s="1"/>
  <c r="F146" i="9" a="1"/>
  <c r="F146" i="9" s="1"/>
  <c r="D115" i="23" a="1"/>
  <c r="D115" i="23" s="1"/>
  <c r="F133" i="24" a="1"/>
  <c r="F133" i="24" s="1"/>
  <c r="D120" i="9" a="1"/>
  <c r="D120" i="9" s="1"/>
  <c r="D121" i="9" s="1"/>
  <c r="E128" i="9" a="1"/>
  <c r="E128" i="9" s="1"/>
  <c r="E129" i="9" s="1"/>
  <c r="F26" i="23" a="1"/>
  <c r="F26" i="23" s="1"/>
  <c r="F75" i="9" a="1"/>
  <c r="F75" i="9" s="1"/>
  <c r="I75" i="9" s="1"/>
  <c r="E13" i="22" a="1"/>
  <c r="E13" i="22" s="1"/>
  <c r="E14" i="22" a="1"/>
  <c r="E14" i="22" s="1"/>
  <c r="F76" i="22" a="1"/>
  <c r="F76" i="22" s="1"/>
  <c r="E13" i="23" a="1"/>
  <c r="E13" i="23" s="1"/>
  <c r="F53" i="22" a="1"/>
  <c r="F53" i="22" s="1"/>
  <c r="F73" i="22" a="1"/>
  <c r="F73" i="22" s="1"/>
  <c r="C10" i="33" a="1"/>
  <c r="C10" i="33" s="1"/>
  <c r="F54" i="23" a="1"/>
  <c r="F54" i="23" s="1"/>
  <c r="F79" i="24" a="1"/>
  <c r="F79" i="24" s="1"/>
  <c r="E17" i="24" a="1"/>
  <c r="E17" i="24" s="1"/>
  <c r="E24" i="23" a="1"/>
  <c r="E24" i="23" s="1"/>
  <c r="F76" i="24" a="1"/>
  <c r="F76" i="24" s="1"/>
  <c r="E193" i="9" a="1"/>
  <c r="E193" i="9" s="1"/>
  <c r="E194" i="9" s="1"/>
  <c r="D139" i="22" a="1"/>
  <c r="D139" i="22" s="1"/>
  <c r="F137" i="22" a="1"/>
  <c r="F137" i="22" s="1"/>
  <c r="D111" i="23" a="1"/>
  <c r="D111" i="23" s="1"/>
  <c r="D112" i="23" s="1"/>
  <c r="F146" i="23" a="1"/>
  <c r="F146" i="23" s="1"/>
  <c r="D85" i="9" a="1"/>
  <c r="D85" i="9" s="1"/>
  <c r="F115" i="22" a="1"/>
  <c r="F115" i="22" s="1"/>
  <c r="D116" i="22" a="1"/>
  <c r="D116" i="22" s="1"/>
  <c r="E54" i="24" a="1"/>
  <c r="E54" i="24" s="1"/>
  <c r="F111" i="24" a="1"/>
  <c r="F111" i="24" s="1"/>
  <c r="F146" i="22" a="1"/>
  <c r="F146" i="22" s="1"/>
  <c r="F144" i="23" a="1"/>
  <c r="F144" i="23" s="1"/>
  <c r="D124" i="9" a="1"/>
  <c r="D124" i="9" s="1"/>
  <c r="E64" i="24" a="1"/>
  <c r="E64" i="24" s="1"/>
  <c r="E72" i="24" s="1"/>
  <c r="F119" i="23"/>
  <c r="F134" i="22" a="1"/>
  <c r="F134" i="22" s="1"/>
  <c r="D76" i="24" a="1"/>
  <c r="D76" i="24" s="1"/>
  <c r="D35" i="23" a="1"/>
  <c r="D35" i="23" s="1"/>
  <c r="D182" i="9" a="1"/>
  <c r="D182" i="9" s="1"/>
  <c r="D209" i="9" s="1"/>
  <c r="D75" i="23" a="1"/>
  <c r="D75" i="23" s="1"/>
  <c r="F155" i="24" a="1"/>
  <c r="F155" i="24" s="1"/>
  <c r="F103" i="9" a="1"/>
  <c r="F103" i="9" s="1"/>
  <c r="F198" i="9" a="1"/>
  <c r="F198" i="9" s="1"/>
  <c r="F197" i="9" s="1"/>
  <c r="F36" i="22" a="1"/>
  <c r="F36" i="22" s="1"/>
  <c r="D11" i="33" a="1"/>
  <c r="D11" i="33" s="1"/>
  <c r="F26" i="22" a="1"/>
  <c r="F26" i="22" s="1"/>
  <c r="F73" i="9" a="1"/>
  <c r="F73" i="9" s="1"/>
  <c r="H73" i="9" s="1"/>
  <c r="F57" i="23" a="1"/>
  <c r="F57" i="23" s="1"/>
  <c r="D10" i="33" a="1"/>
  <c r="D10" i="33" s="1"/>
  <c r="F59" i="24" a="1"/>
  <c r="F59" i="24" s="1"/>
  <c r="F68" i="9" a="1"/>
  <c r="F68" i="9" s="1"/>
  <c r="I68" i="9" s="1"/>
  <c r="E26" i="24" a="1"/>
  <c r="E26" i="24" s="1"/>
  <c r="E27" i="24" s="1"/>
  <c r="E31" i="24" a="1"/>
  <c r="E31" i="24" s="1"/>
  <c r="E32" i="24" s="1"/>
  <c r="E40" i="9" a="1"/>
  <c r="E40" i="9" s="1"/>
  <c r="E41" i="9" s="1"/>
  <c r="F76" i="23" a="1"/>
  <c r="F76" i="23" s="1"/>
  <c r="F153" i="24" a="1"/>
  <c r="F153" i="24" s="1"/>
  <c r="D148" i="9" a="1"/>
  <c r="D148" i="9" s="1"/>
  <c r="F118" i="9" a="1"/>
  <c r="F118" i="9" s="1"/>
  <c r="D153" i="9" a="1"/>
  <c r="D153" i="9" s="1"/>
  <c r="D161" i="9" s="1"/>
  <c r="D108" i="9" a="1"/>
  <c r="D108" i="9" s="1"/>
  <c r="F134" i="24" a="1"/>
  <c r="F134" i="24" s="1"/>
  <c r="E133" i="24" a="1"/>
  <c r="E133" i="24" s="1"/>
  <c r="E160" i="24" s="1"/>
  <c r="F205" i="9" a="1"/>
  <c r="F205" i="9" s="1"/>
  <c r="H205" i="9" s="1"/>
  <c r="D14" i="23" a="1"/>
  <c r="D14" i="23" s="1"/>
  <c r="D15" i="23" s="1"/>
  <c r="E119" i="22"/>
  <c r="E120" i="22" s="1"/>
  <c r="F159" i="22"/>
  <c r="D153" i="23" a="1"/>
  <c r="D153" i="23" s="1"/>
  <c r="D154" i="23" s="1"/>
  <c r="D159" i="24"/>
  <c r="D160" i="24" s="1"/>
  <c r="F133" i="22" a="1"/>
  <c r="F133" i="22" s="1"/>
  <c r="D144" i="23" a="1"/>
  <c r="D144" i="23" s="1"/>
  <c r="D147" i="23" s="1"/>
  <c r="F113" i="22" a="1"/>
  <c r="F113" i="22" s="1"/>
  <c r="E75" i="23" a="1"/>
  <c r="E75" i="23" s="1"/>
  <c r="E116" i="23" a="1"/>
  <c r="E116" i="23" s="1"/>
  <c r="F113" i="23" a="1"/>
  <c r="F113" i="23" s="1"/>
  <c r="F31" i="24" a="1"/>
  <c r="F31" i="24" s="1"/>
  <c r="I31" i="24" s="1"/>
  <c r="F17" i="22" a="1"/>
  <c r="F17" i="22" s="1"/>
  <c r="C11" i="33" a="1"/>
  <c r="C11" i="33" s="1"/>
  <c r="E26" i="23" a="1"/>
  <c r="E26" i="23" s="1"/>
  <c r="F59" i="23" a="1"/>
  <c r="F59" i="23" s="1"/>
  <c r="E44" i="9" a="1"/>
  <c r="E44" i="9" s="1"/>
  <c r="I44" i="9" s="1"/>
  <c r="E14" i="23" a="1"/>
  <c r="E14" i="23" s="1"/>
  <c r="F84" i="9" a="1"/>
  <c r="F84" i="9" s="1"/>
  <c r="E19" i="24" a="1"/>
  <c r="E19" i="24" s="1"/>
  <c r="E38" i="9" a="1"/>
  <c r="E38" i="9" s="1"/>
  <c r="E37" i="9" s="1"/>
  <c r="E39" i="24"/>
  <c r="E40" i="24" s="1"/>
  <c r="E35" i="22" a="1"/>
  <c r="E35" i="22" s="1"/>
  <c r="E22" i="9" a="1"/>
  <c r="E22" i="9" s="1"/>
  <c r="E24" i="9" s="1"/>
  <c r="E39" i="23"/>
  <c r="E40" i="23" s="1"/>
  <c r="F158" i="9" a="1"/>
  <c r="F158" i="9" s="1"/>
  <c r="F157" i="9" s="1"/>
  <c r="D97" i="23" a="1"/>
  <c r="D97" i="23" s="1"/>
  <c r="F168" i="9" a="1"/>
  <c r="F168" i="9" s="1"/>
  <c r="F169" i="9" s="1"/>
  <c r="F162" i="9" a="1"/>
  <c r="F162" i="9" s="1"/>
  <c r="H162" i="9" s="1"/>
  <c r="F159" i="24"/>
  <c r="F202" i="9" a="1"/>
  <c r="F202" i="9" s="1"/>
  <c r="I202" i="9" s="1"/>
  <c r="F153" i="23" a="1"/>
  <c r="F153" i="23" s="1"/>
  <c r="D68" i="9" a="1"/>
  <c r="D68" i="9" s="1"/>
  <c r="D133" i="23" a="1"/>
  <c r="D133" i="23" s="1"/>
  <c r="D6" i="33" a="1"/>
  <c r="D6" i="33" s="1"/>
  <c r="F182" i="9" a="1"/>
  <c r="F182" i="9" s="1"/>
  <c r="I182" i="9" s="1"/>
  <c r="E63" i="9" a="1"/>
  <c r="E63" i="9" s="1"/>
  <c r="I63" i="9" s="1"/>
  <c r="F111" i="23" a="1"/>
  <c r="F111" i="23" s="1"/>
  <c r="I111" i="23" s="1"/>
  <c r="D198" i="9" a="1"/>
  <c r="D198" i="9" s="1"/>
  <c r="D197" i="9" s="1"/>
  <c r="F160" i="9" a="1"/>
  <c r="F160" i="9" s="1"/>
  <c r="F161" i="9" s="1"/>
  <c r="D23" i="9" a="1"/>
  <c r="D23" i="9" s="1"/>
  <c r="D24" i="9" s="1"/>
  <c r="F139" i="22" a="1"/>
  <c r="F139" i="22" s="1"/>
  <c r="F125" i="9" a="1"/>
  <c r="F125" i="9" s="1"/>
  <c r="H125" i="9" s="1"/>
  <c r="F155" i="9" a="1"/>
  <c r="F155" i="9" s="1"/>
  <c r="H155" i="9" s="1"/>
  <c r="E17" i="23" a="1"/>
  <c r="E17" i="23" s="1"/>
  <c r="E18" i="23" s="1"/>
  <c r="F78" i="9" a="1"/>
  <c r="F78" i="9" s="1"/>
  <c r="I78" i="9" s="1"/>
  <c r="F71" i="24" a="1"/>
  <c r="F71" i="24" s="1"/>
  <c r="E42" i="9" a="1"/>
  <c r="E42" i="9" s="1"/>
  <c r="E43" i="9" s="1"/>
  <c r="F66" i="9" a="1"/>
  <c r="F66" i="9" s="1"/>
  <c r="F67" i="9" s="1"/>
  <c r="F75" i="23" a="1"/>
  <c r="F75" i="23" s="1"/>
  <c r="F57" i="24" a="1"/>
  <c r="F57" i="24" s="1"/>
  <c r="E39" i="22"/>
  <c r="E40" i="22" s="1"/>
  <c r="F120" i="9" a="1"/>
  <c r="F120" i="9" s="1"/>
  <c r="F121" i="9" s="1"/>
  <c r="F93" i="24" a="1"/>
  <c r="F93" i="24" s="1"/>
  <c r="I93" i="24" s="1"/>
  <c r="E76" i="24" a="1"/>
  <c r="E76" i="24" s="1"/>
  <c r="D146" i="24" a="1"/>
  <c r="D146" i="24" s="1"/>
  <c r="D147" i="24" s="1"/>
  <c r="D143" i="9" a="1"/>
  <c r="D143" i="9" s="1"/>
  <c r="H143" i="9" s="1"/>
  <c r="E148" i="9" a="1"/>
  <c r="E148" i="9" s="1"/>
  <c r="E134" i="23" a="1"/>
  <c r="E134" i="23" s="1"/>
  <c r="I134" i="23" s="1"/>
  <c r="D19" i="23" a="1"/>
  <c r="D19" i="23" s="1"/>
  <c r="E198" i="9" a="1"/>
  <c r="E198" i="9" s="1"/>
  <c r="I198" i="9" s="1"/>
  <c r="E134" i="24" a="1"/>
  <c r="E134" i="24" s="1"/>
  <c r="E94" i="22" a="1"/>
  <c r="E94" i="22" s="1"/>
  <c r="E85" i="9" a="1"/>
  <c r="E85" i="9" s="1"/>
  <c r="I85" i="9" s="1"/>
  <c r="D76" i="23" a="1"/>
  <c r="D76" i="23" s="1"/>
  <c r="H76" i="23" s="1"/>
  <c r="D71" i="22" a="1"/>
  <c r="D71" i="22" s="1"/>
  <c r="D72" i="22" s="1"/>
  <c r="D159" i="23"/>
  <c r="D160" i="23" s="1"/>
  <c r="D183" i="9" a="1"/>
  <c r="D183" i="9" s="1"/>
  <c r="E144" i="22" a="1"/>
  <c r="E144" i="22" s="1"/>
  <c r="E149" i="22" s="1" a="1"/>
  <c r="E149" i="22" s="1"/>
  <c r="E148" i="22" s="1"/>
  <c r="F133" i="23" a="1"/>
  <c r="F133" i="23" s="1"/>
  <c r="F135" i="23" s="1"/>
  <c r="D116" i="24" a="1"/>
  <c r="D116" i="24" s="1"/>
  <c r="E200" i="9" a="1"/>
  <c r="E200" i="9" s="1"/>
  <c r="E201" i="9" s="1"/>
  <c r="D106" i="9" a="1"/>
  <c r="D106" i="9" s="1"/>
  <c r="D114" i="9" s="1"/>
  <c r="E59" i="22" a="1"/>
  <c r="E59" i="22" s="1"/>
  <c r="D195" i="9" a="1"/>
  <c r="D195" i="9" s="1"/>
  <c r="D196" i="9" s="1"/>
  <c r="F99" i="23" a="1"/>
  <c r="F99" i="23" s="1"/>
  <c r="H99" i="23" s="1"/>
  <c r="E104" i="22" a="1"/>
  <c r="E104" i="22" s="1"/>
  <c r="E105" i="22" s="1"/>
  <c r="F195" i="9" a="1"/>
  <c r="F195" i="9" s="1"/>
  <c r="F196" i="9" s="1"/>
  <c r="E111" i="22" a="1"/>
  <c r="E111" i="22" s="1"/>
  <c r="F64" i="9"/>
  <c r="I62" i="9"/>
  <c r="H62" i="9"/>
  <c r="I106" i="22"/>
  <c r="H106" i="22"/>
  <c r="D55" i="22"/>
  <c r="D62" i="22"/>
  <c r="D58" i="22"/>
  <c r="D29" i="23" a="1"/>
  <c r="D29" i="23" s="1"/>
  <c r="D28" i="23" s="1"/>
  <c r="D25" i="23"/>
  <c r="H137" i="24"/>
  <c r="I137" i="24"/>
  <c r="H111" i="22"/>
  <c r="I111" i="22"/>
  <c r="F112" i="22"/>
  <c r="I188" i="9"/>
  <c r="H188" i="9"/>
  <c r="H134" i="23"/>
  <c r="D142" i="24"/>
  <c r="D135" i="24"/>
  <c r="D138" i="24"/>
  <c r="E69" i="22" a="1"/>
  <c r="E69" i="22" s="1"/>
  <c r="E68" i="22" s="1"/>
  <c r="E65" i="22"/>
  <c r="I151" i="22"/>
  <c r="F152" i="22"/>
  <c r="H151" i="22"/>
  <c r="D105" i="22"/>
  <c r="D109" i="22" a="1"/>
  <c r="D109" i="22" s="1"/>
  <c r="D108" i="22" s="1"/>
  <c r="H115" i="23"/>
  <c r="I115" i="23"/>
  <c r="I186" i="9"/>
  <c r="H186" i="9"/>
  <c r="H94" i="23"/>
  <c r="I94" i="23"/>
  <c r="D15" i="24"/>
  <c r="D18" i="24"/>
  <c r="D22" i="24"/>
  <c r="E102" i="22"/>
  <c r="E98" i="22"/>
  <c r="E95" i="22"/>
  <c r="F154" i="22"/>
  <c r="H153" i="22"/>
  <c r="I153" i="22"/>
  <c r="I164" i="9"/>
  <c r="H164" i="9"/>
  <c r="D27" i="9"/>
  <c r="D102" i="23"/>
  <c r="D98" i="23"/>
  <c r="D95" i="23"/>
  <c r="E105" i="23"/>
  <c r="E109" i="23" a="1"/>
  <c r="E109" i="23" s="1"/>
  <c r="E108" i="23" s="1"/>
  <c r="D67" i="9"/>
  <c r="D64" i="9"/>
  <c r="F107" i="23"/>
  <c r="H106" i="23"/>
  <c r="I106" i="23"/>
  <c r="E62" i="22"/>
  <c r="E55" i="22"/>
  <c r="E58" i="22"/>
  <c r="I99" i="24"/>
  <c r="H99" i="24"/>
  <c r="I137" i="23"/>
  <c r="H137" i="23"/>
  <c r="I155" i="22"/>
  <c r="H155" i="22"/>
  <c r="F160" i="23"/>
  <c r="I159" i="23"/>
  <c r="D55" i="23"/>
  <c r="D58" i="23"/>
  <c r="D62" i="23"/>
  <c r="D104" i="9"/>
  <c r="H102" i="9"/>
  <c r="I102" i="9"/>
  <c r="F107" i="9"/>
  <c r="F104" i="9"/>
  <c r="I116" i="24"/>
  <c r="H116" i="24"/>
  <c r="E98" i="24"/>
  <c r="E95" i="24"/>
  <c r="E102" i="24"/>
  <c r="D15" i="22"/>
  <c r="D18" i="22"/>
  <c r="D22" i="22"/>
  <c r="I183" i="9"/>
  <c r="I115" i="9"/>
  <c r="F116" i="9"/>
  <c r="H115" i="9"/>
  <c r="F95" i="22"/>
  <c r="H93" i="22"/>
  <c r="I93" i="22"/>
  <c r="F98" i="22"/>
  <c r="F102" i="22"/>
  <c r="E149" i="23" a="1"/>
  <c r="E149" i="23" s="1"/>
  <c r="E148" i="23" s="1"/>
  <c r="E145" i="23"/>
  <c r="I155" i="23"/>
  <c r="H155" i="23"/>
  <c r="I133" i="24"/>
  <c r="F142" i="24"/>
  <c r="F138" i="24"/>
  <c r="F135" i="24"/>
  <c r="H133" i="24"/>
  <c r="F114" i="9"/>
  <c r="I113" i="9"/>
  <c r="H113" i="9"/>
  <c r="D65" i="24"/>
  <c r="D69" i="24" a="1"/>
  <c r="D69" i="24" s="1"/>
  <c r="D68" i="24" s="1"/>
  <c r="I146" i="9"/>
  <c r="H146" i="9"/>
  <c r="H204" i="9"/>
  <c r="I204" i="9"/>
  <c r="H116" i="22"/>
  <c r="I116" i="22"/>
  <c r="F138" i="23"/>
  <c r="F142" i="23"/>
  <c r="H116" i="23"/>
  <c r="I116" i="23"/>
  <c r="E145" i="22"/>
  <c r="F120" i="24"/>
  <c r="H119" i="24"/>
  <c r="I119" i="24"/>
  <c r="H156" i="22"/>
  <c r="I156" i="22"/>
  <c r="H200" i="9"/>
  <c r="F201" i="9"/>
  <c r="D29" i="24" a="1"/>
  <c r="D29" i="24" s="1"/>
  <c r="D28" i="24" s="1"/>
  <c r="D25" i="24"/>
  <c r="D62" i="24"/>
  <c r="D58" i="24"/>
  <c r="D55" i="24"/>
  <c r="D102" i="24"/>
  <c r="D98" i="24"/>
  <c r="D95" i="24"/>
  <c r="I113" i="23"/>
  <c r="H113" i="23"/>
  <c r="F114" i="23"/>
  <c r="E149" i="24" a="1"/>
  <c r="E149" i="24" s="1"/>
  <c r="E148" i="24" s="1"/>
  <c r="E145" i="24"/>
  <c r="D69" i="23" a="1"/>
  <c r="D69" i="23" s="1"/>
  <c r="D68" i="23" s="1"/>
  <c r="D65" i="23"/>
  <c r="F107" i="24"/>
  <c r="I106" i="24"/>
  <c r="H106" i="24"/>
  <c r="E104" i="9"/>
  <c r="E107" i="9"/>
  <c r="F154" i="9"/>
  <c r="I153" i="9"/>
  <c r="D18" i="23"/>
  <c r="D22" i="23"/>
  <c r="I97" i="24"/>
  <c r="H97" i="24"/>
  <c r="H108" i="9"/>
  <c r="I108" i="9"/>
  <c r="I139" i="23"/>
  <c r="H139" i="23"/>
  <c r="E109" i="24" a="1"/>
  <c r="E109" i="24" s="1"/>
  <c r="E108" i="24" s="1"/>
  <c r="E105" i="24"/>
  <c r="I115" i="24"/>
  <c r="H115" i="24"/>
  <c r="F147" i="24"/>
  <c r="I146" i="24"/>
  <c r="H97" i="22"/>
  <c r="I97" i="22"/>
  <c r="E69" i="23" a="1"/>
  <c r="E69" i="23" s="1"/>
  <c r="E68" i="23" s="1"/>
  <c r="E65" i="23"/>
  <c r="E187" i="9"/>
  <c r="E184" i="9"/>
  <c r="F123" i="9"/>
  <c r="H122" i="9"/>
  <c r="I122" i="9"/>
  <c r="E138" i="22"/>
  <c r="E135" i="22"/>
  <c r="E142" i="22"/>
  <c r="I106" i="9"/>
  <c r="F114" i="22"/>
  <c r="I113" i="22"/>
  <c r="H113" i="22"/>
  <c r="H156" i="24"/>
  <c r="I156" i="24"/>
  <c r="I97" i="23"/>
  <c r="H97" i="23"/>
  <c r="D145" i="23"/>
  <c r="D149" i="23" a="1"/>
  <c r="D149" i="23" s="1"/>
  <c r="D148" i="23" s="1"/>
  <c r="I103" i="9"/>
  <c r="H103" i="9"/>
  <c r="D65" i="22"/>
  <c r="D69" i="22" a="1"/>
  <c r="D69" i="22" s="1"/>
  <c r="D68" i="22" s="1"/>
  <c r="E138" i="23"/>
  <c r="E142" i="23"/>
  <c r="D105" i="23"/>
  <c r="D109" i="23" a="1"/>
  <c r="D109" i="23" s="1"/>
  <c r="D108" i="23" s="1"/>
  <c r="F135" i="22"/>
  <c r="H133" i="22"/>
  <c r="F142" i="22"/>
  <c r="I133" i="22"/>
  <c r="F138" i="22"/>
  <c r="H155" i="24"/>
  <c r="I155" i="24"/>
  <c r="H94" i="24"/>
  <c r="I94" i="24"/>
  <c r="E55" i="23"/>
  <c r="E58" i="23"/>
  <c r="E62" i="23"/>
  <c r="F194" i="9"/>
  <c r="H193" i="9"/>
  <c r="D29" i="22" a="1"/>
  <c r="D29" i="22" s="1"/>
  <c r="D28" i="22" s="1"/>
  <c r="D25" i="22"/>
  <c r="F145" i="22"/>
  <c r="F149" i="22" a="1"/>
  <c r="F149" i="22" s="1"/>
  <c r="H144" i="22"/>
  <c r="D149" i="24" a="1"/>
  <c r="D149" i="24" s="1"/>
  <c r="D148" i="24" s="1"/>
  <c r="D145" i="24"/>
  <c r="I125" i="9"/>
  <c r="I139" i="22"/>
  <c r="H139" i="22"/>
  <c r="I134" i="22"/>
  <c r="H134" i="22"/>
  <c r="F160" i="22"/>
  <c r="I159" i="22"/>
  <c r="H159" i="22"/>
  <c r="H124" i="9"/>
  <c r="I124" i="9"/>
  <c r="H99" i="22"/>
  <c r="I99" i="22"/>
  <c r="F105" i="22"/>
  <c r="F109" i="22" a="1"/>
  <c r="F109" i="22" s="1"/>
  <c r="H104" i="22"/>
  <c r="F95" i="23"/>
  <c r="F102" i="23"/>
  <c r="I93" i="23"/>
  <c r="H93" i="23"/>
  <c r="F98" i="23"/>
  <c r="F120" i="23"/>
  <c r="I119" i="23"/>
  <c r="H119" i="23"/>
  <c r="F144" i="9"/>
  <c r="F147" i="9"/>
  <c r="H142" i="9"/>
  <c r="D135" i="22"/>
  <c r="D138" i="22"/>
  <c r="D142" i="22"/>
  <c r="E65" i="24"/>
  <c r="E69" i="24" a="1"/>
  <c r="E69" i="24" s="1"/>
  <c r="E68" i="24" s="1"/>
  <c r="D149" i="22" a="1"/>
  <c r="D149" i="22" s="1"/>
  <c r="D148" i="22" s="1"/>
  <c r="D145" i="22"/>
  <c r="I165" i="9"/>
  <c r="H165" i="9"/>
  <c r="E138" i="24"/>
  <c r="E142" i="24"/>
  <c r="E135" i="24"/>
  <c r="I134" i="24"/>
  <c r="H134" i="24"/>
  <c r="H156" i="23"/>
  <c r="I156" i="23"/>
  <c r="I104" i="23"/>
  <c r="F105" i="23"/>
  <c r="H104" i="23"/>
  <c r="F109" i="23" a="1"/>
  <c r="F109" i="23" s="1"/>
  <c r="F120" i="22"/>
  <c r="I119" i="22"/>
  <c r="H119" i="22"/>
  <c r="F112" i="23"/>
  <c r="H111" i="23"/>
  <c r="F117" i="9"/>
  <c r="I118" i="9"/>
  <c r="H118" i="9"/>
  <c r="H139" i="24"/>
  <c r="I139" i="24"/>
  <c r="H144" i="23"/>
  <c r="F145" i="23"/>
  <c r="F149" i="23" a="1"/>
  <c r="F149" i="23" s="1"/>
  <c r="I144" i="23"/>
  <c r="E67" i="9"/>
  <c r="H146" i="22"/>
  <c r="I146" i="22"/>
  <c r="F147" i="22"/>
  <c r="D109" i="24" a="1"/>
  <c r="D109" i="24" s="1"/>
  <c r="D108" i="24" s="1"/>
  <c r="D105" i="24"/>
  <c r="I94" i="22"/>
  <c r="H94" i="22"/>
  <c r="E6" i="33"/>
  <c r="D12" i="33"/>
  <c r="H111" i="24"/>
  <c r="F112" i="24"/>
  <c r="I111" i="24"/>
  <c r="H208" i="9"/>
  <c r="I208" i="9"/>
  <c r="I128" i="9"/>
  <c r="H128" i="9"/>
  <c r="F129" i="9"/>
  <c r="D138" i="23"/>
  <c r="D142" i="23"/>
  <c r="D135" i="23"/>
  <c r="F145" i="24"/>
  <c r="F149" i="24" a="1"/>
  <c r="F149" i="24" s="1"/>
  <c r="H144" i="24"/>
  <c r="I144" i="24"/>
  <c r="E58" i="24"/>
  <c r="E55" i="24"/>
  <c r="E62" i="24"/>
  <c r="F152" i="23"/>
  <c r="H151" i="23"/>
  <c r="I151" i="23"/>
  <c r="F154" i="23"/>
  <c r="I115" i="22"/>
  <c r="H115" i="22"/>
  <c r="H202" i="9"/>
  <c r="E102" i="23"/>
  <c r="E98" i="23"/>
  <c r="E95" i="23"/>
  <c r="F98" i="24"/>
  <c r="F95" i="24"/>
  <c r="F102" i="24"/>
  <c r="H93" i="24"/>
  <c r="H153" i="24"/>
  <c r="F154" i="24"/>
  <c r="I153" i="24"/>
  <c r="F152" i="24"/>
  <c r="I151" i="24"/>
  <c r="H151" i="24"/>
  <c r="I159" i="24"/>
  <c r="H159" i="24"/>
  <c r="F160" i="24"/>
  <c r="F147" i="23"/>
  <c r="I146" i="23"/>
  <c r="H146" i="23"/>
  <c r="D147" i="9"/>
  <c r="F114" i="24"/>
  <c r="H113" i="24"/>
  <c r="I113" i="24"/>
  <c r="I168" i="9"/>
  <c r="H137" i="22"/>
  <c r="I137" i="22"/>
  <c r="D95" i="22"/>
  <c r="D102" i="22"/>
  <c r="D98" i="22"/>
  <c r="F109" i="24" a="1"/>
  <c r="F109" i="24" s="1"/>
  <c r="F105" i="24"/>
  <c r="H104" i="24"/>
  <c r="I104" i="24"/>
  <c r="H76" i="24"/>
  <c r="I76" i="24"/>
  <c r="H75" i="22"/>
  <c r="I75" i="22"/>
  <c r="E29" i="23" a="1"/>
  <c r="E29" i="23" s="1"/>
  <c r="E28" i="23" s="1"/>
  <c r="E25" i="23"/>
  <c r="H48" i="24" a="1"/>
  <c r="H48" i="24" s="1"/>
  <c r="I48" i="24" a="1"/>
  <c r="I48" i="24" s="1"/>
  <c r="C45" i="24"/>
  <c r="E25" i="22"/>
  <c r="E29" i="22" a="1"/>
  <c r="E29" i="22" s="1"/>
  <c r="E28" i="22" s="1"/>
  <c r="F72" i="22"/>
  <c r="I71" i="22"/>
  <c r="H71" i="22"/>
  <c r="I76" i="23"/>
  <c r="F89" i="9"/>
  <c r="H88" i="9"/>
  <c r="I88" i="9"/>
  <c r="I79" i="24"/>
  <c r="F80" i="24"/>
  <c r="H79" i="24"/>
  <c r="H59" i="22"/>
  <c r="I59" i="22"/>
  <c r="I54" i="23"/>
  <c r="H54" i="23"/>
  <c r="H57" i="22"/>
  <c r="I57" i="22"/>
  <c r="E29" i="24" a="1"/>
  <c r="E29" i="24" s="1"/>
  <c r="E28" i="24" s="1"/>
  <c r="E25" i="24"/>
  <c r="H84" i="9"/>
  <c r="H63" i="9"/>
  <c r="H79" i="22"/>
  <c r="F80" i="22"/>
  <c r="I79" i="22"/>
  <c r="I57" i="24"/>
  <c r="H57" i="24"/>
  <c r="F74" i="22"/>
  <c r="I73" i="22"/>
  <c r="H73" i="22"/>
  <c r="H75" i="23"/>
  <c r="I75" i="23"/>
  <c r="F62" i="22"/>
  <c r="F55" i="22"/>
  <c r="I53" i="22"/>
  <c r="H53" i="22"/>
  <c r="F58" i="22"/>
  <c r="E18" i="24"/>
  <c r="E22" i="24"/>
  <c r="E15" i="24"/>
  <c r="H64" i="24"/>
  <c r="I64" i="24"/>
  <c r="F65" i="24"/>
  <c r="F69" i="24" a="1"/>
  <c r="F69" i="24" s="1"/>
  <c r="I66" i="23"/>
  <c r="H66" i="23"/>
  <c r="F67" i="23"/>
  <c r="E15" i="23"/>
  <c r="E22" i="23"/>
  <c r="I54" i="24"/>
  <c r="H54" i="24"/>
  <c r="I79" i="23"/>
  <c r="H79" i="23"/>
  <c r="F80" i="23"/>
  <c r="H54" i="22"/>
  <c r="I54" i="22"/>
  <c r="I76" i="22"/>
  <c r="H76" i="22"/>
  <c r="H85" i="9"/>
  <c r="I64" i="22"/>
  <c r="F69" i="22" a="1"/>
  <c r="F69" i="22" s="1"/>
  <c r="H64" i="22"/>
  <c r="F65" i="22"/>
  <c r="H73" i="23"/>
  <c r="I73" i="23"/>
  <c r="F74" i="23"/>
  <c r="I71" i="24"/>
  <c r="H71" i="24"/>
  <c r="F72" i="24"/>
  <c r="H59" i="23"/>
  <c r="I59" i="23"/>
  <c r="I59" i="24"/>
  <c r="H59" i="24"/>
  <c r="I75" i="24"/>
  <c r="H75" i="24"/>
  <c r="F58" i="23"/>
  <c r="H53" i="23"/>
  <c r="F55" i="23"/>
  <c r="F62" i="23"/>
  <c r="I53" i="23"/>
  <c r="F72" i="23"/>
  <c r="H71" i="23"/>
  <c r="I71" i="23"/>
  <c r="F62" i="24"/>
  <c r="F58" i="24"/>
  <c r="I53" i="24"/>
  <c r="F55" i="24"/>
  <c r="H53" i="24"/>
  <c r="I66" i="24"/>
  <c r="F67" i="24"/>
  <c r="H66" i="24"/>
  <c r="C45" i="22"/>
  <c r="I48" i="22" a="1"/>
  <c r="I48" i="22" s="1"/>
  <c r="H48" i="22" a="1"/>
  <c r="H48" i="22" s="1"/>
  <c r="I57" i="23"/>
  <c r="H57" i="23"/>
  <c r="I48" i="23" a="1"/>
  <c r="I48" i="23" s="1"/>
  <c r="H48" i="23" a="1"/>
  <c r="H48" i="23" s="1"/>
  <c r="C45" i="23"/>
  <c r="H82" i="9"/>
  <c r="I82" i="9"/>
  <c r="E15" i="22"/>
  <c r="E22" i="22"/>
  <c r="E18" i="22"/>
  <c r="I64" i="23"/>
  <c r="F69" i="23" a="1"/>
  <c r="F69" i="23" s="1"/>
  <c r="F65" i="23"/>
  <c r="H64" i="23"/>
  <c r="F74" i="24"/>
  <c r="H73" i="24"/>
  <c r="I73" i="24"/>
  <c r="C54" i="9"/>
  <c r="H57" i="9" a="1"/>
  <c r="H57" i="9" s="1"/>
  <c r="I57" i="9" a="1"/>
  <c r="I57" i="9" s="1"/>
  <c r="F67" i="22"/>
  <c r="H66" i="22"/>
  <c r="I66" i="22"/>
  <c r="I26" i="23"/>
  <c r="H26" i="23"/>
  <c r="H26" i="9"/>
  <c r="I26" i="9"/>
  <c r="C5" i="24"/>
  <c r="H8" i="24" a="1"/>
  <c r="H8" i="24" s="1"/>
  <c r="C14" i="9"/>
  <c r="H17" i="9" a="1"/>
  <c r="H17" i="9" s="1"/>
  <c r="I26" i="24"/>
  <c r="F27" i="24"/>
  <c r="H26" i="24"/>
  <c r="H31" i="22"/>
  <c r="I31" i="22"/>
  <c r="H26" i="22"/>
  <c r="I26" i="22"/>
  <c r="F34" i="22"/>
  <c r="H33" i="22"/>
  <c r="I33" i="22"/>
  <c r="H24" i="24"/>
  <c r="F29" i="24" a="1"/>
  <c r="F29" i="24" s="1"/>
  <c r="I24" i="24"/>
  <c r="I17" i="23"/>
  <c r="H17" i="23"/>
  <c r="F34" i="23"/>
  <c r="H33" i="23"/>
  <c r="I33" i="23"/>
  <c r="I45" i="9"/>
  <c r="H45" i="9"/>
  <c r="I17" i="22"/>
  <c r="H17" i="22"/>
  <c r="H42" i="9"/>
  <c r="H44" i="9"/>
  <c r="F32" i="24"/>
  <c r="H36" i="22"/>
  <c r="I36" i="22"/>
  <c r="H13" i="24"/>
  <c r="F22" i="24"/>
  <c r="I13" i="24"/>
  <c r="H39" i="23"/>
  <c r="I36" i="23"/>
  <c r="H36" i="23"/>
  <c r="H38" i="9"/>
  <c r="H168" i="9" l="1"/>
  <c r="F209" i="9"/>
  <c r="H153" i="9"/>
  <c r="I133" i="23"/>
  <c r="H68" i="9"/>
  <c r="H153" i="23"/>
  <c r="I153" i="23"/>
  <c r="F184" i="9"/>
  <c r="E135" i="23"/>
  <c r="H31" i="24"/>
  <c r="I162" i="9"/>
  <c r="I144" i="22"/>
  <c r="I39" i="23"/>
  <c r="I84" i="9"/>
  <c r="E34" i="22"/>
  <c r="H148" i="9"/>
  <c r="I155" i="9"/>
  <c r="I38" i="9"/>
  <c r="H80" i="9"/>
  <c r="F156" i="9"/>
  <c r="I148" i="9"/>
  <c r="E64" i="9"/>
  <c r="F81" i="9"/>
  <c r="H81" i="9" s="1"/>
  <c r="H158" i="9"/>
  <c r="D184" i="9"/>
  <c r="H184" i="9" s="1"/>
  <c r="I158" i="9"/>
  <c r="H182" i="9"/>
  <c r="I205" i="9"/>
  <c r="F163" i="9"/>
  <c r="I120" i="9"/>
  <c r="F187" i="9"/>
  <c r="I187" i="9" s="1"/>
  <c r="I142" i="9"/>
  <c r="H198" i="9"/>
  <c r="H78" i="9"/>
  <c r="E147" i="9"/>
  <c r="I147" i="9" s="1"/>
  <c r="F203" i="9"/>
  <c r="H195" i="9"/>
  <c r="E27" i="9"/>
  <c r="F76" i="9"/>
  <c r="I76" i="9" s="1"/>
  <c r="E197" i="9"/>
  <c r="I197" i="9" s="1"/>
  <c r="H75" i="9"/>
  <c r="H120" i="9"/>
  <c r="I193" i="9"/>
  <c r="I73" i="9"/>
  <c r="F83" i="9"/>
  <c r="E123" i="9"/>
  <c r="I123" i="9" s="1"/>
  <c r="D187" i="9"/>
  <c r="F77" i="9"/>
  <c r="I77" i="9" s="1"/>
  <c r="I160" i="9"/>
  <c r="I195" i="9"/>
  <c r="I42" i="9"/>
  <c r="E144" i="9"/>
  <c r="H160" i="9"/>
  <c r="H183" i="9"/>
  <c r="E112" i="23"/>
  <c r="H146" i="24"/>
  <c r="H133" i="23"/>
  <c r="H159" i="23"/>
  <c r="E10" i="33"/>
  <c r="E32" i="23"/>
  <c r="E27" i="23"/>
  <c r="D123" i="9"/>
  <c r="H123" i="9" s="1"/>
  <c r="D144" i="9"/>
  <c r="H144" i="9" s="1"/>
  <c r="E109" i="22" a="1"/>
  <c r="E109" i="22" s="1"/>
  <c r="E108" i="22" s="1"/>
  <c r="D107" i="9"/>
  <c r="H107" i="9" s="1"/>
  <c r="E196" i="9"/>
  <c r="I196" i="9" s="1"/>
  <c r="D27" i="23"/>
  <c r="D107" i="23"/>
  <c r="D77" i="9"/>
  <c r="E160" i="23"/>
  <c r="D89" i="9"/>
  <c r="H89" i="9" s="1"/>
  <c r="D72" i="23"/>
  <c r="H72" i="23" s="1"/>
  <c r="E152" i="24"/>
  <c r="I152" i="24" s="1"/>
  <c r="E80" i="22"/>
  <c r="D40" i="23"/>
  <c r="E117" i="9"/>
  <c r="I117" i="9" s="1"/>
  <c r="E154" i="23"/>
  <c r="I154" i="23" s="1"/>
  <c r="E112" i="24"/>
  <c r="I112" i="24" s="1"/>
  <c r="E72" i="22"/>
  <c r="D163" i="9"/>
  <c r="E34" i="23"/>
  <c r="I34" i="23" s="1"/>
  <c r="D107" i="24"/>
  <c r="H107" i="24" s="1"/>
  <c r="D120" i="24"/>
  <c r="E154" i="9"/>
  <c r="I154" i="9" s="1"/>
  <c r="D27" i="22"/>
  <c r="E121" i="9"/>
  <c r="I121" i="9" s="1"/>
  <c r="D32" i="23"/>
  <c r="E152" i="23"/>
  <c r="I152" i="23" s="1"/>
  <c r="H66" i="9"/>
  <c r="I99" i="23"/>
  <c r="E112" i="22"/>
  <c r="I112" i="22" s="1"/>
  <c r="D152" i="24"/>
  <c r="E34" i="9"/>
  <c r="E32" i="22"/>
  <c r="D152" i="23"/>
  <c r="E107" i="22"/>
  <c r="D74" i="9"/>
  <c r="E67" i="22"/>
  <c r="I67" i="22" s="1"/>
  <c r="E83" i="9"/>
  <c r="E114" i="23"/>
  <c r="E156" i="9"/>
  <c r="I156" i="9" s="1"/>
  <c r="D114" i="24"/>
  <c r="H114" i="24" s="1"/>
  <c r="D80" i="22"/>
  <c r="D32" i="22"/>
  <c r="I104" i="22"/>
  <c r="F74" i="9"/>
  <c r="I74" i="9" s="1"/>
  <c r="I66" i="9"/>
  <c r="I200" i="9"/>
  <c r="E11" i="33"/>
  <c r="D203" i="9"/>
  <c r="H203" i="9" s="1"/>
  <c r="E114" i="9"/>
  <c r="I114" i="9" s="1"/>
  <c r="E116" i="9"/>
  <c r="I116" i="9" s="1"/>
  <c r="D74" i="22"/>
  <c r="H74" i="22" s="1"/>
  <c r="D194" i="9"/>
  <c r="H194" i="9" s="1"/>
  <c r="D117" i="9"/>
  <c r="H117" i="9" s="1"/>
  <c r="E154" i="22"/>
  <c r="D67" i="24"/>
  <c r="H67" i="24" s="1"/>
  <c r="E49" i="9"/>
  <c r="E203" i="9"/>
  <c r="I203" i="9" s="1"/>
  <c r="E154" i="24"/>
  <c r="I154" i="24" s="1"/>
  <c r="E114" i="22"/>
  <c r="I114" i="22" s="1"/>
  <c r="E163" i="9"/>
  <c r="D34" i="22"/>
  <c r="H34" i="22" s="1"/>
  <c r="D154" i="24"/>
  <c r="H154" i="24" s="1"/>
  <c r="D147" i="22"/>
  <c r="H147" i="22" s="1"/>
  <c r="E27" i="22"/>
  <c r="D154" i="22"/>
  <c r="D34" i="23"/>
  <c r="H34" i="23" s="1"/>
  <c r="D40" i="22"/>
  <c r="D27" i="24"/>
  <c r="H27" i="24" s="1"/>
  <c r="D114" i="22"/>
  <c r="H114" i="22" s="1"/>
  <c r="D114" i="23"/>
  <c r="E9" i="33"/>
  <c r="H106" i="9"/>
  <c r="E34" i="24"/>
  <c r="E67" i="24"/>
  <c r="I67" i="24" s="1"/>
  <c r="E120" i="24"/>
  <c r="I120" i="24" s="1"/>
  <c r="D120" i="23"/>
  <c r="E107" i="24"/>
  <c r="I107" i="24" s="1"/>
  <c r="E74" i="23"/>
  <c r="I74" i="23" s="1"/>
  <c r="D74" i="23"/>
  <c r="H74" i="23" s="1"/>
  <c r="D201" i="9"/>
  <c r="H201" i="9" s="1"/>
  <c r="E152" i="22"/>
  <c r="E147" i="22"/>
  <c r="I147" i="22" s="1"/>
  <c r="H67" i="9"/>
  <c r="I67" i="9"/>
  <c r="D154" i="9"/>
  <c r="H154" i="9" s="1"/>
  <c r="D157" i="9"/>
  <c r="H157" i="9" s="1"/>
  <c r="D156" i="9"/>
  <c r="H156" i="9" s="1"/>
  <c r="D76" i="9"/>
  <c r="D83" i="9"/>
  <c r="I107" i="22"/>
  <c r="H107" i="22"/>
  <c r="E7" i="33"/>
  <c r="C12" i="33"/>
  <c r="E12" i="33" s="1"/>
  <c r="D34" i="9"/>
  <c r="D41" i="9"/>
  <c r="D36" i="9"/>
  <c r="I22" i="24"/>
  <c r="H22" i="24"/>
  <c r="H32" i="24"/>
  <c r="I32" i="24"/>
  <c r="F28" i="24"/>
  <c r="H29" i="24"/>
  <c r="I29" i="24"/>
  <c r="I34" i="22"/>
  <c r="I27" i="24"/>
  <c r="H67" i="22"/>
  <c r="H74" i="24"/>
  <c r="I74" i="24"/>
  <c r="H65" i="23"/>
  <c r="I65" i="23"/>
  <c r="F68" i="23"/>
  <c r="I69" i="23"/>
  <c r="H69" i="23"/>
  <c r="I55" i="24"/>
  <c r="H55" i="24"/>
  <c r="I58" i="24"/>
  <c r="H58" i="24"/>
  <c r="H62" i="24"/>
  <c r="I62" i="24"/>
  <c r="I72" i="23"/>
  <c r="I62" i="23"/>
  <c r="H62" i="23"/>
  <c r="I55" i="23"/>
  <c r="H55" i="23"/>
  <c r="H58" i="23"/>
  <c r="I58" i="23"/>
  <c r="I81" i="9"/>
  <c r="I72" i="24"/>
  <c r="H72" i="24"/>
  <c r="I65" i="22"/>
  <c r="H65" i="22"/>
  <c r="H69" i="22"/>
  <c r="F68" i="22"/>
  <c r="I69" i="22"/>
  <c r="H80" i="23"/>
  <c r="I80" i="23"/>
  <c r="I67" i="23"/>
  <c r="H67" i="23"/>
  <c r="F68" i="24"/>
  <c r="H69" i="24"/>
  <c r="I69" i="24"/>
  <c r="I65" i="24"/>
  <c r="H65" i="24"/>
  <c r="I58" i="22"/>
  <c r="H58" i="22"/>
  <c r="H55" i="22"/>
  <c r="I55" i="22"/>
  <c r="I62" i="22"/>
  <c r="H62" i="22"/>
  <c r="I74" i="22"/>
  <c r="I80" i="22"/>
  <c r="H80" i="22"/>
  <c r="H80" i="24"/>
  <c r="I80" i="24"/>
  <c r="I89" i="9"/>
  <c r="I72" i="22"/>
  <c r="H72" i="22"/>
  <c r="I157" i="9"/>
  <c r="H105" i="24"/>
  <c r="I105" i="24"/>
  <c r="F108" i="24"/>
  <c r="H109" i="24"/>
  <c r="I109" i="24"/>
  <c r="I169" i="9"/>
  <c r="H169" i="9"/>
  <c r="I114" i="24"/>
  <c r="I147" i="23"/>
  <c r="H147" i="23"/>
  <c r="I160" i="24"/>
  <c r="H160" i="24"/>
  <c r="H121" i="9"/>
  <c r="H152" i="24"/>
  <c r="I102" i="24"/>
  <c r="H102" i="24"/>
  <c r="I95" i="24"/>
  <c r="H95" i="24"/>
  <c r="I98" i="24"/>
  <c r="H98" i="24"/>
  <c r="H154" i="23"/>
  <c r="H152" i="23"/>
  <c r="I149" i="24"/>
  <c r="F148" i="24"/>
  <c r="H149" i="24"/>
  <c r="I145" i="24"/>
  <c r="H145" i="24"/>
  <c r="H129" i="9"/>
  <c r="I129" i="9"/>
  <c r="H209" i="9"/>
  <c r="I209" i="9"/>
  <c r="H112" i="24"/>
  <c r="I184" i="9"/>
  <c r="H149" i="23"/>
  <c r="I149" i="23"/>
  <c r="F148" i="23"/>
  <c r="H145" i="23"/>
  <c r="I145" i="23"/>
  <c r="I112" i="23"/>
  <c r="H112" i="23"/>
  <c r="I120" i="22"/>
  <c r="H120" i="22"/>
  <c r="I109" i="23"/>
  <c r="F108" i="23"/>
  <c r="H109" i="23"/>
  <c r="H105" i="23"/>
  <c r="I105" i="23"/>
  <c r="H147" i="9"/>
  <c r="I144" i="9"/>
  <c r="H120" i="23"/>
  <c r="I120" i="23"/>
  <c r="H98" i="23"/>
  <c r="I98" i="23"/>
  <c r="I102" i="23"/>
  <c r="H102" i="23"/>
  <c r="I95" i="23"/>
  <c r="H95" i="23"/>
  <c r="H109" i="22"/>
  <c r="F108" i="22"/>
  <c r="I105" i="22"/>
  <c r="H105" i="22"/>
  <c r="H161" i="9"/>
  <c r="I161" i="9"/>
  <c r="I160" i="22"/>
  <c r="H160" i="22"/>
  <c r="F148" i="22"/>
  <c r="I149" i="22"/>
  <c r="H149" i="22"/>
  <c r="I145" i="22"/>
  <c r="H145" i="22"/>
  <c r="I194" i="9"/>
  <c r="H138" i="22"/>
  <c r="I138" i="22"/>
  <c r="H142" i="22"/>
  <c r="I142" i="22"/>
  <c r="I135" i="22"/>
  <c r="H135" i="22"/>
  <c r="H197" i="9"/>
  <c r="H147" i="24"/>
  <c r="I147" i="24"/>
  <c r="I114" i="23"/>
  <c r="H114" i="23"/>
  <c r="I201" i="9"/>
  <c r="H120" i="24"/>
  <c r="H142" i="23"/>
  <c r="I142" i="23"/>
  <c r="I135" i="23"/>
  <c r="H135" i="23"/>
  <c r="H138" i="23"/>
  <c r="I138" i="23"/>
  <c r="H114" i="9"/>
  <c r="I135" i="24"/>
  <c r="H135" i="24"/>
  <c r="H138" i="24"/>
  <c r="I138" i="24"/>
  <c r="H142" i="24"/>
  <c r="I142" i="24"/>
  <c r="H102" i="22"/>
  <c r="I102" i="22"/>
  <c r="I98" i="22"/>
  <c r="H98" i="22"/>
  <c r="H95" i="22"/>
  <c r="I95" i="22"/>
  <c r="H116" i="9"/>
  <c r="H196" i="9"/>
  <c r="I104" i="9"/>
  <c r="H104" i="9"/>
  <c r="I107" i="9"/>
  <c r="I160" i="23"/>
  <c r="H160" i="23"/>
  <c r="H107" i="23"/>
  <c r="I107" i="23"/>
  <c r="I154" i="22"/>
  <c r="H154" i="22"/>
  <c r="I152" i="22"/>
  <c r="H152" i="22"/>
  <c r="H112" i="22"/>
  <c r="H64" i="9"/>
  <c r="I64" i="9"/>
  <c r="H76" i="9" l="1"/>
  <c r="H187" i="9"/>
  <c r="H83" i="9"/>
  <c r="I163" i="9"/>
  <c r="H74" i="9"/>
  <c r="H163" i="9"/>
  <c r="H77" i="9"/>
  <c r="I83" i="9"/>
  <c r="I109" i="22"/>
  <c r="I148" i="22"/>
  <c r="H148" i="22"/>
  <c r="I108" i="22"/>
  <c r="H108" i="22"/>
  <c r="H108" i="23"/>
  <c r="I108" i="23"/>
  <c r="I148" i="23"/>
  <c r="H148" i="23"/>
  <c r="H148" i="24"/>
  <c r="I148" i="24"/>
  <c r="I108" i="24"/>
  <c r="H108" i="24"/>
  <c r="I68" i="24"/>
  <c r="H68" i="24"/>
  <c r="I68" i="22"/>
  <c r="H68" i="22"/>
  <c r="H68" i="23"/>
  <c r="I68" i="23"/>
  <c r="H28" i="24"/>
  <c r="I28" i="24"/>
  <c r="F22" i="9" a="1"/>
  <c r="F22" i="9" s="1"/>
  <c r="H22" i="9" s="1"/>
  <c r="F48" i="9" a="1"/>
  <c r="F48" i="9" s="1"/>
  <c r="I48" i="9" s="1"/>
  <c r="F40" i="9" a="1"/>
  <c r="F40" i="9" s="1"/>
  <c r="I40" i="9" s="1"/>
  <c r="F6" i="23" a="1"/>
  <c r="F23" i="9" a="1"/>
  <c r="F23" i="9" s="1"/>
  <c r="I23" i="9" s="1"/>
  <c r="F35" i="9" a="1"/>
  <c r="F35" i="9" s="1"/>
  <c r="F43" i="9" s="1"/>
  <c r="M5" i="9" a="1"/>
  <c r="F33" i="9" a="1"/>
  <c r="F33" i="9" s="1"/>
  <c r="F37" i="9" s="1"/>
  <c r="F13" i="22" a="1"/>
  <c r="F13" i="22" s="1"/>
  <c r="H13" i="22" s="1"/>
  <c r="F19" i="23" a="1"/>
  <c r="F19" i="23" s="1"/>
  <c r="H19" i="23" s="1"/>
  <c r="F24" i="22" a="1"/>
  <c r="F24" i="22" s="1"/>
  <c r="F25" i="22" s="1"/>
  <c r="H25" i="22" s="1"/>
  <c r="F39" i="24"/>
  <c r="H39" i="24" s="1"/>
  <c r="F28" i="9" a="1"/>
  <c r="F28" i="9" s="1"/>
  <c r="I28" i="9" s="1"/>
  <c r="F14" i="24" a="1"/>
  <c r="F31" i="23" a="1"/>
  <c r="F35" i="24" a="1"/>
  <c r="F33" i="24" a="1"/>
  <c r="F33" i="24" s="1"/>
  <c r="F13" i="23" a="1"/>
  <c r="F13" i="23" s="1"/>
  <c r="F19" i="22" a="1"/>
  <c r="F19" i="22" s="1"/>
  <c r="F14" i="22" a="1"/>
  <c r="F14" i="22" s="1"/>
  <c r="I14" i="22" s="1"/>
  <c r="F14" i="23"/>
  <c r="F39" i="22"/>
  <c r="I39" i="22" s="1"/>
  <c r="F36" i="24" a="1"/>
  <c r="F36" i="24" s="1"/>
  <c r="B12" i="35"/>
  <c r="F35" i="22" a="1"/>
  <c r="F35" i="22" s="1"/>
  <c r="F24" i="23" a="1"/>
  <c r="F24" i="23" s="1"/>
  <c r="F6" i="22" a="1"/>
  <c r="F6" i="22" s="1"/>
  <c r="I8" i="22" s="1" a="1"/>
  <c r="I8" i="22" s="1"/>
  <c r="F17" i="24" a="1"/>
  <c r="F17" i="24" s="1"/>
  <c r="I17" i="24" s="1"/>
  <c r="F19" i="24" a="1"/>
  <c r="F19" i="24" s="1"/>
  <c r="H19" i="24" s="1"/>
  <c r="F35" i="23" a="1"/>
  <c r="F35" i="23" s="1"/>
  <c r="H14" i="23"/>
  <c r="I14" i="23"/>
  <c r="F35" i="24"/>
  <c r="I35" i="24" s="1"/>
  <c r="F6" i="23"/>
  <c r="I8" i="23" s="1" a="1"/>
  <c r="I8" i="23" s="1"/>
  <c r="F14" i="24"/>
  <c r="F15" i="24" s="1"/>
  <c r="F31" i="23"/>
  <c r="I31" i="23" s="1"/>
  <c r="M5" i="9"/>
  <c r="E60" i="9" s="1" a="1"/>
  <c r="E60" i="9" s="1"/>
  <c r="F40" i="24" l="1"/>
  <c r="I40" i="24" s="1"/>
  <c r="I39" i="24"/>
  <c r="H31" i="23"/>
  <c r="F22" i="22"/>
  <c r="I22" i="22" s="1"/>
  <c r="H40" i="9"/>
  <c r="I13" i="22"/>
  <c r="H33" i="9"/>
  <c r="F100" i="9" a="1"/>
  <c r="F100" i="9" s="1"/>
  <c r="I33" i="24"/>
  <c r="H33" i="24"/>
  <c r="H35" i="9"/>
  <c r="F15" i="22"/>
  <c r="F18" i="22"/>
  <c r="E140" i="9" a="1"/>
  <c r="E140" i="9" s="1"/>
  <c r="F36" i="9"/>
  <c r="H36" i="9" s="1"/>
  <c r="D100" i="9" a="1"/>
  <c r="D100" i="9" s="1"/>
  <c r="D110" i="9"/>
  <c r="D111" i="9" s="1"/>
  <c r="H14" i="24"/>
  <c r="F179" i="9" a="1"/>
  <c r="F179" i="9" s="1"/>
  <c r="F139" i="9"/>
  <c r="D190" i="9"/>
  <c r="D191" i="9" s="1"/>
  <c r="F41" i="9"/>
  <c r="C5" i="23"/>
  <c r="E190" i="9"/>
  <c r="E191" i="9" s="1"/>
  <c r="H22" i="22"/>
  <c r="F27" i="23"/>
  <c r="F29" i="23" a="1"/>
  <c r="F29" i="23" s="1"/>
  <c r="H24" i="23"/>
  <c r="I24" i="23"/>
  <c r="F32" i="23"/>
  <c r="F25" i="23"/>
  <c r="F40" i="23"/>
  <c r="H13" i="23"/>
  <c r="I13" i="23"/>
  <c r="F15" i="23"/>
  <c r="F22" i="23"/>
  <c r="F18" i="23"/>
  <c r="H15" i="22"/>
  <c r="I15" i="22"/>
  <c r="H35" i="22"/>
  <c r="I35" i="22"/>
  <c r="H36" i="24"/>
  <c r="I36" i="24"/>
  <c r="I35" i="23"/>
  <c r="H35" i="23"/>
  <c r="I19" i="23"/>
  <c r="F24" i="9"/>
  <c r="H48" i="9"/>
  <c r="F40" i="22"/>
  <c r="H35" i="24"/>
  <c r="E180" i="9" a="1"/>
  <c r="E180" i="9" s="1"/>
  <c r="F110" i="9"/>
  <c r="D150" i="9"/>
  <c r="D151" i="9" s="1"/>
  <c r="D99" i="9" a="1"/>
  <c r="D99" i="9" s="1"/>
  <c r="F140" i="9" a="1"/>
  <c r="F140" i="9" s="1"/>
  <c r="H15" i="24"/>
  <c r="I15" i="24"/>
  <c r="F27" i="22"/>
  <c r="F32" i="22"/>
  <c r="I19" i="24"/>
  <c r="I24" i="22"/>
  <c r="F27" i="9"/>
  <c r="H23" i="9"/>
  <c r="I25" i="22"/>
  <c r="H28" i="9"/>
  <c r="H39" i="22"/>
  <c r="D19" i="9" a="1"/>
  <c r="D19" i="9" s="1"/>
  <c r="E59" i="9" a="1"/>
  <c r="E59" i="9" s="1"/>
  <c r="E70" i="9"/>
  <c r="E71" i="9" s="1"/>
  <c r="D180" i="9" a="1"/>
  <c r="D180" i="9" s="1"/>
  <c r="D59" i="9" a="1"/>
  <c r="D59" i="9" s="1"/>
  <c r="F18" i="24"/>
  <c r="F25" i="24"/>
  <c r="I22" i="9"/>
  <c r="E139" i="9" a="1"/>
  <c r="E139" i="9" s="1"/>
  <c r="D30" i="9"/>
  <c r="D31" i="9" s="1"/>
  <c r="F190" i="9"/>
  <c r="E150" i="9"/>
  <c r="E151" i="9" s="1"/>
  <c r="F150" i="9"/>
  <c r="F20" i="9" a="1"/>
  <c r="F20" i="9" s="1"/>
  <c r="I37" i="9"/>
  <c r="H37" i="9"/>
  <c r="I43" i="9"/>
  <c r="H43" i="9"/>
  <c r="H40" i="24"/>
  <c r="F49" i="9"/>
  <c r="F34" i="24"/>
  <c r="I33" i="9"/>
  <c r="H8" i="23" a="1"/>
  <c r="H8" i="23" s="1"/>
  <c r="H24" i="22"/>
  <c r="D20" i="9"/>
  <c r="D139" i="9" a="1"/>
  <c r="D139" i="9" s="1"/>
  <c r="E100" i="9" a="1"/>
  <c r="E100" i="9" s="1"/>
  <c r="F180" i="9" a="1"/>
  <c r="F180" i="9" s="1"/>
  <c r="I35" i="9"/>
  <c r="I14" i="24"/>
  <c r="F34" i="9"/>
  <c r="H17" i="24"/>
  <c r="F29" i="22" a="1"/>
  <c r="F29" i="22" s="1"/>
  <c r="D60" i="9" a="1"/>
  <c r="D60" i="9" s="1"/>
  <c r="D140" i="9" a="1"/>
  <c r="D140" i="9" s="1"/>
  <c r="F99" i="9" a="1"/>
  <c r="F99" i="9" s="1"/>
  <c r="E99" i="9" a="1"/>
  <c r="E99" i="9" s="1"/>
  <c r="H19" i="22"/>
  <c r="I19" i="22"/>
  <c r="H14" i="22"/>
  <c r="D70" i="9"/>
  <c r="D71" i="9" s="1"/>
  <c r="D179" i="9" a="1"/>
  <c r="D179" i="9" s="1"/>
  <c r="E179" i="9" a="1"/>
  <c r="E179" i="9" s="1"/>
  <c r="E110" i="9"/>
  <c r="E111" i="9" s="1"/>
  <c r="C5" i="22"/>
  <c r="H8" i="22" a="1"/>
  <c r="H8" i="22" s="1"/>
  <c r="F30" i="9"/>
  <c r="F59" i="9" a="1"/>
  <c r="F59" i="9" s="1"/>
  <c r="E20" i="9" a="1"/>
  <c r="E20" i="9" s="1"/>
  <c r="F19" i="9" a="1"/>
  <c r="F19" i="9" s="1"/>
  <c r="F60" i="9" a="1"/>
  <c r="F60" i="9" s="1"/>
  <c r="F70" i="9"/>
  <c r="E19" i="9"/>
  <c r="E30" i="9"/>
  <c r="E31" i="9" s="1"/>
  <c r="I36" i="9" l="1"/>
  <c r="I139" i="9"/>
  <c r="I179" i="9"/>
  <c r="H100" i="9"/>
  <c r="I100" i="9"/>
  <c r="H139" i="9"/>
  <c r="H179" i="9"/>
  <c r="I41" i="9"/>
  <c r="H41" i="9"/>
  <c r="I18" i="22"/>
  <c r="H18" i="22"/>
  <c r="I59" i="9"/>
  <c r="H59" i="9"/>
  <c r="H30" i="9"/>
  <c r="I30" i="9"/>
  <c r="H32" i="22"/>
  <c r="I32" i="22"/>
  <c r="I32" i="23"/>
  <c r="H32" i="23"/>
  <c r="I34" i="9"/>
  <c r="H34" i="9"/>
  <c r="I27" i="22"/>
  <c r="H27" i="22"/>
  <c r="H18" i="23"/>
  <c r="I18" i="23"/>
  <c r="F31" i="9"/>
  <c r="I25" i="24"/>
  <c r="H25" i="24"/>
  <c r="I40" i="22"/>
  <c r="H40" i="22"/>
  <c r="H22" i="23"/>
  <c r="I22" i="23"/>
  <c r="H29" i="23"/>
  <c r="F28" i="23"/>
  <c r="I29" i="23"/>
  <c r="H20" i="9"/>
  <c r="I20" i="9"/>
  <c r="H15" i="23"/>
  <c r="I15" i="23"/>
  <c r="H60" i="9"/>
  <c r="I60" i="9"/>
  <c r="H99" i="9"/>
  <c r="I99" i="9"/>
  <c r="H180" i="9"/>
  <c r="I180" i="9"/>
  <c r="I49" i="9"/>
  <c r="H49" i="9"/>
  <c r="F151" i="9"/>
  <c r="I150" i="9"/>
  <c r="H150" i="9"/>
  <c r="I140" i="9"/>
  <c r="H140" i="9"/>
  <c r="I27" i="23"/>
  <c r="H27" i="23"/>
  <c r="H70" i="9"/>
  <c r="I70" i="9"/>
  <c r="F71" i="9"/>
  <c r="I34" i="24"/>
  <c r="H34" i="24"/>
  <c r="H19" i="9"/>
  <c r="I19" i="9"/>
  <c r="I27" i="9"/>
  <c r="H27" i="9"/>
  <c r="I24" i="9"/>
  <c r="H24" i="9"/>
  <c r="I18" i="24"/>
  <c r="H18" i="24"/>
  <c r="F191" i="9"/>
  <c r="H190" i="9"/>
  <c r="I190" i="9"/>
  <c r="I40" i="23"/>
  <c r="H40" i="23"/>
  <c r="F28" i="22"/>
  <c r="H29" i="22"/>
  <c r="I29" i="22"/>
  <c r="F111" i="9"/>
  <c r="I110" i="9"/>
  <c r="H110" i="9"/>
  <c r="I25" i="23"/>
  <c r="H25" i="23"/>
  <c r="I191" i="9" l="1"/>
  <c r="H191" i="9"/>
  <c r="H28" i="23"/>
  <c r="I28" i="23"/>
  <c r="I31" i="9"/>
  <c r="H31" i="9"/>
  <c r="H28" i="22"/>
  <c r="I28" i="22"/>
  <c r="H71" i="9"/>
  <c r="I71" i="9"/>
  <c r="I111" i="9"/>
  <c r="H111" i="9"/>
  <c r="H151" i="9"/>
  <c r="I151" i="9"/>
</calcChain>
</file>

<file path=xl/sharedStrings.xml><?xml version="1.0" encoding="utf-8"?>
<sst xmlns="http://schemas.openxmlformats.org/spreadsheetml/2006/main" count="645" uniqueCount="118">
  <si>
    <t>Total Scorecard</t>
  </si>
  <si>
    <t>PY TREND REPORT CREATOR</t>
  </si>
  <si>
    <t>Claim Number</t>
  </si>
  <si>
    <t>Date of Loss</t>
  </si>
  <si>
    <t>Policy Inception</t>
  </si>
  <si>
    <t>Incurred Limited</t>
  </si>
  <si>
    <t>Paid Limited</t>
  </si>
  <si>
    <t>Outstanding Reserves</t>
  </si>
  <si>
    <t>Indemnity Incurred</t>
  </si>
  <si>
    <t>Claim Status C=1</t>
  </si>
  <si>
    <t>Litigated =1</t>
  </si>
  <si>
    <t>Valuation</t>
  </si>
  <si>
    <t>Filter</t>
  </si>
  <si>
    <t>Months</t>
  </si>
  <si>
    <t>California</t>
  </si>
  <si>
    <t>Current Valuation</t>
  </si>
  <si>
    <t>Policy Year Inception</t>
  </si>
  <si>
    <t>Ultimate Incurred</t>
  </si>
  <si>
    <t>Ultimate Claim Count</t>
  </si>
  <si>
    <t>Payroll (actual)</t>
  </si>
  <si>
    <t>Scorecard Names</t>
  </si>
  <si>
    <t>Filtered Scorecard 1</t>
  </si>
  <si>
    <t>Filtered Scorecard 2</t>
  </si>
  <si>
    <t>Filtered Scorecard 3</t>
  </si>
  <si>
    <t>Used to recode</t>
  </si>
  <si>
    <t>$</t>
  </si>
  <si>
    <t>Bin</t>
  </si>
  <si>
    <t>a. 0</t>
  </si>
  <si>
    <t>b. 1-100</t>
  </si>
  <si>
    <t>c. 100-10k</t>
  </si>
  <si>
    <t>d. 10k-25k</t>
  </si>
  <si>
    <t>d. 25k-50k</t>
  </si>
  <si>
    <t>e. 50k-75k</t>
  </si>
  <si>
    <t>f. 75k-100k</t>
  </si>
  <si>
    <t>g. 100k-200k</t>
  </si>
  <si>
    <t>h. 200k+</t>
  </si>
  <si>
    <t>Incurred</t>
  </si>
  <si>
    <t>Grand Total</t>
  </si>
  <si>
    <t>Total Incurred</t>
  </si>
  <si>
    <t>Notes</t>
  </si>
  <si>
    <t>$0 incurred claims excluded</t>
  </si>
  <si>
    <t>PY1</t>
  </si>
  <si>
    <t>financials limited to retention</t>
  </si>
  <si>
    <t>Policy Year Inception Date</t>
  </si>
  <si>
    <t>indemnity status defined by indemnity incurred &gt;$0</t>
  </si>
  <si>
    <t>closure status defined by TPA</t>
  </si>
  <si>
    <t>valued as of</t>
  </si>
  <si>
    <t>Trend</t>
  </si>
  <si>
    <t>Actuarial: Milliman as of 3/31/19</t>
  </si>
  <si>
    <t>PY 7/1/18 ultimates are prorated from actuarial report</t>
  </si>
  <si>
    <t>Ultimates</t>
  </si>
  <si>
    <t>Total Outstanding</t>
  </si>
  <si>
    <t>Total Claims &gt;$0</t>
  </si>
  <si>
    <t>Average Cost per Claim</t>
  </si>
  <si>
    <t>Median CPC</t>
  </si>
  <si>
    <t>Payroll per $100</t>
  </si>
  <si>
    <t xml:space="preserve"> </t>
  </si>
  <si>
    <t>Incurred Loss Rate</t>
  </si>
  <si>
    <t>Indemnity Claims</t>
  </si>
  <si>
    <t>Indemnity Rate</t>
  </si>
  <si>
    <t>Total Inc- Ind Claims</t>
  </si>
  <si>
    <t>ACPC- Ind Claims</t>
  </si>
  <si>
    <t>Indemnity Closure Rate</t>
  </si>
  <si>
    <t>Open Indemnity Claims</t>
  </si>
  <si>
    <t>Top 5 Claims</t>
  </si>
  <si>
    <t>Top 5 as % of Incurred</t>
  </si>
  <si>
    <t>PY2</t>
  </si>
  <si>
    <t>PY3</t>
  </si>
  <si>
    <t>PY4</t>
  </si>
  <si>
    <t>PY5</t>
  </si>
  <si>
    <t>Retention</t>
  </si>
  <si>
    <t>Total Paid</t>
  </si>
  <si>
    <t>Litigated Ind Claims</t>
  </si>
  <si>
    <t>Ind Litigation Rate</t>
  </si>
  <si>
    <t>Total Litigated Incurred</t>
  </si>
  <si>
    <t>Total Lit Ind Incurred</t>
  </si>
  <si>
    <t>Claims</t>
  </si>
  <si>
    <t>Litigated</t>
  </si>
  <si>
    <t>% of claims</t>
  </si>
  <si>
    <t>% of incurred</t>
  </si>
  <si>
    <t>% of outstanding</t>
  </si>
  <si>
    <t>All claims open &amp; closed since 2015</t>
  </si>
  <si>
    <t>All claims currently open*</t>
  </si>
  <si>
    <t>Indemnity claims since 2015</t>
  </si>
  <si>
    <t>table used for graphic</t>
  </si>
  <si>
    <t>Not litigated</t>
  </si>
  <si>
    <t>Used as a vlookup in Policy Inception column to recode older years</t>
  </si>
  <si>
    <t>Ultimate</t>
  </si>
  <si>
    <t>Ultimate Severity</t>
  </si>
  <si>
    <t>Ultimate Claims</t>
  </si>
  <si>
    <t>Ind Litigated Claims</t>
  </si>
  <si>
    <t>Total Litigated Claims</t>
  </si>
  <si>
    <t>Excludes $0 claims</t>
  </si>
  <si>
    <t>Current valuation</t>
  </si>
  <si>
    <t>total incurred</t>
  </si>
  <si>
    <t>total outstanding</t>
  </si>
  <si>
    <t># of litigated claims</t>
  </si>
  <si>
    <t># of total claims</t>
  </si>
  <si>
    <t>litigated total incurred</t>
  </si>
  <si>
    <t>litigated total outstanding</t>
  </si>
  <si>
    <t>Lit Ind Inc % of Tot Ind Inc</t>
  </si>
  <si>
    <t>Policy Effective Date</t>
  </si>
  <si>
    <t>All claims currently open</t>
  </si>
  <si>
    <t>USE OPEN INVENTORY LOSS RUN TO CALCULATE METRICS FOR All claims currently open</t>
  </si>
  <si>
    <t>Average Days to Litigation</t>
  </si>
  <si>
    <t>litigation defined as represented date before valuation</t>
  </si>
  <si>
    <t>Litigation Date</t>
  </si>
  <si>
    <t>Days to Litigation</t>
  </si>
  <si>
    <t>Calculate average and median days to litigation</t>
  </si>
  <si>
    <t>Litigation Lag (days from open to litigated)</t>
  </si>
  <si>
    <t>Mean</t>
  </si>
  <si>
    <t>Median</t>
  </si>
  <si>
    <t>#  Days</t>
  </si>
  <si>
    <t>Older</t>
  </si>
  <si>
    <t>Policy Year same as inception year? Y/N</t>
  </si>
  <si>
    <t>Y</t>
  </si>
  <si>
    <t>[Impact logo]</t>
  </si>
  <si>
    <t>[Client Name] WC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</si>
</sst>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  <numFmt numFmtId="167" formatCode="0.0"/>
    <numFmt numFmtId="168" formatCode="0.0%"/>
    <numFmt numFmtId="169" formatCode="0.0000000000"/>
    <numFmt numFmtId="170" formatCode="[$-10409]mm/dd/yyyy"/>
  </numFmts>
  <fonts count="2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b/>
      <sz val="18"/>
      <color theme="0"/>
      <name val="Calibri"/>
      <family val="2"/>
    </font>
    <font>
      <sz val="11"/>
      <color theme="0"/>
      <name val="Calibri"/>
      <family val="2"/>
    </font>
    <font>
      <i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97D"/>
      <name val="Calibri"/>
      <family val="2"/>
    </font>
    <font>
      <b/>
      <sz val="11"/>
      <color rgb="FFC00000"/>
      <name val="Calibri"/>
      <family val="2"/>
    </font>
    <font>
      <b/>
      <sz val="16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F5E"/>
        <bgColor indexed="64"/>
      </patternFill>
    </fill>
    <fill>
      <patternFill patternType="solid">
        <fgColor rgb="FFCBCED2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/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 style="medium">
        <color theme="1" tint="0.499984740745262"/>
      </right>
      <top style="thin">
        <color theme="0" tint="-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5">
    <xf numFmtId="0" fontId="1" fillId="0" borderId="0" xfId="0" applyFont="1"/>
    <xf numFmtId="14" fontId="1" fillId="0" borderId="0" xfId="0" applyNumberFormat="1" applyFont="1"/>
    <xf numFmtId="0" fontId="0" fillId="0" borderId="0" xfId="0"/>
    <xf numFmtId="164" fontId="1" fillId="0" borderId="0" xfId="0" applyNumberFormat="1" applyFont="1"/>
    <xf numFmtId="165" fontId="1" fillId="0" borderId="0" xfId="2" applyNumberFormat="1" applyFont="1" applyFill="1" applyBorder="1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5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4" fontId="0" fillId="0" borderId="0" xfId="0" applyNumberFormat="1"/>
    <xf numFmtId="14" fontId="0" fillId="5" borderId="0" xfId="0" applyNumberFormat="1" applyFill="1"/>
    <xf numFmtId="14" fontId="0" fillId="7" borderId="0" xfId="0" applyNumberFormat="1" applyFill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4" fontId="8" fillId="0" borderId="2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4" borderId="16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9" fontId="7" fillId="4" borderId="8" xfId="1" applyFont="1" applyFill="1" applyBorder="1" applyAlignment="1">
      <alignment horizontal="center"/>
    </xf>
    <xf numFmtId="9" fontId="7" fillId="4" borderId="17" xfId="1" applyFont="1" applyFill="1" applyBorder="1" applyAlignment="1">
      <alignment horizontal="center"/>
    </xf>
    <xf numFmtId="0" fontId="7" fillId="0" borderId="18" xfId="0" applyFont="1" applyBorder="1"/>
    <xf numFmtId="0" fontId="7" fillId="4" borderId="18" xfId="0" applyFont="1" applyFill="1" applyBorder="1"/>
    <xf numFmtId="164" fontId="7" fillId="4" borderId="2" xfId="0" applyNumberFormat="1" applyFont="1" applyFill="1" applyBorder="1"/>
    <xf numFmtId="164" fontId="7" fillId="4" borderId="7" xfId="0" applyNumberFormat="1" applyFont="1" applyFill="1" applyBorder="1"/>
    <xf numFmtId="0" fontId="7" fillId="4" borderId="4" xfId="0" applyFont="1" applyFill="1" applyBorder="1"/>
    <xf numFmtId="9" fontId="7" fillId="4" borderId="2" xfId="1" applyFont="1" applyFill="1" applyBorder="1" applyAlignment="1">
      <alignment horizontal="center"/>
    </xf>
    <xf numFmtId="9" fontId="7" fillId="4" borderId="19" xfId="1" applyFont="1" applyFill="1" applyBorder="1" applyAlignment="1">
      <alignment horizontal="center"/>
    </xf>
    <xf numFmtId="0" fontId="7" fillId="0" borderId="20" xfId="0" applyFont="1" applyBorder="1"/>
    <xf numFmtId="165" fontId="7" fillId="4" borderId="2" xfId="2" applyNumberFormat="1" applyFont="1" applyFill="1" applyBorder="1"/>
    <xf numFmtId="165" fontId="7" fillId="4" borderId="7" xfId="2" applyNumberFormat="1" applyFont="1" applyFill="1" applyBorder="1"/>
    <xf numFmtId="0" fontId="7" fillId="0" borderId="22" xfId="0" applyFont="1" applyBorder="1"/>
    <xf numFmtId="0" fontId="7" fillId="0" borderId="0" xfId="0" applyFont="1" applyAlignment="1">
      <alignment horizontal="center"/>
    </xf>
    <xf numFmtId="0" fontId="1" fillId="8" borderId="0" xfId="0" applyFont="1" applyFill="1"/>
    <xf numFmtId="0" fontId="1" fillId="6" borderId="0" xfId="0" applyFont="1" applyFill="1"/>
    <xf numFmtId="0" fontId="7" fillId="0" borderId="0" xfId="0" applyFont="1"/>
    <xf numFmtId="14" fontId="8" fillId="0" borderId="0" xfId="0" applyNumberFormat="1" applyFont="1" applyAlignment="1">
      <alignment horizontal="center"/>
    </xf>
    <xf numFmtId="14" fontId="8" fillId="0" borderId="28" xfId="0" applyNumberFormat="1" applyFont="1" applyBorder="1" applyAlignment="1">
      <alignment horizontal="center"/>
    </xf>
    <xf numFmtId="14" fontId="8" fillId="0" borderId="15" xfId="0" applyNumberFormat="1" applyFont="1" applyBorder="1" applyAlignment="1">
      <alignment horizontal="center"/>
    </xf>
    <xf numFmtId="14" fontId="6" fillId="0" borderId="28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 wrapText="1"/>
    </xf>
    <xf numFmtId="0" fontId="0" fillId="0" borderId="1" xfId="0" applyBorder="1"/>
    <xf numFmtId="0" fontId="0" fillId="0" borderId="11" xfId="0" applyBorder="1"/>
    <xf numFmtId="0" fontId="9" fillId="4" borderId="0" xfId="0" applyFont="1" applyFill="1"/>
    <xf numFmtId="0" fontId="10" fillId="4" borderId="0" xfId="0" applyFont="1" applyFill="1"/>
    <xf numFmtId="0" fontId="1" fillId="0" borderId="0" xfId="0" applyFont="1" applyAlignment="1">
      <alignment horizontal="right"/>
    </xf>
    <xf numFmtId="0" fontId="3" fillId="9" borderId="0" xfId="0" applyFont="1" applyFill="1"/>
    <xf numFmtId="14" fontId="3" fillId="9" borderId="0" xfId="0" applyNumberFormat="1" applyFont="1" applyFill="1"/>
    <xf numFmtId="164" fontId="0" fillId="0" borderId="0" xfId="0" applyNumberFormat="1"/>
    <xf numFmtId="164" fontId="3" fillId="9" borderId="0" xfId="0" applyNumberFormat="1" applyFont="1" applyFill="1"/>
    <xf numFmtId="0" fontId="11" fillId="0" borderId="0" xfId="0" applyFont="1"/>
    <xf numFmtId="0" fontId="0" fillId="7" borderId="0" xfId="0" applyFill="1"/>
    <xf numFmtId="164" fontId="1" fillId="8" borderId="0" xfId="0" applyNumberFormat="1" applyFont="1" applyFill="1"/>
    <xf numFmtId="14" fontId="1" fillId="8" borderId="0" xfId="0" applyNumberFormat="1" applyFont="1" applyFill="1"/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textRotation="90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textRotation="90"/>
    </xf>
    <xf numFmtId="0" fontId="1" fillId="10" borderId="0" xfId="0" applyFont="1" applyFill="1"/>
    <xf numFmtId="14" fontId="1" fillId="10" borderId="0" xfId="0" applyNumberFormat="1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 textRotation="90"/>
    </xf>
    <xf numFmtId="164" fontId="14" fillId="0" borderId="2" xfId="0" applyNumberFormat="1" applyFont="1" applyBorder="1"/>
    <xf numFmtId="164" fontId="14" fillId="0" borderId="7" xfId="0" applyNumberFormat="1" applyFont="1" applyBorder="1"/>
    <xf numFmtId="0" fontId="14" fillId="0" borderId="4" xfId="0" applyFont="1" applyBorder="1"/>
    <xf numFmtId="9" fontId="14" fillId="0" borderId="3" xfId="1" applyFont="1" applyFill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0" fontId="14" fillId="0" borderId="0" xfId="0" applyFont="1"/>
    <xf numFmtId="0" fontId="14" fillId="0" borderId="2" xfId="0" applyFont="1" applyBorder="1"/>
    <xf numFmtId="9" fontId="14" fillId="0" borderId="2" xfId="1" applyFont="1" applyFill="1" applyBorder="1" applyAlignment="1">
      <alignment horizontal="center"/>
    </xf>
    <xf numFmtId="165" fontId="14" fillId="0" borderId="2" xfId="2" applyNumberFormat="1" applyFont="1" applyFill="1" applyBorder="1"/>
    <xf numFmtId="165" fontId="14" fillId="0" borderId="7" xfId="2" applyNumberFormat="1" applyFont="1" applyFill="1" applyBorder="1"/>
    <xf numFmtId="9" fontId="14" fillId="0" borderId="8" xfId="1" applyFont="1" applyFill="1" applyBorder="1" applyAlignment="1">
      <alignment horizontal="center"/>
    </xf>
    <xf numFmtId="166" fontId="14" fillId="0" borderId="6" xfId="0" applyNumberFormat="1" applyFont="1" applyBorder="1"/>
    <xf numFmtId="0" fontId="14" fillId="0" borderId="5" xfId="0" applyFont="1" applyBorder="1"/>
    <xf numFmtId="9" fontId="14" fillId="0" borderId="6" xfId="1" applyFont="1" applyFill="1" applyBorder="1" applyAlignment="1">
      <alignment horizontal="center"/>
    </xf>
    <xf numFmtId="9" fontId="14" fillId="0" borderId="21" xfId="1" applyFont="1" applyFill="1" applyBorder="1" applyAlignment="1">
      <alignment horizontal="center"/>
    </xf>
    <xf numFmtId="0" fontId="14" fillId="0" borderId="7" xfId="0" applyFont="1" applyBorder="1"/>
    <xf numFmtId="168" fontId="14" fillId="0" borderId="2" xfId="1" applyNumberFormat="1" applyFont="1" applyFill="1" applyBorder="1"/>
    <xf numFmtId="169" fontId="14" fillId="0" borderId="2" xfId="1" applyNumberFormat="1" applyFont="1" applyFill="1" applyBorder="1" applyAlignment="1">
      <alignment horizontal="center"/>
    </xf>
    <xf numFmtId="167" fontId="14" fillId="0" borderId="19" xfId="1" applyNumberFormat="1" applyFont="1" applyFill="1" applyBorder="1" applyAlignment="1">
      <alignment horizontal="center"/>
    </xf>
    <xf numFmtId="167" fontId="14" fillId="0" borderId="2" xfId="1" applyNumberFormat="1" applyFont="1" applyFill="1" applyBorder="1" applyAlignment="1">
      <alignment horizontal="center"/>
    </xf>
    <xf numFmtId="164" fontId="14" fillId="0" borderId="2" xfId="2" applyNumberFormat="1" applyFont="1" applyFill="1" applyBorder="1"/>
    <xf numFmtId="164" fontId="14" fillId="0" borderId="7" xfId="2" applyNumberFormat="1" applyFont="1" applyFill="1" applyBorder="1"/>
    <xf numFmtId="0" fontId="14" fillId="0" borderId="24" xfId="0" applyFont="1" applyBorder="1"/>
    <xf numFmtId="167" fontId="14" fillId="0" borderId="23" xfId="1" applyNumberFormat="1" applyFont="1" applyFill="1" applyBorder="1" applyAlignment="1">
      <alignment horizontal="center"/>
    </xf>
    <xf numFmtId="167" fontId="14" fillId="0" borderId="25" xfId="1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right"/>
    </xf>
    <xf numFmtId="0" fontId="6" fillId="0" borderId="0" xfId="0" applyFont="1"/>
    <xf numFmtId="164" fontId="14" fillId="0" borderId="0" xfId="0" applyNumberFormat="1" applyFont="1"/>
    <xf numFmtId="164" fontId="1" fillId="5" borderId="0" xfId="0" applyNumberFormat="1" applyFont="1" applyFill="1"/>
    <xf numFmtId="0" fontId="1" fillId="5" borderId="0" xfId="0" applyFont="1" applyFill="1"/>
    <xf numFmtId="165" fontId="0" fillId="0" borderId="0" xfId="0" applyNumberFormat="1"/>
    <xf numFmtId="9" fontId="0" fillId="0" borderId="0" xfId="1" applyFont="1"/>
    <xf numFmtId="0" fontId="14" fillId="0" borderId="6" xfId="0" applyFont="1" applyBorder="1"/>
    <xf numFmtId="0" fontId="15" fillId="11" borderId="36" xfId="0" applyFont="1" applyFill="1" applyBorder="1" applyAlignment="1">
      <alignment horizontal="left" vertical="center" wrapText="1" indent="1"/>
    </xf>
    <xf numFmtId="0" fontId="15" fillId="11" borderId="37" xfId="0" applyFont="1" applyFill="1" applyBorder="1" applyAlignment="1">
      <alignment horizontal="left" vertical="center" wrapText="1" indent="1"/>
    </xf>
    <xf numFmtId="0" fontId="16" fillId="12" borderId="38" xfId="0" applyFont="1" applyFill="1" applyBorder="1" applyAlignment="1">
      <alignment horizontal="left" vertical="center" wrapText="1" indent="1"/>
    </xf>
    <xf numFmtId="0" fontId="16" fillId="13" borderId="38" xfId="0" applyFont="1" applyFill="1" applyBorder="1" applyAlignment="1">
      <alignment horizontal="left" vertical="center" wrapText="1" indent="1"/>
    </xf>
    <xf numFmtId="0" fontId="0" fillId="0" borderId="40" xfId="0" applyBorder="1"/>
    <xf numFmtId="9" fontId="0" fillId="0" borderId="40" xfId="0" applyNumberFormat="1" applyBorder="1"/>
    <xf numFmtId="0" fontId="16" fillId="12" borderId="39" xfId="0" applyFont="1" applyFill="1" applyBorder="1" applyAlignment="1">
      <alignment horizontal="right" vertical="center" wrapText="1" indent="1"/>
    </xf>
    <xf numFmtId="164" fontId="16" fillId="12" borderId="39" xfId="0" applyNumberFormat="1" applyFont="1" applyFill="1" applyBorder="1" applyAlignment="1">
      <alignment vertical="center" wrapText="1"/>
    </xf>
    <xf numFmtId="9" fontId="16" fillId="12" borderId="39" xfId="0" applyNumberFormat="1" applyFont="1" applyFill="1" applyBorder="1" applyAlignment="1">
      <alignment horizontal="right" vertical="center" wrapText="1" indent="1"/>
    </xf>
    <xf numFmtId="0" fontId="5" fillId="14" borderId="0" xfId="0" applyFont="1" applyFill="1"/>
    <xf numFmtId="0" fontId="1" fillId="14" borderId="0" xfId="0" applyFont="1" applyFill="1"/>
    <xf numFmtId="0" fontId="17" fillId="0" borderId="0" xfId="0" applyFont="1"/>
    <xf numFmtId="0" fontId="18" fillId="0" borderId="0" xfId="0" applyFont="1"/>
    <xf numFmtId="0" fontId="7" fillId="0" borderId="33" xfId="0" applyFont="1" applyBorder="1"/>
    <xf numFmtId="0" fontId="14" fillId="0" borderId="35" xfId="0" applyFont="1" applyBorder="1"/>
    <xf numFmtId="168" fontId="14" fillId="0" borderId="34" xfId="0" applyNumberFormat="1" applyFont="1" applyBorder="1"/>
    <xf numFmtId="167" fontId="7" fillId="0" borderId="0" xfId="0" applyNumberFormat="1" applyFont="1" applyAlignment="1">
      <alignment horizontal="center"/>
    </xf>
    <xf numFmtId="2" fontId="14" fillId="0" borderId="2" xfId="1" applyNumberFormat="1" applyFont="1" applyFill="1" applyBorder="1" applyAlignment="1">
      <alignment horizontal="center"/>
    </xf>
    <xf numFmtId="168" fontId="14" fillId="0" borderId="7" xfId="1" applyNumberFormat="1" applyFont="1" applyFill="1" applyBorder="1"/>
    <xf numFmtId="168" fontId="14" fillId="0" borderId="23" xfId="1" applyNumberFormat="1" applyFont="1" applyFill="1" applyBorder="1"/>
    <xf numFmtId="166" fontId="14" fillId="0" borderId="6" xfId="0" applyNumberFormat="1" applyFont="1" applyBorder="1" applyAlignment="1">
      <alignment horizontal="right"/>
    </xf>
    <xf numFmtId="14" fontId="16" fillId="12" borderId="38" xfId="0" applyNumberFormat="1" applyFont="1" applyFill="1" applyBorder="1" applyAlignment="1">
      <alignment horizontal="left" vertical="center" wrapText="1" indent="1"/>
    </xf>
    <xf numFmtId="0" fontId="15" fillId="11" borderId="37" xfId="0" applyFont="1" applyFill="1" applyBorder="1" applyAlignment="1">
      <alignment horizontal="right" vertical="center" wrapText="1" indent="1"/>
    </xf>
    <xf numFmtId="9" fontId="15" fillId="11" borderId="37" xfId="1" applyFont="1" applyFill="1" applyBorder="1" applyAlignment="1">
      <alignment horizontal="right" vertical="center" wrapText="1" indent="1"/>
    </xf>
    <xf numFmtId="168" fontId="16" fillId="12" borderId="39" xfId="0" applyNumberFormat="1" applyFont="1" applyFill="1" applyBorder="1" applyAlignment="1">
      <alignment horizontal="center" vertical="center" wrapText="1"/>
    </xf>
    <xf numFmtId="168" fontId="16" fillId="13" borderId="39" xfId="0" applyNumberFormat="1" applyFont="1" applyFill="1" applyBorder="1" applyAlignment="1">
      <alignment horizontal="center" vertical="center" wrapText="1"/>
    </xf>
    <xf numFmtId="1" fontId="16" fillId="12" borderId="39" xfId="0" applyNumberFormat="1" applyFont="1" applyFill="1" applyBorder="1" applyAlignment="1">
      <alignment horizontal="center" vertical="center" wrapText="1"/>
    </xf>
    <xf numFmtId="164" fontId="16" fillId="12" borderId="39" xfId="0" applyNumberFormat="1" applyFont="1" applyFill="1" applyBorder="1" applyAlignment="1">
      <alignment horizontal="center" vertical="center" wrapText="1"/>
    </xf>
    <xf numFmtId="1" fontId="16" fillId="13" borderId="39" xfId="0" applyNumberFormat="1" applyFont="1" applyFill="1" applyBorder="1" applyAlignment="1">
      <alignment horizontal="center" vertical="center" wrapText="1"/>
    </xf>
    <xf numFmtId="164" fontId="16" fillId="13" borderId="39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0" fillId="2" borderId="0" xfId="0" applyFill="1"/>
    <xf numFmtId="14" fontId="1" fillId="10" borderId="0" xfId="0" applyNumberFormat="1" applyFont="1" applyFill="1" applyAlignment="1">
      <alignment horizontal="center" vertical="center"/>
    </xf>
    <xf numFmtId="14" fontId="1" fillId="7" borderId="0" xfId="0" applyNumberFormat="1" applyFont="1" applyFill="1"/>
    <xf numFmtId="14" fontId="1" fillId="7" borderId="0" xfId="0" applyNumberFormat="1" applyFont="1" applyFill="1" applyAlignment="1">
      <alignment horizontal="center"/>
    </xf>
    <xf numFmtId="14" fontId="21" fillId="0" borderId="0" xfId="0" applyNumberFormat="1" applyFont="1"/>
    <xf numFmtId="0" fontId="20" fillId="0" borderId="32" xfId="0" applyFont="1" applyBorder="1" applyAlignment="1">
      <alignment horizontal="left" wrapText="1" readingOrder="1"/>
    </xf>
    <xf numFmtId="170" fontId="20" fillId="0" borderId="41" xfId="0" applyNumberFormat="1" applyFont="1" applyBorder="1" applyAlignment="1">
      <alignment horizontal="right" wrapText="1" readingOrder="1"/>
    </xf>
    <xf numFmtId="14" fontId="21" fillId="14" borderId="0" xfId="0" applyNumberFormat="1" applyFont="1" applyFill="1"/>
    <xf numFmtId="0" fontId="21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m/d/yyyy"/>
      <fill>
        <patternFill patternType="solid">
          <fgColor indexed="64"/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numFmt numFmtId="170" formatCode="[$-10409]mm/dd/yyyy"/>
      <alignment horizontal="right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left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333B8C"/>
      <rgbColor rgb="00F5F5F5"/>
      <rgbColor rgb="00FF0000"/>
      <rgbColor rgb="00D3D3D3"/>
      <rgbColor rgb="00DEDEDE"/>
      <rgbColor rgb="00FFFFFF"/>
      <rgbColor rgb="00EDEDE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Indemnity Rate as of x/xx/xxxx</a:t>
            </a:r>
            <a:endParaRPr 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'Indemnity Rate'!$D$4</c:f>
              <c:strCache>
                <c:ptCount val="1"/>
                <c:pt idx="0">
                  <c:v>Indemnity Claims</c:v>
                </c:pt>
              </c:strCache>
            </c:strRef>
          </c:tx>
          <c:spPr>
            <a:solidFill>
              <a:srgbClr val="003F5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'Indemnity Rate'!$D$5:$D$11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E-42BD-9011-44E04810FA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17056"/>
        <c:axId val="5118144"/>
      </c:barChart>
      <c:lineChart>
        <c:grouping val="standard"/>
        <c:varyColors val="0"/>
        <c:ser>
          <c:idx val="1"/>
          <c:order val="1"/>
          <c:tx>
            <c:strRef>
              <c:f>'Indemnity Rate'!$E$4</c:f>
              <c:strCache>
                <c:ptCount val="1"/>
                <c:pt idx="0">
                  <c:v>Indemnity Rate</c:v>
                </c:pt>
              </c:strCache>
            </c:strRef>
          </c:tx>
          <c:spPr>
            <a:ln w="28575" cap="rnd">
              <a:solidFill>
                <a:srgbClr val="F1B43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'Indemnity Rate'!$E$5:$E$11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E-42BD-9011-44E04810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496"/>
        <c:axId val="5121408"/>
      </c:lineChart>
      <c:catAx>
        <c:axId val="511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Effective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144"/>
        <c:crosses val="autoZero"/>
        <c:auto val="0"/>
        <c:lblAlgn val="ctr"/>
        <c:lblOffset val="100"/>
        <c:noMultiLvlLbl val="0"/>
      </c:catAx>
      <c:valAx>
        <c:axId val="511814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056"/>
        <c:crosses val="autoZero"/>
        <c:crossBetween val="between"/>
      </c:valAx>
      <c:valAx>
        <c:axId val="5121408"/>
        <c:scaling>
          <c:orientation val="minMax"/>
          <c:max val="0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496"/>
        <c:crosses val="max"/>
        <c:crossBetween val="between"/>
      </c:valAx>
      <c:catAx>
        <c:axId val="5122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121408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Ultimate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'Ultimate Severity'!$E$5</c:f>
              <c:strCache>
                <c:ptCount val="1"/>
                <c:pt idx="0">
                  <c:v>Ultimate Severity</c:v>
                </c:pt>
              </c:strCache>
            </c:strRef>
          </c:tx>
          <c:spPr>
            <a:solidFill>
              <a:srgbClr val="003F5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1B43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'Ultimate Severity'!$B$6:$B$12</c:f>
              <c:numCache>
                <c:formatCode>m/d/yyyy</c:formatCode>
                <c:ptCount val="7"/>
                <c:pt idx="0">
                  <c:v>42005</c:v>
                </c:pt>
                <c:pt idx="1">
                  <c:v>42370</c:v>
                </c:pt>
                <c:pt idx="2">
                  <c:v>39083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</c:numCache>
            </c:numRef>
          </c:cat>
          <c:val>
            <c:numRef>
              <c:f>'Ultimate Severity'!$E$6:$E$12</c:f>
              <c:numCache>
                <c:formatCode>"$"#,##0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F-4F8F-B7ED-98A2A87170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3360864"/>
        <c:axId val="1973369024"/>
      </c:barChart>
      <c:catAx>
        <c:axId val="197336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Effective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69024"/>
        <c:crosses val="autoZero"/>
        <c:auto val="0"/>
        <c:lblAlgn val="ctr"/>
        <c:lblOffset val="100"/>
        <c:noMultiLvlLbl val="0"/>
      </c:catAx>
      <c:valAx>
        <c:axId val="1973369024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97336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Litigated</a:t>
            </a:r>
            <a:r>
              <a:rPr lang="en-US" baseline="0"/>
              <a:t> Indemnity Claim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'Litigation Analysis'!$B$13</c:f>
              <c:strCache>
                <c:ptCount val="1"/>
                <c:pt idx="0">
                  <c:v>Not litigated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Analysis'!$C$13:$D$13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6-4DA5-B460-E5DC4593B5CE}"/>
            </c:ext>
          </c:extLst>
        </c:ser>
        <c:ser>
          <c:idx val="1"/>
          <c:order val="1"/>
          <c:tx>
            <c:strRef>
              <c:f>'Litigation Analysis'!$B$14</c:f>
              <c:strCache>
                <c:ptCount val="1"/>
                <c:pt idx="0">
                  <c:v>Litigated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6F6-4DA5-B460-E5DC4593B5CE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6F6-4DA5-B460-E5DC4593B5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Analysis'!$C$14:$D$14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F6-4DA5-B460-E5DC4593B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363040"/>
        <c:axId val="1973358144"/>
      </c:barChart>
      <c:catAx>
        <c:axId val="19733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58144"/>
        <c:crosses val="autoZero"/>
        <c:auto val="1"/>
        <c:lblAlgn val="ctr"/>
        <c:lblOffset val="100"/>
        <c:noMultiLvlLbl val="0"/>
      </c:catAx>
      <c:valAx>
        <c:axId val="19733581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73363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otal Scorecards'!B9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145677</xdr:colOff>
      <xdr:row>8</xdr:row>
      <xdr:rowOff>67235</xdr:rowOff>
    </xdr:from>
    <xdr:to>
      <xdr:col>5</xdr:col>
      <xdr:colOff>470647</xdr:colOff>
      <xdr:row>11</xdr:row>
      <xdr:rowOff>168088</xdr:rowOff>
    </xdr:to>
    <xdr:sp macro="[1]!clear_execute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43618" y="1692088"/>
          <a:ext cx="2073088" cy="672353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2400"/>
            <a:t>Clear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495301</xdr:colOff>
      <xdr:row>5</xdr:row>
      <xdr:rowOff>57151</xdr:rowOff>
    </xdr:from>
    <xdr:to>
      <xdr:col>11</xdr:col>
      <xdr:colOff>133350</xdr:colOff>
      <xdr:row>13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6077A9-F83E-A8B6-1D2B-A1817DD4BBFE}"/>
            </a:ext>
          </a:extLst>
        </xdr:cNvPr>
        <xdr:cNvSpPr txBox="1"/>
      </xdr:nvSpPr>
      <xdr:spPr>
        <a:xfrm>
          <a:off x="1104901" y="1009651"/>
          <a:ext cx="5734049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Analysis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What about</a:t>
          </a:r>
          <a:r>
            <a:rPr lang="en-US" sz="1100" baseline="0"/>
            <a:t> top 3-5 areas of interest, show red/ green for closure rates, etc</a:t>
          </a:r>
        </a:p>
        <a:p>
          <a:r>
            <a:rPr lang="en-US" sz="1100" baseline="0"/>
            <a:t>Emerging trends to note</a:t>
          </a:r>
        </a:p>
        <a:p>
          <a:r>
            <a:rPr lang="en-US" sz="1100" baseline="0"/>
            <a:t>PYs at most risk of reserve increases</a:t>
          </a:r>
        </a:p>
      </xdr:txBody>
    </xdr:sp>
    <xdr:clientData/>
  </xdr:twoCellAnchor>
  <xdr:twoCellAnchor>
    <xdr:from>
      <xdr:col>0</xdr:col>
      <xdr:colOff>266700</xdr:colOff>
      <xdr:row>0</xdr:row>
      <xdr:rowOff>57150</xdr:rowOff>
    </xdr:from>
    <xdr:to>
      <xdr:col>3</xdr:col>
      <xdr:colOff>219075</xdr:colOff>
      <xdr:row>4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28FEC0A-A471-B185-DED6-F8ECEB8E8242}"/>
            </a:ext>
          </a:extLst>
        </xdr:cNvPr>
        <xdr:cNvSpPr/>
      </xdr:nvSpPr>
      <xdr:spPr>
        <a:xfrm>
          <a:off x="266700" y="57150"/>
          <a:ext cx="1781175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logo</a:t>
          </a:r>
        </a:p>
      </xdr:txBody>
    </xdr:sp>
    <xdr:clientData/>
  </xdr:twoCellAnchor>
  <xdr:twoCellAnchor>
    <xdr:from>
      <xdr:col>10</xdr:col>
      <xdr:colOff>381000</xdr:colOff>
      <xdr:row>0</xdr:row>
      <xdr:rowOff>38100</xdr:rowOff>
    </xdr:from>
    <xdr:to>
      <xdr:col>13</xdr:col>
      <xdr:colOff>333375</xdr:colOff>
      <xdr:row>4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41EC5F-A9D1-4DE8-8534-0FE851ABD7A0}"/>
            </a:ext>
          </a:extLst>
        </xdr:cNvPr>
        <xdr:cNvSpPr/>
      </xdr:nvSpPr>
      <xdr:spPr>
        <a:xfrm>
          <a:off x="6477000" y="38100"/>
          <a:ext cx="1781175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logo</a:t>
          </a:r>
        </a:p>
      </xdr:txBody>
    </xdr:sp>
    <xdr:clientData/>
  </xdr:twoCellAnchor>
  <xdr:twoCellAnchor>
    <xdr:from>
      <xdr:col>5</xdr:col>
      <xdr:colOff>142875</xdr:colOff>
      <xdr:row>0</xdr:row>
      <xdr:rowOff>38100</xdr:rowOff>
    </xdr:from>
    <xdr:to>
      <xdr:col>8</xdr:col>
      <xdr:colOff>295275</xdr:colOff>
      <xdr:row>4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738242-95B8-4C69-9481-2269192779C0}"/>
            </a:ext>
          </a:extLst>
        </xdr:cNvPr>
        <xdr:cNvSpPr/>
      </xdr:nvSpPr>
      <xdr:spPr>
        <a:xfrm>
          <a:off x="3190875" y="38100"/>
          <a:ext cx="198120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name of analysis</a:t>
          </a:r>
        </a:p>
      </xdr:txBody>
    </xdr:sp>
    <xdr:clientData/>
  </xdr:twoCellAnchor>
  <xdr:twoCellAnchor>
    <xdr:from>
      <xdr:col>1</xdr:col>
      <xdr:colOff>504826</xdr:colOff>
      <xdr:row>13</xdr:row>
      <xdr:rowOff>47625</xdr:rowOff>
    </xdr:from>
    <xdr:to>
      <xdr:col>11</xdr:col>
      <xdr:colOff>123826</xdr:colOff>
      <xdr:row>22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7F6578-B7AD-4865-B77C-244BCFD9358D}"/>
            </a:ext>
          </a:extLst>
        </xdr:cNvPr>
        <xdr:cNvSpPr txBox="1"/>
      </xdr:nvSpPr>
      <xdr:spPr>
        <a:xfrm>
          <a:off x="1114426" y="2524125"/>
          <a:ext cx="571500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Project status/ changes</a:t>
          </a:r>
        </a:p>
      </xdr:txBody>
    </xdr:sp>
    <xdr:clientData/>
  </xdr:twoCellAnchor>
  <xdr:twoCellAnchor>
    <xdr:from>
      <xdr:col>1</xdr:col>
      <xdr:colOff>514350</xdr:colOff>
      <xdr:row>22</xdr:row>
      <xdr:rowOff>133350</xdr:rowOff>
    </xdr:from>
    <xdr:to>
      <xdr:col>11</xdr:col>
      <xdr:colOff>133350</xdr:colOff>
      <xdr:row>31</xdr:row>
      <xdr:rowOff>180976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4E5082-2D3F-4695-8CC3-35CC066DBD28}"/>
            </a:ext>
          </a:extLst>
        </xdr:cNvPr>
        <xdr:cNvSpPr txBox="1"/>
      </xdr:nvSpPr>
      <xdr:spPr>
        <a:xfrm>
          <a:off x="1123950" y="4324350"/>
          <a:ext cx="5715000" cy="1762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Current objective, action items, focus</a:t>
          </a:r>
          <a:r>
            <a:rPr lang="en-US" sz="1100" baseline="0"/>
            <a:t> areas</a:t>
          </a:r>
          <a:endParaRPr lang="en-US" sz="1100"/>
        </a:p>
      </xdr:txBody>
    </xdr:sp>
    <xdr:clientData/>
  </xdr:twoCellAnchor>
  <xdr:twoCellAnchor>
    <xdr:from>
      <xdr:col>1</xdr:col>
      <xdr:colOff>514351</xdr:colOff>
      <xdr:row>32</xdr:row>
      <xdr:rowOff>57150</xdr:rowOff>
    </xdr:from>
    <xdr:to>
      <xdr:col>11</xdr:col>
      <xdr:colOff>123825</xdr:colOff>
      <xdr:row>41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76B3DC-6597-4DC2-867B-DA0BA13F343D}"/>
            </a:ext>
          </a:extLst>
        </xdr:cNvPr>
        <xdr:cNvSpPr txBox="1"/>
      </xdr:nvSpPr>
      <xdr:spPr>
        <a:xfrm>
          <a:off x="1123951" y="6153150"/>
          <a:ext cx="5705474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Scorecard</a:t>
          </a:r>
          <a:r>
            <a:rPr lang="en-US" sz="1100" baseline="0"/>
            <a:t> analysis</a:t>
          </a:r>
          <a:endParaRPr lang="en-US" sz="1100"/>
        </a:p>
      </xdr:txBody>
    </xdr:sp>
    <xdr:clientData/>
  </xdr:twoCellAnchor>
  <xdr:twoCellAnchor>
    <xdr:from>
      <xdr:col>1</xdr:col>
      <xdr:colOff>514350</xdr:colOff>
      <xdr:row>42</xdr:row>
      <xdr:rowOff>9525</xdr:rowOff>
    </xdr:from>
    <xdr:to>
      <xdr:col>11</xdr:col>
      <xdr:colOff>104775</xdr:colOff>
      <xdr:row>51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82A282-C174-43A0-9D8C-3BC882B74DB1}"/>
            </a:ext>
          </a:extLst>
        </xdr:cNvPr>
        <xdr:cNvSpPr txBox="1"/>
      </xdr:nvSpPr>
      <xdr:spPr>
        <a:xfrm>
          <a:off x="1123950" y="8010525"/>
          <a:ext cx="5686425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Open</a:t>
          </a:r>
          <a:r>
            <a:rPr lang="en-US" sz="1100" baseline="0"/>
            <a:t> inventory analysis</a:t>
          </a:r>
          <a:endParaRPr lang="en-US" sz="1100"/>
        </a:p>
      </xdr:txBody>
    </xdr:sp>
    <xdr:clientData/>
  </xdr:twoCellAnchor>
  <xdr:twoCellAnchor>
    <xdr:from>
      <xdr:col>11</xdr:col>
      <xdr:colOff>514351</xdr:colOff>
      <xdr:row>5</xdr:row>
      <xdr:rowOff>47626</xdr:rowOff>
    </xdr:from>
    <xdr:to>
      <xdr:col>20</xdr:col>
      <xdr:colOff>400050</xdr:colOff>
      <xdr:row>12</xdr:row>
      <xdr:rowOff>180976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79E126-4C26-4531-9F30-ADA2C4B1B009}"/>
            </a:ext>
          </a:extLst>
        </xdr:cNvPr>
        <xdr:cNvSpPr txBox="1"/>
      </xdr:nvSpPr>
      <xdr:spPr>
        <a:xfrm>
          <a:off x="7219951" y="1000126"/>
          <a:ext cx="5372099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Perhaps make it an interactive workbook</a:t>
          </a:r>
        </a:p>
        <a:p>
          <a:r>
            <a:rPr lang="en-US" sz="1100"/>
            <a:t>with sheets for largest losses</a:t>
          </a:r>
        </a:p>
        <a:p>
          <a:r>
            <a:rPr lang="en-US" sz="1100"/>
            <a:t>biggest reserve</a:t>
          </a:r>
          <a:r>
            <a:rPr lang="en-US" sz="1100" baseline="0"/>
            <a:t> changes?</a:t>
          </a:r>
        </a:p>
        <a:p>
          <a:r>
            <a:rPr lang="en-US" sz="1100" baseline="0"/>
            <a:t>scorecards could be on one sheet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403412</xdr:colOff>
      <xdr:row>12</xdr:row>
      <xdr:rowOff>67236</xdr:rowOff>
    </xdr:from>
    <xdr:to>
      <xdr:col>13</xdr:col>
      <xdr:colOff>89647</xdr:colOff>
      <xdr:row>19</xdr:row>
      <xdr:rowOff>33618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2190E-0774-CBA3-1BDE-ED554A70CDB6}"/>
            </a:ext>
          </a:extLst>
        </xdr:cNvPr>
        <xdr:cNvSpPr/>
      </xdr:nvSpPr>
      <xdr:spPr>
        <a:xfrm>
          <a:off x="8045824" y="2700618"/>
          <a:ext cx="1557617" cy="13110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2</xdr:row>
      <xdr:rowOff>190500</xdr:rowOff>
    </xdr:from>
    <xdr:to>
      <xdr:col>15</xdr:col>
      <xdr:colOff>400050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</xdr:row>
      <xdr:rowOff>95250</xdr:rowOff>
    </xdr:from>
    <xdr:to>
      <xdr:col>16</xdr:col>
      <xdr:colOff>95250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4</xdr:row>
      <xdr:rowOff>28575</xdr:rowOff>
    </xdr:from>
    <xdr:to>
      <xdr:col>9</xdr:col>
      <xdr:colOff>9525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clear_execute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CF54B-A5D6-42A4-8730-05154E9A478C}" name="Table1" displayName="Table1" ref="H1:U25" totalsRowShown="0" headerRowDxfId="14">
  <autoFilter ref="H1:U25" xr:uid="{519CF54B-A5D6-42A4-8730-05154E9A478C}"/>
  <tableColumns count="14">
    <tableColumn id="1" xr3:uid="{3F7DAB6E-B316-42A1-8FF1-F8F8BF2E3022}" name="Claim Number" dataDxfId="13"/>
    <tableColumn id="2" xr3:uid="{43B147BC-B496-4B2A-AFD4-92F75870C8CA}" name="Date of Loss" dataDxfId="12"/>
    <tableColumn id="3" xr3:uid="{CC55D326-DC36-45F0-9B01-864455A72C77}" name="Policy Inception" dataDxfId="11">
      <calculatedColumnFormula>IFERROR(VLOOKUP(I2,$A$19:$B$29,2,TRUE),"")</calculatedColumnFormula>
    </tableColumn>
    <tableColumn id="4" xr3:uid="{E9F0ABE2-C290-4190-840C-CB6F7E1584F5}" name="Incurred Limited" dataDxfId="10"/>
    <tableColumn id="5" xr3:uid="{91891DC3-E884-4192-8A62-59D620F33D35}" name="Paid Limited" dataDxfId="9"/>
    <tableColumn id="6" xr3:uid="{D5B1A15F-2B30-4F93-B23C-82914CC1CDD7}" name="Outstanding Reserves" dataDxfId="8">
      <calculatedColumnFormula>IF(K2&lt;&gt;"",K2-L2,"")</calculatedColumnFormula>
    </tableColumn>
    <tableColumn id="7" xr3:uid="{E144F9D0-FBD5-45E1-94B6-6C29AEA6FFBD}" name="Indemnity Incurred" dataDxfId="7"/>
    <tableColumn id="8" xr3:uid="{5E13A432-E9E6-4B32-889E-51B093BF1360}" name="Claim Status C=1" dataDxfId="6"/>
    <tableColumn id="9" xr3:uid="{8A6C97A0-1F8A-4326-8BC3-C7DF6E8B19B5}" name="Litigation Date" dataDxfId="5"/>
    <tableColumn id="10" xr3:uid="{8DA94757-16FF-4534-A2EB-EF6AED134013}" name="Litigated =1" dataDxfId="4">
      <calculatedColumnFormula>IF(AND(P2&lt;&gt;"",P2&lt;=T2),P2=I2,"")</calculatedColumnFormula>
    </tableColumn>
    <tableColumn id="11" xr3:uid="{EFD167E6-5A18-48D0-A2FF-0D0B8742552E}" name="Days to Litigation" dataDxfId="3"/>
    <tableColumn id="12" xr3:uid="{C41A31A6-8FE7-4E45-857C-BFFBA433D93B}" name="Filter" dataDxfId="2"/>
    <tableColumn id="13" xr3:uid="{0E36D2E2-063E-4C2C-8E03-F1DDB765C1E9}" name="Valuation" dataDxfId="1"/>
    <tableColumn id="14" xr3:uid="{65509FA8-536E-4024-9F5A-1DE41E8D0713}" name="Month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C20"/>
  <sheetViews>
    <sheetView workbookViewId="0">
      <selection activeCell="G21" sqref="G21"/>
    </sheetView>
  </sheetViews>
  <sheetFormatPr defaultRowHeight="15" x14ac:dyDescent="0.25"/>
  <cols>
    <col min="1" max="1" width="8.42578125" style="69" customWidth="1"/>
    <col min="2" max="2" width="12.28515625" style="69" customWidth="1"/>
    <col min="3" max="3" width="9.7109375" bestFit="1" customWidth="1"/>
  </cols>
  <sheetData>
    <row r="1" spans="1:3" s="117" customFormat="1" x14ac:dyDescent="0.25">
      <c r="A1" s="116"/>
      <c r="B1" s="116"/>
    </row>
    <row r="4" spans="1:3" x14ac:dyDescent="0.25">
      <c r="C4" s="1"/>
    </row>
    <row r="14" spans="1:3" s="117" customFormat="1" x14ac:dyDescent="0.25">
      <c r="A14" s="116"/>
      <c r="B14" s="116"/>
    </row>
    <row r="16" spans="1:3" x14ac:dyDescent="0.25">
      <c r="A16" s="118"/>
    </row>
    <row r="18" spans="2:2" x14ac:dyDescent="0.25">
      <c r="B18" s="70"/>
    </row>
    <row r="19" spans="2:2" x14ac:dyDescent="0.25">
      <c r="B19" s="70"/>
    </row>
    <row r="20" spans="2:2" x14ac:dyDescent="0.25">
      <c r="B20" s="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U37"/>
  <sheetViews>
    <sheetView zoomScale="85" zoomScaleNormal="85" workbookViewId="0">
      <selection activeCell="G15" sqref="G15"/>
    </sheetView>
  </sheetViews>
  <sheetFormatPr defaultRowHeight="15" x14ac:dyDescent="0.25"/>
  <cols>
    <col min="1" max="1" width="27" bestFit="1" customWidth="1"/>
    <col min="2" max="2" width="16.42578125" customWidth="1"/>
    <col min="3" max="3" width="12" customWidth="1"/>
    <col min="4" max="4" width="14.7109375" customWidth="1"/>
    <col min="5" max="5" width="11.42578125" customWidth="1"/>
    <col min="6" max="6" width="12.7109375" style="142" bestFit="1" customWidth="1"/>
    <col min="7" max="7" width="11.7109375" style="142" customWidth="1"/>
    <col min="8" max="8" width="19.42578125" style="142" bestFit="1" customWidth="1"/>
    <col min="9" max="9" width="14.42578125" style="142" customWidth="1"/>
    <col min="10" max="10" width="17.7109375" style="142" customWidth="1"/>
    <col min="11" max="11" width="18.140625" style="142" customWidth="1"/>
    <col min="12" max="12" width="14.85546875" style="142" customWidth="1"/>
    <col min="13" max="13" width="23.140625" style="142" customWidth="1"/>
    <col min="14" max="14" width="20.5703125" style="142" customWidth="1"/>
    <col min="15" max="15" width="18.140625" style="142" customWidth="1"/>
    <col min="16" max="16" width="16.85546875" style="142" customWidth="1"/>
    <col min="17" max="17" width="13.7109375" style="142" customWidth="1"/>
    <col min="18" max="18" width="19.140625" style="142" customWidth="1"/>
    <col min="19" max="19" width="11.42578125" style="142" customWidth="1"/>
    <col min="20" max="20" width="12.28515625" style="142" customWidth="1"/>
    <col min="21" max="21" width="10.140625" style="142" customWidth="1"/>
  </cols>
  <sheetData>
    <row r="1" spans="1:21" ht="23.25" x14ac:dyDescent="0.35">
      <c r="A1" s="50" t="s">
        <v>1</v>
      </c>
      <c r="B1" s="51"/>
      <c r="D1" s="4"/>
      <c r="E1" s="4"/>
      <c r="F1" s="4"/>
      <c r="G1"/>
      <c r="H1" s="38" t="s">
        <v>2</v>
      </c>
      <c r="I1" s="38" t="s">
        <v>3</v>
      </c>
      <c r="J1" s="103" t="s">
        <v>4</v>
      </c>
      <c r="K1" s="59" t="s">
        <v>5</v>
      </c>
      <c r="L1" s="59" t="s">
        <v>6</v>
      </c>
      <c r="M1" s="102" t="s">
        <v>7</v>
      </c>
      <c r="N1" s="37" t="s">
        <v>8</v>
      </c>
      <c r="O1" s="37" t="s">
        <v>9</v>
      </c>
      <c r="P1" s="37" t="s">
        <v>106</v>
      </c>
      <c r="Q1" s="103" t="s">
        <v>10</v>
      </c>
      <c r="R1" s="103" t="s">
        <v>107</v>
      </c>
      <c r="S1" s="38" t="s">
        <v>12</v>
      </c>
      <c r="T1" s="60" t="s">
        <v>11</v>
      </c>
      <c r="U1" s="103" t="s">
        <v>13</v>
      </c>
    </row>
    <row r="2" spans="1:21" x14ac:dyDescent="0.25">
      <c r="D2" s="4"/>
      <c r="E2" s="4"/>
      <c r="F2" s="4"/>
      <c r="G2"/>
      <c r="H2" s="143"/>
      <c r="I2" s="144">
        <v>44197</v>
      </c>
      <c r="J2" s="145">
        <f>IFERROR(VLOOKUP(I2,$A$19:$B$29,2,TRUE),"")</f>
        <v>44197</v>
      </c>
      <c r="K2" s="146"/>
      <c r="L2" s="146"/>
      <c r="M2" s="145" t="str">
        <f>IF(K2&lt;&gt;"",K2-L2,"")</f>
        <v/>
      </c>
      <c r="N2" s="146"/>
      <c r="O2" s="146"/>
      <c r="P2" s="146"/>
      <c r="Q2" s="145" t="str">
        <f t="shared" ref="Q2:Q25" si="0">IF(AND(P2&lt;&gt;"",P2&lt;=T2),P2=I2,"")</f>
        <v/>
      </c>
      <c r="R2" s="146"/>
      <c r="S2" s="146"/>
      <c r="U2" s="117"/>
    </row>
    <row r="3" spans="1:21" x14ac:dyDescent="0.25">
      <c r="D3" s="4"/>
      <c r="E3" s="4"/>
      <c r="F3" s="4"/>
      <c r="G3"/>
      <c r="H3" s="143"/>
      <c r="I3" s="144">
        <v>43586</v>
      </c>
      <c r="J3" s="145">
        <f t="shared" ref="J3:J25" si="1">IFERROR(VLOOKUP(I3,$A$19:$B$29,2,TRUE),"")</f>
        <v>43466</v>
      </c>
      <c r="K3" s="146"/>
      <c r="L3" s="146"/>
      <c r="M3" s="145" t="str">
        <f t="shared" ref="M3:M25" si="2">IF(K3&lt;&gt;"",K3-L3,"")</f>
        <v/>
      </c>
      <c r="N3" s="146"/>
      <c r="O3" s="146"/>
      <c r="P3" s="146"/>
      <c r="Q3" s="145" t="str">
        <f t="shared" si="0"/>
        <v/>
      </c>
      <c r="R3" s="146"/>
      <c r="S3" s="146"/>
      <c r="U3" s="117"/>
    </row>
    <row r="4" spans="1:21" s="9" customFormat="1" x14ac:dyDescent="0.25">
      <c r="A4" s="147" t="s">
        <v>15</v>
      </c>
      <c r="B4" s="147"/>
      <c r="D4" s="4"/>
      <c r="E4" s="4"/>
      <c r="F4" s="4"/>
      <c r="H4" s="143"/>
      <c r="I4" s="144">
        <v>44105</v>
      </c>
      <c r="J4" s="145">
        <f t="shared" si="1"/>
        <v>43831</v>
      </c>
      <c r="K4" s="146"/>
      <c r="L4" s="146"/>
      <c r="M4" s="145" t="str">
        <f t="shared" si="2"/>
        <v/>
      </c>
      <c r="N4" s="146"/>
      <c r="O4" s="146"/>
      <c r="P4" s="146"/>
      <c r="Q4" s="145" t="str">
        <f t="shared" si="0"/>
        <v/>
      </c>
      <c r="R4" s="146"/>
      <c r="S4" s="146"/>
      <c r="T4" s="142"/>
      <c r="U4" s="117"/>
    </row>
    <row r="5" spans="1:21" x14ac:dyDescent="0.25">
      <c r="A5" s="139">
        <f t="array" ref="A5">MAX(Valuation)</f>
        <v>0</v>
      </c>
      <c r="D5" s="4"/>
      <c r="E5" s="4"/>
      <c r="F5" s="4"/>
      <c r="G5" s="3"/>
      <c r="H5" s="143"/>
      <c r="I5" s="144"/>
      <c r="J5" s="145" t="str">
        <f t="shared" si="1"/>
        <v/>
      </c>
      <c r="K5" s="146"/>
      <c r="L5" s="146"/>
      <c r="M5" s="145" t="str">
        <f t="shared" si="2"/>
        <v/>
      </c>
      <c r="N5" s="146"/>
      <c r="O5" s="146"/>
      <c r="P5" s="146"/>
      <c r="Q5" s="145" t="str">
        <f t="shared" si="0"/>
        <v/>
      </c>
      <c r="R5" s="146"/>
      <c r="S5" s="146"/>
      <c r="U5" s="117"/>
    </row>
    <row r="6" spans="1:21" x14ac:dyDescent="0.25">
      <c r="C6" s="52"/>
      <c r="D6" s="4"/>
      <c r="E6" s="4"/>
      <c r="F6" s="4"/>
      <c r="G6" s="3"/>
      <c r="H6" s="143"/>
      <c r="I6" s="144"/>
      <c r="J6" s="145" t="str">
        <f t="shared" si="1"/>
        <v/>
      </c>
      <c r="K6" s="146"/>
      <c r="L6" s="146"/>
      <c r="M6" s="145" t="str">
        <f t="shared" si="2"/>
        <v/>
      </c>
      <c r="N6" s="146"/>
      <c r="O6" s="146"/>
      <c r="P6" s="146"/>
      <c r="Q6" s="145" t="str">
        <f t="shared" si="0"/>
        <v/>
      </c>
      <c r="R6" s="146"/>
      <c r="S6" s="146"/>
      <c r="U6" s="117"/>
    </row>
    <row r="7" spans="1:21" x14ac:dyDescent="0.25">
      <c r="A7" s="147" t="s">
        <v>20</v>
      </c>
      <c r="B7" s="147"/>
      <c r="D7" s="4"/>
      <c r="E7" s="4"/>
      <c r="F7" s="4"/>
      <c r="G7" s="3"/>
      <c r="H7" s="143"/>
      <c r="I7" s="144"/>
      <c r="J7" s="145" t="str">
        <f t="shared" si="1"/>
        <v/>
      </c>
      <c r="K7" s="146"/>
      <c r="L7" s="146"/>
      <c r="M7" s="145" t="str">
        <f t="shared" si="2"/>
        <v/>
      </c>
      <c r="N7" s="146"/>
      <c r="O7" s="146"/>
      <c r="P7" s="146"/>
      <c r="Q7" s="145" t="str">
        <f t="shared" si="0"/>
        <v/>
      </c>
      <c r="R7" s="146"/>
      <c r="S7" s="146"/>
      <c r="U7" s="117"/>
    </row>
    <row r="8" spans="1:21" x14ac:dyDescent="0.25">
      <c r="A8" s="2" t="s">
        <v>0</v>
      </c>
      <c r="B8" s="58" t="s">
        <v>117</v>
      </c>
      <c r="F8"/>
      <c r="G8" s="3"/>
      <c r="H8" s="143"/>
      <c r="I8" s="144"/>
      <c r="J8" s="145" t="str">
        <f t="shared" si="1"/>
        <v/>
      </c>
      <c r="K8" s="146"/>
      <c r="L8" s="146"/>
      <c r="M8" s="145" t="str">
        <f t="shared" si="2"/>
        <v/>
      </c>
      <c r="N8" s="146"/>
      <c r="O8" s="146"/>
      <c r="P8" s="146"/>
      <c r="Q8" s="145" t="str">
        <f t="shared" si="0"/>
        <v/>
      </c>
      <c r="R8" s="146"/>
      <c r="S8" s="146"/>
      <c r="U8" s="117"/>
    </row>
    <row r="9" spans="1:21" x14ac:dyDescent="0.25">
      <c r="A9" t="s">
        <v>21</v>
      </c>
      <c r="B9" s="58" t="s">
        <v>14</v>
      </c>
      <c r="D9" s="1"/>
      <c r="F9" s="3"/>
      <c r="G9" s="3"/>
      <c r="H9" s="143"/>
      <c r="I9" s="144"/>
      <c r="J9" s="145" t="str">
        <f t="shared" si="1"/>
        <v/>
      </c>
      <c r="K9" s="146"/>
      <c r="L9" s="146"/>
      <c r="M9" s="145" t="str">
        <f t="shared" si="2"/>
        <v/>
      </c>
      <c r="N9" s="146"/>
      <c r="O9" s="146"/>
      <c r="P9" s="146"/>
      <c r="Q9" s="145" t="str">
        <f t="shared" si="0"/>
        <v/>
      </c>
      <c r="R9" s="146"/>
      <c r="S9" s="146"/>
      <c r="U9" s="117"/>
    </row>
    <row r="10" spans="1:21" x14ac:dyDescent="0.25">
      <c r="A10" t="s">
        <v>22</v>
      </c>
      <c r="B10" s="58"/>
      <c r="F10" s="3"/>
      <c r="G10" s="3"/>
      <c r="H10" s="143"/>
      <c r="I10" s="144"/>
      <c r="J10" s="145" t="str">
        <f t="shared" si="1"/>
        <v/>
      </c>
      <c r="K10" s="146"/>
      <c r="L10" s="146"/>
      <c r="M10" s="145" t="str">
        <f t="shared" si="2"/>
        <v/>
      </c>
      <c r="N10" s="146"/>
      <c r="O10" s="146"/>
      <c r="P10" s="146"/>
      <c r="Q10" s="145" t="str">
        <f t="shared" si="0"/>
        <v/>
      </c>
      <c r="R10" s="146"/>
      <c r="S10" s="146"/>
      <c r="U10" s="117"/>
    </row>
    <row r="11" spans="1:21" x14ac:dyDescent="0.25">
      <c r="A11" t="s">
        <v>23</v>
      </c>
      <c r="B11" s="58"/>
      <c r="F11" s="3"/>
      <c r="G11" s="3"/>
      <c r="H11" s="143"/>
      <c r="I11" s="144"/>
      <c r="J11" s="145" t="str">
        <f t="shared" si="1"/>
        <v/>
      </c>
      <c r="K11" s="146"/>
      <c r="L11" s="146"/>
      <c r="M11" s="145" t="str">
        <f t="shared" si="2"/>
        <v/>
      </c>
      <c r="N11" s="146"/>
      <c r="O11" s="146"/>
      <c r="P11" s="146"/>
      <c r="Q11" s="145" t="str">
        <f t="shared" si="0"/>
        <v/>
      </c>
      <c r="R11" s="146"/>
      <c r="S11" s="146"/>
      <c r="U11" s="117"/>
    </row>
    <row r="12" spans="1:21" x14ac:dyDescent="0.25">
      <c r="F12" s="3"/>
      <c r="G12" s="3"/>
      <c r="H12" s="143"/>
      <c r="I12" s="144"/>
      <c r="J12" s="145" t="str">
        <f t="shared" si="1"/>
        <v/>
      </c>
      <c r="K12" s="146"/>
      <c r="L12" s="146"/>
      <c r="M12" s="145" t="str">
        <f t="shared" si="2"/>
        <v/>
      </c>
      <c r="N12" s="146"/>
      <c r="O12" s="146"/>
      <c r="P12" s="146"/>
      <c r="Q12" s="145" t="str">
        <f t="shared" si="0"/>
        <v/>
      </c>
      <c r="R12" s="146"/>
      <c r="S12" s="146"/>
      <c r="U12" s="117"/>
    </row>
    <row r="13" spans="1:21" x14ac:dyDescent="0.25">
      <c r="D13" s="57"/>
      <c r="F13" s="3"/>
      <c r="G13" s="4"/>
      <c r="H13" s="143"/>
      <c r="I13" s="144"/>
      <c r="J13" s="145" t="str">
        <f t="shared" si="1"/>
        <v/>
      </c>
      <c r="K13" s="146"/>
      <c r="L13" s="146"/>
      <c r="M13" s="145" t="str">
        <f t="shared" si="2"/>
        <v/>
      </c>
      <c r="N13" s="146"/>
      <c r="O13" s="146"/>
      <c r="P13" s="146"/>
      <c r="Q13" s="145" t="str">
        <f t="shared" si="0"/>
        <v/>
      </c>
      <c r="R13" s="146"/>
      <c r="S13" s="146"/>
      <c r="U13" s="117"/>
    </row>
    <row r="14" spans="1:21" x14ac:dyDescent="0.25">
      <c r="F14" s="3"/>
      <c r="G14" s="4"/>
      <c r="H14" s="143"/>
      <c r="I14" s="144"/>
      <c r="J14" s="145" t="str">
        <f t="shared" si="1"/>
        <v/>
      </c>
      <c r="K14" s="146"/>
      <c r="L14" s="146"/>
      <c r="M14" s="145" t="str">
        <f t="shared" si="2"/>
        <v/>
      </c>
      <c r="N14" s="146"/>
      <c r="O14" s="146"/>
      <c r="P14" s="146"/>
      <c r="Q14" s="145" t="str">
        <f t="shared" si="0"/>
        <v/>
      </c>
      <c r="R14" s="146"/>
      <c r="S14" s="146"/>
      <c r="U14" s="117"/>
    </row>
    <row r="15" spans="1:21" x14ac:dyDescent="0.25">
      <c r="F15" s="3"/>
      <c r="G15" s="4"/>
      <c r="H15" s="143"/>
      <c r="I15" s="144"/>
      <c r="J15" s="145" t="str">
        <f t="shared" si="1"/>
        <v/>
      </c>
      <c r="K15" s="146"/>
      <c r="L15" s="146"/>
      <c r="M15" s="145" t="str">
        <f t="shared" si="2"/>
        <v/>
      </c>
      <c r="N15" s="146"/>
      <c r="O15" s="146"/>
      <c r="P15" s="146"/>
      <c r="Q15" s="145" t="str">
        <f t="shared" si="0"/>
        <v/>
      </c>
      <c r="R15" s="146"/>
      <c r="S15" s="146"/>
      <c r="U15" s="117"/>
    </row>
    <row r="16" spans="1:21" x14ac:dyDescent="0.25">
      <c r="F16"/>
      <c r="G16" s="4"/>
      <c r="H16" s="143"/>
      <c r="I16" s="144"/>
      <c r="J16" s="145" t="str">
        <f t="shared" si="1"/>
        <v/>
      </c>
      <c r="K16" s="146"/>
      <c r="L16" s="146"/>
      <c r="M16" s="145" t="str">
        <f t="shared" si="2"/>
        <v/>
      </c>
      <c r="N16" s="146"/>
      <c r="O16" s="146"/>
      <c r="P16" s="146"/>
      <c r="Q16" s="145" t="str">
        <f t="shared" si="0"/>
        <v/>
      </c>
      <c r="R16" s="146"/>
      <c r="S16" s="146"/>
      <c r="U16" s="117"/>
    </row>
    <row r="17" spans="1:21" x14ac:dyDescent="0.25">
      <c r="A17" s="57" t="s">
        <v>86</v>
      </c>
      <c r="B17" s="57"/>
      <c r="D17" s="57" t="s">
        <v>24</v>
      </c>
      <c r="E17" s="3"/>
      <c r="F17" s="3"/>
      <c r="G17" s="4"/>
      <c r="H17" s="143"/>
      <c r="I17" s="144"/>
      <c r="J17" s="145" t="str">
        <f t="shared" si="1"/>
        <v/>
      </c>
      <c r="K17" s="146"/>
      <c r="L17" s="146"/>
      <c r="M17" s="145" t="str">
        <f t="shared" si="2"/>
        <v/>
      </c>
      <c r="N17" s="146"/>
      <c r="O17" s="146"/>
      <c r="P17" s="146"/>
      <c r="Q17" s="145" t="str">
        <f t="shared" si="0"/>
        <v/>
      </c>
      <c r="R17" s="146"/>
      <c r="S17" s="146"/>
      <c r="U17" s="117"/>
    </row>
    <row r="18" spans="1:21" x14ac:dyDescent="0.25">
      <c r="A18" s="147" t="s">
        <v>16</v>
      </c>
      <c r="B18" s="147" t="s">
        <v>4</v>
      </c>
      <c r="D18" s="8" t="s">
        <v>25</v>
      </c>
      <c r="E18" s="8" t="s">
        <v>26</v>
      </c>
      <c r="F18" s="3"/>
      <c r="G18" s="4"/>
      <c r="H18" s="143"/>
      <c r="I18" s="144"/>
      <c r="J18" s="145" t="str">
        <f t="shared" si="1"/>
        <v/>
      </c>
      <c r="K18" s="146"/>
      <c r="L18" s="146"/>
      <c r="M18" s="145" t="str">
        <f t="shared" si="2"/>
        <v/>
      </c>
      <c r="N18" s="146"/>
      <c r="O18" s="146"/>
      <c r="P18" s="146"/>
      <c r="Q18" s="145" t="str">
        <f t="shared" si="0"/>
        <v/>
      </c>
      <c r="R18" s="146"/>
      <c r="S18" s="146"/>
      <c r="U18" s="117"/>
    </row>
    <row r="19" spans="1:21" x14ac:dyDescent="0.25">
      <c r="A19" s="68">
        <v>1</v>
      </c>
      <c r="B19" s="68" t="s">
        <v>113</v>
      </c>
      <c r="D19" s="67">
        <v>0</v>
      </c>
      <c r="E19" t="s">
        <v>27</v>
      </c>
      <c r="F19" s="3"/>
      <c r="G19" s="4"/>
      <c r="H19" s="143"/>
      <c r="I19" s="144"/>
      <c r="J19" s="145" t="str">
        <f t="shared" si="1"/>
        <v/>
      </c>
      <c r="K19" s="146"/>
      <c r="L19" s="146"/>
      <c r="M19" s="145" t="str">
        <f t="shared" si="2"/>
        <v/>
      </c>
      <c r="N19" s="146"/>
      <c r="O19" s="146"/>
      <c r="P19" s="146"/>
      <c r="Q19" s="145" t="str">
        <f t="shared" si="0"/>
        <v/>
      </c>
      <c r="R19" s="146"/>
      <c r="S19" s="146"/>
      <c r="U19" s="117"/>
    </row>
    <row r="20" spans="1:21" x14ac:dyDescent="0.25">
      <c r="A20" s="140">
        <v>42005</v>
      </c>
      <c r="B20" s="68">
        <f t="shared" ref="B20:B26" si="3">A20</f>
        <v>42005</v>
      </c>
      <c r="D20" s="67">
        <v>1</v>
      </c>
      <c r="E20" t="s">
        <v>28</v>
      </c>
      <c r="F20" s="3"/>
      <c r="G20" s="4"/>
      <c r="H20" s="143"/>
      <c r="I20" s="144"/>
      <c r="J20" s="145" t="str">
        <f t="shared" si="1"/>
        <v/>
      </c>
      <c r="K20" s="146"/>
      <c r="L20" s="146"/>
      <c r="M20" s="145" t="str">
        <f t="shared" si="2"/>
        <v/>
      </c>
      <c r="N20" s="146"/>
      <c r="O20" s="146"/>
      <c r="P20" s="146"/>
      <c r="Q20" s="145" t="str">
        <f t="shared" si="0"/>
        <v/>
      </c>
      <c r="R20" s="146"/>
      <c r="S20" s="146"/>
      <c r="U20" s="117"/>
    </row>
    <row r="21" spans="1:21" x14ac:dyDescent="0.25">
      <c r="A21" s="140">
        <v>42370</v>
      </c>
      <c r="B21" s="68">
        <f t="shared" si="3"/>
        <v>42370</v>
      </c>
      <c r="D21" s="67">
        <v>100</v>
      </c>
      <c r="E21" t="s">
        <v>29</v>
      </c>
      <c r="F21" s="3"/>
      <c r="G21" s="4"/>
      <c r="H21" s="143"/>
      <c r="I21" s="144"/>
      <c r="J21" s="145" t="str">
        <f t="shared" si="1"/>
        <v/>
      </c>
      <c r="K21" s="146"/>
      <c r="L21" s="146"/>
      <c r="M21" s="145" t="str">
        <f t="shared" si="2"/>
        <v/>
      </c>
      <c r="N21" s="146"/>
      <c r="O21" s="146"/>
      <c r="P21" s="146"/>
      <c r="Q21" s="145" t="str">
        <f t="shared" si="0"/>
        <v/>
      </c>
      <c r="R21" s="146"/>
      <c r="S21" s="146"/>
      <c r="U21" s="117"/>
    </row>
    <row r="22" spans="1:21" x14ac:dyDescent="0.25">
      <c r="A22" s="140">
        <v>39083</v>
      </c>
      <c r="B22" s="68">
        <f t="shared" si="3"/>
        <v>39083</v>
      </c>
      <c r="D22" s="67">
        <v>10000</v>
      </c>
      <c r="E22" t="s">
        <v>30</v>
      </c>
      <c r="F22" s="3"/>
      <c r="G22"/>
      <c r="H22" s="143"/>
      <c r="I22" s="144"/>
      <c r="J22" s="145" t="str">
        <f t="shared" si="1"/>
        <v/>
      </c>
      <c r="K22" s="146"/>
      <c r="L22" s="146"/>
      <c r="M22" s="145" t="str">
        <f t="shared" si="2"/>
        <v/>
      </c>
      <c r="N22" s="146"/>
      <c r="O22" s="146"/>
      <c r="P22" s="146"/>
      <c r="Q22" s="145" t="str">
        <f t="shared" si="0"/>
        <v/>
      </c>
      <c r="R22" s="146"/>
      <c r="S22" s="146"/>
      <c r="U22" s="117"/>
    </row>
    <row r="23" spans="1:21" x14ac:dyDescent="0.25">
      <c r="A23" s="140">
        <v>43101</v>
      </c>
      <c r="B23" s="68">
        <f t="shared" si="3"/>
        <v>43101</v>
      </c>
      <c r="D23" s="67">
        <v>25000</v>
      </c>
      <c r="E23" t="s">
        <v>31</v>
      </c>
      <c r="F23" s="3"/>
      <c r="G23"/>
      <c r="H23" s="143"/>
      <c r="I23" s="144"/>
      <c r="J23" s="145" t="str">
        <f t="shared" si="1"/>
        <v/>
      </c>
      <c r="K23" s="146"/>
      <c r="L23" s="146"/>
      <c r="M23" s="145" t="str">
        <f t="shared" si="2"/>
        <v/>
      </c>
      <c r="N23" s="146"/>
      <c r="O23" s="146"/>
      <c r="P23" s="146"/>
      <c r="Q23" s="145" t="str">
        <f t="shared" si="0"/>
        <v/>
      </c>
      <c r="R23" s="146"/>
      <c r="S23" s="146"/>
      <c r="U23" s="117"/>
    </row>
    <row r="24" spans="1:21" x14ac:dyDescent="0.25">
      <c r="A24" s="140">
        <v>43466</v>
      </c>
      <c r="B24" s="68">
        <f t="shared" si="3"/>
        <v>43466</v>
      </c>
      <c r="D24" s="67">
        <v>50000</v>
      </c>
      <c r="E24" t="s">
        <v>32</v>
      </c>
      <c r="F24" s="3"/>
      <c r="G24"/>
      <c r="H24" s="143"/>
      <c r="I24" s="144"/>
      <c r="J24" s="145" t="str">
        <f t="shared" si="1"/>
        <v/>
      </c>
      <c r="K24" s="146"/>
      <c r="L24" s="146"/>
      <c r="M24" s="145" t="str">
        <f t="shared" si="2"/>
        <v/>
      </c>
      <c r="N24" s="146"/>
      <c r="O24" s="146"/>
      <c r="P24" s="146"/>
      <c r="Q24" s="145" t="str">
        <f t="shared" si="0"/>
        <v/>
      </c>
      <c r="R24" s="146"/>
      <c r="S24" s="146"/>
      <c r="U24" s="117"/>
    </row>
    <row r="25" spans="1:21" x14ac:dyDescent="0.25">
      <c r="A25" s="140">
        <v>43831</v>
      </c>
      <c r="B25" s="68">
        <f t="shared" si="3"/>
        <v>43831</v>
      </c>
      <c r="D25" s="67">
        <v>75000</v>
      </c>
      <c r="E25" t="s">
        <v>33</v>
      </c>
      <c r="F25" s="3"/>
      <c r="G25"/>
      <c r="H25" s="143"/>
      <c r="I25" s="144"/>
      <c r="J25" s="145" t="str">
        <f t="shared" si="1"/>
        <v/>
      </c>
      <c r="K25" s="146"/>
      <c r="L25" s="146"/>
      <c r="M25" s="145" t="str">
        <f t="shared" si="2"/>
        <v/>
      </c>
      <c r="N25" s="146"/>
      <c r="O25" s="146"/>
      <c r="P25" s="146"/>
      <c r="Q25" s="145" t="str">
        <f t="shared" si="0"/>
        <v/>
      </c>
      <c r="R25" s="146"/>
      <c r="S25" s="146"/>
      <c r="U25" s="117"/>
    </row>
    <row r="26" spans="1:21" x14ac:dyDescent="0.25">
      <c r="A26" s="140">
        <v>44197</v>
      </c>
      <c r="B26" s="68">
        <f t="shared" si="3"/>
        <v>44197</v>
      </c>
      <c r="D26" s="67">
        <v>100000</v>
      </c>
      <c r="E26" t="s">
        <v>34</v>
      </c>
    </row>
    <row r="27" spans="1:21" x14ac:dyDescent="0.25">
      <c r="D27" s="67">
        <v>200000</v>
      </c>
      <c r="E27" t="s">
        <v>35</v>
      </c>
    </row>
    <row r="28" spans="1:21" x14ac:dyDescent="0.25">
      <c r="E28" s="3"/>
    </row>
    <row r="29" spans="1:21" x14ac:dyDescent="0.25">
      <c r="E29" s="3"/>
    </row>
    <row r="30" spans="1:21" x14ac:dyDescent="0.25">
      <c r="E30" s="3"/>
    </row>
    <row r="31" spans="1:21" x14ac:dyDescent="0.25">
      <c r="A31" s="147" t="s">
        <v>114</v>
      </c>
      <c r="B31" s="147" t="s">
        <v>4</v>
      </c>
      <c r="D31" s="8" t="s">
        <v>13</v>
      </c>
      <c r="E31" s="3"/>
    </row>
    <row r="32" spans="1:21" x14ac:dyDescent="0.25">
      <c r="A32" s="141" t="s">
        <v>115</v>
      </c>
      <c r="D32" s="67">
        <f>MIN(U:U)</f>
        <v>0</v>
      </c>
      <c r="E32" s="3"/>
    </row>
    <row r="33" spans="4:5" x14ac:dyDescent="0.25">
      <c r="D33" s="67">
        <f>months1+12</f>
        <v>12</v>
      </c>
      <c r="E33" s="3"/>
    </row>
    <row r="34" spans="4:5" x14ac:dyDescent="0.25">
      <c r="D34" s="67">
        <f>months2+12</f>
        <v>24</v>
      </c>
      <c r="E34" s="3"/>
    </row>
    <row r="35" spans="4:5" x14ac:dyDescent="0.25">
      <c r="D35" s="67">
        <f>months3+12</f>
        <v>36</v>
      </c>
      <c r="E35" s="3"/>
    </row>
    <row r="36" spans="4:5" x14ac:dyDescent="0.25">
      <c r="D36" s="67">
        <f>D35+12</f>
        <v>48</v>
      </c>
      <c r="E36" s="3"/>
    </row>
    <row r="37" spans="4:5" x14ac:dyDescent="0.25">
      <c r="D37" s="67">
        <f>D36+12</f>
        <v>60</v>
      </c>
    </row>
  </sheetData>
  <mergeCells count="4">
    <mergeCell ref="A7:B7"/>
    <mergeCell ref="A18:B18"/>
    <mergeCell ref="A4:B4"/>
    <mergeCell ref="A31:B3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3E18-2A69-4BA3-931D-1ED164F689E5}">
  <dimension ref="A1"/>
  <sheetViews>
    <sheetView tabSelected="1" workbookViewId="0">
      <selection activeCell="L16" sqref="L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C70D-5C94-4FD6-AF9B-B18300EC2D68}">
  <dimension ref="A1"/>
  <sheetViews>
    <sheetView workbookViewId="0">
      <selection activeCell="G36" sqref="G36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AE26-9B79-43AF-9716-D7C4CA96D6BB}">
  <dimension ref="A1"/>
  <sheetViews>
    <sheetView workbookViewId="0">
      <selection activeCell="R35" sqref="R35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CCBF-035A-42D7-9A79-7FD8DA7C648C}">
  <dimension ref="A1"/>
  <sheetViews>
    <sheetView workbookViewId="0">
      <selection activeCell="I22" sqref="I2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Q209"/>
  <sheetViews>
    <sheetView showGridLines="0" zoomScale="85" zoomScaleNormal="85" workbookViewId="0">
      <selection activeCell="M43" sqref="M43"/>
    </sheetView>
  </sheetViews>
  <sheetFormatPr defaultRowHeight="15" x14ac:dyDescent="0.25"/>
  <cols>
    <col min="1" max="1" width="14.5703125" style="2" customWidth="1"/>
    <col min="2" max="2" width="4.140625" style="71" customWidth="1"/>
    <col min="3" max="3" width="24.28515625" style="2" customWidth="1"/>
    <col min="4" max="6" width="11.28515625" style="2" customWidth="1"/>
    <col min="7" max="7" width="6.140625" style="2" customWidth="1"/>
    <col min="8" max="9" width="8" style="6" customWidth="1"/>
    <col min="10" max="10" width="8.140625" style="2" customWidth="1"/>
    <col min="11" max="11" width="7.140625" style="2" customWidth="1"/>
    <col min="12" max="12" width="8.42578125" style="2" customWidth="1"/>
    <col min="13" max="13" width="19.7109375" style="2" customWidth="1"/>
    <col min="14" max="14" width="11" style="2" customWidth="1"/>
    <col min="15" max="15" width="17.85546875" style="2" customWidth="1"/>
    <col min="16" max="16" width="20.7109375" style="2" customWidth="1"/>
    <col min="17" max="17" width="15.28515625" style="2" customWidth="1"/>
    <col min="18" max="18" width="8.42578125" style="2" customWidth="1"/>
    <col min="19" max="16384" width="9.140625" style="2"/>
  </cols>
  <sheetData>
    <row r="1" spans="1:17" ht="22.5" customHeight="1" x14ac:dyDescent="0.35">
      <c r="A1" s="7" t="str">
        <f>execute!B8</f>
        <v>[Client Name] WC Scorecard</v>
      </c>
    </row>
    <row r="2" spans="1:17" ht="22.5" customHeight="1" x14ac:dyDescent="0.35">
      <c r="A2" s="7" t="str">
        <f>MIN(Months)&amp;" Months"</f>
        <v>0 Months</v>
      </c>
      <c r="H2" s="6" t="s">
        <v>116</v>
      </c>
      <c r="M2" s="11" t="str">
        <f>A1&amp;" Exposures"</f>
        <v>[Client Name] WC Scorecard Exposures</v>
      </c>
    </row>
    <row r="3" spans="1:17" ht="18" customHeight="1" x14ac:dyDescent="0.35">
      <c r="A3" s="7"/>
      <c r="C3" s="48"/>
      <c r="O3" s="101"/>
    </row>
    <row r="4" spans="1:17" ht="15" customHeight="1" x14ac:dyDescent="0.35">
      <c r="A4" s="7"/>
      <c r="C4" s="100" t="s">
        <v>39</v>
      </c>
      <c r="M4" s="8" t="s">
        <v>16</v>
      </c>
      <c r="N4" s="8" t="s">
        <v>70</v>
      </c>
      <c r="O4" s="10" t="s">
        <v>17</v>
      </c>
      <c r="P4" s="8" t="s">
        <v>18</v>
      </c>
      <c r="Q4" s="8" t="s">
        <v>19</v>
      </c>
    </row>
    <row r="5" spans="1:17" ht="15" customHeight="1" x14ac:dyDescent="0.35">
      <c r="A5" s="7"/>
      <c r="C5" s="39" t="s">
        <v>40</v>
      </c>
      <c r="M5" s="13">
        <f t="array" ref="M5">PY1_</f>
        <v>44197</v>
      </c>
      <c r="N5" s="4"/>
      <c r="O5" s="4"/>
      <c r="P5"/>
      <c r="Q5" s="4"/>
    </row>
    <row r="6" spans="1:17" ht="15" customHeight="1" x14ac:dyDescent="0.35">
      <c r="A6" s="7"/>
      <c r="C6" s="2" t="s">
        <v>42</v>
      </c>
      <c r="M6" s="12">
        <f t="array" ref="M6">PY2_</f>
        <v>43831</v>
      </c>
      <c r="N6" s="4"/>
      <c r="O6" s="4"/>
      <c r="P6"/>
      <c r="Q6" s="4"/>
    </row>
    <row r="7" spans="1:17" ht="15" customHeight="1" x14ac:dyDescent="0.35">
      <c r="A7" s="7"/>
      <c r="C7" s="39" t="s">
        <v>44</v>
      </c>
      <c r="M7" s="12">
        <f>PY3_</f>
        <v>43466</v>
      </c>
      <c r="N7" s="4"/>
      <c r="O7" s="4"/>
      <c r="P7"/>
      <c r="Q7" s="4"/>
    </row>
    <row r="8" spans="1:17" ht="15" customHeight="1" x14ac:dyDescent="0.35">
      <c r="A8" s="7"/>
      <c r="C8" s="2" t="s">
        <v>45</v>
      </c>
      <c r="M8" s="12">
        <f>PY4_</f>
        <v>43101</v>
      </c>
      <c r="N8" s="4"/>
      <c r="O8" s="4"/>
      <c r="P8"/>
      <c r="Q8" s="4"/>
    </row>
    <row r="9" spans="1:17" ht="15" customHeight="1" x14ac:dyDescent="0.35">
      <c r="A9" s="7"/>
      <c r="C9" s="2" t="s">
        <v>105</v>
      </c>
      <c r="M9" s="12">
        <f>PY5_</f>
        <v>39083</v>
      </c>
      <c r="N9" s="4"/>
      <c r="O9" s="4"/>
      <c r="P9"/>
      <c r="Q9" s="4"/>
    </row>
    <row r="10" spans="1:17" ht="15" customHeight="1" x14ac:dyDescent="0.35">
      <c r="A10" s="7"/>
      <c r="C10" s="2" t="s">
        <v>48</v>
      </c>
      <c r="M10" s="12">
        <f>PY6_</f>
        <v>42370</v>
      </c>
      <c r="N10" s="4"/>
      <c r="O10" s="4"/>
      <c r="P10"/>
      <c r="Q10" s="4"/>
    </row>
    <row r="11" spans="1:17" ht="15" customHeight="1" x14ac:dyDescent="0.35">
      <c r="A11" s="7"/>
      <c r="C11" s="2" t="s">
        <v>49</v>
      </c>
      <c r="M11" s="12">
        <f>PY7_</f>
        <v>42005</v>
      </c>
      <c r="N11" s="4"/>
      <c r="O11" s="3"/>
      <c r="P11"/>
      <c r="Q11"/>
    </row>
    <row r="12" spans="1:17" ht="24" thickBot="1" x14ac:dyDescent="0.4">
      <c r="A12" s="7"/>
      <c r="C12" s="49"/>
      <c r="M12" s="55"/>
      <c r="N12" s="104"/>
      <c r="O12" s="104"/>
    </row>
    <row r="13" spans="1:17" x14ac:dyDescent="0.25">
      <c r="B13" s="72" t="s">
        <v>41</v>
      </c>
      <c r="C13" s="14" t="str">
        <f>execute!$B$8</f>
        <v>[Client Name] WC Scorecard</v>
      </c>
      <c r="D13" s="148"/>
      <c r="E13" s="149"/>
      <c r="F13" s="149"/>
      <c r="G13" s="14"/>
      <c r="H13" s="15"/>
      <c r="I13" s="16"/>
      <c r="K13" s="55"/>
      <c r="L13" s="55"/>
    </row>
    <row r="14" spans="1:17" x14ac:dyDescent="0.25">
      <c r="C14" s="150" t="str">
        <f>"PY"&amp;RIGHT(YEAR($F$15),2)&amp;" at "&amp;execute!D32&amp;" Months"</f>
        <v>PY21 at 0 Months</v>
      </c>
      <c r="D14" s="151" t="s">
        <v>43</v>
      </c>
      <c r="E14" s="152"/>
      <c r="F14" s="152"/>
      <c r="G14" s="150"/>
      <c r="H14" s="153"/>
      <c r="I14" s="154"/>
      <c r="M14" s="11"/>
    </row>
    <row r="15" spans="1:17" x14ac:dyDescent="0.25">
      <c r="C15" s="150"/>
      <c r="D15" s="43">
        <f t="array" ref="D15">PY3_</f>
        <v>43466</v>
      </c>
      <c r="E15" s="44">
        <f t="array" ref="E15">PY2_</f>
        <v>43831</v>
      </c>
      <c r="F15" s="44">
        <f t="array" ref="F15">PY1_</f>
        <v>44197</v>
      </c>
      <c r="G15" s="150"/>
      <c r="H15" s="153"/>
      <c r="I15" s="154"/>
      <c r="M15" s="55"/>
    </row>
    <row r="16" spans="1:17" x14ac:dyDescent="0.25">
      <c r="C16" s="150"/>
      <c r="D16" s="17" t="s">
        <v>46</v>
      </c>
      <c r="E16" s="18" t="s">
        <v>46</v>
      </c>
      <c r="F16" s="18" t="s">
        <v>46</v>
      </c>
      <c r="G16" s="150"/>
      <c r="H16" s="153"/>
      <c r="I16" s="154"/>
      <c r="M16" s="55"/>
    </row>
    <row r="17" spans="3:17" x14ac:dyDescent="0.25">
      <c r="C17" s="150"/>
      <c r="D17" s="41" t="str">
        <f t="array" ref="D17">MONTH(Val_current)&amp;"/"&amp;DAY(Val_current)&amp;"/"&amp;YEAR(Val_current)-2</f>
        <v>1/0/1898</v>
      </c>
      <c r="E17" s="40" t="str">
        <f t="array" ref="E17">MONTH(Val_current)&amp;"/"&amp;DAY(Val_current)&amp;"/"&amp;YEAR(Val_current)-1</f>
        <v>1/0/1899</v>
      </c>
      <c r="F17" s="40">
        <f t="array" ref="F17">Val_current</f>
        <v>0</v>
      </c>
      <c r="G17" s="45" t="s">
        <v>47</v>
      </c>
      <c r="H17" s="46" t="str">
        <f t="array" ref="H17">IF(IncYr_yn="Y",RIGHT(YEAR($D$15),2)&amp;" vs "&amp;RIGHT(YEAR($F$15),2),RIGHT(YEAR($D$15),2)+1&amp;" vs "&amp;RIGHT(YEAR($F$15)+1,2))</f>
        <v>19 vs 21</v>
      </c>
      <c r="I17" s="47" t="str">
        <f t="array" ref="I17">IF(IncYr_yn="Y",RIGHT(YEAR($E$15),2)&amp;" vs "&amp;RIGHT(YEAR($F$15),2),RIGHT(YEAR($E$15),2)+1&amp;" vs "&amp;RIGHT(YEAR($F$15)+1,2))</f>
        <v>20 vs 21</v>
      </c>
      <c r="M17" s="55"/>
      <c r="N17" s="104"/>
      <c r="O17" s="104"/>
    </row>
    <row r="18" spans="3:17" ht="15.75" thickBot="1" x14ac:dyDescent="0.3">
      <c r="C18" s="19"/>
      <c r="D18" s="20"/>
      <c r="E18" s="20"/>
      <c r="F18" s="21"/>
      <c r="G18" s="22"/>
      <c r="H18" s="23"/>
      <c r="I18" s="24"/>
      <c r="M18" s="55"/>
      <c r="N18" s="55"/>
      <c r="O18" s="55"/>
    </row>
    <row r="19" spans="3:17" x14ac:dyDescent="0.25">
      <c r="C19" s="25" t="s">
        <v>50</v>
      </c>
      <c r="D19" s="74">
        <f t="array" ref="D19">IFERROR(VLOOKUP(PY3_,$M$4:$Q$12,3,FALSE),"-")</f>
        <v>0</v>
      </c>
      <c r="E19" s="74">
        <f>IFERROR(VLOOKUP(PY2_,$M$4:$Q$12,3,FALSE),"-")</f>
        <v>0</v>
      </c>
      <c r="F19" s="74">
        <f t="array" ref="F19">IFERROR(VLOOKUP(PY1_,$M$4:$Q$12,3,FALSE),"-")</f>
        <v>0</v>
      </c>
      <c r="G19" s="76"/>
      <c r="H19" s="77" t="str">
        <f>IFERROR((F19-D19)/D19,"-")</f>
        <v>-</v>
      </c>
      <c r="I19" s="78" t="str">
        <f>IFERROR((F19-E19)/E19,"-")</f>
        <v>-</v>
      </c>
      <c r="M19" s="55"/>
      <c r="N19" s="55"/>
      <c r="O19" s="55"/>
      <c r="P19" s="105"/>
      <c r="Q19" s="105"/>
    </row>
    <row r="20" spans="3:17" x14ac:dyDescent="0.25">
      <c r="C20" s="25" t="s">
        <v>18</v>
      </c>
      <c r="D20" s="82">
        <f>IFERROR(VLOOKUP(PY3_,'Total Scorecards'!$M$4:$P$11,4,FALSE),"-")</f>
        <v>0</v>
      </c>
      <c r="E20" s="82">
        <f t="array" ref="E20">IFERROR(VLOOKUP(PY2_,'Total Scorecards'!$M$4:$P$11,4,FALSE),"-")</f>
        <v>0</v>
      </c>
      <c r="F20" s="83">
        <f t="array" ref="F20">IFERROR(VLOOKUP(PY1_,'Total Scorecards'!$M$4:$P$11,4,FALSE),"-")</f>
        <v>0</v>
      </c>
      <c r="G20" s="76"/>
      <c r="H20" s="81" t="str">
        <f>IFERROR((F20-D20)/D20,"-")</f>
        <v>-</v>
      </c>
      <c r="I20" s="78" t="str">
        <f>IFERROR((F20-E20)/E20,"-")</f>
        <v>-</v>
      </c>
      <c r="J20" s="55"/>
      <c r="M20" s="55"/>
    </row>
    <row r="21" spans="3:17" ht="15.75" thickBot="1" x14ac:dyDescent="0.3">
      <c r="C21" s="19"/>
      <c r="D21" s="20"/>
      <c r="E21" s="20"/>
      <c r="F21" s="21"/>
      <c r="G21" s="22"/>
      <c r="H21" s="23"/>
      <c r="I21" s="24"/>
      <c r="M21" s="55"/>
    </row>
    <row r="22" spans="3:17" x14ac:dyDescent="0.25">
      <c r="C22" s="25" t="s">
        <v>38</v>
      </c>
      <c r="D22" s="74">
        <f t="array" ref="D22">SUM((IncLim)*(Months=months1)*(PY=PY3_))</f>
        <v>0</v>
      </c>
      <c r="E22" s="74">
        <f t="array" ref="E22">SUM((IncLim)*(Months=months1)*(PY=PY2_))</f>
        <v>0</v>
      </c>
      <c r="F22" s="75">
        <f t="array" ref="F22">SUM((IncLim)*(Months=months1)*(PY=PY1_))</f>
        <v>0</v>
      </c>
      <c r="G22" s="76"/>
      <c r="H22" s="77" t="str">
        <f>IFERROR((F22-D22)/D22,"-")</f>
        <v>-</v>
      </c>
      <c r="I22" s="78" t="str">
        <f>IFERROR((F22-E22)/E22,"-")</f>
        <v>-</v>
      </c>
      <c r="M22" s="55"/>
    </row>
    <row r="23" spans="3:17" x14ac:dyDescent="0.25">
      <c r="C23" s="25" t="s">
        <v>71</v>
      </c>
      <c r="D23" s="74">
        <f t="array" ref="D23">SUM((pdLim)*(Months=months1)*(PY=PY3_))</f>
        <v>0</v>
      </c>
      <c r="E23" s="74">
        <f t="array" ref="E23">SUM((pdLim)*(Months=months1)*(PY=PY2_))</f>
        <v>0</v>
      </c>
      <c r="F23" s="75">
        <f t="array" ref="F23">SUM((pdLim)*(Months=months1)*(PY=PY1_))</f>
        <v>0</v>
      </c>
      <c r="G23" s="76"/>
      <c r="H23" s="81" t="str">
        <f>IFERROR((F23-D23)/D23,"-")</f>
        <v>-</v>
      </c>
      <c r="I23" s="78" t="str">
        <f>IFERROR((F23-E23)/E23,"-")</f>
        <v>-</v>
      </c>
      <c r="J23" s="5"/>
      <c r="M23" s="55"/>
    </row>
    <row r="24" spans="3:17" x14ac:dyDescent="0.25">
      <c r="C24" s="25" t="s">
        <v>51</v>
      </c>
      <c r="D24" s="74">
        <f>D22-D23</f>
        <v>0</v>
      </c>
      <c r="E24" s="74">
        <f>E22-E23</f>
        <v>0</v>
      </c>
      <c r="F24" s="74">
        <f>F22-F23</f>
        <v>0</v>
      </c>
      <c r="G24" s="76"/>
      <c r="H24" s="81" t="str">
        <f>IFERROR((F24-D24)/D24,"-")</f>
        <v>-</v>
      </c>
      <c r="I24" s="78" t="str">
        <f>IFERROR((F24-E24)/E24,"-")</f>
        <v>-</v>
      </c>
      <c r="J24" s="55"/>
    </row>
    <row r="25" spans="3:17" ht="15.75" thickBot="1" x14ac:dyDescent="0.3">
      <c r="C25" s="26"/>
      <c r="D25" s="27"/>
      <c r="E25" s="27"/>
      <c r="F25" s="28"/>
      <c r="G25" s="29"/>
      <c r="H25" s="30"/>
      <c r="I25" s="31"/>
    </row>
    <row r="26" spans="3:17" x14ac:dyDescent="0.25">
      <c r="C26" s="25" t="s">
        <v>52</v>
      </c>
      <c r="D26" s="82">
        <f t="array" ref="D26">SUM((IncLim&gt;0)*(Months=months1)*(PY=PY3_))</f>
        <v>0</v>
      </c>
      <c r="E26" s="82">
        <f t="array" ref="E26">SUM((IncLim&gt;0)*(Months=months1)*(PY=PY2_))</f>
        <v>0</v>
      </c>
      <c r="F26" s="83">
        <f t="array" ref="F26">SUM((IncLim&gt;0)*(Months=months1)*(PY=PY1_))</f>
        <v>0</v>
      </c>
      <c r="G26" s="76"/>
      <c r="H26" s="77" t="str">
        <f>IFERROR((F26-D26)/D26,"-")</f>
        <v>-</v>
      </c>
      <c r="I26" s="78" t="str">
        <f>IFERROR((F26-E26)/E26,"-")</f>
        <v>-</v>
      </c>
    </row>
    <row r="27" spans="3:17" x14ac:dyDescent="0.25">
      <c r="C27" s="25" t="s">
        <v>53</v>
      </c>
      <c r="D27" s="74" t="str">
        <f>IFERROR(D22/D26,"-")</f>
        <v>-</v>
      </c>
      <c r="E27" s="74" t="str">
        <f>IFERROR(E22/E26,"-")</f>
        <v>-</v>
      </c>
      <c r="F27" s="74" t="str">
        <f>IFERROR(F22/F26,"-")</f>
        <v>-</v>
      </c>
      <c r="G27" s="76"/>
      <c r="H27" s="84" t="str">
        <f>IFERROR((F27-D27)/D27,"-")</f>
        <v>-</v>
      </c>
      <c r="I27" s="78" t="str">
        <f>IFERROR((F27-E27)/E27,"-")</f>
        <v>-</v>
      </c>
    </row>
    <row r="28" spans="3:17" x14ac:dyDescent="0.25">
      <c r="C28" s="25" t="s">
        <v>54</v>
      </c>
      <c r="D28" s="74" t="str">
        <f t="array" ref="D28">IFERROR(MEDIAN(IF(IncLim&gt;0, IF(Months=months1,IF(PY=PY3_, IncLim)))),"-")</f>
        <v>-</v>
      </c>
      <c r="E28" s="74" t="str">
        <f t="array" ref="E28">IFERROR(MEDIAN(IF(IncLim&gt;0, IF(Months=months1,IF(PY=PY2_, IncLim)))),"-")</f>
        <v>-</v>
      </c>
      <c r="F28" s="74" t="str">
        <f t="array" ref="F28">IFERROR(MEDIAN(IF(IncLim&gt;0, IF(Months=months1,IF(PY=PY1_, IncLim)))),"-")</f>
        <v>-</v>
      </c>
      <c r="G28" s="76"/>
      <c r="H28" s="81" t="str">
        <f>IFERROR((F28-D28)/D28,"-")</f>
        <v>-</v>
      </c>
      <c r="I28" s="78" t="str">
        <f>IFERROR((F28-E28)/E28,"-")</f>
        <v>-</v>
      </c>
    </row>
    <row r="29" spans="3:17" x14ac:dyDescent="0.25">
      <c r="C29" s="26"/>
      <c r="D29" s="27"/>
      <c r="E29" s="27"/>
      <c r="F29" s="28"/>
      <c r="G29" s="29"/>
      <c r="H29" s="23"/>
      <c r="I29" s="24"/>
    </row>
    <row r="30" spans="3:17" x14ac:dyDescent="0.25">
      <c r="C30" s="25" t="s">
        <v>55</v>
      </c>
      <c r="D30" s="74">
        <f>IFERROR((VLOOKUP(PY3_,'Total Scorecards'!$M$4:$Q$10,5,FALSE)/100),"-")</f>
        <v>0</v>
      </c>
      <c r="E30" s="74">
        <f>IFERROR((VLOOKUP(PY2_,'Total Scorecards'!$M$4:$Q$10,5,FALSE)/100),"-")</f>
        <v>0</v>
      </c>
      <c r="F30" s="75">
        <f>IFERROR((VLOOKUP(PY1_,'Total Scorecards'!$M$4:$Q$10,5,FALSE)/100),"-")</f>
        <v>0</v>
      </c>
      <c r="G30" s="76"/>
      <c r="H30" s="81" t="str">
        <f>IFERROR((F30-D30)/D30,"-")</f>
        <v>-</v>
      </c>
      <c r="I30" s="78" t="str">
        <f>IFERROR((F30-E30)/E30,"-")</f>
        <v>-</v>
      </c>
      <c r="J30" s="2" t="s">
        <v>56</v>
      </c>
    </row>
    <row r="31" spans="3:17" ht="15.75" thickBot="1" x14ac:dyDescent="0.3">
      <c r="C31" s="32" t="s">
        <v>57</v>
      </c>
      <c r="D31" s="85" t="str">
        <f>IFERROR(D22/D30,"-")</f>
        <v>-</v>
      </c>
      <c r="E31" s="85" t="str">
        <f>IFERROR(E22/E30,"-")</f>
        <v>-</v>
      </c>
      <c r="F31" s="85" t="str">
        <f>IFERROR(F22/F30,"-")</f>
        <v>-</v>
      </c>
      <c r="G31" s="86"/>
      <c r="H31" s="87" t="str">
        <f>IFERROR((F31-D31)/D31,"-")</f>
        <v>-</v>
      </c>
      <c r="I31" s="88" t="str">
        <f>IFERROR((F31-E31)/E31,"-")</f>
        <v>-</v>
      </c>
    </row>
    <row r="32" spans="3:17" ht="15.75" thickBot="1" x14ac:dyDescent="0.3">
      <c r="C32" s="26"/>
      <c r="D32" s="27"/>
      <c r="E32" s="27"/>
      <c r="F32" s="28"/>
      <c r="G32" s="29"/>
      <c r="H32" s="30"/>
      <c r="I32" s="31"/>
    </row>
    <row r="33" spans="2:9" x14ac:dyDescent="0.25">
      <c r="C33" s="25" t="s">
        <v>58</v>
      </c>
      <c r="D33" s="80">
        <f t="array" ref="D33">SUM((IncLim&gt;0)*(indType&gt;0)*(Months=months1)*(PY=PY3_))</f>
        <v>0</v>
      </c>
      <c r="E33" s="80">
        <f t="array" ref="E33">SUM((IncLim&gt;0)*(indType&gt;0)*(Months=months1)*(PY=PY2_))</f>
        <v>0</v>
      </c>
      <c r="F33" s="89">
        <f t="array" ref="F33">SUM((IncLim&gt;0)*(indType&gt;0)*(Months=months1)*(PY=PY1_))</f>
        <v>0</v>
      </c>
      <c r="G33" s="76"/>
      <c r="H33" s="77" t="str">
        <f>IFERROR((F33-D33)/D33,"-")</f>
        <v>-</v>
      </c>
      <c r="I33" s="78" t="str">
        <f>IFERROR((F33-E33)/E33,"-")</f>
        <v>-</v>
      </c>
    </row>
    <row r="34" spans="2:9" x14ac:dyDescent="0.25">
      <c r="B34" s="73"/>
      <c r="C34" s="25" t="s">
        <v>59</v>
      </c>
      <c r="D34" s="90" t="str">
        <f>IFERROR(D33/D26,"-")</f>
        <v>-</v>
      </c>
      <c r="E34" s="90" t="str">
        <f>IFERROR(E33/E26,"-")</f>
        <v>-</v>
      </c>
      <c r="F34" s="90" t="str">
        <f>IFERROR(F33/F26,"-")</f>
        <v>-</v>
      </c>
      <c r="G34" s="76"/>
      <c r="H34" s="91" t="str">
        <f>IFERROR(IF(((F34-D34)*100)&gt;0,"+"&amp;ROUND((F34-D34)*100,1),ROUND((F34-D34)*100,1)),"-")</f>
        <v>-</v>
      </c>
      <c r="I34" s="92" t="str">
        <f>IFERROR(IF(((F34-E34)*100)&gt;0,"+"&amp;ROUND((F34-E34)*100,1),ROUND((F34-E34)*100,1)),"-")</f>
        <v>-</v>
      </c>
    </row>
    <row r="35" spans="2:9" x14ac:dyDescent="0.25">
      <c r="B35" s="73"/>
      <c r="C35" s="25" t="s">
        <v>60</v>
      </c>
      <c r="D35" s="74">
        <f t="array" ref="D35">SUM((IncLim)*(indType&gt;0)*(Months=months1)*(PY=PY3_))</f>
        <v>0</v>
      </c>
      <c r="E35" s="74">
        <f t="array" ref="E35">SUM((IncLim)*(indType&gt;0)*(Months=months1)*(PY=PY2_))</f>
        <v>0</v>
      </c>
      <c r="F35" s="74">
        <f t="array" ref="F35">SUM((IncLim)*(indType&gt;0)*(Months=months1)*(PY=PY1_))</f>
        <v>0</v>
      </c>
      <c r="G35" s="76"/>
      <c r="H35" s="81" t="str">
        <f t="shared" ref="H35:H36" si="0">IFERROR((F35-D35)/D35,"-")</f>
        <v>-</v>
      </c>
      <c r="I35" s="78" t="str">
        <f t="shared" ref="I35:I36" si="1">IFERROR((F35-E35)/E35,"-")</f>
        <v>-</v>
      </c>
    </row>
    <row r="36" spans="2:9" x14ac:dyDescent="0.25">
      <c r="B36" s="73"/>
      <c r="C36" s="25" t="s">
        <v>61</v>
      </c>
      <c r="D36" s="74" t="str">
        <f>IFERROR(D35/D33,"-")</f>
        <v>-</v>
      </c>
      <c r="E36" s="74" t="str">
        <f t="shared" ref="E36:F36" si="2">IFERROR(E35/E33,"-")</f>
        <v>-</v>
      </c>
      <c r="F36" s="74" t="str">
        <f t="shared" si="2"/>
        <v>-</v>
      </c>
      <c r="G36" s="76"/>
      <c r="H36" s="81" t="str">
        <f t="shared" si="0"/>
        <v>-</v>
      </c>
      <c r="I36" s="78" t="str">
        <f t="shared" si="1"/>
        <v>-</v>
      </c>
    </row>
    <row r="37" spans="2:9" x14ac:dyDescent="0.25">
      <c r="B37" s="73"/>
      <c r="C37" s="25" t="s">
        <v>62</v>
      </c>
      <c r="D37" s="90" t="str">
        <f>IFERROR(1-(D38/D33),"-")</f>
        <v>-</v>
      </c>
      <c r="E37" s="90" t="str">
        <f>IFERROR(1-(E38/E33),"-")</f>
        <v>-</v>
      </c>
      <c r="F37" s="90" t="str">
        <f>IFERROR(1-(F38/F33),"-")</f>
        <v>-</v>
      </c>
      <c r="G37" s="76"/>
      <c r="H37" s="93" t="str">
        <f>IFERROR(IF(((F37-D37)*100)&gt;0,"+"&amp;ROUND((F37-D37)*100,1),ROUND((F37-D37)*100,1)),"-")</f>
        <v>-</v>
      </c>
      <c r="I37" s="92" t="str">
        <f>IFERROR(IF(((F37-E37)*100)&gt;0,"+"&amp;ROUND((F37-E37)*100,1),ROUND((F37-E37)*100,1)),"-")</f>
        <v>-</v>
      </c>
    </row>
    <row r="38" spans="2:9" ht="15.75" thickBot="1" x14ac:dyDescent="0.3">
      <c r="B38" s="73"/>
      <c r="C38" s="32" t="s">
        <v>63</v>
      </c>
      <c r="D38" s="106">
        <f t="array" ref="D38">SUM((IncLim&gt;0)*(indType&gt;0)*(Closed=0)*(Months=months1)*(PY=PY3_))</f>
        <v>0</v>
      </c>
      <c r="E38" s="106">
        <f t="array" ref="E38">SUM((IncLim&gt;0)*(indType&gt;0)*(Closed=0)*(Months=months1)*(PY=PY2_))</f>
        <v>0</v>
      </c>
      <c r="F38" s="106">
        <f t="array" ref="F38">SUM((IncLim&gt;0)*(indType&gt;0)*(Closed=0)*(Months=months1)*(PY=PY1_))</f>
        <v>0</v>
      </c>
      <c r="G38" s="86"/>
      <c r="H38" s="87" t="str">
        <f>IFERROR((F38-D38)/D38,"-")</f>
        <v>-</v>
      </c>
      <c r="I38" s="88" t="str">
        <f>IFERROR((F38-E38)/E38,"-")</f>
        <v>-</v>
      </c>
    </row>
    <row r="39" spans="2:9" x14ac:dyDescent="0.25">
      <c r="B39" s="73"/>
      <c r="C39" s="26"/>
      <c r="D39" s="33"/>
      <c r="E39" s="33"/>
      <c r="F39" s="34"/>
      <c r="G39" s="29"/>
      <c r="H39" s="30"/>
      <c r="I39" s="31"/>
    </row>
    <row r="40" spans="2:9" x14ac:dyDescent="0.25">
      <c r="C40" s="25" t="s">
        <v>90</v>
      </c>
      <c r="D40" s="80">
        <f t="array" ref="D40">IFERROR(SUM((IncLim&gt;0)*(Lit&gt;0)*(indType&gt;0)*(Months=months1)*(PY=PY3_)),"-")</f>
        <v>0</v>
      </c>
      <c r="E40" s="80">
        <f t="array" ref="E40">IFERROR(SUM((IncLim&gt;0)*(Lit&gt;0)*(indType&gt;0)*(Months=months1)*(PY=PY2_)),"-")</f>
        <v>0</v>
      </c>
      <c r="F40" s="89">
        <f t="array" ref="F40">IFERROR(SUM((IncLim&gt;0)*(Lit&gt;0)*(indType&gt;0)*(Months=months1)*(PY=PY1_)),"-")</f>
        <v>0</v>
      </c>
      <c r="G40" s="76"/>
      <c r="H40" s="81" t="str">
        <f>IFERROR((F40-D40)/D40,"-")</f>
        <v>-</v>
      </c>
      <c r="I40" s="78" t="str">
        <f>IFERROR((F40-E40)/E40,"-")</f>
        <v>-</v>
      </c>
    </row>
    <row r="41" spans="2:9" x14ac:dyDescent="0.25">
      <c r="C41" s="25" t="s">
        <v>73</v>
      </c>
      <c r="D41" s="90" t="str">
        <f>IFERROR(D40/D33,"-")</f>
        <v>-</v>
      </c>
      <c r="E41" s="90" t="str">
        <f>IFERROR(E40/E33,"-")</f>
        <v>-</v>
      </c>
      <c r="F41" s="125" t="str">
        <f>IFERROR(F40/F33,"-")</f>
        <v>-</v>
      </c>
      <c r="G41" s="76"/>
      <c r="H41" s="93" t="str">
        <f>IFERROR(IF(((F41-D41)*100)&gt;0,"+"&amp;ROUND((F41-D41)*100,1),ROUND((F41-D41)*100,1)),"-")</f>
        <v>-</v>
      </c>
      <c r="I41" s="92" t="str">
        <f>IFERROR(IF(((F41-E41)*100)&gt;0,"+"&amp;ROUND((F41-E41)*100,1),ROUND((F41-E41)*100,1)),"-")</f>
        <v>-</v>
      </c>
    </row>
    <row r="42" spans="2:9" x14ac:dyDescent="0.25">
      <c r="C42" s="25" t="s">
        <v>75</v>
      </c>
      <c r="D42" s="74">
        <f t="array" ref="D42">SUM((IncLim)*(Lit&gt;0)*(indType&gt;0)*(Months=months1)*(PY=PY3_))</f>
        <v>0</v>
      </c>
      <c r="E42" s="74">
        <f t="array" ref="E42">SUM((IncLim)*(Lit&gt;0)*(indType&gt;0)*(Months=months1)*(PY=PY2_))</f>
        <v>0</v>
      </c>
      <c r="F42" s="75">
        <f t="array" ref="F42">SUM((IncLim)*(Lit&gt;0)*(indType&gt;0)*(Months=months1)*(PY=PY1_))</f>
        <v>0</v>
      </c>
      <c r="G42" s="76"/>
      <c r="H42" s="81" t="str">
        <f>IFERROR((F42-D42)/D42,"-")</f>
        <v>-</v>
      </c>
      <c r="I42" s="78" t="str">
        <f>IFERROR((F42-E42)/E42,"-")</f>
        <v>-</v>
      </c>
    </row>
    <row r="43" spans="2:9" x14ac:dyDescent="0.25">
      <c r="C43" s="120" t="s">
        <v>100</v>
      </c>
      <c r="D43" s="122" t="str">
        <f>IFERROR(D42/D35,"-")</f>
        <v>-</v>
      </c>
      <c r="E43" s="122" t="str">
        <f>IFERROR(E42/E35,"-")</f>
        <v>-</v>
      </c>
      <c r="F43" s="122" t="str">
        <f>IFERROR(F42/F35,"-")</f>
        <v>-</v>
      </c>
      <c r="G43" s="121"/>
      <c r="H43" s="93" t="str">
        <f>IFERROR(IF(((F43-D43)*100)&gt;0,"+"&amp;ROUND((F43-D43)*100,1),ROUND((F43-D43)*100,1)),"-")</f>
        <v>-</v>
      </c>
      <c r="I43" s="92" t="str">
        <f>IFERROR(IF(((F43-E43)*100)&gt;0,"+"&amp;ROUND((F43-E43)*100,1),ROUND((F43-E43)*100,1)),"-")</f>
        <v>-</v>
      </c>
    </row>
    <row r="44" spans="2:9" x14ac:dyDescent="0.25">
      <c r="C44" s="25" t="s">
        <v>91</v>
      </c>
      <c r="D44" s="80">
        <f t="array" ref="D44">SUM((IncLim&gt;0)*(Lit&gt;0)*(Months=months1)*(PY=PY3_))</f>
        <v>0</v>
      </c>
      <c r="E44" s="80">
        <f t="array" ref="E44">SUM((IncLim&gt;0)*(Lit&gt;0)*(Months=months1)*(PY=PY2_))</f>
        <v>0</v>
      </c>
      <c r="F44" s="89">
        <f t="array" ref="F44">SUM((IncLim&gt;0)*(Lit&gt;0)*(Months=months1)*(PY=PY1_))</f>
        <v>0</v>
      </c>
      <c r="G44" s="76"/>
      <c r="H44" s="81" t="str">
        <f>IFERROR((F44-D44)/D44,"-")</f>
        <v>-</v>
      </c>
      <c r="I44" s="78" t="str">
        <f>IFERROR((F44-E44)/E44,"-")</f>
        <v>-</v>
      </c>
    </row>
    <row r="45" spans="2:9" x14ac:dyDescent="0.25">
      <c r="C45" s="25" t="s">
        <v>74</v>
      </c>
      <c r="D45" s="74">
        <f t="array" ref="D45">SUM((IncLim)*(Lit&gt;0)*(Months=months1)*(PY=PY3_))</f>
        <v>0</v>
      </c>
      <c r="E45" s="74">
        <f t="array" ref="E45">SUM((IncLim)*(Lit&gt;0)*(Months=months1)*(PY=PY2_))</f>
        <v>0</v>
      </c>
      <c r="F45" s="75">
        <f t="array" ref="F45">SUM((IncLim)*(Lit&gt;0)*(Months=months1)*(PY=PY1_))</f>
        <v>0</v>
      </c>
      <c r="G45" s="76"/>
      <c r="H45" s="81" t="str">
        <f>IFERROR((F45-D45)/D45,"-")</f>
        <v>-</v>
      </c>
      <c r="I45" s="78" t="str">
        <f>IFERROR((F45-E45)/E45,"-")</f>
        <v>-</v>
      </c>
    </row>
    <row r="46" spans="2:9" x14ac:dyDescent="0.25">
      <c r="C46" s="25" t="s">
        <v>104</v>
      </c>
      <c r="D46" s="74"/>
      <c r="E46" s="74"/>
      <c r="F46" s="75"/>
      <c r="G46" s="76"/>
      <c r="H46" s="81" t="str">
        <f>IFERROR((F46-D46)/D46,"-")</f>
        <v>-</v>
      </c>
      <c r="I46" s="78" t="str">
        <f>IFERROR((F46-E46)/E46,"-")</f>
        <v>-</v>
      </c>
    </row>
    <row r="47" spans="2:9" x14ac:dyDescent="0.25">
      <c r="B47" s="73"/>
      <c r="C47" s="26"/>
      <c r="D47" s="33"/>
      <c r="E47" s="33"/>
      <c r="F47" s="34"/>
      <c r="G47" s="29"/>
      <c r="H47" s="30"/>
      <c r="I47" s="31"/>
    </row>
    <row r="48" spans="2:9" x14ac:dyDescent="0.25">
      <c r="C48" s="25" t="s">
        <v>64</v>
      </c>
      <c r="D48" s="94">
        <f t="array" ref="D48">SUMPRODUCT(LARGE((Months=months1)*(PY=PY3_)*(IncLim),{1,2,3,4,5}))</f>
        <v>0</v>
      </c>
      <c r="E48" s="94">
        <f t="array" ref="E48">SUMPRODUCT(LARGE((Months=months1)*(PY=PY2_)*(IncLim),{1,2,3,4,5}))</f>
        <v>0</v>
      </c>
      <c r="F48" s="95">
        <f t="array" ref="F48">SUMPRODUCT(LARGE((Months=months1)*(PY=PY1_)*(IncLim),{1,2,3,4,5}))</f>
        <v>0</v>
      </c>
      <c r="G48" s="76"/>
      <c r="H48" s="81" t="str">
        <f>IFERROR((F48-D48)/D48,"-")</f>
        <v>-</v>
      </c>
      <c r="I48" s="78" t="str">
        <f>IFERROR((F48-E48)/E48,"-")</f>
        <v>-</v>
      </c>
    </row>
    <row r="49" spans="2:10" ht="15.75" thickBot="1" x14ac:dyDescent="0.3">
      <c r="C49" s="35" t="s">
        <v>65</v>
      </c>
      <c r="D49" s="126" t="str">
        <f>IFERROR(D48/D22,"-")</f>
        <v>-</v>
      </c>
      <c r="E49" s="126" t="str">
        <f>IFERROR(E48/E22,"-")</f>
        <v>-</v>
      </c>
      <c r="F49" s="126" t="str">
        <f>IFERROR(F48/F22,"-")</f>
        <v>-</v>
      </c>
      <c r="G49" s="96"/>
      <c r="H49" s="97" t="str">
        <f>IFERROR(IF(((F49-D49)*100)&gt;0,"+"&amp;ROUND((F49-D49)*100,1),ROUND((F49-D49)*100,1)),"-")</f>
        <v>-</v>
      </c>
      <c r="I49" s="98" t="str">
        <f>IFERROR(IF(((F49-E49)*100)&gt;0,"+"&amp;ROUND((F49-E49)*100,1),ROUND((F49-E49)*100,1)),"-")</f>
        <v>-</v>
      </c>
    </row>
    <row r="50" spans="2:10" x14ac:dyDescent="0.25">
      <c r="C50" s="39"/>
      <c r="D50" s="39"/>
      <c r="E50" s="39"/>
      <c r="F50" s="39"/>
      <c r="G50" s="39"/>
      <c r="H50" s="36"/>
      <c r="I50" s="36"/>
    </row>
    <row r="52" spans="2:10" ht="15.75" thickBot="1" x14ac:dyDescent="0.3"/>
    <row r="53" spans="2:10" x14ac:dyDescent="0.25">
      <c r="B53" s="71" t="s">
        <v>66</v>
      </c>
      <c r="C53" s="14" t="str">
        <f>execute!$B$8</f>
        <v>[Client Name] WC Scorecard</v>
      </c>
      <c r="D53" s="148"/>
      <c r="E53" s="149"/>
      <c r="F53" s="149"/>
      <c r="G53" s="14"/>
      <c r="H53" s="15"/>
      <c r="I53" s="16"/>
    </row>
    <row r="54" spans="2:10" x14ac:dyDescent="0.25">
      <c r="C54" s="150" t="str">
        <f>"PY"&amp;RIGHT(YEAR($F$55),2)&amp;" at "&amp;execute!D33&amp;" Months"</f>
        <v>PY20 at 12 Months</v>
      </c>
      <c r="D54" s="151" t="s">
        <v>43</v>
      </c>
      <c r="E54" s="152"/>
      <c r="F54" s="152"/>
      <c r="G54" s="150"/>
      <c r="H54" s="153"/>
      <c r="I54" s="154"/>
    </row>
    <row r="55" spans="2:10" x14ac:dyDescent="0.25">
      <c r="C55" s="150"/>
      <c r="D55" s="43">
        <f t="array" ref="D55">PY4_</f>
        <v>43101</v>
      </c>
      <c r="E55" s="44">
        <f t="array" ref="E55">PY3_</f>
        <v>43466</v>
      </c>
      <c r="F55" s="44">
        <f t="array" ref="F55">PY2_</f>
        <v>43831</v>
      </c>
      <c r="G55" s="150"/>
      <c r="H55" s="153"/>
      <c r="I55" s="154"/>
    </row>
    <row r="56" spans="2:10" x14ac:dyDescent="0.25">
      <c r="C56" s="150"/>
      <c r="D56" s="17" t="s">
        <v>46</v>
      </c>
      <c r="E56" s="18" t="s">
        <v>46</v>
      </c>
      <c r="F56" s="18" t="s">
        <v>46</v>
      </c>
      <c r="G56" s="150"/>
      <c r="H56" s="153"/>
      <c r="I56" s="154"/>
    </row>
    <row r="57" spans="2:10" x14ac:dyDescent="0.25">
      <c r="C57" s="150"/>
      <c r="D57" s="41" t="str">
        <f t="array" ref="D57">MONTH(Val_current)&amp;"/"&amp;DAY(Val_current)&amp;"/"&amp;YEAR(Val_current)-2</f>
        <v>1/0/1898</v>
      </c>
      <c r="E57" s="40" t="str">
        <f t="array" ref="E57">MONTH(Val_current)&amp;"/"&amp;DAY(Val_current)&amp;"/"&amp;YEAR(Val_current)-1</f>
        <v>1/0/1899</v>
      </c>
      <c r="F57" s="42" t="str">
        <f t="array" ref="F57">MONTH(Val_current)&amp;"/"&amp;DAY(Val_current)&amp;"/"&amp;YEAR(Val_current)</f>
        <v>1/0/1900</v>
      </c>
      <c r="G57" s="45" t="s">
        <v>47</v>
      </c>
      <c r="H57" s="46" t="str">
        <f t="array" ref="H57">(IF(IncYr_yn="Y",RIGHT(YEAR($D$55),2)&amp;" vs "&amp;RIGHT(YEAR($F$55),2),RIGHT(YEAR($D$55),2)+1&amp;" vs "&amp;RIGHT(YEAR($F$55),2)+1))</f>
        <v>18 vs 20</v>
      </c>
      <c r="I57" s="47" t="str">
        <f t="array" ref="I57">(IF(IncYr_yn="Y",RIGHT(YEAR($E$55),2)&amp;" vs "&amp;RIGHT(YEAR($F$55),2),RIGHT(YEAR($E$55),2)+1&amp;" vs "&amp;RIGHT(YEAR($F$55)+1,2)))</f>
        <v>19 vs 20</v>
      </c>
    </row>
    <row r="58" spans="2:10" ht="15.75" thickBot="1" x14ac:dyDescent="0.3">
      <c r="C58" s="19"/>
      <c r="D58" s="20"/>
      <c r="E58" s="20"/>
      <c r="F58" s="21"/>
      <c r="G58" s="22"/>
      <c r="H58" s="23"/>
      <c r="I58" s="24"/>
    </row>
    <row r="59" spans="2:10" x14ac:dyDescent="0.25">
      <c r="C59" s="25" t="s">
        <v>50</v>
      </c>
      <c r="D59" s="74">
        <f t="array" ref="D59">IFERROR(VLOOKUP(PY4_,$M$4:$Q$12,3,FALSE),"-")</f>
        <v>0</v>
      </c>
      <c r="E59" s="74">
        <f t="array" ref="E59">IFERROR(VLOOKUP(PY3_,$M$4:$Q$12,3,FALSE),"-")</f>
        <v>0</v>
      </c>
      <c r="F59" s="74">
        <f t="array" ref="F59">IFERROR(VLOOKUP(PY2_,$M$4:$Q$12,3,FALSE),"-")</f>
        <v>0</v>
      </c>
      <c r="G59" s="76"/>
      <c r="H59" s="77" t="str">
        <f>IFERROR((F59-D59)/D59,"-")</f>
        <v>-</v>
      </c>
      <c r="I59" s="78" t="str">
        <f>IFERROR((F59-E59)/E59,"-")</f>
        <v>-</v>
      </c>
    </row>
    <row r="60" spans="2:10" x14ac:dyDescent="0.25">
      <c r="C60" s="25" t="s">
        <v>18</v>
      </c>
      <c r="D60" s="80">
        <f t="array" ref="D60">IFERROR(VLOOKUP(PY4_,$M$4:$Q$12,4,FALSE),"-")</f>
        <v>0</v>
      </c>
      <c r="E60" s="80">
        <f t="array" ref="E60">IFERROR(VLOOKUP(PY3_,$M$4:$Q$12,4,FALSE),"-")</f>
        <v>0</v>
      </c>
      <c r="F60" s="80">
        <f t="array" ref="F60">IFERROR(VLOOKUP(PY2_,$M$4:$Q$12,4,FALSE),"-")</f>
        <v>0</v>
      </c>
      <c r="G60" s="76"/>
      <c r="H60" s="81" t="str">
        <f>IFERROR((F60-D60)/D60,"-")</f>
        <v>-</v>
      </c>
      <c r="I60" s="78" t="str">
        <f>IFERROR((F60-E60)/E60,"-")</f>
        <v>-</v>
      </c>
    </row>
    <row r="61" spans="2:10" ht="15.75" thickBot="1" x14ac:dyDescent="0.3">
      <c r="C61" s="19"/>
      <c r="D61" s="20"/>
      <c r="E61" s="20"/>
      <c r="F61" s="21"/>
      <c r="G61" s="22"/>
      <c r="H61" s="23"/>
      <c r="I61" s="24"/>
    </row>
    <row r="62" spans="2:10" x14ac:dyDescent="0.25">
      <c r="C62" s="25" t="s">
        <v>38</v>
      </c>
      <c r="D62" s="74">
        <f t="array" ref="D62">SUM((IncLim)*(Months=months2)*(PY=PY4_))</f>
        <v>0</v>
      </c>
      <c r="E62" s="74">
        <f t="array" ref="E62">SUM((IncLim)*(Months=months2)*(PY=PY3_))</f>
        <v>0</v>
      </c>
      <c r="F62" s="75">
        <f t="array" ref="F62">SUM((IncLim)*(Months=months2)*(PY=PY2_))</f>
        <v>0</v>
      </c>
      <c r="G62" s="76"/>
      <c r="H62" s="77" t="str">
        <f>IFERROR((F62-D62)/D62,"-")</f>
        <v>-</v>
      </c>
      <c r="I62" s="78" t="str">
        <f>IFERROR((F62-E62)/E62,"-")</f>
        <v>-</v>
      </c>
    </row>
    <row r="63" spans="2:10" x14ac:dyDescent="0.25">
      <c r="C63" s="25" t="s">
        <v>71</v>
      </c>
      <c r="D63" s="74">
        <f t="array" ref="D63">SUM((pdLim)*(Months=months2)*(PY=PY4_))</f>
        <v>0</v>
      </c>
      <c r="E63" s="74">
        <f t="array" ref="E63">SUM((pdLim)*(Months=months2)*(PY=PY3_))</f>
        <v>0</v>
      </c>
      <c r="F63" s="75">
        <f t="array" ref="F63">SUM((pdLim)*(Months=months2)*(PY=PY2_))</f>
        <v>0</v>
      </c>
      <c r="G63" s="76"/>
      <c r="H63" s="81" t="str">
        <f>IFERROR((F63-D63)/D63,"-")</f>
        <v>-</v>
      </c>
      <c r="I63" s="78" t="str">
        <f>IFERROR((F63-E63)/E63,"-")</f>
        <v>-</v>
      </c>
      <c r="J63" s="5"/>
    </row>
    <row r="64" spans="2:10" x14ac:dyDescent="0.25">
      <c r="C64" s="25" t="s">
        <v>51</v>
      </c>
      <c r="D64" s="74">
        <f>D62-D63</f>
        <v>0</v>
      </c>
      <c r="E64" s="74">
        <f>E62-E63</f>
        <v>0</v>
      </c>
      <c r="F64" s="74">
        <f>F62-F63</f>
        <v>0</v>
      </c>
      <c r="G64" s="76"/>
      <c r="H64" s="81" t="str">
        <f>IFERROR((F64-D64)/D64,"-")</f>
        <v>-</v>
      </c>
      <c r="I64" s="78" t="str">
        <f>IFERROR((F64-E64)/E64,"-")</f>
        <v>-</v>
      </c>
    </row>
    <row r="65" spans="2:10" ht="15.75" thickBot="1" x14ac:dyDescent="0.3">
      <c r="C65" s="26"/>
      <c r="D65" s="27"/>
      <c r="E65" s="27"/>
      <c r="F65" s="28"/>
      <c r="G65" s="29"/>
      <c r="H65" s="30"/>
      <c r="I65" s="31"/>
    </row>
    <row r="66" spans="2:10" x14ac:dyDescent="0.25">
      <c r="C66" s="25" t="s">
        <v>52</v>
      </c>
      <c r="D66" s="82">
        <f t="array" ref="D66">SUM((IncLim&gt;0)*(Months=months2)*(PY=PY4_))</f>
        <v>0</v>
      </c>
      <c r="E66" s="82">
        <f t="array" ref="E66">SUM((IncLim&gt;0)*(Months=months2)*(PY=PY3_))</f>
        <v>0</v>
      </c>
      <c r="F66" s="83">
        <f t="array" ref="F66">SUM((IncLim&gt;0)*(Months=months2)*(PY=PY2_))</f>
        <v>0</v>
      </c>
      <c r="G66" s="76"/>
      <c r="H66" s="77" t="str">
        <f>IFERROR((F66-D66)/D66,"-")</f>
        <v>-</v>
      </c>
      <c r="I66" s="78" t="str">
        <f>IFERROR((F66-E66)/E66,"-")</f>
        <v>-</v>
      </c>
      <c r="J66" s="79"/>
    </row>
    <row r="67" spans="2:10" x14ac:dyDescent="0.25">
      <c r="C67" s="25" t="s">
        <v>53</v>
      </c>
      <c r="D67" s="74" t="str">
        <f>IFERROR(D62/D66,"-")</f>
        <v>-</v>
      </c>
      <c r="E67" s="74" t="str">
        <f>IFERROR(E62/E66,"-")</f>
        <v>-</v>
      </c>
      <c r="F67" s="74" t="str">
        <f>IFERROR(F62/F66,"-")</f>
        <v>-</v>
      </c>
      <c r="G67" s="76"/>
      <c r="H67" s="84" t="str">
        <f>IFERROR((F67-D67)/D67,"-")</f>
        <v>-</v>
      </c>
      <c r="I67" s="78" t="str">
        <f>IFERROR((F67-E67)/E67,"-")</f>
        <v>-</v>
      </c>
      <c r="J67" s="79"/>
    </row>
    <row r="68" spans="2:10" x14ac:dyDescent="0.25">
      <c r="C68" s="25" t="s">
        <v>54</v>
      </c>
      <c r="D68" s="74" t="str">
        <f t="array" ref="D68">IFERROR(MEDIAN(IF(IncLim&gt;0, IF(Months=months2,IF(PY=PY4_, IncLim)))),"-")</f>
        <v>-</v>
      </c>
      <c r="E68" s="74" t="str">
        <f t="array" ref="E68">IFERROR(MEDIAN(IF(IncLim&gt;0, IF(Months=months2,IF(PY=PY3_, IncLim)))),"-")</f>
        <v>-</v>
      </c>
      <c r="F68" s="74" t="str">
        <f t="array" ref="F68">IFERROR(MEDIAN(IF(IncLim&gt;0, IF(Months=months2,IF(PY=PY2_, IncLim)))),"-")</f>
        <v>-</v>
      </c>
      <c r="G68" s="76"/>
      <c r="H68" s="81" t="str">
        <f>IFERROR((F68-D68)/D68,"-")</f>
        <v>-</v>
      </c>
      <c r="I68" s="78" t="str">
        <f>IFERROR((F68-E68)/E68,"-")</f>
        <v>-</v>
      </c>
      <c r="J68" s="79"/>
    </row>
    <row r="69" spans="2:10" x14ac:dyDescent="0.25">
      <c r="C69" s="26"/>
      <c r="D69" s="27"/>
      <c r="E69" s="27"/>
      <c r="F69" s="28"/>
      <c r="G69" s="29"/>
      <c r="H69" s="23"/>
      <c r="I69" s="24"/>
    </row>
    <row r="70" spans="2:10" x14ac:dyDescent="0.25">
      <c r="C70" s="25" t="s">
        <v>55</v>
      </c>
      <c r="D70" s="74">
        <f>IFERROR((VLOOKUP(PY4_,'Total Scorecards'!$M$4:$Q$10,5,FALSE)/100),"-")</f>
        <v>0</v>
      </c>
      <c r="E70" s="74">
        <f>IFERROR((VLOOKUP(PY3_,'Total Scorecards'!$M$4:$Q$10,5,FALSE)/100),"-")</f>
        <v>0</v>
      </c>
      <c r="F70" s="75">
        <f>IFERROR((VLOOKUP(PY2_,'Total Scorecards'!$M$4:$Q$10,5,FALSE)/100),"-")</f>
        <v>0</v>
      </c>
      <c r="G70" s="76"/>
      <c r="H70" s="81" t="str">
        <f>IFERROR((F70-D70)/D70,"-")</f>
        <v>-</v>
      </c>
      <c r="I70" s="78" t="str">
        <f>IFERROR((F70-E70)/E70,"-")</f>
        <v>-</v>
      </c>
    </row>
    <row r="71" spans="2:10" ht="15.75" thickBot="1" x14ac:dyDescent="0.3">
      <c r="C71" s="32" t="s">
        <v>57</v>
      </c>
      <c r="D71" s="85" t="str">
        <f>IFERROR(D62/D70,"-")</f>
        <v>-</v>
      </c>
      <c r="E71" s="85" t="str">
        <f>IFERROR(E62/E70,"-")</f>
        <v>-</v>
      </c>
      <c r="F71" s="85" t="str">
        <f>IFERROR(F62/F70,"-")</f>
        <v>-</v>
      </c>
      <c r="G71" s="86"/>
      <c r="H71" s="87" t="str">
        <f>IFERROR((F71-D71)/D71,"-")</f>
        <v>-</v>
      </c>
      <c r="I71" s="88" t="str">
        <f>IFERROR((F71-E71)/E71,"-")</f>
        <v>-</v>
      </c>
    </row>
    <row r="72" spans="2:10" ht="15.75" thickBot="1" x14ac:dyDescent="0.3">
      <c r="C72" s="26"/>
      <c r="D72" s="27"/>
      <c r="E72" s="27"/>
      <c r="F72" s="28"/>
      <c r="G72" s="29"/>
      <c r="H72" s="30"/>
      <c r="I72" s="31"/>
    </row>
    <row r="73" spans="2:10" x14ac:dyDescent="0.25">
      <c r="C73" s="25" t="s">
        <v>58</v>
      </c>
      <c r="D73" s="80">
        <f t="array" ref="D73">SUM((IncLim&gt;0)*(indType&gt;0)*(Months=months2)*(PY=PY4_))</f>
        <v>0</v>
      </c>
      <c r="E73" s="80">
        <f t="array" ref="E73">SUM((IncLim&gt;0)*(indType&gt;0)*(Months=months2)*(PY=PY3_))</f>
        <v>0</v>
      </c>
      <c r="F73" s="89">
        <f t="array" ref="F73">SUM((IncLim&gt;0)*(indType&gt;0)*(Months=months2)*(PY=PY2_))</f>
        <v>0</v>
      </c>
      <c r="G73" s="76"/>
      <c r="H73" s="77" t="str">
        <f>IFERROR((F73-D73)/D73,"-")</f>
        <v>-</v>
      </c>
      <c r="I73" s="78" t="str">
        <f>IFERROR((F73-E73)/E73,"-")</f>
        <v>-</v>
      </c>
    </row>
    <row r="74" spans="2:10" x14ac:dyDescent="0.25">
      <c r="C74" s="25" t="s">
        <v>59</v>
      </c>
      <c r="D74" s="90" t="str">
        <f>IFERROR(D73/D66,"-")</f>
        <v>-</v>
      </c>
      <c r="E74" s="90" t="str">
        <f>IFERROR(E73/E66,"-")</f>
        <v>-</v>
      </c>
      <c r="F74" s="90" t="str">
        <f>IFERROR(F73/F66,"-")</f>
        <v>-</v>
      </c>
      <c r="G74" s="76"/>
      <c r="H74" s="91" t="str">
        <f>IFERROR(IF(((F74-D74)*100)&gt;0,"+"&amp;ROUND((F74-D74)*100,1),ROUND((F74-D74)*100,1)),"-")</f>
        <v>-</v>
      </c>
      <c r="I74" s="92" t="str">
        <f>IFERROR(IF(((F74-E74)*100)&gt;0,"+"&amp;ROUND((F74-E74)*100,1),ROUND((F74-E74)*100,1)),"-")</f>
        <v>-</v>
      </c>
    </row>
    <row r="75" spans="2:10" x14ac:dyDescent="0.25">
      <c r="B75" s="73"/>
      <c r="C75" s="25" t="s">
        <v>60</v>
      </c>
      <c r="D75" s="74">
        <f t="array" ref="D75">SUM((IncLim)*(indType&gt;0)*(Months=months2)*(PY=PY4_))</f>
        <v>0</v>
      </c>
      <c r="E75" s="74">
        <f t="array" ref="E75">SUM((IncLim)*(indType&gt;0)*(Months=months2)*(PY=PY3_))</f>
        <v>0</v>
      </c>
      <c r="F75" s="74">
        <f t="array" ref="F75">SUM((IncLim)*(indType&gt;0)*(Months=months2)*(PY=PY2_))</f>
        <v>0</v>
      </c>
      <c r="G75" s="76"/>
      <c r="H75" s="81" t="str">
        <f t="shared" ref="H75:H76" si="3">IFERROR((F75-D75)/D75,"-")</f>
        <v>-</v>
      </c>
      <c r="I75" s="78" t="str">
        <f t="shared" ref="I75:I76" si="4">IFERROR((F75-E75)/E75,"-")</f>
        <v>-</v>
      </c>
    </row>
    <row r="76" spans="2:10" x14ac:dyDescent="0.25">
      <c r="B76" s="73"/>
      <c r="C76" s="25" t="s">
        <v>61</v>
      </c>
      <c r="D76" s="74" t="str">
        <f>IFERROR(D75/D73,"-")</f>
        <v>-</v>
      </c>
      <c r="E76" s="74" t="str">
        <f t="shared" ref="E76" si="5">IFERROR(E75/E73,"-")</f>
        <v>-</v>
      </c>
      <c r="F76" s="74" t="str">
        <f t="shared" ref="F76" si="6">IFERROR(F75/F73,"-")</f>
        <v>-</v>
      </c>
      <c r="G76" s="76"/>
      <c r="H76" s="81" t="str">
        <f t="shared" si="3"/>
        <v>-</v>
      </c>
      <c r="I76" s="78" t="str">
        <f t="shared" si="4"/>
        <v>-</v>
      </c>
    </row>
    <row r="77" spans="2:10" x14ac:dyDescent="0.25">
      <c r="C77" s="25" t="s">
        <v>62</v>
      </c>
      <c r="D77" s="90" t="str">
        <f>IFERROR(1-(D78/D73),"-")</f>
        <v>-</v>
      </c>
      <c r="E77" s="90" t="str">
        <f>IFERROR(1-(E78/E73),"-")</f>
        <v>-</v>
      </c>
      <c r="F77" s="90" t="str">
        <f>IFERROR(1-(F78/F73),"-")</f>
        <v>-</v>
      </c>
      <c r="G77" s="76"/>
      <c r="H77" s="124" t="str">
        <f>IFERROR(IF(((F77-D77)*100)&gt;0,"+"&amp;ROUND((F77-D77)*100,1),ROUND((F77-D77)*100,1)),"-")</f>
        <v>-</v>
      </c>
      <c r="I77" s="92" t="str">
        <f>IFERROR(IF(((F77-E77)*100)&gt;0,"+"&amp;ROUND((F77-E77)*100,1),ROUND((F77-E77)*100,1)),"-")</f>
        <v>-</v>
      </c>
    </row>
    <row r="78" spans="2:10" ht="15.75" thickBot="1" x14ac:dyDescent="0.3">
      <c r="C78" s="32" t="s">
        <v>63</v>
      </c>
      <c r="D78" s="106">
        <f t="array" ref="D78">SUM((IncLim&gt;0)*(indType&gt;0)*(Closed=0)*(Months=months2)*(PY=PY4_))</f>
        <v>0</v>
      </c>
      <c r="E78" s="106">
        <f t="array" ref="E78">SUM((IncLim&gt;0)*(indType&gt;0)*(Closed=0)*(Months=months2)*(PY=PY3_))</f>
        <v>0</v>
      </c>
      <c r="F78" s="106">
        <f t="array" ref="F78">SUM((IncLim&gt;0)*(indType&gt;0)*(Closed=0)*(Months=months2)*(PY=PY2_))</f>
        <v>0</v>
      </c>
      <c r="G78" s="86"/>
      <c r="H78" s="87" t="str">
        <f>IFERROR((F78-D78)/D78,"-")</f>
        <v>-</v>
      </c>
      <c r="I78" s="88" t="str">
        <f>IFERROR((F78-E78)/E78,"-")</f>
        <v>-</v>
      </c>
    </row>
    <row r="79" spans="2:10" x14ac:dyDescent="0.25">
      <c r="C79" s="26"/>
      <c r="D79" s="33"/>
      <c r="E79" s="33"/>
      <c r="F79" s="34"/>
      <c r="G79" s="29"/>
      <c r="H79" s="30"/>
      <c r="I79" s="31"/>
    </row>
    <row r="80" spans="2:10" x14ac:dyDescent="0.25">
      <c r="C80" s="25" t="s">
        <v>72</v>
      </c>
      <c r="D80" s="80">
        <f t="array" ref="D80">SUM((IncLim&gt;0)*(Lit&gt;0)*(indType&gt;0)*(Months=months2)*(PY=PY4_))</f>
        <v>0</v>
      </c>
      <c r="E80" s="80">
        <f t="array" ref="E80">SUM((IncLim&gt;0)*(Lit&gt;0)*(indType&gt;0)*(Months=months2)*(PY=PY3_))</f>
        <v>0</v>
      </c>
      <c r="F80" s="89">
        <f t="array" ref="F80">SUM((IncLim&gt;0)*(Lit&gt;0)*(indType&gt;0)*(Months=months2)*(PY=PY2_))</f>
        <v>0</v>
      </c>
      <c r="G80" s="76"/>
      <c r="H80" s="81" t="str">
        <f>IFERROR((F80-D80)/D80,"-")</f>
        <v>-</v>
      </c>
      <c r="I80" s="78" t="str">
        <f>IFERROR((F80-E80)/E80,"-")</f>
        <v>-</v>
      </c>
    </row>
    <row r="81" spans="2:9" x14ac:dyDescent="0.25">
      <c r="C81" s="25" t="s">
        <v>73</v>
      </c>
      <c r="D81" s="90" t="str">
        <f>IFERROR(D80/D73,"-")</f>
        <v>-</v>
      </c>
      <c r="E81" s="90" t="str">
        <f>IFERROR(E80/E73,"-")</f>
        <v>-</v>
      </c>
      <c r="F81" s="125" t="str">
        <f>IFERROR(F80/F73,"-")</f>
        <v>-</v>
      </c>
      <c r="G81" s="76"/>
      <c r="H81" s="93" t="str">
        <f>IFERROR(IF(((F81-D81)*100)&gt;0,"+"&amp;ROUND((F81-D81)*100,1),ROUND((F81-D81)*100,1)),"-")</f>
        <v>-</v>
      </c>
      <c r="I81" s="92" t="str">
        <f>IFERROR(IF(((F81-E81)*100)&gt;0,"+"&amp;ROUND((F81-E81)*100,1),ROUND((F81-E81)*100,1)),"-")</f>
        <v>-</v>
      </c>
    </row>
    <row r="82" spans="2:9" x14ac:dyDescent="0.25">
      <c r="C82" s="25" t="s">
        <v>75</v>
      </c>
      <c r="D82" s="74">
        <f t="array" ref="D82">SUM((IncLim)*(Lit&gt;0)*(indType&gt;0)*(Months=months2)*(PY=PY4_))</f>
        <v>0</v>
      </c>
      <c r="E82" s="74">
        <f t="array" ref="E82">SUM((IncLim)*(Lit&gt;0)*(indType&gt;0)*(Months=months2)*(PY=PY3_))</f>
        <v>0</v>
      </c>
      <c r="F82" s="75">
        <f t="array" ref="F82">SUM((IncLim)*(Lit&gt;0)*(indType&gt;0)*(Months=months2)*(PY=PY2_))</f>
        <v>0</v>
      </c>
      <c r="G82" s="76"/>
      <c r="H82" s="81" t="str">
        <f>IFERROR((F82-D82)/D82,"-")</f>
        <v>-</v>
      </c>
      <c r="I82" s="78" t="str">
        <f>IFERROR((F82-E82)/E82,"-")</f>
        <v>-</v>
      </c>
    </row>
    <row r="83" spans="2:9" x14ac:dyDescent="0.25">
      <c r="C83" s="120" t="s">
        <v>100</v>
      </c>
      <c r="D83" s="122" t="str">
        <f>IFERROR(D82/D75,"-")</f>
        <v>-</v>
      </c>
      <c r="E83" s="122" t="str">
        <f>IFERROR(E82/E75,"-")</f>
        <v>-</v>
      </c>
      <c r="F83" s="122" t="str">
        <f>IFERROR(F82/F75,"-")</f>
        <v>-</v>
      </c>
      <c r="G83" s="121"/>
      <c r="H83" s="93" t="str">
        <f>IFERROR(IF(((F83-D83)*100)&gt;0,"+"&amp;ROUND((F83-D83)*100,1),ROUND((F83-D83)*100,1)),"-")</f>
        <v>-</v>
      </c>
      <c r="I83" s="92" t="str">
        <f>IFERROR(IF(((F83-E83)*100)&gt;0,"+"&amp;ROUND((F83-E83)*100,1),ROUND((F83-E83)*100,1)),"-")</f>
        <v>-</v>
      </c>
    </row>
    <row r="84" spans="2:9" x14ac:dyDescent="0.25">
      <c r="C84" s="25" t="s">
        <v>91</v>
      </c>
      <c r="D84" s="80">
        <f t="array" ref="D84">SUM((IncLim&gt;0)*(Lit&gt;0)*(Months=months2)*(PY=PY4_))</f>
        <v>0</v>
      </c>
      <c r="E84" s="80">
        <f t="array" ref="E84">SUM((IncLim&gt;0)*(Lit&gt;0)*(Months=months2)*(PY=PY3_))</f>
        <v>0</v>
      </c>
      <c r="F84" s="89">
        <f t="array" ref="F84">SUM((IncLim&gt;0)*(Lit&gt;0)*(Months=months2)*(PY=PY2_))</f>
        <v>0</v>
      </c>
      <c r="G84" s="76"/>
      <c r="H84" s="81" t="str">
        <f>IFERROR((F84-D84)/D84,"-")</f>
        <v>-</v>
      </c>
      <c r="I84" s="78" t="str">
        <f>IFERROR((F84-E84)/E84,"-")</f>
        <v>-</v>
      </c>
    </row>
    <row r="85" spans="2:9" x14ac:dyDescent="0.25">
      <c r="C85" s="25" t="s">
        <v>74</v>
      </c>
      <c r="D85" s="74">
        <f t="array" ref="D85">SUM((IncLim)*(Lit&gt;0)*(Months=months2)*(PY=PY4_))</f>
        <v>0</v>
      </c>
      <c r="E85" s="74">
        <f t="array" ref="E85">SUM((IncLim)*(Lit&gt;0)*(Months=months2)*(PY=PY3_))</f>
        <v>0</v>
      </c>
      <c r="F85" s="75">
        <f t="array" ref="F85">SUM((IncLim)*(Lit&gt;0)*(Months=months2)*(PY=PY2_))</f>
        <v>0</v>
      </c>
      <c r="G85" s="76"/>
      <c r="H85" s="81" t="str">
        <f>IFERROR((F85-D85)/D85,"-")</f>
        <v>-</v>
      </c>
      <c r="I85" s="78" t="str">
        <f>IFERROR((F85-E85)/E85,"-")</f>
        <v>-</v>
      </c>
    </row>
    <row r="86" spans="2:9" x14ac:dyDescent="0.25">
      <c r="C86" s="25" t="s">
        <v>104</v>
      </c>
      <c r="D86" s="74"/>
      <c r="E86" s="74"/>
      <c r="F86" s="75"/>
      <c r="G86" s="76"/>
      <c r="H86" s="81" t="str">
        <f>IFERROR((F86-D86)/D86,"-")</f>
        <v>-</v>
      </c>
      <c r="I86" s="78" t="str">
        <f>IFERROR((F86-E86)/E86,"-")</f>
        <v>-</v>
      </c>
    </row>
    <row r="87" spans="2:9" x14ac:dyDescent="0.25">
      <c r="B87" s="73"/>
      <c r="C87" s="26"/>
      <c r="D87" s="33"/>
      <c r="E87" s="33"/>
      <c r="F87" s="34"/>
      <c r="G87" s="29"/>
      <c r="H87" s="30"/>
      <c r="I87" s="31"/>
    </row>
    <row r="88" spans="2:9" x14ac:dyDescent="0.25">
      <c r="C88" s="25" t="s">
        <v>64</v>
      </c>
      <c r="D88" s="94">
        <f t="array" ref="D88">SUMPRODUCT(LARGE((Months=months2)*(PY=PY4_)*(IncLim),{1,2,3,4,5}))</f>
        <v>0</v>
      </c>
      <c r="E88" s="94">
        <f t="array" ref="E88">SUMPRODUCT(LARGE((Months=months2)*(PY=PY3_)*(IncLim),{1,2,3,4,5}))</f>
        <v>0</v>
      </c>
      <c r="F88" s="95">
        <f t="array" ref="F88">SUMPRODUCT(LARGE((Months=months2)*(PY=PY2_)*(IncLim),{1,2,3,4,5}))</f>
        <v>0</v>
      </c>
      <c r="G88" s="76"/>
      <c r="H88" s="81" t="str">
        <f>IFERROR((F88-D88)/D88,"-")</f>
        <v>-</v>
      </c>
      <c r="I88" s="78" t="str">
        <f>IFERROR((F88-E88)/E88,"-")</f>
        <v>-</v>
      </c>
    </row>
    <row r="89" spans="2:9" ht="15.75" thickBot="1" x14ac:dyDescent="0.3">
      <c r="C89" s="35" t="s">
        <v>65</v>
      </c>
      <c r="D89" s="126" t="str">
        <f>IFERROR(D88/D62,"-")</f>
        <v>-</v>
      </c>
      <c r="E89" s="126" t="str">
        <f>IFERROR(E88/E62,"-")</f>
        <v>-</v>
      </c>
      <c r="F89" s="126" t="str">
        <f>IFERROR(F88/F62,"-")</f>
        <v>-</v>
      </c>
      <c r="G89" s="96"/>
      <c r="H89" s="97" t="str">
        <f>IFERROR(IF(((F89-D89)*100)&gt;0,"+"&amp;ROUND((F89-D89)*100,1),ROUND((F89-D89)*100,1)),"-")</f>
        <v>-</v>
      </c>
      <c r="I89" s="98" t="str">
        <f>IFERROR(IF(((F89-E89)*100)&gt;0,"+"&amp;ROUND((F89-E89)*100,1),ROUND((F89-E89)*100,1)),"-")</f>
        <v>-</v>
      </c>
    </row>
    <row r="90" spans="2:9" x14ac:dyDescent="0.25">
      <c r="C90" s="39"/>
      <c r="D90" s="39"/>
      <c r="E90" s="39"/>
      <c r="F90" s="39"/>
      <c r="G90" s="39"/>
      <c r="H90" s="123"/>
      <c r="I90" s="123"/>
    </row>
    <row r="92" spans="2:9" ht="15.75" thickBot="1" x14ac:dyDescent="0.3"/>
    <row r="93" spans="2:9" x14ac:dyDescent="0.25">
      <c r="B93" s="71" t="s">
        <v>67</v>
      </c>
      <c r="C93" s="14" t="str">
        <f>execute!$B$8</f>
        <v>[Client Name] WC Scorecard</v>
      </c>
      <c r="D93" s="148"/>
      <c r="E93" s="149"/>
      <c r="F93" s="149"/>
      <c r="G93" s="14"/>
      <c r="H93" s="15"/>
      <c r="I93" s="16"/>
    </row>
    <row r="94" spans="2:9" x14ac:dyDescent="0.25">
      <c r="C94" s="150" t="str">
        <f>"PY"&amp;RIGHT(YEAR($F$95),2)&amp;" at "&amp;execute!D34&amp;" Months"</f>
        <v>PY19 at 24 Months</v>
      </c>
      <c r="D94" s="151" t="s">
        <v>43</v>
      </c>
      <c r="E94" s="152"/>
      <c r="F94" s="152"/>
      <c r="G94" s="150"/>
      <c r="H94" s="153"/>
      <c r="I94" s="154"/>
    </row>
    <row r="95" spans="2:9" x14ac:dyDescent="0.25">
      <c r="C95" s="150"/>
      <c r="D95" s="43">
        <f t="array" ref="D95">PY5_</f>
        <v>39083</v>
      </c>
      <c r="E95" s="44">
        <f t="array" ref="E95">PY4_</f>
        <v>43101</v>
      </c>
      <c r="F95" s="44">
        <f t="array" ref="F95">PY3_</f>
        <v>43466</v>
      </c>
      <c r="G95" s="150"/>
      <c r="H95" s="153"/>
      <c r="I95" s="154"/>
    </row>
    <row r="96" spans="2:9" x14ac:dyDescent="0.25">
      <c r="C96" s="150"/>
      <c r="D96" s="17" t="s">
        <v>46</v>
      </c>
      <c r="E96" s="18" t="s">
        <v>46</v>
      </c>
      <c r="F96" s="18" t="s">
        <v>46</v>
      </c>
      <c r="G96" s="150"/>
      <c r="H96" s="153"/>
      <c r="I96" s="154"/>
    </row>
    <row r="97" spans="3:10" x14ac:dyDescent="0.25">
      <c r="C97" s="150"/>
      <c r="D97" s="41" t="str">
        <f t="array" ref="D97">MONTH(Val_current)&amp;"/"&amp;DAY(Val_current)&amp;"/"&amp;YEAR(Val_current)-2</f>
        <v>1/0/1898</v>
      </c>
      <c r="E97" s="40" t="str">
        <f t="array" ref="E97">MONTH(Val_current)&amp;"/"&amp;DAY(Val_current)&amp;"/"&amp;YEAR(Val_current)-1</f>
        <v>1/0/1899</v>
      </c>
      <c r="F97" s="42" t="str">
        <f t="array" ref="F97">MONTH(Val_current)&amp;"/"&amp;DAY(Val_current)&amp;"/"&amp;YEAR(Val_current)</f>
        <v>1/0/1900</v>
      </c>
      <c r="G97" s="45" t="s">
        <v>47</v>
      </c>
      <c r="H97" s="46" t="str">
        <f t="array" ref="H97">IF(IncYr_yn="Y",RIGHT(YEAR($D$95),2)&amp;" vs "&amp;RIGHT(YEAR($F$95),2),RIGHT(YEAR($D$95),2)+1&amp;" vs "&amp;RIGHT(YEAR($F$95),2)+1)</f>
        <v>07 vs 19</v>
      </c>
      <c r="I97" s="47" t="str">
        <f t="array" ref="I97">IF(IncYr_yn="Y",RIGHT(YEAR($E$95),2)&amp;" vs "&amp;RIGHT(YEAR($F$95),2),RIGHT(YEAR($E$95),2)+1&amp;" vs "&amp;RIGHT(YEAR($F$95),2)+1)</f>
        <v>18 vs 19</v>
      </c>
    </row>
    <row r="98" spans="3:10" ht="15.75" thickBot="1" x14ac:dyDescent="0.3">
      <c r="C98" s="19"/>
      <c r="D98" s="20"/>
      <c r="E98" s="20"/>
      <c r="F98" s="21"/>
      <c r="G98" s="22"/>
      <c r="H98" s="23"/>
      <c r="I98" s="24"/>
    </row>
    <row r="99" spans="3:10" x14ac:dyDescent="0.25">
      <c r="C99" s="25" t="s">
        <v>50</v>
      </c>
      <c r="D99" s="74">
        <f t="array" ref="D99">IFERROR(VLOOKUP(PY5_,$M$4:$Q$12,3,FALSE),"-")</f>
        <v>0</v>
      </c>
      <c r="E99" s="74">
        <f t="array" ref="E99">IFERROR(VLOOKUP(PY4_,$M$4:$Q$12,3,FALSE),"-")</f>
        <v>0</v>
      </c>
      <c r="F99" s="74">
        <f t="array" ref="F99">IFERROR(VLOOKUP(PY3_,$M$4:$Q$12,3,FALSE),"-")</f>
        <v>0</v>
      </c>
      <c r="G99" s="76"/>
      <c r="H99" s="77" t="str">
        <f>IFERROR((F99-D99)/D99,"-")</f>
        <v>-</v>
      </c>
      <c r="I99" s="78" t="str">
        <f>IFERROR((F99-E99)/E99,"-")</f>
        <v>-</v>
      </c>
    </row>
    <row r="100" spans="3:10" x14ac:dyDescent="0.25">
      <c r="C100" s="25" t="s">
        <v>18</v>
      </c>
      <c r="D100" s="80">
        <f t="array" ref="D100">IFERROR(VLOOKUP(PY5_,$M$4:$P$11,4,FALSE),"-")</f>
        <v>0</v>
      </c>
      <c r="E100" s="80">
        <f t="array" ref="E100">IFERROR(VLOOKUP(PY4_,$M$4:$P$11,4,FALSE),"-")</f>
        <v>0</v>
      </c>
      <c r="F100" s="80">
        <f t="array" ref="F100">IFERROR(VLOOKUP(PY3_,$M$4:$P$11,4,FALSE),"-")</f>
        <v>0</v>
      </c>
      <c r="G100" s="76"/>
      <c r="H100" s="81" t="str">
        <f>IFERROR((F100-D100)/D100,"-")</f>
        <v>-</v>
      </c>
      <c r="I100" s="78" t="str">
        <f>IFERROR((F100-E100)/E100,"-")</f>
        <v>-</v>
      </c>
    </row>
    <row r="101" spans="3:10" ht="15.75" thickBot="1" x14ac:dyDescent="0.3">
      <c r="C101" s="19"/>
      <c r="D101" s="20"/>
      <c r="E101" s="20"/>
      <c r="F101" s="21"/>
      <c r="G101" s="22"/>
      <c r="H101" s="23"/>
      <c r="I101" s="24"/>
    </row>
    <row r="102" spans="3:10" x14ac:dyDescent="0.25">
      <c r="C102" s="25" t="s">
        <v>38</v>
      </c>
      <c r="D102" s="74">
        <f t="array" ref="D102">SUM((IncLim)*(Months=months3)*(PY=PY5_))</f>
        <v>0</v>
      </c>
      <c r="E102" s="74">
        <f t="array" ref="E102">SUM((IncLim)*(Months=months3)*(PY=PY4_))</f>
        <v>0</v>
      </c>
      <c r="F102" s="75">
        <f t="array" ref="F102">SUM((IncLim)*(Months=months3)*(PY=PY3_))</f>
        <v>0</v>
      </c>
      <c r="G102" s="76"/>
      <c r="H102" s="77" t="str">
        <f>IFERROR((F102-D102)/D102,"-")</f>
        <v>-</v>
      </c>
      <c r="I102" s="78" t="str">
        <f>IFERROR((F102-E102)/E102,"-")</f>
        <v>-</v>
      </c>
    </row>
    <row r="103" spans="3:10" x14ac:dyDescent="0.25">
      <c r="C103" s="25" t="s">
        <v>71</v>
      </c>
      <c r="D103" s="74">
        <f t="array" ref="D103">SUM((pdLim)*(Months=months3)*(PY=PY5_))</f>
        <v>0</v>
      </c>
      <c r="E103" s="74">
        <f t="array" ref="E103">SUM((pdLim)*(Months=months3)*(PY=PY4_))</f>
        <v>0</v>
      </c>
      <c r="F103" s="75">
        <f t="array" ref="F103">SUM((pdLim)*(Months=months3)*(PY=PY3_))</f>
        <v>0</v>
      </c>
      <c r="G103" s="76"/>
      <c r="H103" s="81" t="str">
        <f>IFERROR((F103-D103)/D103,"-")</f>
        <v>-</v>
      </c>
      <c r="I103" s="78" t="str">
        <f>IFERROR((F103-E103)/E103,"-")</f>
        <v>-</v>
      </c>
      <c r="J103" s="5"/>
    </row>
    <row r="104" spans="3:10" x14ac:dyDescent="0.25">
      <c r="C104" s="25" t="s">
        <v>51</v>
      </c>
      <c r="D104" s="74">
        <f>D102-D103</f>
        <v>0</v>
      </c>
      <c r="E104" s="74">
        <f>E102-E103</f>
        <v>0</v>
      </c>
      <c r="F104" s="74">
        <f>F102-F103</f>
        <v>0</v>
      </c>
      <c r="G104" s="76"/>
      <c r="H104" s="81" t="str">
        <f>IFERROR((F104-D104)/D104,"-")</f>
        <v>-</v>
      </c>
      <c r="I104" s="78" t="str">
        <f>IFERROR((F104-E104)/E104,"-")</f>
        <v>-</v>
      </c>
    </row>
    <row r="105" spans="3:10" ht="15.75" thickBot="1" x14ac:dyDescent="0.3">
      <c r="C105" s="26"/>
      <c r="D105" s="27"/>
      <c r="E105" s="27"/>
      <c r="F105" s="28"/>
      <c r="G105" s="29"/>
      <c r="H105" s="30"/>
      <c r="I105" s="31"/>
    </row>
    <row r="106" spans="3:10" x14ac:dyDescent="0.25">
      <c r="C106" s="25" t="s">
        <v>52</v>
      </c>
      <c r="D106" s="82">
        <f t="array" ref="D106">SUM((IncLim&gt;0)*(Months=months3)*(PY=PY5_))</f>
        <v>0</v>
      </c>
      <c r="E106" s="82">
        <f t="array" ref="E106">SUM((IncLim&gt;0)*(Months=months3)*(PY=PY4_))</f>
        <v>0</v>
      </c>
      <c r="F106" s="83">
        <f t="array" ref="F106">SUM((IncLim&gt;0)*(Months=months3)*(PY=PY3_))</f>
        <v>0</v>
      </c>
      <c r="G106" s="76"/>
      <c r="H106" s="77" t="str">
        <f>IFERROR((F106-D106)/D106,"-")</f>
        <v>-</v>
      </c>
      <c r="I106" s="78" t="str">
        <f>IFERROR((F106-E106)/E106,"-")</f>
        <v>-</v>
      </c>
    </row>
    <row r="107" spans="3:10" x14ac:dyDescent="0.25">
      <c r="C107" s="25" t="s">
        <v>53</v>
      </c>
      <c r="D107" s="74" t="str">
        <f>IFERROR(D102/D106,"-")</f>
        <v>-</v>
      </c>
      <c r="E107" s="74" t="str">
        <f>IFERROR(E102/E106,"-")</f>
        <v>-</v>
      </c>
      <c r="F107" s="74" t="str">
        <f>IFERROR(F102/F106,"-")</f>
        <v>-</v>
      </c>
      <c r="G107" s="76"/>
      <c r="H107" s="84" t="str">
        <f>IFERROR((F107-D107)/D107,"-")</f>
        <v>-</v>
      </c>
      <c r="I107" s="78" t="str">
        <f>IFERROR((F107-E107)/E107,"-")</f>
        <v>-</v>
      </c>
    </row>
    <row r="108" spans="3:10" x14ac:dyDescent="0.25">
      <c r="C108" s="25" t="s">
        <v>54</v>
      </c>
      <c r="D108" s="74" t="str">
        <f t="array" ref="D108">IFERROR(MEDIAN(IF(IncLim&gt;0, IF(Months=months3,IF(PY=PY5_, IncLim)))),"-")</f>
        <v>-</v>
      </c>
      <c r="E108" s="74" t="str">
        <f t="array" ref="E108">IFERROR(MEDIAN(IF(IncLim&gt;0, IF(Months=months3,IF(PY=PY4_, IncLim)))),"-")</f>
        <v>-</v>
      </c>
      <c r="F108" s="74" t="str">
        <f t="array" ref="F108">IFERROR(MEDIAN(IF(IncLim&gt;0, IF(Months=months3,IF(PY=PY3_, IncLim)))),"-")</f>
        <v>-</v>
      </c>
      <c r="G108" s="76"/>
      <c r="H108" s="81" t="str">
        <f>IFERROR((F108-D108)/D108,"-")</f>
        <v>-</v>
      </c>
      <c r="I108" s="78" t="str">
        <f>IFERROR((F108-E108)/E108,"-")</f>
        <v>-</v>
      </c>
    </row>
    <row r="109" spans="3:10" x14ac:dyDescent="0.25">
      <c r="C109" s="26"/>
      <c r="D109" s="27"/>
      <c r="E109" s="27"/>
      <c r="F109" s="28"/>
      <c r="G109" s="29"/>
      <c r="H109" s="23"/>
      <c r="I109" s="24"/>
    </row>
    <row r="110" spans="3:10" x14ac:dyDescent="0.25">
      <c r="C110" s="25" t="s">
        <v>55</v>
      </c>
      <c r="D110" s="74">
        <f>IFERROR((VLOOKUP(PY5_,'Total Scorecards'!$M$4:$Q$10,5,FALSE)/100),"-")</f>
        <v>0</v>
      </c>
      <c r="E110" s="74">
        <f>IFERROR((VLOOKUP(PY4_,'Total Scorecards'!$M$4:$Q$10,5,FALSE)/100),"-")</f>
        <v>0</v>
      </c>
      <c r="F110" s="75">
        <f>IFERROR((VLOOKUP(PY3_,'Total Scorecards'!$M$4:$Q$10,5,FALSE)/100),"-")</f>
        <v>0</v>
      </c>
      <c r="G110" s="76"/>
      <c r="H110" s="81" t="str">
        <f>IFERROR((F110-D110)/D110,"-")</f>
        <v>-</v>
      </c>
      <c r="I110" s="78" t="str">
        <f>IFERROR((F110-E110)/E110,"-")</f>
        <v>-</v>
      </c>
    </row>
    <row r="111" spans="3:10" ht="15.75" thickBot="1" x14ac:dyDescent="0.3">
      <c r="C111" s="32" t="s">
        <v>57</v>
      </c>
      <c r="D111" s="85" t="str">
        <f>IFERROR(D102/D110,"-")</f>
        <v>-</v>
      </c>
      <c r="E111" s="85" t="str">
        <f>IFERROR(E102/E110,"-")</f>
        <v>-</v>
      </c>
      <c r="F111" s="85" t="str">
        <f>IFERROR(F102/F110,"-")</f>
        <v>-</v>
      </c>
      <c r="G111" s="86"/>
      <c r="H111" s="87" t="str">
        <f>IFERROR((F111-D111)/D111,"-")</f>
        <v>-</v>
      </c>
      <c r="I111" s="88" t="str">
        <f>IFERROR((F111-E111)/E111,"-")</f>
        <v>-</v>
      </c>
    </row>
    <row r="112" spans="3:10" ht="15.75" thickBot="1" x14ac:dyDescent="0.3">
      <c r="C112" s="26"/>
      <c r="D112" s="27"/>
      <c r="E112" s="27"/>
      <c r="F112" s="28"/>
      <c r="G112" s="29"/>
      <c r="H112" s="30"/>
      <c r="I112" s="31"/>
    </row>
    <row r="113" spans="2:9" x14ac:dyDescent="0.25">
      <c r="C113" s="25" t="s">
        <v>58</v>
      </c>
      <c r="D113" s="80">
        <f t="array" ref="D113">SUM((IncLim&gt;0)*(indType&gt;0)*(Months=months3)*(PY=PY5_))</f>
        <v>0</v>
      </c>
      <c r="E113" s="80">
        <f t="array" ref="E113">SUM((IncLim&gt;0)*(indType&gt;0)*(Months=months3)*(PY=PY4_))</f>
        <v>0</v>
      </c>
      <c r="F113" s="89">
        <f t="array" ref="F113">SUM((IncLim&gt;0)*(indType&gt;0)*(Months=months3)*(PY=PY3_))</f>
        <v>0</v>
      </c>
      <c r="G113" s="76"/>
      <c r="H113" s="77" t="str">
        <f>IFERROR((F113-D113)/D113,"-")</f>
        <v>-</v>
      </c>
      <c r="I113" s="78" t="str">
        <f>IFERROR((F113-E113)/E113,"-")</f>
        <v>-</v>
      </c>
    </row>
    <row r="114" spans="2:9" x14ac:dyDescent="0.25">
      <c r="C114" s="25" t="s">
        <v>59</v>
      </c>
      <c r="D114" s="90" t="str">
        <f>IFERROR(D113/D106,"-")</f>
        <v>-</v>
      </c>
      <c r="E114" s="90" t="str">
        <f>IFERROR(E113/E106,"-")</f>
        <v>-</v>
      </c>
      <c r="F114" s="90" t="str">
        <f>IFERROR(F113/F106,"-")</f>
        <v>-</v>
      </c>
      <c r="G114" s="76"/>
      <c r="H114" s="93" t="str">
        <f>IFERROR(IF(((F114-D114)*100)&gt;0,"+"&amp;ROUND((F114-D114)*100,1),ROUND((F114-D114)*100,1)),"-")</f>
        <v>-</v>
      </c>
      <c r="I114" s="92" t="str">
        <f>IFERROR(IF(((F114-E114)*100)&gt;0,"+"&amp;ROUND((F114-E114)*100,1),ROUND((F114-E114)*100,1)),"-")</f>
        <v>-</v>
      </c>
    </row>
    <row r="115" spans="2:9" x14ac:dyDescent="0.25">
      <c r="B115" s="73"/>
      <c r="C115" s="25" t="s">
        <v>60</v>
      </c>
      <c r="D115" s="74">
        <f t="array" ref="D115">SUM((IncLim)*(indType&gt;0)*(Months=months3)*(PY=PY5_))</f>
        <v>0</v>
      </c>
      <c r="E115" s="74">
        <f t="array" ref="E115">SUM((IncLim)*(indType&gt;0)*(Months=months3)*(PY=PY4_))</f>
        <v>0</v>
      </c>
      <c r="F115" s="74">
        <f t="array" ref="F115">SUM((IncLim)*(indType&gt;0)*(Months=months3)*(PY=PY3_))</f>
        <v>0</v>
      </c>
      <c r="G115" s="76"/>
      <c r="H115" s="81" t="str">
        <f t="shared" ref="H115:H116" si="7">IFERROR((F115-D115)/D115,"-")</f>
        <v>-</v>
      </c>
      <c r="I115" s="78" t="str">
        <f t="shared" ref="I115:I116" si="8">IFERROR((F115-E115)/E115,"-")</f>
        <v>-</v>
      </c>
    </row>
    <row r="116" spans="2:9" x14ac:dyDescent="0.25">
      <c r="B116" s="73"/>
      <c r="C116" s="25" t="s">
        <v>61</v>
      </c>
      <c r="D116" s="74" t="str">
        <f>IFERROR(D115/D113,"-")</f>
        <v>-</v>
      </c>
      <c r="E116" s="74" t="str">
        <f t="shared" ref="E116" si="9">IFERROR(E115/E113,"-")</f>
        <v>-</v>
      </c>
      <c r="F116" s="74" t="str">
        <f t="shared" ref="F116" si="10">IFERROR(F115/F113,"-")</f>
        <v>-</v>
      </c>
      <c r="G116" s="76"/>
      <c r="H116" s="81" t="str">
        <f t="shared" si="7"/>
        <v>-</v>
      </c>
      <c r="I116" s="78" t="str">
        <f t="shared" si="8"/>
        <v>-</v>
      </c>
    </row>
    <row r="117" spans="2:9" x14ac:dyDescent="0.25">
      <c r="C117" s="25" t="s">
        <v>62</v>
      </c>
      <c r="D117" s="90" t="str">
        <f>IFERROR(1-(D118/D113),"-")</f>
        <v>-</v>
      </c>
      <c r="E117" s="90" t="str">
        <f>IFERROR(1-(E118/E113),"-")</f>
        <v>-</v>
      </c>
      <c r="F117" s="90" t="str">
        <f>IFERROR(1-(F118/F113),"-")</f>
        <v>-</v>
      </c>
      <c r="G117" s="76"/>
      <c r="H117" s="93" t="str">
        <f>IFERROR(IF(((F117-D117)*100)&gt;0,"+"&amp;ROUND((F117-D117)*100,1),ROUND((F117-D117)*100,1)),"-")</f>
        <v>-</v>
      </c>
      <c r="I117" s="92" t="str">
        <f>IFERROR(IF(((F117-E117)*100)&gt;0,"+"&amp;ROUND((F117-E117)*100,1),ROUND((F117-E117)*100,1)),"-")</f>
        <v>-</v>
      </c>
    </row>
    <row r="118" spans="2:9" ht="15.75" thickBot="1" x14ac:dyDescent="0.3">
      <c r="C118" s="32" t="s">
        <v>63</v>
      </c>
      <c r="D118" s="106">
        <f t="array" ref="D118">SUM((IncLim&gt;0)*(indType&gt;0)*(Closed=0)*(Months=months3)*(PY=PY5_))</f>
        <v>0</v>
      </c>
      <c r="E118" s="106">
        <f t="array" ref="E118">SUM((IncLim&gt;0)*(indType&gt;0)*(Closed=0)*(Months=months3)*(PY=PY4_))</f>
        <v>0</v>
      </c>
      <c r="F118" s="106">
        <f t="array" ref="F118">SUM((IncLim&gt;0)*(indType&gt;0)*(Closed=0)*(Months=months3)*(PY=PY3_))</f>
        <v>0</v>
      </c>
      <c r="G118" s="86"/>
      <c r="H118" s="87" t="str">
        <f>IFERROR((F118-D118)/D118,"-")</f>
        <v>-</v>
      </c>
      <c r="I118" s="88" t="str">
        <f>IFERROR((F118-E118)/E118,"-")</f>
        <v>-</v>
      </c>
    </row>
    <row r="119" spans="2:9" x14ac:dyDescent="0.25">
      <c r="C119" s="26"/>
      <c r="D119" s="33"/>
      <c r="E119" s="33"/>
      <c r="F119" s="34"/>
      <c r="G119" s="29"/>
      <c r="H119" s="30"/>
      <c r="I119" s="31"/>
    </row>
    <row r="120" spans="2:9" x14ac:dyDescent="0.25">
      <c r="C120" s="25" t="s">
        <v>72</v>
      </c>
      <c r="D120" s="80">
        <f t="array" ref="D120">SUM((IncLim&gt;0)*(Lit&gt;0)*(indType&gt;0)*(Months=months3)*(PY=PY5_))</f>
        <v>0</v>
      </c>
      <c r="E120" s="80">
        <f t="array" ref="E120">SUM((IncLim&gt;0)*(Lit&gt;0)*(indType&gt;0)*(Months=months3)*(PY=PY4_))</f>
        <v>0</v>
      </c>
      <c r="F120" s="89">
        <f t="array" ref="F120">SUM((IncLim&gt;0)*(Lit&gt;0)*(indType&gt;0)*(Months=months3)*(PY=PY3_))</f>
        <v>0</v>
      </c>
      <c r="G120" s="76"/>
      <c r="H120" s="81" t="str">
        <f>IFERROR((F120-D120)/D120,"-")</f>
        <v>-</v>
      </c>
      <c r="I120" s="78" t="str">
        <f>IFERROR((F120-E120)/E120,"-")</f>
        <v>-</v>
      </c>
    </row>
    <row r="121" spans="2:9" x14ac:dyDescent="0.25">
      <c r="C121" s="25" t="s">
        <v>73</v>
      </c>
      <c r="D121" s="90" t="str">
        <f>IFERROR(D120/D113,"-")</f>
        <v>-</v>
      </c>
      <c r="E121" s="90" t="str">
        <f>IFERROR(E120/E113,"-")</f>
        <v>-</v>
      </c>
      <c r="F121" s="125" t="str">
        <f>IFERROR(F120/F113,"-")</f>
        <v>-</v>
      </c>
      <c r="G121" s="76"/>
      <c r="H121" s="93" t="str">
        <f>IFERROR(IF(((F121-D121)*100)&gt;0,"+"&amp;ROUND((F121-D121)*100,1),ROUND((F121-D121)*100,1)),"-")</f>
        <v>-</v>
      </c>
      <c r="I121" s="92" t="str">
        <f>IFERROR(IF(((F121-E121)*100)&gt;0,"+"&amp;ROUND((F121-E121)*100,1),ROUND((F121-E121)*100,1)),"-")</f>
        <v>-</v>
      </c>
    </row>
    <row r="122" spans="2:9" x14ac:dyDescent="0.25">
      <c r="C122" s="25" t="s">
        <v>75</v>
      </c>
      <c r="D122" s="74">
        <f t="array" ref="D122">SUM((IncLim)*(Lit&gt;0)*(indType&gt;0)*(Months=months3)*(PY=PY5_))</f>
        <v>0</v>
      </c>
      <c r="E122" s="74">
        <f t="array" ref="E122">SUM((IncLim)*(Lit&gt;0)*(indType&gt;0)*(Months=months3)*(PY=PY4_))</f>
        <v>0</v>
      </c>
      <c r="F122" s="75">
        <f t="array" ref="F122">SUM((IncLim)*(Lit&gt;0)*(indType&gt;0)*(Months=months3)*(PY=PY3_))</f>
        <v>0</v>
      </c>
      <c r="G122" s="76"/>
      <c r="H122" s="81" t="str">
        <f>IFERROR((F122-D122)/D122,"-")</f>
        <v>-</v>
      </c>
      <c r="I122" s="78" t="str">
        <f>IFERROR((F122-E122)/E122,"-")</f>
        <v>-</v>
      </c>
    </row>
    <row r="123" spans="2:9" x14ac:dyDescent="0.25">
      <c r="C123" s="120" t="s">
        <v>100</v>
      </c>
      <c r="D123" s="122" t="str">
        <f>IFERROR(D122/D115,"-")</f>
        <v>-</v>
      </c>
      <c r="E123" s="122" t="str">
        <f>IFERROR(E122/E115,"-")</f>
        <v>-</v>
      </c>
      <c r="F123" s="122" t="str">
        <f>IFERROR(F122/F115,"-")</f>
        <v>-</v>
      </c>
      <c r="G123" s="121"/>
      <c r="H123" s="93" t="str">
        <f>IFERROR(IF(((F123-D123)*100)&gt;0,"+"&amp;ROUND((F123-D123)*100,1),ROUND((F123-D123)*100,1)),"-")</f>
        <v>-</v>
      </c>
      <c r="I123" s="92" t="str">
        <f>IFERROR(IF(((F123-E123)*100)&gt;0,"+"&amp;ROUND((F123-E123)*100,1),ROUND((F123-E123)*100,1)),"-")</f>
        <v>-</v>
      </c>
    </row>
    <row r="124" spans="2:9" x14ac:dyDescent="0.25">
      <c r="C124" s="25" t="s">
        <v>91</v>
      </c>
      <c r="D124" s="80">
        <f t="array" ref="D124">SUM((IncLim&gt;0)*(Lit&gt;0)*(Months=months3)*(PY=PY5_))</f>
        <v>0</v>
      </c>
      <c r="E124" s="80">
        <f t="array" ref="E124">SUM((IncLim&gt;0)*(Lit&gt;0)*(Months=months3)*(PY=PY4_))</f>
        <v>0</v>
      </c>
      <c r="F124" s="89">
        <f t="array" ref="F124">SUM((IncLim&gt;0)*(Lit&gt;0)*(Months=months3)*(PY=PY3_))</f>
        <v>0</v>
      </c>
      <c r="G124" s="76"/>
      <c r="H124" s="81" t="str">
        <f>IFERROR((F124-D124)/D124,"-")</f>
        <v>-</v>
      </c>
      <c r="I124" s="78" t="str">
        <f>IFERROR((F124-E124)/E124,"-")</f>
        <v>-</v>
      </c>
    </row>
    <row r="125" spans="2:9" x14ac:dyDescent="0.25">
      <c r="C125" s="25" t="s">
        <v>74</v>
      </c>
      <c r="D125" s="74">
        <f t="array" ref="D125">SUM((IncLim)*(Lit&gt;0)*(Months=months3)*(PY=PY5_))</f>
        <v>0</v>
      </c>
      <c r="E125" s="74">
        <f t="array" ref="E125">SUM((IncLim)*(Lit&gt;0)*(Months=months3)*(PY=PY4_))</f>
        <v>0</v>
      </c>
      <c r="F125" s="75">
        <f t="array" ref="F125">SUM((IncLim)*(Lit&gt;0)*(Months=months3)*(PY=PY3_))</f>
        <v>0</v>
      </c>
      <c r="G125" s="76"/>
      <c r="H125" s="81" t="str">
        <f>IFERROR((F125-D125)/D125,"-")</f>
        <v>-</v>
      </c>
      <c r="I125" s="78" t="str">
        <f>IFERROR((F125-E125)/E125,"-")</f>
        <v>-</v>
      </c>
    </row>
    <row r="126" spans="2:9" x14ac:dyDescent="0.25">
      <c r="C126" s="25" t="s">
        <v>104</v>
      </c>
      <c r="D126" s="74"/>
      <c r="E126" s="74"/>
      <c r="F126" s="75"/>
      <c r="G126" s="76"/>
      <c r="H126" s="81" t="str">
        <f>IFERROR((F126-D126)/D126,"-")</f>
        <v>-</v>
      </c>
      <c r="I126" s="78" t="str">
        <f>IFERROR((F126-E126)/E126,"-")</f>
        <v>-</v>
      </c>
    </row>
    <row r="127" spans="2:9" x14ac:dyDescent="0.25">
      <c r="B127" s="73"/>
      <c r="C127" s="26"/>
      <c r="D127" s="33"/>
      <c r="E127" s="33"/>
      <c r="F127" s="34"/>
      <c r="G127" s="29"/>
      <c r="H127" s="30"/>
      <c r="I127" s="31"/>
    </row>
    <row r="128" spans="2:9" x14ac:dyDescent="0.25">
      <c r="C128" s="25" t="s">
        <v>64</v>
      </c>
      <c r="D128" s="94">
        <f t="array" ref="D128">SUMPRODUCT(LARGE((Months=months3)*(PY=PY5_)*(IncLim),{1,2,3,4,5}))</f>
        <v>0</v>
      </c>
      <c r="E128" s="94">
        <f t="array" ref="E128">SUMPRODUCT(LARGE((Months=months3)*(PY=PY4_)*(IncLim),{1,2,3,4,5}))</f>
        <v>0</v>
      </c>
      <c r="F128" s="95">
        <f t="array" ref="F128">SUMPRODUCT(LARGE((Months=months3)*(PY=PY3_)*(IncLim),{1,2,3,4,5}))</f>
        <v>0</v>
      </c>
      <c r="G128" s="76"/>
      <c r="H128" s="81" t="str">
        <f>IFERROR((F128-D128)/D128,"-")</f>
        <v>-</v>
      </c>
      <c r="I128" s="78" t="str">
        <f>IFERROR((F128-E128)/E128,"-")</f>
        <v>-</v>
      </c>
    </row>
    <row r="129" spans="2:10" ht="15.75" thickBot="1" x14ac:dyDescent="0.3">
      <c r="C129" s="35" t="s">
        <v>65</v>
      </c>
      <c r="D129" s="126" t="str">
        <f>IFERROR(D128/D102,"-")</f>
        <v>-</v>
      </c>
      <c r="E129" s="126" t="str">
        <f>IFERROR(E128/E102,"-")</f>
        <v>-</v>
      </c>
      <c r="F129" s="126" t="str">
        <f>IFERROR(F128/F102,"-")</f>
        <v>-</v>
      </c>
      <c r="G129" s="96"/>
      <c r="H129" s="97" t="str">
        <f>IFERROR(IF(((F129-D129)*100)&gt;0,"+"&amp;ROUND((F129-D129)*100,1),ROUND((F129-D129)*100,1)),"-")</f>
        <v>-</v>
      </c>
      <c r="I129" s="98" t="str">
        <f>IFERROR(IF(((F129-E129)*100)&gt;0,"+"&amp;ROUND((F129-E129)*100,1),ROUND((F129-E129)*100,1)),"-")</f>
        <v>-</v>
      </c>
    </row>
    <row r="132" spans="2:10" ht="15.75" thickBot="1" x14ac:dyDescent="0.3"/>
    <row r="133" spans="2:10" x14ac:dyDescent="0.25">
      <c r="B133" s="71" t="s">
        <v>68</v>
      </c>
      <c r="C133" s="14" t="str">
        <f>execute!$B$8</f>
        <v>[Client Name] WC Scorecard</v>
      </c>
      <c r="D133" s="148"/>
      <c r="E133" s="149"/>
      <c r="F133" s="149"/>
      <c r="G133" s="14"/>
      <c r="H133" s="15"/>
      <c r="I133" s="16"/>
    </row>
    <row r="134" spans="2:10" x14ac:dyDescent="0.25">
      <c r="C134" s="150" t="str">
        <f>"PY"&amp;RIGHT(YEAR($F$135),2)&amp;" at "&amp;execute!D35&amp;" Months"</f>
        <v>PY18 at 36 Months</v>
      </c>
      <c r="D134" s="151" t="s">
        <v>43</v>
      </c>
      <c r="E134" s="152"/>
      <c r="F134" s="152"/>
      <c r="G134" s="150"/>
      <c r="H134" s="153"/>
      <c r="I134" s="154"/>
    </row>
    <row r="135" spans="2:10" x14ac:dyDescent="0.25">
      <c r="C135" s="150"/>
      <c r="D135" s="43">
        <f t="array" ref="D135">PY6_</f>
        <v>42370</v>
      </c>
      <c r="E135" s="44">
        <f t="array" ref="E135">PY5_</f>
        <v>39083</v>
      </c>
      <c r="F135" s="44">
        <f t="array" ref="F135">PY4_</f>
        <v>43101</v>
      </c>
      <c r="G135" s="150"/>
      <c r="H135" s="153"/>
      <c r="I135" s="154"/>
    </row>
    <row r="136" spans="2:10" x14ac:dyDescent="0.25">
      <c r="C136" s="150"/>
      <c r="D136" s="17" t="s">
        <v>46</v>
      </c>
      <c r="E136" s="18" t="s">
        <v>46</v>
      </c>
      <c r="F136" s="18" t="s">
        <v>46</v>
      </c>
      <c r="G136" s="150"/>
      <c r="H136" s="153"/>
      <c r="I136" s="154"/>
    </row>
    <row r="137" spans="2:10" x14ac:dyDescent="0.25">
      <c r="C137" s="150"/>
      <c r="D137" s="41" t="str">
        <f t="array" ref="D137">MONTH(Val_current)&amp;"/"&amp;DAY(Val_current)&amp;"/"&amp;YEAR(Val_current)-2</f>
        <v>1/0/1898</v>
      </c>
      <c r="E137" s="40" t="str">
        <f t="array" ref="E137">MONTH(Val_current)&amp;"/"&amp;DAY(Val_current)&amp;"/"&amp;YEAR(Val_current)-1</f>
        <v>1/0/1899</v>
      </c>
      <c r="F137" s="42" t="str">
        <f t="array" ref="F137">MONTH(Val_current)&amp;"/"&amp;DAY(Val_current)&amp;"/"&amp;YEAR(Val_current)</f>
        <v>1/0/1900</v>
      </c>
      <c r="G137" s="45" t="s">
        <v>47</v>
      </c>
      <c r="H137" s="46" t="str">
        <f t="array" ref="H137">IF(IncYr_yn="Y",RIGHT(YEAR($D$135),2)&amp;" vs "&amp;RIGHT(YEAR($F$135),2),RIGHT(YEAR($D$135),2)+1&amp;" vs "&amp;RIGHT(YEAR($F$135),2)+1)</f>
        <v>16 vs 18</v>
      </c>
      <c r="I137" s="47" t="str">
        <f t="array" ref="I137">IF(IncYr_yn="Y",RIGHT(YEAR($E$135),2)&amp;" vs "&amp;RIGHT(YEAR($F$135),2),RIGHT(YEAR($E$135),2)+1&amp;" vs "&amp;RIGHT(YEAR($F$135),2)+1)</f>
        <v>07 vs 18</v>
      </c>
    </row>
    <row r="138" spans="2:10" ht="15.75" thickBot="1" x14ac:dyDescent="0.3">
      <c r="C138" s="19"/>
      <c r="D138" s="20"/>
      <c r="E138" s="20"/>
      <c r="F138" s="21"/>
      <c r="G138" s="22"/>
      <c r="H138" s="23"/>
      <c r="I138" s="24"/>
    </row>
    <row r="139" spans="2:10" x14ac:dyDescent="0.25">
      <c r="C139" s="25" t="s">
        <v>50</v>
      </c>
      <c r="D139" s="74">
        <f t="array" ref="D139">IFERROR(VLOOKUP(PY6_,$M$4:$Q$12,3,FALSE),"-")</f>
        <v>0</v>
      </c>
      <c r="E139" s="74">
        <f t="array" ref="E139">IFERROR(VLOOKUP(PY5_,$M$4:$Q$12,3,FALSE),"-")</f>
        <v>0</v>
      </c>
      <c r="F139" s="74">
        <f>IFERROR(VLOOKUP(PY4_,$M$4:$Q$12,3,FALSE),"-")</f>
        <v>0</v>
      </c>
      <c r="G139" s="76"/>
      <c r="H139" s="77" t="str">
        <f>IFERROR((F139-D139)/D139,"-")</f>
        <v>-</v>
      </c>
      <c r="I139" s="78" t="str">
        <f>IFERROR((F139-E139)/E139,"-")</f>
        <v>-</v>
      </c>
    </row>
    <row r="140" spans="2:10" x14ac:dyDescent="0.25">
      <c r="C140" s="25" t="s">
        <v>18</v>
      </c>
      <c r="D140" s="80">
        <f t="array" ref="D140">IFERROR(VLOOKUP(PY6_,$M$4:$P$11,4,FALSE),"-")</f>
        <v>0</v>
      </c>
      <c r="E140" s="80">
        <f t="array" ref="E140">IFERROR(VLOOKUP(PY5_,$M$4:$P$11,4,FALSE),"-")</f>
        <v>0</v>
      </c>
      <c r="F140" s="80">
        <f t="array" ref="F140">IFERROR(VLOOKUP(PY4_,$M$4:$P$11,4,FALSE),"-")</f>
        <v>0</v>
      </c>
      <c r="G140" s="76"/>
      <c r="H140" s="81" t="str">
        <f>IFERROR((F140-D140)/D140,"-")</f>
        <v>-</v>
      </c>
      <c r="I140" s="78" t="str">
        <f>IFERROR((F140-E140)/E140,"-")</f>
        <v>-</v>
      </c>
    </row>
    <row r="141" spans="2:10" ht="15.75" thickBot="1" x14ac:dyDescent="0.3">
      <c r="C141" s="19"/>
      <c r="D141" s="20"/>
      <c r="E141" s="20"/>
      <c r="F141" s="21"/>
      <c r="G141" s="22"/>
      <c r="H141" s="23"/>
      <c r="I141" s="24"/>
    </row>
    <row r="142" spans="2:10" x14ac:dyDescent="0.25">
      <c r="C142" s="25" t="s">
        <v>38</v>
      </c>
      <c r="D142" s="74">
        <f t="array" ref="D142">SUM((IncLim)*(Months=months4)*(PY=PY6_))</f>
        <v>0</v>
      </c>
      <c r="E142" s="74">
        <f t="array" ref="E142">SUM((IncLim)*(Months=months4)*(PY=PY5_))</f>
        <v>0</v>
      </c>
      <c r="F142" s="75">
        <f t="array" ref="F142">SUM((IncLim)*(Months=months4)*(PY=PY4_))</f>
        <v>0</v>
      </c>
      <c r="G142" s="76"/>
      <c r="H142" s="77" t="str">
        <f>IFERROR((F142-D142)/D142,"-")</f>
        <v>-</v>
      </c>
      <c r="I142" s="78" t="str">
        <f>IFERROR((F142-E142)/E142,"-")</f>
        <v>-</v>
      </c>
    </row>
    <row r="143" spans="2:10" x14ac:dyDescent="0.25">
      <c r="C143" s="25" t="s">
        <v>71</v>
      </c>
      <c r="D143" s="74">
        <f t="array" ref="D143">SUM((pdLim)*(Months=months4)*(PY=PY6_))</f>
        <v>0</v>
      </c>
      <c r="E143" s="74">
        <f t="array" ref="E143">SUM((pdLim)*(Months=months4)*(PY=PY5_))</f>
        <v>0</v>
      </c>
      <c r="F143" s="75">
        <f t="array" ref="F143">SUM((pdLim)*(Months=months4)*(PY=PY4_))</f>
        <v>0</v>
      </c>
      <c r="G143" s="76"/>
      <c r="H143" s="81" t="str">
        <f>IFERROR((F143-D143)/D143,"-")</f>
        <v>-</v>
      </c>
      <c r="I143" s="78" t="str">
        <f>IFERROR((F143-E143)/E143,"-")</f>
        <v>-</v>
      </c>
      <c r="J143" s="5"/>
    </row>
    <row r="144" spans="2:10" x14ac:dyDescent="0.25">
      <c r="C144" s="25" t="s">
        <v>51</v>
      </c>
      <c r="D144" s="74">
        <f>D142-D143</f>
        <v>0</v>
      </c>
      <c r="E144" s="74">
        <f>E142-E143</f>
        <v>0</v>
      </c>
      <c r="F144" s="74">
        <f>F142-F143</f>
        <v>0</v>
      </c>
      <c r="G144" s="76"/>
      <c r="H144" s="81" t="str">
        <f>IFERROR((F144-D144)/D144,"-")</f>
        <v>-</v>
      </c>
      <c r="I144" s="78" t="str">
        <f>IFERROR((F144-E144)/E144,"-")</f>
        <v>-</v>
      </c>
    </row>
    <row r="145" spans="2:9" ht="15.75" thickBot="1" x14ac:dyDescent="0.3">
      <c r="C145" s="26"/>
      <c r="D145" s="27"/>
      <c r="E145" s="27"/>
      <c r="F145" s="28"/>
      <c r="G145" s="29"/>
      <c r="H145" s="30"/>
      <c r="I145" s="31"/>
    </row>
    <row r="146" spans="2:9" x14ac:dyDescent="0.25">
      <c r="C146" s="25" t="s">
        <v>52</v>
      </c>
      <c r="D146" s="82">
        <f t="array" ref="D146">SUM((IncLim&gt;0)*(Months=months4)*(PY=PY6_))</f>
        <v>0</v>
      </c>
      <c r="E146" s="82">
        <f t="array" ref="E146">SUM((IncLim&gt;0)*(Months=months4)*(PY=PY5_))</f>
        <v>0</v>
      </c>
      <c r="F146" s="83">
        <f t="array" ref="F146">SUM((IncLim&gt;0)*(Months=months4)*(PY=PY4_))</f>
        <v>0</v>
      </c>
      <c r="G146" s="76"/>
      <c r="H146" s="77" t="str">
        <f>IFERROR((F146-D146)/D146,"-")</f>
        <v>-</v>
      </c>
      <c r="I146" s="78" t="str">
        <f>IFERROR((F146-E146)/E146,"-")</f>
        <v>-</v>
      </c>
    </row>
    <row r="147" spans="2:9" x14ac:dyDescent="0.25">
      <c r="C147" s="25" t="s">
        <v>53</v>
      </c>
      <c r="D147" s="74" t="str">
        <f>IFERROR(D142/D146,"-")</f>
        <v>-</v>
      </c>
      <c r="E147" s="74" t="str">
        <f>IFERROR(E142/E146,"-")</f>
        <v>-</v>
      </c>
      <c r="F147" s="74" t="str">
        <f>IFERROR(F142/F146,"-")</f>
        <v>-</v>
      </c>
      <c r="G147" s="76"/>
      <c r="H147" s="84" t="str">
        <f>IFERROR((F147-D147)/D147,"-")</f>
        <v>-</v>
      </c>
      <c r="I147" s="78" t="str">
        <f>IFERROR((F147-E147)/E147,"-")</f>
        <v>-</v>
      </c>
    </row>
    <row r="148" spans="2:9" x14ac:dyDescent="0.25">
      <c r="C148" s="25" t="s">
        <v>54</v>
      </c>
      <c r="D148" s="74" t="str">
        <f t="array" ref="D148">IFERROR(MEDIAN(IF(IncLim&gt;0, IF(Months=months4,IF(PY=PY6_, IncLim)))),"-")</f>
        <v>-</v>
      </c>
      <c r="E148" s="74" t="str">
        <f t="array" ref="E148">IFERROR(MEDIAN(IF(IncLim&gt;0, IF(Months=months4,IF(PY=PY5_, IncLim)))),"-")</f>
        <v>-</v>
      </c>
      <c r="F148" s="74" t="str">
        <f t="array" ref="F148">IFERROR(MEDIAN(IF(IncLim&gt;0, IF(Months=months4,IF(PY=PY4_, IncLim)))),"-")</f>
        <v>-</v>
      </c>
      <c r="G148" s="76"/>
      <c r="H148" s="81" t="str">
        <f>IFERROR((F148-D148)/D148,"-")</f>
        <v>-</v>
      </c>
      <c r="I148" s="78" t="str">
        <f>IFERROR((F148-E148)/E148,"-")</f>
        <v>-</v>
      </c>
    </row>
    <row r="149" spans="2:9" x14ac:dyDescent="0.25">
      <c r="C149" s="26"/>
      <c r="D149" s="27"/>
      <c r="E149" s="27"/>
      <c r="F149" s="28"/>
      <c r="G149" s="29"/>
      <c r="H149" s="23"/>
      <c r="I149" s="24"/>
    </row>
    <row r="150" spans="2:9" x14ac:dyDescent="0.25">
      <c r="C150" s="25" t="s">
        <v>55</v>
      </c>
      <c r="D150" s="74">
        <f>IFERROR((VLOOKUP(PY6_,'Total Scorecards'!$M$4:$Q$10,5,FALSE)/100),"-")</f>
        <v>0</v>
      </c>
      <c r="E150" s="74">
        <f>IFERROR((VLOOKUP(PY5_,'Total Scorecards'!$M$4:$Q$10,5,FALSE)/100),"-")</f>
        <v>0</v>
      </c>
      <c r="F150" s="75">
        <f>IFERROR((VLOOKUP(PY4_,'Total Scorecards'!$M$4:$Q$10,5,FALSE)/100),"-")</f>
        <v>0</v>
      </c>
      <c r="G150" s="76"/>
      <c r="H150" s="81" t="str">
        <f>IFERROR((F150-D150)/D150,"-")</f>
        <v>-</v>
      </c>
      <c r="I150" s="78" t="str">
        <f>IFERROR((F150-E150)/E150,"-")</f>
        <v>-</v>
      </c>
    </row>
    <row r="151" spans="2:9" ht="15.75" thickBot="1" x14ac:dyDescent="0.3">
      <c r="C151" s="32" t="s">
        <v>57</v>
      </c>
      <c r="D151" s="85" t="str">
        <f>IFERROR(D142/D150,"-")</f>
        <v>-</v>
      </c>
      <c r="E151" s="85" t="str">
        <f>IFERROR(E142/E150,"-")</f>
        <v>-</v>
      </c>
      <c r="F151" s="85" t="str">
        <f>IFERROR(F142/F150,"-")</f>
        <v>-</v>
      </c>
      <c r="G151" s="86"/>
      <c r="H151" s="87" t="str">
        <f>IFERROR((F151-D151)/D151,"-")</f>
        <v>-</v>
      </c>
      <c r="I151" s="88" t="str">
        <f>IFERROR((F151-E151)/E151,"-")</f>
        <v>-</v>
      </c>
    </row>
    <row r="152" spans="2:9" ht="15.75" thickBot="1" x14ac:dyDescent="0.3">
      <c r="C152" s="26"/>
      <c r="D152" s="27"/>
      <c r="E152" s="27"/>
      <c r="F152" s="28"/>
      <c r="G152" s="29"/>
      <c r="H152" s="30"/>
      <c r="I152" s="31"/>
    </row>
    <row r="153" spans="2:9" x14ac:dyDescent="0.25">
      <c r="C153" s="25" t="s">
        <v>58</v>
      </c>
      <c r="D153" s="80">
        <f t="array" ref="D153">SUM((IncLim&gt;0)*(indType&gt;0)*(Months=months4)*(PY=PY6_))</f>
        <v>0</v>
      </c>
      <c r="E153" s="80">
        <f t="array" ref="E153">SUM((IncLim&gt;0)*(indType&gt;0)*(Months=months4)*(PY=PY5_))</f>
        <v>0</v>
      </c>
      <c r="F153" s="89">
        <f t="array" ref="F153">SUM((IncLim&gt;0)*(indType&gt;0)*(Months=months4)*(PY=PY4_))</f>
        <v>0</v>
      </c>
      <c r="G153" s="76"/>
      <c r="H153" s="77" t="str">
        <f>IFERROR((F153-D153)/D153,"-")</f>
        <v>-</v>
      </c>
      <c r="I153" s="78" t="str">
        <f>IFERROR((F153-E153)/E153,"-")</f>
        <v>-</v>
      </c>
    </row>
    <row r="154" spans="2:9" x14ac:dyDescent="0.25">
      <c r="C154" s="25" t="s">
        <v>59</v>
      </c>
      <c r="D154" s="90" t="str">
        <f>IFERROR(D153/D146,"-")</f>
        <v>-</v>
      </c>
      <c r="E154" s="90" t="str">
        <f>IFERROR(E153/E146,"-")</f>
        <v>-</v>
      </c>
      <c r="F154" s="90" t="str">
        <f>IFERROR(F153/F146,"-")</f>
        <v>-</v>
      </c>
      <c r="G154" s="76"/>
      <c r="H154" s="93" t="str">
        <f>IFERROR(IF(((F154-D154)*100)&gt;0,"+"&amp;ROUND((F154-D154)*100,1),ROUND((F154-D154)*100,1)),"-")</f>
        <v>-</v>
      </c>
      <c r="I154" s="92" t="str">
        <f>IFERROR(IF(((F154-E154)*100)&gt;0,"+"&amp;ROUND((F154-E154)*100,1),ROUND((F154-E154)*100,1)),"-")</f>
        <v>-</v>
      </c>
    </row>
    <row r="155" spans="2:9" x14ac:dyDescent="0.25">
      <c r="B155" s="73"/>
      <c r="C155" s="25" t="s">
        <v>60</v>
      </c>
      <c r="D155" s="74">
        <f t="array" ref="D155">SUM((IncLim)*(indType&gt;0)*(Months=months4)*(PY=PY6_))</f>
        <v>0</v>
      </c>
      <c r="E155" s="74">
        <f t="array" ref="E155">SUM((IncLim)*(indType&gt;0)*(Months=months4)*(PY=PY5_))</f>
        <v>0</v>
      </c>
      <c r="F155" s="74">
        <f t="array" ref="F155">SUM((IncLim)*(indType&gt;0)*(Months=months4)*(PY=PY4_))</f>
        <v>0</v>
      </c>
      <c r="G155" s="76"/>
      <c r="H155" s="81" t="str">
        <f t="shared" ref="H155:H156" si="11">IFERROR((F155-D155)/D155,"-")</f>
        <v>-</v>
      </c>
      <c r="I155" s="78" t="str">
        <f t="shared" ref="I155:I156" si="12">IFERROR((F155-E155)/E155,"-")</f>
        <v>-</v>
      </c>
    </row>
    <row r="156" spans="2:9" x14ac:dyDescent="0.25">
      <c r="B156" s="73"/>
      <c r="C156" s="25" t="s">
        <v>61</v>
      </c>
      <c r="D156" s="74" t="str">
        <f>IFERROR(D155/D153,"-")</f>
        <v>-</v>
      </c>
      <c r="E156" s="74" t="str">
        <f t="shared" ref="E156" si="13">IFERROR(E155/E153,"-")</f>
        <v>-</v>
      </c>
      <c r="F156" s="74" t="str">
        <f t="shared" ref="F156" si="14">IFERROR(F155/F153,"-")</f>
        <v>-</v>
      </c>
      <c r="G156" s="76"/>
      <c r="H156" s="81" t="str">
        <f t="shared" si="11"/>
        <v>-</v>
      </c>
      <c r="I156" s="78" t="str">
        <f t="shared" si="12"/>
        <v>-</v>
      </c>
    </row>
    <row r="157" spans="2:9" x14ac:dyDescent="0.25">
      <c r="C157" s="25" t="s">
        <v>62</v>
      </c>
      <c r="D157" s="90" t="str">
        <f>IFERROR(1-(D158/D153),"-")</f>
        <v>-</v>
      </c>
      <c r="E157" s="90" t="str">
        <f>IFERROR(1-(E158/E153),"-")</f>
        <v>-</v>
      </c>
      <c r="F157" s="90" t="str">
        <f>IFERROR(1-(F158/F153),"-")</f>
        <v>-</v>
      </c>
      <c r="G157" s="76"/>
      <c r="H157" s="93" t="str">
        <f>IFERROR(IF(((F157-D157)*100)&gt;0,"+"&amp;ROUND((F157-D157)*100,1),ROUND((F157-D157)*100,1)),"-")</f>
        <v>-</v>
      </c>
      <c r="I157" s="92" t="str">
        <f>IFERROR(IF(((F157-E157)*100)&gt;0,"+"&amp;ROUND((F157-E157)*100,1),ROUND((F157-E157)*100,1)),"-")</f>
        <v>-</v>
      </c>
    </row>
    <row r="158" spans="2:9" ht="15.75" thickBot="1" x14ac:dyDescent="0.3">
      <c r="C158" s="32" t="s">
        <v>63</v>
      </c>
      <c r="D158" s="106">
        <f t="array" ref="D158">SUM((IncLim&gt;0)*(indType&gt;0)*(Closed=0)*(Months=months4)*(PY=PY6_))</f>
        <v>0</v>
      </c>
      <c r="E158" s="106">
        <f t="array" ref="E158">SUM((IncLim&gt;0)*(indType&gt;0)*(Closed=0)*(Months=months4)*(PY=PY5_))</f>
        <v>0</v>
      </c>
      <c r="F158" s="106">
        <f t="array" ref="F158">SUM((IncLim&gt;0)*(indType&gt;0)*(Closed=0)*(Months=months4)*(PY=PY4_))</f>
        <v>0</v>
      </c>
      <c r="G158" s="86"/>
      <c r="H158" s="87" t="str">
        <f>IFERROR((F158-D158)/D158,"-")</f>
        <v>-</v>
      </c>
      <c r="I158" s="88" t="str">
        <f>IFERROR((F158-E158)/E158,"-")</f>
        <v>-</v>
      </c>
    </row>
    <row r="159" spans="2:9" x14ac:dyDescent="0.25">
      <c r="C159" s="26"/>
      <c r="D159" s="33"/>
      <c r="E159" s="33"/>
      <c r="F159" s="34"/>
      <c r="G159" s="29"/>
      <c r="H159" s="30"/>
      <c r="I159" s="31"/>
    </row>
    <row r="160" spans="2:9" x14ac:dyDescent="0.25">
      <c r="C160" s="25" t="s">
        <v>72</v>
      </c>
      <c r="D160" s="80">
        <f t="array" ref="D160">SUM((IncLim&gt;0)*(Lit&gt;0)*(indType&gt;0)*(Months=months4)*(PY=PY6_))</f>
        <v>0</v>
      </c>
      <c r="E160" s="80">
        <f t="array" ref="E160">SUM((IncLim&gt;0)*(Lit&gt;0)*(indType&gt;0)*(Months=months4)*(PY=PY5_))</f>
        <v>0</v>
      </c>
      <c r="F160" s="89">
        <f t="array" ref="F160">SUM((IncLim&gt;0)*(Lit&gt;0)*(indType&gt;0)*(Months=months4)*(PY=PY4_))</f>
        <v>0</v>
      </c>
      <c r="G160" s="76"/>
      <c r="H160" s="81" t="str">
        <f>IFERROR((F160-D160)/D160,"-")</f>
        <v>-</v>
      </c>
      <c r="I160" s="78" t="str">
        <f>IFERROR((F160-E160)/E160,"-")</f>
        <v>-</v>
      </c>
    </row>
    <row r="161" spans="2:9" x14ac:dyDescent="0.25">
      <c r="C161" s="25" t="s">
        <v>73</v>
      </c>
      <c r="D161" s="90" t="str">
        <f>IFERROR(D160/D153,"-")</f>
        <v>-</v>
      </c>
      <c r="E161" s="90" t="str">
        <f>IFERROR(E160/E153,"-")</f>
        <v>-</v>
      </c>
      <c r="F161" s="125" t="str">
        <f>IFERROR(F160/F153,"-")</f>
        <v>-</v>
      </c>
      <c r="G161" s="76"/>
      <c r="H161" s="93" t="str">
        <f>IFERROR(IF(((F161-D161)*100)&gt;0,"+"&amp;ROUND((F161-D161)*100,1),ROUND((F161-D161)*100,1)),"-")</f>
        <v>-</v>
      </c>
      <c r="I161" s="92" t="str">
        <f>IFERROR(IF(((F161-E161)*100)&gt;0,"+"&amp;ROUND((F161-E161)*100,1),ROUND((F161-E161)*100,1)),"-")</f>
        <v>-</v>
      </c>
    </row>
    <row r="162" spans="2:9" x14ac:dyDescent="0.25">
      <c r="C162" s="25" t="s">
        <v>75</v>
      </c>
      <c r="D162" s="74">
        <f t="array" ref="D162">SUM((IncLim)*(Lit&gt;0)*(indType&gt;0)*(Months=months4)*(PY=PY6_))</f>
        <v>0</v>
      </c>
      <c r="E162" s="74">
        <f t="array" ref="E162">SUM((IncLim)*(Lit&gt;0)*(indType&gt;0)*(Months=months4)*(PY=PY5_))</f>
        <v>0</v>
      </c>
      <c r="F162" s="75">
        <f t="array" ref="F162">SUM((IncLim)*(Lit&gt;0)*(indType&gt;0)*(Months=months4)*(PY=PY4_))</f>
        <v>0</v>
      </c>
      <c r="G162" s="76"/>
      <c r="H162" s="81" t="str">
        <f>IFERROR((F162-D162)/D162,"-")</f>
        <v>-</v>
      </c>
      <c r="I162" s="78" t="str">
        <f>IFERROR((F162-E162)/E162,"-")</f>
        <v>-</v>
      </c>
    </row>
    <row r="163" spans="2:9" x14ac:dyDescent="0.25">
      <c r="C163" s="120" t="s">
        <v>100</v>
      </c>
      <c r="D163" s="122" t="str">
        <f>IFERROR(D162/D155,"-")</f>
        <v>-</v>
      </c>
      <c r="E163" s="122" t="str">
        <f>IFERROR(E162/E155,"-")</f>
        <v>-</v>
      </c>
      <c r="F163" s="122" t="str">
        <f>IFERROR(F162/F155,"-")</f>
        <v>-</v>
      </c>
      <c r="G163" s="121"/>
      <c r="H163" s="93" t="str">
        <f>IFERROR(IF(((F163-D163)*100)&gt;0,"+"&amp;ROUND((F163-D163)*100,1),ROUND((F163-D163)*100,1)),"-")</f>
        <v>-</v>
      </c>
      <c r="I163" s="92" t="str">
        <f>IFERROR(IF(((F163-E163)*100)&gt;0,"+"&amp;ROUND((F163-E163)*100,1),ROUND((F163-E163)*100,1)),"-")</f>
        <v>-</v>
      </c>
    </row>
    <row r="164" spans="2:9" x14ac:dyDescent="0.25">
      <c r="C164" s="25" t="s">
        <v>91</v>
      </c>
      <c r="D164" s="80">
        <f t="array" ref="D164">SUM((IncLim&gt;0)*(Lit&gt;0)*(Months=months4)*(PY=PY6_))</f>
        <v>0</v>
      </c>
      <c r="E164" s="80">
        <f t="array" ref="E164">SUM((IncLim&gt;0)*(Lit&gt;0)*(Months=months4)*(PY=PY5_))</f>
        <v>0</v>
      </c>
      <c r="F164" s="89">
        <f t="array" ref="F164">SUM((IncLim&gt;0)*(Lit&gt;0)*(Months=months4)*(PY=PY4_))</f>
        <v>0</v>
      </c>
      <c r="G164" s="76"/>
      <c r="H164" s="81" t="str">
        <f>IFERROR((F164-D164)/D164,"-")</f>
        <v>-</v>
      </c>
      <c r="I164" s="78" t="str">
        <f>IFERROR((F164-E164)/E164,"-")</f>
        <v>-</v>
      </c>
    </row>
    <row r="165" spans="2:9" x14ac:dyDescent="0.25">
      <c r="C165" s="25" t="s">
        <v>74</v>
      </c>
      <c r="D165" s="74">
        <f t="array" ref="D165">SUM((IncLim)*(Lit&gt;0)*(Months=months4)*(PY=PY6_))</f>
        <v>0</v>
      </c>
      <c r="E165" s="74">
        <f t="array" ref="E165">SUM((IncLim)*(Lit&gt;0)*(Months=months4)*(PY=PY5_))</f>
        <v>0</v>
      </c>
      <c r="F165" s="75">
        <f t="array" ref="F165">SUM((IncLim)*(Lit&gt;0)*(Months=months4)*(PY=PY4_))</f>
        <v>0</v>
      </c>
      <c r="G165" s="76"/>
      <c r="H165" s="81" t="str">
        <f>IFERROR((F165-D165)/D165,"-")</f>
        <v>-</v>
      </c>
      <c r="I165" s="78" t="str">
        <f>IFERROR((F165-E165)/E165,"-")</f>
        <v>-</v>
      </c>
    </row>
    <row r="166" spans="2:9" x14ac:dyDescent="0.25">
      <c r="C166" s="25" t="s">
        <v>104</v>
      </c>
      <c r="D166" s="74"/>
      <c r="E166" s="74"/>
      <c r="F166" s="75"/>
      <c r="G166" s="76"/>
      <c r="H166" s="81" t="str">
        <f>IFERROR((F166-D166)/D166,"-")</f>
        <v>-</v>
      </c>
      <c r="I166" s="78" t="str">
        <f>IFERROR((F166-E166)/E166,"-")</f>
        <v>-</v>
      </c>
    </row>
    <row r="167" spans="2:9" x14ac:dyDescent="0.25">
      <c r="B167" s="73"/>
      <c r="C167" s="26"/>
      <c r="D167" s="33"/>
      <c r="E167" s="33"/>
      <c r="F167" s="34"/>
      <c r="G167" s="29"/>
      <c r="H167" s="30"/>
      <c r="I167" s="31"/>
    </row>
    <row r="168" spans="2:9" x14ac:dyDescent="0.25">
      <c r="C168" s="25" t="s">
        <v>64</v>
      </c>
      <c r="D168" s="94">
        <f t="array" ref="D168">SUMPRODUCT(LARGE((Months=months4)*(PY=PY6_)*(IncLim),{1,2,3,4,5}))</f>
        <v>0</v>
      </c>
      <c r="E168" s="94">
        <f t="array" ref="E168">SUMPRODUCT(LARGE((Months=months4)*(PY=PY5_)*(IncLim),{1,2,3,4,5}))</f>
        <v>0</v>
      </c>
      <c r="F168" s="95">
        <f t="array" ref="F168">SUMPRODUCT(LARGE((Months=months4)*(PY=PY4_)*(IncLim),{1,2,3,4,5}))</f>
        <v>0</v>
      </c>
      <c r="G168" s="76"/>
      <c r="H168" s="81" t="str">
        <f>IFERROR((F168-D168)/D168,"-")</f>
        <v>-</v>
      </c>
      <c r="I168" s="78" t="str">
        <f>IFERROR((F168-E168)/E168,"-")</f>
        <v>-</v>
      </c>
    </row>
    <row r="169" spans="2:9" ht="15.75" thickBot="1" x14ac:dyDescent="0.3">
      <c r="C169" s="35" t="s">
        <v>65</v>
      </c>
      <c r="D169" s="126" t="str">
        <f>IFERROR(D168/D142,"-")</f>
        <v>-</v>
      </c>
      <c r="E169" s="126" t="str">
        <f>IFERROR(E168/E142,"-")</f>
        <v>-</v>
      </c>
      <c r="F169" s="126" t="str">
        <f>IFERROR(F168/F142,"-")</f>
        <v>-</v>
      </c>
      <c r="G169" s="96"/>
      <c r="H169" s="97" t="str">
        <f>IFERROR(IF(((F169-D169)*100)&gt;0,"+"&amp;ROUND((F169-D169)*100,1),ROUND((F169-D169)*100,1)),"-")</f>
        <v>-</v>
      </c>
      <c r="I169" s="98" t="str">
        <f>IFERROR(IF(((F169-E169)*100)&gt;0,"+"&amp;ROUND((F169-E169)*100,1),ROUND((F169-E169)*100,1)),"-")</f>
        <v>-</v>
      </c>
    </row>
    <row r="172" spans="2:9" ht="15.75" thickBot="1" x14ac:dyDescent="0.3"/>
    <row r="173" spans="2:9" x14ac:dyDescent="0.25">
      <c r="B173" s="71" t="s">
        <v>69</v>
      </c>
      <c r="C173" s="14" t="str">
        <f>execute!$B$8</f>
        <v>[Client Name] WC Scorecard</v>
      </c>
      <c r="D173" s="148"/>
      <c r="E173" s="149"/>
      <c r="F173" s="149"/>
      <c r="G173" s="14"/>
      <c r="H173" s="15"/>
      <c r="I173" s="16"/>
    </row>
    <row r="174" spans="2:9" x14ac:dyDescent="0.25">
      <c r="C174" s="150" t="str">
        <f>"PY"&amp;RIGHT(YEAR($F$175),2)&amp;" at "&amp;execute!D36&amp;" Months"</f>
        <v>PY07 at 48 Months</v>
      </c>
      <c r="D174" s="151" t="s">
        <v>43</v>
      </c>
      <c r="E174" s="152"/>
      <c r="F174" s="152"/>
      <c r="G174" s="150"/>
      <c r="H174" s="153"/>
      <c r="I174" s="154"/>
    </row>
    <row r="175" spans="2:9" x14ac:dyDescent="0.25">
      <c r="C175" s="150"/>
      <c r="D175" s="43">
        <f t="array" ref="D175">PY7_</f>
        <v>42005</v>
      </c>
      <c r="E175" s="44">
        <f t="array" ref="E175">PY6_</f>
        <v>42370</v>
      </c>
      <c r="F175" s="44">
        <f t="array" ref="F175">PY5_</f>
        <v>39083</v>
      </c>
      <c r="G175" s="150"/>
      <c r="H175" s="153"/>
      <c r="I175" s="154"/>
    </row>
    <row r="176" spans="2:9" x14ac:dyDescent="0.25">
      <c r="C176" s="150"/>
      <c r="D176" s="17" t="s">
        <v>46</v>
      </c>
      <c r="E176" s="18" t="s">
        <v>46</v>
      </c>
      <c r="F176" s="18" t="s">
        <v>46</v>
      </c>
      <c r="G176" s="150"/>
      <c r="H176" s="153"/>
      <c r="I176" s="154"/>
    </row>
    <row r="177" spans="3:10" x14ac:dyDescent="0.25">
      <c r="C177" s="150"/>
      <c r="D177" s="41" t="str">
        <f t="array" ref="D177">MONTH(Val_current)&amp;"/"&amp;DAY(Val_current)&amp;"/"&amp;YEAR(Val_current)-2</f>
        <v>1/0/1898</v>
      </c>
      <c r="E177" s="40" t="str">
        <f t="array" ref="E177">MONTH(Val_current)&amp;"/"&amp;DAY(Val_current)&amp;"/"&amp;YEAR(Val_current)-1</f>
        <v>1/0/1899</v>
      </c>
      <c r="F177" s="42" t="str">
        <f t="array" ref="F177">MONTH(Val_current)&amp;"/"&amp;DAY(Val_current)&amp;"/"&amp;YEAR(Val_current)</f>
        <v>1/0/1900</v>
      </c>
      <c r="G177" s="45" t="s">
        <v>47</v>
      </c>
      <c r="H177" s="46" t="str">
        <f t="array" ref="H177">IF(IncYr_yn="Y",RIGHT(YEAR($D$175),2)&amp;" vs "&amp;RIGHT(YEAR($F$175),2),RIGHT(YEAR($D$175),2)+1&amp;" vs "&amp;RIGHT(YEAR($F$175),2)+1)</f>
        <v>15 vs 07</v>
      </c>
      <c r="I177" s="47" t="str">
        <f t="array" ref="I177">IF(IncYr_yn="Y",RIGHT(YEAR($E$175),2)&amp;" vs "&amp;RIGHT(YEAR($F$175),2),RIGHT(YEAR($E$175),2)+1&amp;" vs "&amp;RIGHT(YEAR($F$175),2)+1)</f>
        <v>16 vs 07</v>
      </c>
    </row>
    <row r="178" spans="3:10" ht="15.75" thickBot="1" x14ac:dyDescent="0.3">
      <c r="C178" s="19"/>
      <c r="D178" s="20"/>
      <c r="E178" s="20"/>
      <c r="F178" s="21"/>
      <c r="G178" s="22"/>
      <c r="H178" s="23"/>
      <c r="I178" s="24"/>
    </row>
    <row r="179" spans="3:10" x14ac:dyDescent="0.25">
      <c r="C179" s="25" t="s">
        <v>50</v>
      </c>
      <c r="D179" s="74">
        <f t="array" ref="D179">IFERROR(VLOOKUP(PY7_,$M$4:$Q$12,3,FALSE),"-")</f>
        <v>0</v>
      </c>
      <c r="E179" s="74">
        <f t="array" ref="E179">IFERROR(VLOOKUP(PY6_,$M$4:$Q$12,3,FALSE),"-")</f>
        <v>0</v>
      </c>
      <c r="F179" s="74">
        <f t="array" ref="F179">IFERROR(VLOOKUP(PY5_,$M$4:$Q$12,3,FALSE),"-")</f>
        <v>0</v>
      </c>
      <c r="G179" s="76"/>
      <c r="H179" s="77" t="str">
        <f>IFERROR((F179-D179)/D179,"-")</f>
        <v>-</v>
      </c>
      <c r="I179" s="78" t="str">
        <f>IFERROR((F179-E179)/E179,"-")</f>
        <v>-</v>
      </c>
    </row>
    <row r="180" spans="3:10" x14ac:dyDescent="0.25">
      <c r="C180" s="25" t="s">
        <v>18</v>
      </c>
      <c r="D180" s="80">
        <f t="array" ref="D180">IFERROR(VLOOKUP(PY7_,$M$4:$P$11,4,FALSE),"-")</f>
        <v>0</v>
      </c>
      <c r="E180" s="80">
        <f t="array" ref="E180">IFERROR(VLOOKUP(PY6_,$M$4:$P$11,4,FALSE),"-")</f>
        <v>0</v>
      </c>
      <c r="F180" s="80">
        <f t="array" ref="F180">IFERROR(VLOOKUP(PY5_,$M$4:$Q$12,4,FALSE),"-")</f>
        <v>0</v>
      </c>
      <c r="G180" s="76"/>
      <c r="H180" s="81" t="str">
        <f>IFERROR((F180-D180)/D180,"-")</f>
        <v>-</v>
      </c>
      <c r="I180" s="78" t="str">
        <f>IFERROR((F180-E180)/E180,"-")</f>
        <v>-</v>
      </c>
    </row>
    <row r="181" spans="3:10" ht="15.75" thickBot="1" x14ac:dyDescent="0.3">
      <c r="C181" s="19"/>
      <c r="D181" s="20"/>
      <c r="E181" s="20"/>
      <c r="F181" s="21"/>
      <c r="G181" s="22"/>
      <c r="H181" s="23"/>
      <c r="I181" s="24"/>
    </row>
    <row r="182" spans="3:10" x14ac:dyDescent="0.25">
      <c r="C182" s="25" t="s">
        <v>38</v>
      </c>
      <c r="D182" s="74">
        <f t="array" ref="D182">SUM((IncLim)*(Months=months5)*(PY=PY7_))</f>
        <v>0</v>
      </c>
      <c r="E182" s="74">
        <f t="array" ref="E182">SUM((IncLim)*(Months=months5)*(PY=PY6_))</f>
        <v>0</v>
      </c>
      <c r="F182" s="75">
        <f t="array" ref="F182">SUM((IncLim)*(Months=months5)*(PY=PY5_))</f>
        <v>0</v>
      </c>
      <c r="G182" s="76"/>
      <c r="H182" s="77" t="str">
        <f>IFERROR((F182-D182)/D182,"-")</f>
        <v>-</v>
      </c>
      <c r="I182" s="78" t="str">
        <f>IFERROR((F182-E182)/E182,"-")</f>
        <v>-</v>
      </c>
    </row>
    <row r="183" spans="3:10" x14ac:dyDescent="0.25">
      <c r="C183" s="25" t="s">
        <v>71</v>
      </c>
      <c r="D183" s="74">
        <f t="array" ref="D183">SUM((pdLim)*(Months=months5)*(PY=PY7_))</f>
        <v>0</v>
      </c>
      <c r="E183" s="74">
        <f t="array" ref="E183">SUM((pdLim)*(Months=months5)*(PY=PY6_))</f>
        <v>0</v>
      </c>
      <c r="F183" s="75">
        <f t="array" ref="F183">SUM((pdLim)*(Months=months5)*(PY=PY5_))</f>
        <v>0</v>
      </c>
      <c r="G183" s="76"/>
      <c r="H183" s="81" t="str">
        <f>IFERROR((F183-D183)/D183,"-")</f>
        <v>-</v>
      </c>
      <c r="I183" s="78" t="str">
        <f>IFERROR((F183-E183)/E183,"-")</f>
        <v>-</v>
      </c>
      <c r="J183" s="5"/>
    </row>
    <row r="184" spans="3:10" x14ac:dyDescent="0.25">
      <c r="C184" s="25" t="s">
        <v>51</v>
      </c>
      <c r="D184" s="74">
        <f>D182-D183</f>
        <v>0</v>
      </c>
      <c r="E184" s="74">
        <f>E182-E183</f>
        <v>0</v>
      </c>
      <c r="F184" s="74">
        <f>F182-F183</f>
        <v>0</v>
      </c>
      <c r="G184" s="76"/>
      <c r="H184" s="81" t="str">
        <f>IFERROR((F184-D184)/D184,"-")</f>
        <v>-</v>
      </c>
      <c r="I184" s="78" t="str">
        <f>IFERROR((F184-E184)/E184,"-")</f>
        <v>-</v>
      </c>
    </row>
    <row r="185" spans="3:10" ht="15.75" thickBot="1" x14ac:dyDescent="0.3">
      <c r="C185" s="26"/>
      <c r="D185" s="27"/>
      <c r="E185" s="27"/>
      <c r="F185" s="28"/>
      <c r="G185" s="29"/>
      <c r="H185" s="30"/>
      <c r="I185" s="31"/>
    </row>
    <row r="186" spans="3:10" x14ac:dyDescent="0.25">
      <c r="C186" s="25" t="s">
        <v>52</v>
      </c>
      <c r="D186" s="82">
        <f t="array" ref="D186">SUM((IncLim&gt;0)*(Months=months5)*(PY=PY7_))</f>
        <v>0</v>
      </c>
      <c r="E186" s="82">
        <f t="array" ref="E186">SUM((IncLim&gt;0)*(Months=months5)*(PY=PY6_))</f>
        <v>0</v>
      </c>
      <c r="F186" s="83">
        <f t="array" ref="F186">SUM((IncLim&gt;0)*(Months=months5)*(PY=PY5_))</f>
        <v>0</v>
      </c>
      <c r="G186" s="76"/>
      <c r="H186" s="77" t="str">
        <f>IFERROR((F186-D186)/D186,"-")</f>
        <v>-</v>
      </c>
      <c r="I186" s="78" t="str">
        <f>IFERROR((F186-E186)/E186,"-")</f>
        <v>-</v>
      </c>
    </row>
    <row r="187" spans="3:10" x14ac:dyDescent="0.25">
      <c r="C187" s="25" t="s">
        <v>53</v>
      </c>
      <c r="D187" s="74" t="str">
        <f>IFERROR(D182/D186,"-")</f>
        <v>-</v>
      </c>
      <c r="E187" s="74" t="str">
        <f>IFERROR(E182/E186,"-")</f>
        <v>-</v>
      </c>
      <c r="F187" s="74" t="str">
        <f>IFERROR(F182/F186,"-")</f>
        <v>-</v>
      </c>
      <c r="G187" s="76"/>
      <c r="H187" s="84" t="str">
        <f>IFERROR((F187-D187)/D187,"-")</f>
        <v>-</v>
      </c>
      <c r="I187" s="78" t="str">
        <f>IFERROR((F187-E187)/E187,"-")</f>
        <v>-</v>
      </c>
    </row>
    <row r="188" spans="3:10" x14ac:dyDescent="0.25">
      <c r="C188" s="25" t="s">
        <v>54</v>
      </c>
      <c r="D188" s="74" t="str">
        <f t="array" ref="D188">IFERROR(MEDIAN(IF(IncLim&gt;0, IF(Months=months5,IF(PY=PY7_, IncLim)))),"-")</f>
        <v>-</v>
      </c>
      <c r="E188" s="74" t="str">
        <f t="array" ref="E188">IFERROR(MEDIAN(IF(IncLim&gt;0, IF(Months=months5,IF(PY=PY6_, IncLim)))),"-")</f>
        <v>-</v>
      </c>
      <c r="F188" s="74" t="str">
        <f t="array" ref="F188">IFERROR(MEDIAN(IF(IncLim&gt;0, IF(Months=months5,IF(PY=PY5_, IncLim)))),"-")</f>
        <v>-</v>
      </c>
      <c r="G188" s="76"/>
      <c r="H188" s="81" t="str">
        <f>IFERROR((F188-D188)/D188,"-")</f>
        <v>-</v>
      </c>
      <c r="I188" s="78" t="str">
        <f>IFERROR((F188-E188)/E188,"-")</f>
        <v>-</v>
      </c>
    </row>
    <row r="189" spans="3:10" x14ac:dyDescent="0.25">
      <c r="C189" s="26"/>
      <c r="D189" s="27"/>
      <c r="E189" s="27"/>
      <c r="F189" s="28"/>
      <c r="G189" s="29"/>
      <c r="H189" s="23"/>
      <c r="I189" s="24"/>
    </row>
    <row r="190" spans="3:10" x14ac:dyDescent="0.25">
      <c r="C190" s="25" t="s">
        <v>55</v>
      </c>
      <c r="D190" s="99" t="str">
        <f>IFERROR((VLOOKUP(PY7_,'Total Scorecards'!$M$4:$Q$10,5,FALSE)/100),"-")</f>
        <v>-</v>
      </c>
      <c r="E190" s="74">
        <f>IFERROR((VLOOKUP(PY6_,'Total Scorecards'!$M$4:$Q$10,5,FALSE)/100),"-")</f>
        <v>0</v>
      </c>
      <c r="F190" s="75">
        <f>IFERROR((VLOOKUP(PY5_,'Total Scorecards'!$M$4:$Q$10,5,FALSE)/100),"-")</f>
        <v>0</v>
      </c>
      <c r="G190" s="76"/>
      <c r="H190" s="81" t="str">
        <f>IFERROR((F190-D190)/D190,"-")</f>
        <v>-</v>
      </c>
      <c r="I190" s="78" t="str">
        <f>IFERROR((F190-E190)/E190,"-")</f>
        <v>-</v>
      </c>
    </row>
    <row r="191" spans="3:10" ht="15.75" thickBot="1" x14ac:dyDescent="0.3">
      <c r="C191" s="32" t="s">
        <v>57</v>
      </c>
      <c r="D191" s="127" t="str">
        <f>IFERROR(D182/D190,"-")</f>
        <v>-</v>
      </c>
      <c r="E191" s="85" t="str">
        <f>IFERROR(E182/E190,"-")</f>
        <v>-</v>
      </c>
      <c r="F191" s="85" t="str">
        <f>IFERROR(F182/F190,"-")</f>
        <v>-</v>
      </c>
      <c r="G191" s="86"/>
      <c r="H191" s="87" t="str">
        <f>IFERROR((F191-D191)/D191,"-")</f>
        <v>-</v>
      </c>
      <c r="I191" s="88" t="str">
        <f>IFERROR((F191-E191)/E191,"-")</f>
        <v>-</v>
      </c>
    </row>
    <row r="192" spans="3:10" ht="15.75" thickBot="1" x14ac:dyDescent="0.3">
      <c r="C192" s="26"/>
      <c r="D192" s="27"/>
      <c r="E192" s="27"/>
      <c r="F192" s="28"/>
      <c r="G192" s="29"/>
      <c r="H192" s="30"/>
      <c r="I192" s="31"/>
    </row>
    <row r="193" spans="2:9" x14ac:dyDescent="0.25">
      <c r="C193" s="25" t="s">
        <v>58</v>
      </c>
      <c r="D193" s="80">
        <f t="array" ref="D193">SUM((IncLim&gt;0)*(indType&gt;0)*(Months=months5)*(PY=PY7_))</f>
        <v>0</v>
      </c>
      <c r="E193" s="80">
        <f t="array" ref="E193">SUM((IncLim&gt;0)*(indType&gt;0)*(Months=months5)*(PY=PY6_))</f>
        <v>0</v>
      </c>
      <c r="F193" s="89">
        <f t="array" ref="F193">SUM((IncLim&gt;0)*(indType&gt;0)*(Months=months5)*(PY=PY5_))</f>
        <v>0</v>
      </c>
      <c r="G193" s="76"/>
      <c r="H193" s="77" t="str">
        <f>IFERROR((F193-D193)/D193,"-")</f>
        <v>-</v>
      </c>
      <c r="I193" s="78" t="str">
        <f>IFERROR((F193-E193)/E193,"-")</f>
        <v>-</v>
      </c>
    </row>
    <row r="194" spans="2:9" x14ac:dyDescent="0.25">
      <c r="C194" s="25" t="s">
        <v>59</v>
      </c>
      <c r="D194" s="90" t="str">
        <f>IFERROR(D193/D186,"-")</f>
        <v>-</v>
      </c>
      <c r="E194" s="90" t="str">
        <f>IFERROR(E193/E186,"-")</f>
        <v>-</v>
      </c>
      <c r="F194" s="90" t="str">
        <f>IFERROR(F193/F186,"-")</f>
        <v>-</v>
      </c>
      <c r="G194" s="76"/>
      <c r="H194" s="93" t="str">
        <f>IFERROR(IF(((F194-D194)*100)&gt;0,"+"&amp;ROUND((F194-D194)*100,1),ROUND((F194-D194)*100,1)),"-")</f>
        <v>-</v>
      </c>
      <c r="I194" s="92" t="str">
        <f>IFERROR(IF(((F194-E194)*100)&gt;0,"+"&amp;ROUND((F194-E194)*100,1),ROUND((F194-E194)*100,1)),"-")</f>
        <v>-</v>
      </c>
    </row>
    <row r="195" spans="2:9" x14ac:dyDescent="0.25">
      <c r="B195" s="73"/>
      <c r="C195" s="25" t="s">
        <v>60</v>
      </c>
      <c r="D195" s="74">
        <f t="array" ref="D195">SUM((IncLim)*(indType&gt;0)*(Months=months5)*(PY=PY7_))</f>
        <v>0</v>
      </c>
      <c r="E195" s="74">
        <f t="array" ref="E195">SUM((IncLim)*(indType&gt;0)*(Months=months5)*(PY=PY6_))</f>
        <v>0</v>
      </c>
      <c r="F195" s="74">
        <f t="array" ref="F195">SUM((IncLim)*(indType&gt;0)*(Months=months5)*(PY=PY5_))</f>
        <v>0</v>
      </c>
      <c r="G195" s="76"/>
      <c r="H195" s="81" t="str">
        <f t="shared" ref="H195:H196" si="15">IFERROR((F195-D195)/D195,"-")</f>
        <v>-</v>
      </c>
      <c r="I195" s="78" t="str">
        <f t="shared" ref="I195:I196" si="16">IFERROR((F195-E195)/E195,"-")</f>
        <v>-</v>
      </c>
    </row>
    <row r="196" spans="2:9" x14ac:dyDescent="0.25">
      <c r="B196" s="73"/>
      <c r="C196" s="25" t="s">
        <v>61</v>
      </c>
      <c r="D196" s="74" t="str">
        <f>IFERROR(D195/D193,"-")</f>
        <v>-</v>
      </c>
      <c r="E196" s="74" t="str">
        <f t="shared" ref="E196" si="17">IFERROR(E195/E193,"-")</f>
        <v>-</v>
      </c>
      <c r="F196" s="74" t="str">
        <f t="shared" ref="F196" si="18">IFERROR(F195/F193,"-")</f>
        <v>-</v>
      </c>
      <c r="G196" s="76"/>
      <c r="H196" s="81" t="str">
        <f t="shared" si="15"/>
        <v>-</v>
      </c>
      <c r="I196" s="78" t="str">
        <f t="shared" si="16"/>
        <v>-</v>
      </c>
    </row>
    <row r="197" spans="2:9" x14ac:dyDescent="0.25">
      <c r="C197" s="25" t="s">
        <v>62</v>
      </c>
      <c r="D197" s="90" t="str">
        <f>IFERROR(1-(D198/D193),"-")</f>
        <v>-</v>
      </c>
      <c r="E197" s="90" t="str">
        <f>IFERROR(1-(E198/E193),"-")</f>
        <v>-</v>
      </c>
      <c r="F197" s="90" t="str">
        <f>IFERROR(1-(F198/F193),"-")</f>
        <v>-</v>
      </c>
      <c r="G197" s="76"/>
      <c r="H197" s="93" t="str">
        <f>IFERROR(IF(((F197-D197)*100)&gt;0,"+"&amp;ROUND((F197-D197)*100,1),ROUND((F197-D197)*100,1)),"-")</f>
        <v>-</v>
      </c>
      <c r="I197" s="92" t="str">
        <f>IFERROR(IF(((F197-E197)*100)&gt;0,"+"&amp;ROUND((F197-E197)*100,1),ROUND((F197-E197)*100,1)),"-")</f>
        <v>-</v>
      </c>
    </row>
    <row r="198" spans="2:9" ht="15.75" thickBot="1" x14ac:dyDescent="0.3">
      <c r="C198" s="32" t="s">
        <v>63</v>
      </c>
      <c r="D198" s="106">
        <f t="array" ref="D198">SUM((IncLim&gt;0)*(indType&gt;0)*(Closed=0)*(Months=months5)*(PY=PY7_))</f>
        <v>0</v>
      </c>
      <c r="E198" s="106">
        <f t="array" ref="E198">SUM((IncLim&gt;0)*(indType&gt;0)*(Closed=0)*(Months=months5)*(PY=PY6_))</f>
        <v>0</v>
      </c>
      <c r="F198" s="106">
        <f t="array" ref="F198">SUM((IncLim&gt;0)*(indType&gt;0)*(Closed=0)*(Months=months5)*(PY=PY5_))</f>
        <v>0</v>
      </c>
      <c r="G198" s="86"/>
      <c r="H198" s="87" t="str">
        <f>IFERROR((F198-D198)/D198,"-")</f>
        <v>-</v>
      </c>
      <c r="I198" s="88" t="str">
        <f>IFERROR((F198-E198)/E198,"-")</f>
        <v>-</v>
      </c>
    </row>
    <row r="199" spans="2:9" x14ac:dyDescent="0.25">
      <c r="C199" s="26"/>
      <c r="D199" s="33"/>
      <c r="E199" s="33"/>
      <c r="F199" s="34"/>
      <c r="G199" s="29"/>
      <c r="H199" s="30"/>
      <c r="I199" s="31"/>
    </row>
    <row r="200" spans="2:9" x14ac:dyDescent="0.25">
      <c r="C200" s="25" t="s">
        <v>72</v>
      </c>
      <c r="D200" s="80">
        <f t="array" ref="D200">SUM((IncLim&gt;0)*(Lit&gt;0)*(indType&gt;0)*(Months=months5)*(PY=PY7_))</f>
        <v>0</v>
      </c>
      <c r="E200" s="80">
        <f t="array" ref="E200">SUM((IncLim&gt;0)*(Lit&gt;0)*(indType&gt;0)*(Months=months5)*(PY=PY6_))</f>
        <v>0</v>
      </c>
      <c r="F200" s="89">
        <f t="array" ref="F200">SUM((IncLim&gt;0)*(Lit&gt;0)*(indType&gt;0)*(Months=months5)*(PY=PY5_))</f>
        <v>0</v>
      </c>
      <c r="G200" s="76"/>
      <c r="H200" s="81" t="str">
        <f>IFERROR((F200-D200)/D200,"-")</f>
        <v>-</v>
      </c>
      <c r="I200" s="78" t="str">
        <f>IFERROR((F200-E200)/E200,"-")</f>
        <v>-</v>
      </c>
    </row>
    <row r="201" spans="2:9" x14ac:dyDescent="0.25">
      <c r="C201" s="25" t="s">
        <v>73</v>
      </c>
      <c r="D201" s="90" t="str">
        <f>IFERROR(D200/D193,"-")</f>
        <v>-</v>
      </c>
      <c r="E201" s="90" t="str">
        <f>IFERROR(E200/E193,"-")</f>
        <v>-</v>
      </c>
      <c r="F201" s="125" t="str">
        <f>IFERROR(F200/F193,"-")</f>
        <v>-</v>
      </c>
      <c r="G201" s="76"/>
      <c r="H201" s="93" t="str">
        <f>IFERROR(IF(((F201-D201)*100)&gt;0,"+"&amp;ROUND((F201-D201)*100,1),ROUND((F201-D201)*100,1)),"-")</f>
        <v>-</v>
      </c>
      <c r="I201" s="92" t="str">
        <f>IFERROR(IF(((F201-E201)*100)&gt;0,"+"&amp;ROUND((F201-E201)*100,1),ROUND((F201-E201)*100,1)),"-")</f>
        <v>-</v>
      </c>
    </row>
    <row r="202" spans="2:9" x14ac:dyDescent="0.25">
      <c r="C202" s="25" t="s">
        <v>75</v>
      </c>
      <c r="D202" s="74">
        <f t="array" ref="D202">SUM((IncLim)*(Lit&gt;0)*(indType&gt;0)*(Months=months5)*(PY=PY7_))</f>
        <v>0</v>
      </c>
      <c r="E202" s="74">
        <f t="array" ref="E202">SUM((IncLim)*(Lit&gt;0)*(indType&gt;0)*(Months=months5)*(PY=PY6_))</f>
        <v>0</v>
      </c>
      <c r="F202" s="75">
        <f t="array" ref="F202">SUM((IncLim)*(Lit&gt;0)*(indType&gt;0)*(Months=months5)*(PY=PY5_))</f>
        <v>0</v>
      </c>
      <c r="G202" s="76"/>
      <c r="H202" s="81" t="str">
        <f>IFERROR((F202-D202)/D202,"-")</f>
        <v>-</v>
      </c>
      <c r="I202" s="78" t="str">
        <f>IFERROR((F202-E202)/E202,"-")</f>
        <v>-</v>
      </c>
    </row>
    <row r="203" spans="2:9" x14ac:dyDescent="0.25">
      <c r="C203" s="120" t="s">
        <v>100</v>
      </c>
      <c r="D203" s="122" t="str">
        <f>IFERROR(D202/D195,"-")</f>
        <v>-</v>
      </c>
      <c r="E203" s="122" t="str">
        <f>IFERROR(E202/E195,"-")</f>
        <v>-</v>
      </c>
      <c r="F203" s="122" t="str">
        <f>IFERROR(F202/F195,"-")</f>
        <v>-</v>
      </c>
      <c r="G203" s="121"/>
      <c r="H203" s="93" t="str">
        <f>IFERROR(IF(((F203-D203)*100)&gt;0,"+"&amp;ROUND((F203-D203)*100,1),ROUND((F203-D203)*100,1)),"-")</f>
        <v>-</v>
      </c>
      <c r="I203" s="92" t="str">
        <f>IFERROR(IF(((F203-E203)*100)&gt;0,"+"&amp;ROUND((F203-E203)*100,1),ROUND((F203-E203)*100,1)),"-")</f>
        <v>-</v>
      </c>
    </row>
    <row r="204" spans="2:9" x14ac:dyDescent="0.25">
      <c r="C204" s="25" t="s">
        <v>91</v>
      </c>
      <c r="D204" s="80">
        <f t="array" ref="D204">SUM((IncLim&gt;0)*(Lit&gt;0)*(Months=months5)*(PY=PY7_))</f>
        <v>0</v>
      </c>
      <c r="E204" s="80">
        <f t="array" ref="E204">SUM((IncLim&gt;0)*(Lit&gt;0)*(Months=months5)*(PY=PY6_))</f>
        <v>0</v>
      </c>
      <c r="F204" s="89">
        <f t="array" ref="F204">SUM((IncLim&gt;0)*(Lit&gt;0)*(Months=months5)*(PY=PY5_))</f>
        <v>0</v>
      </c>
      <c r="G204" s="76"/>
      <c r="H204" s="81" t="str">
        <f>IFERROR((F204-D204)/D204,"-")</f>
        <v>-</v>
      </c>
      <c r="I204" s="78" t="str">
        <f>IFERROR((F204-E204)/E204,"-")</f>
        <v>-</v>
      </c>
    </row>
    <row r="205" spans="2:9" x14ac:dyDescent="0.25">
      <c r="C205" s="25" t="s">
        <v>74</v>
      </c>
      <c r="D205" s="74">
        <f t="array" ref="D205">SUM((IncLim)*(Lit&gt;0)*(Months=months5)*(PY=PY7_))</f>
        <v>0</v>
      </c>
      <c r="E205" s="74">
        <f t="array" ref="E205">SUM((IncLim)*(Lit&gt;0)*(Months=months5)*(PY=PY6_))</f>
        <v>0</v>
      </c>
      <c r="F205" s="75">
        <f t="array" ref="F205">SUM((IncLim)*(Lit&gt;0)*(Months=months5)*(PY=PY5_))</f>
        <v>0</v>
      </c>
      <c r="G205" s="76"/>
      <c r="H205" s="81" t="str">
        <f>IFERROR((F205-D205)/D205,"-")</f>
        <v>-</v>
      </c>
      <c r="I205" s="78" t="str">
        <f>IFERROR((F205-E205)/E205,"-")</f>
        <v>-</v>
      </c>
    </row>
    <row r="206" spans="2:9" x14ac:dyDescent="0.25">
      <c r="C206" s="25" t="s">
        <v>104</v>
      </c>
      <c r="D206" s="74"/>
      <c r="E206" s="74"/>
      <c r="F206" s="75"/>
      <c r="G206" s="76"/>
      <c r="H206" s="81" t="str">
        <f>IFERROR((F206-D206)/D206,"-")</f>
        <v>-</v>
      </c>
      <c r="I206" s="78" t="str">
        <f>IFERROR((F206-E206)/E206,"-")</f>
        <v>-</v>
      </c>
    </row>
    <row r="207" spans="2:9" x14ac:dyDescent="0.25">
      <c r="C207" s="26"/>
      <c r="D207" s="33"/>
      <c r="E207" s="33"/>
      <c r="F207" s="34"/>
      <c r="G207" s="29"/>
      <c r="H207" s="30"/>
      <c r="I207" s="31"/>
    </row>
    <row r="208" spans="2:9" x14ac:dyDescent="0.25">
      <c r="C208" s="25" t="s">
        <v>64</v>
      </c>
      <c r="D208" s="94">
        <f t="array" ref="D208">SUMPRODUCT(LARGE((Months=months5)*(PY=PY7_)*(IncLim),{1,2,3,4,5}))</f>
        <v>0</v>
      </c>
      <c r="E208" s="94">
        <f t="array" ref="E208">SUMPRODUCT(LARGE((Months=months5)*(PY=PY6_)*(IncLim),{1,2,3,4,5}))</f>
        <v>0</v>
      </c>
      <c r="F208" s="95">
        <f t="array" ref="F208">SUMPRODUCT(LARGE((Months=months5)*(PY=PY5_)*(IncLim),{1,2,3,4,5}))</f>
        <v>0</v>
      </c>
      <c r="G208" s="76"/>
      <c r="H208" s="81" t="str">
        <f>IFERROR((F208-D208)/D208,"-")</f>
        <v>-</v>
      </c>
      <c r="I208" s="78" t="str">
        <f>IFERROR((F208-E208)/E208,"-")</f>
        <v>-</v>
      </c>
    </row>
    <row r="209" spans="3:9" ht="15.75" thickBot="1" x14ac:dyDescent="0.3">
      <c r="C209" s="35" t="s">
        <v>65</v>
      </c>
      <c r="D209" s="126" t="str">
        <f>IFERROR(D208/D182,"-")</f>
        <v>-</v>
      </c>
      <c r="E209" s="126" t="str">
        <f>IFERROR(E208/E182,"-")</f>
        <v>-</v>
      </c>
      <c r="F209" s="126" t="str">
        <f>IFERROR(F208/F182,"-")</f>
        <v>-</v>
      </c>
      <c r="G209" s="96"/>
      <c r="H209" s="97" t="str">
        <f>IFERROR(IF(((F209-D209)*100)&gt;0,"+"&amp;ROUND((F209-D209)*100,1),ROUND((F209-D209)*100,1)),"-")</f>
        <v>-</v>
      </c>
      <c r="I209" s="98" t="str">
        <f>IFERROR(IF(((F209-E209)*100)&gt;0,"+"&amp;ROUND((F209-E209)*100,1),ROUND((F209-E209)*100,1)),"-")</f>
        <v>-</v>
      </c>
    </row>
  </sheetData>
  <mergeCells count="20">
    <mergeCell ref="D173:F173"/>
    <mergeCell ref="C174:C177"/>
    <mergeCell ref="D174:F174"/>
    <mergeCell ref="G174:I176"/>
    <mergeCell ref="C134:C137"/>
    <mergeCell ref="D134:F134"/>
    <mergeCell ref="G134:I136"/>
    <mergeCell ref="D93:F93"/>
    <mergeCell ref="C94:C97"/>
    <mergeCell ref="D94:F94"/>
    <mergeCell ref="G94:I96"/>
    <mergeCell ref="D133:F133"/>
    <mergeCell ref="D13:F13"/>
    <mergeCell ref="D53:F53"/>
    <mergeCell ref="C54:C57"/>
    <mergeCell ref="D54:F54"/>
    <mergeCell ref="G54:I56"/>
    <mergeCell ref="G14:I16"/>
    <mergeCell ref="C14:C17"/>
    <mergeCell ref="D14:F14"/>
  </mergeCells>
  <pageMargins left="0.7" right="0.7" top="0.75" bottom="0.75" header="0.3" footer="0.3"/>
  <pageSetup orientation="portrait" horizontalDpi="300" verticalDpi="300" r:id="rId1"/>
  <ignoredErrors>
    <ignoredError sqref="H34:I37 H74:I76 H114:I117 H154:I157 H194:I197 H41:I41 H42:I42 H43:I43 D42:F42 H81:I81 D82 G82:I82 E82:F82 H83:I83 D122:F122 H121:I123 D162:F162 H161:I163 D202:F202 H201:I203 H77:I77" formula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2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Scorecards'!D47:F47</xm:f>
              <xm:sqref>G47</xm:sqref>
            </x14:sparkline>
          </x14:sparklines>
        </x14:sparklineGroup>
        <x14:sparklineGroup manualMax="0" manualMin="0" displayEmptyCellsAs="gap" last="1" xr2:uid="{00000000-0003-0000-02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Scorecards'!D42:F42</xm:f>
              <xm:sqref>G42</xm:sqref>
            </x14:sparkline>
            <x14:sparkline>
              <xm:f>'Total Scorecards'!D43:F43</xm:f>
              <xm:sqref>G43</xm:sqref>
            </x14:sparkline>
          </x14:sparklines>
        </x14:sparklineGroup>
        <x14:sparklineGroup manualMax="0" manualMin="0" displayEmptyCellsAs="gap" last="1" xr2:uid="{00000000-0003-0000-02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Scorecards'!D143:F143</xm:f>
              <xm:sqref>G143</xm:sqref>
            </x14:sparkline>
          </x14:sparklines>
        </x14:sparklineGroup>
        <x14:sparklineGroup manualMax="0" manualMin="0" displayEmptyCellsAs="gap" last="1" xr2:uid="{00000000-0003-0000-02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Scorecards'!D103:F103</xm:f>
              <xm:sqref>G103</xm:sqref>
            </x14:sparkline>
          </x14:sparklines>
        </x14:sparklineGroup>
        <x14:sparklineGroup manualMax="0" manualMin="0" displayEmptyCellsAs="gap" last="1" xr2:uid="{00000000-0003-0000-0200-00000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Scorecards'!D63:F63</xm:f>
              <xm:sqref>G63</xm:sqref>
            </x14:sparkline>
          </x14:sparklines>
        </x14:sparklineGroup>
        <x14:sparklineGroup manualMax="0" manualMin="0" displayEmptyCellsAs="gap" last="1" xr2:uid="{00000000-0003-0000-0200-00000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Scorecards'!D179:F179</xm:f>
              <xm:sqref>G179</xm:sqref>
            </x14:sparkline>
          </x14:sparklines>
        </x14:sparklineGroup>
        <x14:sparklineGroup manualMax="0" manualMin="0" displayEmptyCellsAs="gap" last="1" negative="1" xr2:uid="{00000000-0003-0000-0200-000006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Scorecards'!D178:F178</xm:f>
              <xm:sqref>G178</xm:sqref>
            </x14:sparkline>
          </x14:sparklines>
        </x14:sparklineGroup>
        <x14:sparklineGroup manualMax="0" manualMin="0" displayEmptyCellsAs="gap" last="1" xr2:uid="{00000000-0003-0000-0200-00000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Scorecards'!D192:F192</xm:f>
              <xm:sqref>G192</xm:sqref>
            </x14:sparkline>
          </x14:sparklines>
        </x14:sparklineGroup>
        <x14:sparklineGroup manualMax="0" manualMin="0" displayEmptyCellsAs="gap" last="1" xr2:uid="{00000000-0003-0000-0200-00000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Scorecards'!D32:F32</xm:f>
              <xm:sqref>G32</xm:sqref>
            </x14:sparkline>
          </x14:sparklines>
        </x14:sparklineGroup>
        <x14:sparklineGroup manualMax="0" manualMin="0" displayEmptyCellsAs="gap" last="1" xr2:uid="{00000000-0003-0000-0200-00000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Scorecards'!D183:F183</xm:f>
              <xm:sqref>G183</xm:sqref>
            </x14:sparkline>
          </x14:sparklines>
        </x14:sparklineGroup>
        <x14:sparklineGroup manualMax="0" manualMin="0" displayEmptyCellsAs="gap" last="1" xr2:uid="{00000000-0003-0000-0200-00000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Scorecards'!D200:F200</xm:f>
              <xm:sqref>G200</xm:sqref>
            </x14:sparkline>
          </x14:sparklines>
        </x14:sparklineGroup>
        <x14:sparklineGroup manualMax="0" manualMin="0" displayEmptyCellsAs="gap" last="1" xr2:uid="{00000000-0003-0000-0200-00000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Scorecards'!D180:F180</xm:f>
              <xm:sqref>G180</xm:sqref>
            </x14:sparkline>
            <x14:sparkline>
              <xm:f>'Total Scorecards'!D181:F181</xm:f>
              <xm:sqref>G181</xm:sqref>
            </x14:sparkline>
            <x14:sparkline>
              <xm:f>'Total Scorecards'!D182:F182</xm:f>
              <xm:sqref>G182</xm:sqref>
            </x14:sparkline>
            <x14:sparkline>
              <xm:f>'Total Scorecards'!D184:F184</xm:f>
              <xm:sqref>G184</xm:sqref>
            </x14:sparkline>
            <x14:sparkline>
              <xm:f>'Total Scorecards'!D185:F185</xm:f>
              <xm:sqref>G185</xm:sqref>
            </x14:sparkline>
            <x14:sparkline>
              <xm:f>'Total Scorecards'!D186:F186</xm:f>
              <xm:sqref>G186</xm:sqref>
            </x14:sparkline>
            <x14:sparkline>
              <xm:f>'Total Scorecards'!D187:F187</xm:f>
              <xm:sqref>G187</xm:sqref>
            </x14:sparkline>
            <x14:sparkline>
              <xm:f>'Total Scorecards'!E188:F188</xm:f>
              <xm:sqref>G188</xm:sqref>
            </x14:sparkline>
            <x14:sparkline>
              <xm:f>'Total Scorecards'!D189:F189</xm:f>
              <xm:sqref>G189</xm:sqref>
            </x14:sparkline>
            <x14:sparkline>
              <xm:f>'Total Scorecards'!D193:F193</xm:f>
              <xm:sqref>G193</xm:sqref>
            </x14:sparkline>
            <x14:sparkline>
              <xm:f>'Total Scorecards'!D194:F194</xm:f>
              <xm:sqref>G194</xm:sqref>
            </x14:sparkline>
            <x14:sparkline>
              <xm:f>'Total Scorecards'!D197:F197</xm:f>
              <xm:sqref>G197</xm:sqref>
            </x14:sparkline>
            <x14:sparkline>
              <xm:f>'Total Scorecards'!D198:F198</xm:f>
              <xm:sqref>G198</xm:sqref>
            </x14:sparkline>
            <x14:sparkline>
              <xm:f>'Total Scorecards'!D199:F199</xm:f>
              <xm:sqref>G199</xm:sqref>
            </x14:sparkline>
            <x14:sparkline>
              <xm:f>'Total Scorecards'!D208:F208</xm:f>
              <xm:sqref>G208</xm:sqref>
            </x14:sparkline>
            <x14:sparkline>
              <xm:f>'Total Scorecards'!D209:F209</xm:f>
              <xm:sqref>G209</xm:sqref>
            </x14:sparkline>
            <x14:sparkline>
              <xm:f>'Total Scorecards'!D201:F201</xm:f>
              <xm:sqref>G201</xm:sqref>
            </x14:sparkline>
            <x14:sparkline>
              <xm:f>'Total Scorecards'!D190:F190</xm:f>
              <xm:sqref>G190</xm:sqref>
            </x14:sparkline>
            <x14:sparkline>
              <xm:f>'Total Scorecards'!D191:F191</xm:f>
              <xm:sqref>G191</xm:sqref>
            </x14:sparkline>
          </x14:sparklines>
        </x14:sparklineGroup>
        <x14:sparklineGroup manualMax="0" manualMin="0" displayEmptyCellsAs="gap" last="1" xr2:uid="{00000000-0003-0000-0200-00000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Scorecards'!D195:F195</xm:f>
              <xm:sqref>G195</xm:sqref>
            </x14:sparkline>
            <x14:sparkline>
              <xm:f>'Total Scorecards'!D196:F196</xm:f>
              <xm:sqref>G196</xm:sqref>
            </x14:sparkline>
          </x14:sparklines>
        </x14:sparklineGroup>
        <x14:sparklineGroup manualMax="0" manualMin="0" displayEmptyCellsAs="gap" last="1" negative="1" xr2:uid="{00000000-0003-0000-0200-00000D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Scorecards'!D18:F18</xm:f>
              <xm:sqref>G18</xm:sqref>
            </x14:sparkline>
          </x14:sparklines>
        </x14:sparklineGroup>
        <x14:sparklineGroup manualMax="0" manualMin="0" displayEmptyCellsAs="gap" last="1" xr2:uid="{00000000-0003-0000-0200-00000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Scorecards'!D19:F19</xm:f>
              <xm:sqref>G19</xm:sqref>
            </x14:sparkline>
          </x14:sparklines>
        </x14:sparklineGroup>
        <x14:sparklineGroup manualMax="0" manualMin="0" displayEmptyCellsAs="gap" last="1" xr2:uid="{00000000-0003-0000-0200-00000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Scorecards'!D155:F155</xm:f>
              <xm:sqref>G155</xm:sqref>
            </x14:sparkline>
            <x14:sparkline>
              <xm:f>'Total Scorecards'!D156:F156</xm:f>
              <xm:sqref>G156</xm:sqref>
            </x14:sparkline>
          </x14:sparklines>
        </x14:sparklineGroup>
        <x14:sparklineGroup manualMax="0" manualMin="0" displayEmptyCellsAs="gap" last="1" xr2:uid="{00000000-0003-0000-0200-00001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Scorecards'!D115:F115</xm:f>
              <xm:sqref>G115</xm:sqref>
            </x14:sparkline>
            <x14:sparkline>
              <xm:f>'Total Scorecards'!D116:F116</xm:f>
              <xm:sqref>G116</xm:sqref>
            </x14:sparkline>
          </x14:sparklines>
        </x14:sparklineGroup>
        <x14:sparklineGroup manualMax="0" manualMin="0" displayEmptyCellsAs="gap" last="1" xr2:uid="{00000000-0003-0000-0200-00001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Scorecards'!D75:F75</xm:f>
              <xm:sqref>G75</xm:sqref>
            </x14:sparkline>
            <x14:sparkline>
              <xm:f>'Total Scorecards'!D76:F76</xm:f>
              <xm:sqref>G76</xm:sqref>
            </x14:sparkline>
          </x14:sparklines>
        </x14:sparklineGroup>
        <x14:sparklineGroup manualMax="0" manualMin="0" displayEmptyCellsAs="gap" last="1" xr2:uid="{00000000-0003-0000-0200-00001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Scorecards'!D140:F140</xm:f>
              <xm:sqref>G140</xm:sqref>
            </x14:sparkline>
            <x14:sparkline>
              <xm:f>'Total Scorecards'!D141:F141</xm:f>
              <xm:sqref>G141</xm:sqref>
            </x14:sparkline>
            <x14:sparkline>
              <xm:f>'Total Scorecards'!D142:F142</xm:f>
              <xm:sqref>G142</xm:sqref>
            </x14:sparkline>
            <x14:sparkline>
              <xm:f>'Total Scorecards'!D144:F144</xm:f>
              <xm:sqref>G144</xm:sqref>
            </x14:sparkline>
            <x14:sparkline>
              <xm:f>'Total Scorecards'!D145:F145</xm:f>
              <xm:sqref>G145</xm:sqref>
            </x14:sparkline>
            <x14:sparkline>
              <xm:f>'Total Scorecards'!D146:F146</xm:f>
              <xm:sqref>G146</xm:sqref>
            </x14:sparkline>
            <x14:sparkline>
              <xm:f>'Total Scorecards'!D147:F147</xm:f>
              <xm:sqref>G147</xm:sqref>
            </x14:sparkline>
            <x14:sparkline>
              <xm:f>'Total Scorecards'!E148:F148</xm:f>
              <xm:sqref>G148</xm:sqref>
            </x14:sparkline>
            <x14:sparkline>
              <xm:f>'Total Scorecards'!D149:F149</xm:f>
              <xm:sqref>G149</xm:sqref>
            </x14:sparkline>
            <x14:sparkline>
              <xm:f>'Total Scorecards'!D153:F153</xm:f>
              <xm:sqref>G153</xm:sqref>
            </x14:sparkline>
            <x14:sparkline>
              <xm:f>'Total Scorecards'!D154:F154</xm:f>
              <xm:sqref>G154</xm:sqref>
            </x14:sparkline>
            <x14:sparkline>
              <xm:f>'Total Scorecards'!D157:F157</xm:f>
              <xm:sqref>G157</xm:sqref>
            </x14:sparkline>
            <x14:sparkline>
              <xm:f>'Total Scorecards'!D158:F158</xm:f>
              <xm:sqref>G158</xm:sqref>
            </x14:sparkline>
            <x14:sparkline>
              <xm:f>'Total Scorecards'!D159:F159</xm:f>
              <xm:sqref>G159</xm:sqref>
            </x14:sparkline>
            <x14:sparkline>
              <xm:f>'Total Scorecards'!D168:F168</xm:f>
              <xm:sqref>G168</xm:sqref>
            </x14:sparkline>
            <x14:sparkline>
              <xm:f>'Total Scorecards'!D169:F169</xm:f>
              <xm:sqref>G169</xm:sqref>
            </x14:sparkline>
            <x14:sparkline>
              <xm:f>'Total Scorecards'!D161:F161</xm:f>
              <xm:sqref>G161</xm:sqref>
            </x14:sparkline>
            <x14:sparkline>
              <xm:f>'Total Scorecards'!D150:F150</xm:f>
              <xm:sqref>G150</xm:sqref>
            </x14:sparkline>
            <x14:sparkline>
              <xm:f>'Total Scorecards'!D151:F151</xm:f>
              <xm:sqref>G151</xm:sqref>
            </x14:sparkline>
          </x14:sparklines>
        </x14:sparklineGroup>
        <x14:sparklineGroup manualMax="0" manualMin="0" displayEmptyCellsAs="gap" last="1" xr2:uid="{00000000-0003-0000-0200-00001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Scorecards'!D160:F160</xm:f>
              <xm:sqref>G160</xm:sqref>
            </x14:sparkline>
          </x14:sparklines>
        </x14:sparklineGroup>
        <x14:sparklineGroup manualMax="0" manualMin="0" displayEmptyCellsAs="gap" last="1" xr2:uid="{00000000-0003-0000-0200-00001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Scorecards'!D152:F152</xm:f>
              <xm:sqref>G152</xm:sqref>
            </x14:sparkline>
          </x14:sparklines>
        </x14:sparklineGroup>
        <x14:sparklineGroup manualMax="0" manualMin="0" displayEmptyCellsAs="gap" last="1" negative="1" xr2:uid="{00000000-0003-0000-0200-000015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Scorecards'!D138:F138</xm:f>
              <xm:sqref>G138</xm:sqref>
            </x14:sparkline>
          </x14:sparklines>
        </x14:sparklineGroup>
        <x14:sparklineGroup manualMax="0" manualMin="0" displayEmptyCellsAs="gap" last="1" xr2:uid="{00000000-0003-0000-0200-00001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Scorecards'!D139:F139</xm:f>
              <xm:sqref>G139</xm:sqref>
            </x14:sparkline>
          </x14:sparklines>
        </x14:sparklineGroup>
        <x14:sparklineGroup manualMax="0" manualMin="0" displayEmptyCellsAs="gap" last="1" xr2:uid="{00000000-0003-0000-0200-00001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Scorecards'!D99:F99</xm:f>
              <xm:sqref>G99</xm:sqref>
            </x14:sparkline>
          </x14:sparklines>
        </x14:sparklineGroup>
        <x14:sparklineGroup manualMax="0" manualMin="0" displayEmptyCellsAs="gap" last="1" negative="1" xr2:uid="{00000000-0003-0000-0200-000018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Scorecards'!D98:F98</xm:f>
              <xm:sqref>G98</xm:sqref>
            </x14:sparkline>
          </x14:sparklines>
        </x14:sparklineGroup>
        <x14:sparklineGroup manualMax="0" manualMin="0" displayEmptyCellsAs="gap" last="1" xr2:uid="{00000000-0003-0000-0200-00001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Scorecards'!D112:F112</xm:f>
              <xm:sqref>G112</xm:sqref>
            </x14:sparkline>
          </x14:sparklines>
        </x14:sparklineGroup>
        <x14:sparklineGroup manualMax="0" manualMin="0" displayEmptyCellsAs="gap" last="1" xr2:uid="{00000000-0003-0000-0200-00001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Scorecards'!D120:F120</xm:f>
              <xm:sqref>G120</xm:sqref>
            </x14:sparkline>
          </x14:sparklines>
        </x14:sparklineGroup>
        <x14:sparklineGroup manualMax="0" manualMin="0" displayEmptyCellsAs="gap" last="1" xr2:uid="{00000000-0003-0000-0200-00001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Scorecards'!D100:F100</xm:f>
              <xm:sqref>G100</xm:sqref>
            </x14:sparkline>
            <x14:sparkline>
              <xm:f>'Total Scorecards'!D101:F101</xm:f>
              <xm:sqref>G101</xm:sqref>
            </x14:sparkline>
            <x14:sparkline>
              <xm:f>'Total Scorecards'!D102:F102</xm:f>
              <xm:sqref>G102</xm:sqref>
            </x14:sparkline>
            <x14:sparkline>
              <xm:f>'Total Scorecards'!D104:F104</xm:f>
              <xm:sqref>G104</xm:sqref>
            </x14:sparkline>
            <x14:sparkline>
              <xm:f>'Total Scorecards'!D105:F105</xm:f>
              <xm:sqref>G105</xm:sqref>
            </x14:sparkline>
            <x14:sparkline>
              <xm:f>'Total Scorecards'!D106:F106</xm:f>
              <xm:sqref>G106</xm:sqref>
            </x14:sparkline>
            <x14:sparkline>
              <xm:f>'Total Scorecards'!D107:F107</xm:f>
              <xm:sqref>G107</xm:sqref>
            </x14:sparkline>
            <x14:sparkline>
              <xm:f>'Total Scorecards'!D108:F108</xm:f>
              <xm:sqref>G108</xm:sqref>
            </x14:sparkline>
            <x14:sparkline>
              <xm:f>'Total Scorecards'!D109:F109</xm:f>
              <xm:sqref>G109</xm:sqref>
            </x14:sparkline>
            <x14:sparkline>
              <xm:f>'Total Scorecards'!D113:F113</xm:f>
              <xm:sqref>G113</xm:sqref>
            </x14:sparkline>
            <x14:sparkline>
              <xm:f>'Total Scorecards'!D114:F114</xm:f>
              <xm:sqref>G114</xm:sqref>
            </x14:sparkline>
            <x14:sparkline>
              <xm:f>'Total Scorecards'!D117:F117</xm:f>
              <xm:sqref>G117</xm:sqref>
            </x14:sparkline>
            <x14:sparkline>
              <xm:f>'Total Scorecards'!D118:F118</xm:f>
              <xm:sqref>G118</xm:sqref>
            </x14:sparkline>
            <x14:sparkline>
              <xm:f>'Total Scorecards'!D119:F119</xm:f>
              <xm:sqref>G119</xm:sqref>
            </x14:sparkline>
            <x14:sparkline>
              <xm:f>'Total Scorecards'!D128:F128</xm:f>
              <xm:sqref>G128</xm:sqref>
            </x14:sparkline>
            <x14:sparkline>
              <xm:f>'Total Scorecards'!D129:F129</xm:f>
              <xm:sqref>G129</xm:sqref>
            </x14:sparkline>
            <x14:sparkline>
              <xm:f>'Total Scorecards'!D121:F121</xm:f>
              <xm:sqref>G121</xm:sqref>
            </x14:sparkline>
            <x14:sparkline>
              <xm:f>'Total Scorecards'!D110:F110</xm:f>
              <xm:sqref>G110</xm:sqref>
            </x14:sparkline>
            <x14:sparkline>
              <xm:f>'Total Scorecards'!D111:F111</xm:f>
              <xm:sqref>G111</xm:sqref>
            </x14:sparkline>
          </x14:sparklines>
        </x14:sparklineGroup>
        <x14:sparklineGroup manualMax="0" manualMin="0" displayEmptyCellsAs="gap" last="1" xr2:uid="{00000000-0003-0000-0200-00001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Scorecards'!D60:F60</xm:f>
              <xm:sqref>G60</xm:sqref>
            </x14:sparkline>
            <x14:sparkline>
              <xm:f>'Total Scorecards'!D61:F61</xm:f>
              <xm:sqref>G61</xm:sqref>
            </x14:sparkline>
            <x14:sparkline>
              <xm:f>'Total Scorecards'!D62:F62</xm:f>
              <xm:sqref>G62</xm:sqref>
            </x14:sparkline>
            <x14:sparkline>
              <xm:f>'Total Scorecards'!D64:F64</xm:f>
              <xm:sqref>G64</xm:sqref>
            </x14:sparkline>
            <x14:sparkline>
              <xm:f>'Total Scorecards'!D65:F65</xm:f>
              <xm:sqref>G65</xm:sqref>
            </x14:sparkline>
            <x14:sparkline>
              <xm:f>'Total Scorecards'!D66:F66</xm:f>
              <xm:sqref>G66</xm:sqref>
            </x14:sparkline>
            <x14:sparkline>
              <xm:f>'Total Scorecards'!D67:F67</xm:f>
              <xm:sqref>G67</xm:sqref>
            </x14:sparkline>
            <x14:sparkline>
              <xm:f>'Total Scorecards'!D68:F68</xm:f>
              <xm:sqref>G68</xm:sqref>
            </x14:sparkline>
            <x14:sparkline>
              <xm:f>'Total Scorecards'!D69:F69</xm:f>
              <xm:sqref>G69</xm:sqref>
            </x14:sparkline>
            <x14:sparkline>
              <xm:f>'Total Scorecards'!D73:F73</xm:f>
              <xm:sqref>G73</xm:sqref>
            </x14:sparkline>
            <x14:sparkline>
              <xm:f>'Total Scorecards'!D74:F74</xm:f>
              <xm:sqref>G74</xm:sqref>
            </x14:sparkline>
            <x14:sparkline>
              <xm:f>'Total Scorecards'!D77:F77</xm:f>
              <xm:sqref>G77</xm:sqref>
            </x14:sparkline>
            <x14:sparkline>
              <xm:f>'Total Scorecards'!D78:F78</xm:f>
              <xm:sqref>G78</xm:sqref>
            </x14:sparkline>
            <x14:sparkline>
              <xm:f>'Total Scorecards'!D79:F79</xm:f>
              <xm:sqref>G79</xm:sqref>
            </x14:sparkline>
            <x14:sparkline>
              <xm:f>'Total Scorecards'!D88:F88</xm:f>
              <xm:sqref>G88</xm:sqref>
            </x14:sparkline>
            <x14:sparkline>
              <xm:f>'Total Scorecards'!D89:F89</xm:f>
              <xm:sqref>G89</xm:sqref>
            </x14:sparkline>
            <x14:sparkline>
              <xm:f>'Total Scorecards'!D81:F81</xm:f>
              <xm:sqref>G81</xm:sqref>
            </x14:sparkline>
            <x14:sparkline>
              <xm:f>'Total Scorecards'!D70:F70</xm:f>
              <xm:sqref>G70</xm:sqref>
            </x14:sparkline>
            <x14:sparkline>
              <xm:f>'Total Scorecards'!D71:F71</xm:f>
              <xm:sqref>G71</xm:sqref>
            </x14:sparkline>
          </x14:sparklines>
        </x14:sparklineGroup>
        <x14:sparklineGroup manualMax="0" manualMin="0" displayEmptyCellsAs="gap" last="1" xr2:uid="{00000000-0003-0000-0200-00001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Scorecards'!D80:F80</xm:f>
              <xm:sqref>G80</xm:sqref>
            </x14:sparkline>
          </x14:sparklines>
        </x14:sparklineGroup>
        <x14:sparklineGroup manualMax="0" manualMin="0" displayEmptyCellsAs="gap" last="1" xr2:uid="{00000000-0003-0000-0200-00001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Scorecards'!D72:F72</xm:f>
              <xm:sqref>G72</xm:sqref>
            </x14:sparkline>
          </x14:sparklines>
        </x14:sparklineGroup>
        <x14:sparklineGroup manualMax="0" manualMin="0" displayEmptyCellsAs="gap" last="1" negative="1" xr2:uid="{00000000-0003-0000-0200-00001F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'Total Scorecards'!D58:F58</xm:f>
              <xm:sqref>G58</xm:sqref>
            </x14:sparkline>
          </x14:sparklines>
        </x14:sparklineGroup>
        <x14:sparklineGroup manualMax="0" manualMin="0" displayEmptyCellsAs="gap" last="1" xr2:uid="{00000000-0003-0000-0200-00002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Scorecards'!D59:F59</xm:f>
              <xm:sqref>G59</xm:sqref>
            </x14:sparkline>
          </x14:sparklines>
        </x14:sparklineGroup>
        <x14:sparklineGroup manualMax="0" manualMin="0" displayEmptyCellsAs="gap" last="1" xr2:uid="{00000000-0003-0000-0200-00002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Scorecards'!D44:F44</xm:f>
              <xm:sqref>G44</xm:sqref>
            </x14:sparkline>
          </x14:sparklines>
        </x14:sparklineGroup>
        <x14:sparklineGroup manualMax="0" manualMin="0" displayEmptyCellsAs="gap" last="1" xr2:uid="{00000000-0003-0000-0200-00002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Scorecards'!D40:F40</xm:f>
              <xm:sqref>G40</xm:sqref>
            </x14:sparkline>
          </x14:sparklines>
        </x14:sparklineGroup>
        <x14:sparklineGroup manualMax="0" manualMin="0" displayEmptyCellsAs="gap" last="1" xr2:uid="{00000000-0003-0000-0200-00002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Scorecards'!D82:F82</xm:f>
              <xm:sqref>G82</xm:sqref>
            </x14:sparkline>
            <x14:sparkline>
              <xm:f>'Total Scorecards'!D83:F83</xm:f>
              <xm:sqref>G83</xm:sqref>
            </x14:sparkline>
          </x14:sparklines>
        </x14:sparklineGroup>
        <x14:sparklineGroup manualMax="0" manualMin="0" displayEmptyCellsAs="gap" last="1" xr2:uid="{00000000-0003-0000-0200-00002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Scorecards'!D87:F87</xm:f>
              <xm:sqref>G87</xm:sqref>
            </x14:sparkline>
          </x14:sparklines>
        </x14:sparklineGroup>
        <x14:sparklineGroup manualMax="0" manualMin="0" displayEmptyCellsAs="gap" last="1" xr2:uid="{00000000-0003-0000-0200-00002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Scorecards'!D85:F85</xm:f>
              <xm:sqref>G85</xm:sqref>
            </x14:sparkline>
          </x14:sparklines>
        </x14:sparklineGroup>
        <x14:sparklineGroup manualMax="0" manualMin="0" displayEmptyCellsAs="gap" last="1" xr2:uid="{00000000-0003-0000-0200-00002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Scorecards'!D84:F84</xm:f>
              <xm:sqref>G84</xm:sqref>
            </x14:sparkline>
          </x14:sparklines>
        </x14:sparklineGroup>
        <x14:sparklineGroup manualMax="0" manualMin="0" displayEmptyCellsAs="gap" last="1" xr2:uid="{00000000-0003-0000-0200-00002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Scorecards'!D127:F127</xm:f>
              <xm:sqref>G127</xm:sqref>
            </x14:sparkline>
          </x14:sparklines>
        </x14:sparklineGroup>
        <x14:sparklineGroup manualMax="0" manualMin="0" displayEmptyCellsAs="gap" last="1" xr2:uid="{00000000-0003-0000-0200-00002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Scorecards'!D124:F124</xm:f>
              <xm:sqref>G124</xm:sqref>
            </x14:sparkline>
          </x14:sparklines>
        </x14:sparklineGroup>
        <x14:sparklineGroup manualMax="0" manualMin="0" displayEmptyCellsAs="gap" last="1" xr2:uid="{00000000-0003-0000-0200-00002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Scorecards'!D125:F125</xm:f>
              <xm:sqref>G125</xm:sqref>
            </x14:sparkline>
          </x14:sparklines>
        </x14:sparklineGroup>
        <x14:sparklineGroup manualMax="0" manualMin="0" displayEmptyCellsAs="gap" last="1" xr2:uid="{00000000-0003-0000-0200-00002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Scorecards'!D122:F122</xm:f>
              <xm:sqref>G122</xm:sqref>
            </x14:sparkline>
            <x14:sparkline>
              <xm:f>'Total Scorecards'!D123:F123</xm:f>
              <xm:sqref>G123</xm:sqref>
            </x14:sparkline>
          </x14:sparklines>
        </x14:sparklineGroup>
        <x14:sparklineGroup manualMax="0" manualMin="0" displayEmptyCellsAs="gap" last="1" xr2:uid="{00000000-0003-0000-0200-00002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Scorecards'!D167:F167</xm:f>
              <xm:sqref>G167</xm:sqref>
            </x14:sparkline>
          </x14:sparklines>
        </x14:sparklineGroup>
        <x14:sparklineGroup manualMax="0" manualMin="0" displayEmptyCellsAs="gap" last="1" xr2:uid="{00000000-0003-0000-0200-00002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Scorecards'!D162:F162</xm:f>
              <xm:sqref>G162</xm:sqref>
            </x14:sparkline>
            <x14:sparkline>
              <xm:f>'Total Scorecards'!D163:F163</xm:f>
              <xm:sqref>G163</xm:sqref>
            </x14:sparkline>
          </x14:sparklines>
        </x14:sparklineGroup>
        <x14:sparklineGroup manualMax="0" manualMin="0" displayEmptyCellsAs="gap" last="1" xr2:uid="{00000000-0003-0000-0200-00002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Scorecards'!D165:F165</xm:f>
              <xm:sqref>G165</xm:sqref>
            </x14:sparkline>
          </x14:sparklines>
        </x14:sparklineGroup>
        <x14:sparklineGroup manualMax="0" manualMin="0" displayEmptyCellsAs="gap" last="1" xr2:uid="{00000000-0003-0000-0200-00002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Scorecards'!D164:F164</xm:f>
              <xm:sqref>G164</xm:sqref>
            </x14:sparkline>
          </x14:sparklines>
        </x14:sparklineGroup>
        <x14:sparklineGroup manualMax="0" manualMin="0" displayEmptyCellsAs="gap" last="1" xr2:uid="{00000000-0003-0000-0200-00002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Scorecards'!D207:F207</xm:f>
              <xm:sqref>G207</xm:sqref>
            </x14:sparkline>
          </x14:sparklines>
        </x14:sparklineGroup>
        <x14:sparklineGroup manualMax="0" manualMin="0" displayEmptyCellsAs="gap" last="1" xr2:uid="{00000000-0003-0000-0200-00003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Scorecards'!D204:F204</xm:f>
              <xm:sqref>G204</xm:sqref>
            </x14:sparkline>
          </x14:sparklines>
        </x14:sparklineGroup>
        <x14:sparklineGroup manualMax="0" manualMin="0" displayEmptyCellsAs="gap" last="1" xr2:uid="{00000000-0003-0000-0200-00003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Scorecards'!D205:F205</xm:f>
              <xm:sqref>G205</xm:sqref>
            </x14:sparkline>
          </x14:sparklines>
        </x14:sparklineGroup>
        <x14:sparklineGroup manualMax="0" manualMin="0" displayEmptyCellsAs="gap" last="1" xr2:uid="{00000000-0003-0000-0200-00003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Scorecards'!D202:F202</xm:f>
              <xm:sqref>G202</xm:sqref>
            </x14:sparkline>
            <x14:sparkline>
              <xm:f>'Total Scorecards'!D203:F203</xm:f>
              <xm:sqref>G203</xm:sqref>
            </x14:sparkline>
          </x14:sparklines>
        </x14:sparklineGroup>
        <x14:sparklineGroup manualMax="0" manualMin="0" displayEmptyCellsAs="gap" last="1" xr2:uid="{00000000-0003-0000-0200-00003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Scorecards'!D46:F46</xm:f>
              <xm:sqref>G46</xm:sqref>
            </x14:sparkline>
          </x14:sparklines>
        </x14:sparklineGroup>
        <x14:sparklineGroup manualMax="0" manualMin="0" displayEmptyCellsAs="gap" last="1" xr2:uid="{00000000-0003-0000-0200-00003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Scorecards'!D86:F86</xm:f>
              <xm:sqref>G86</xm:sqref>
            </x14:sparkline>
          </x14:sparklines>
        </x14:sparklineGroup>
        <x14:sparklineGroup manualMax="0" manualMin="0" displayEmptyCellsAs="gap" last="1" xr2:uid="{00000000-0003-0000-0200-00003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Scorecards'!D126:F126</xm:f>
              <xm:sqref>G126</xm:sqref>
            </x14:sparkline>
          </x14:sparklines>
        </x14:sparklineGroup>
        <x14:sparklineGroup manualMax="0" manualMin="0" displayEmptyCellsAs="gap" last="1" xr2:uid="{00000000-0003-0000-0200-00003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Scorecards'!D166:F166</xm:f>
              <xm:sqref>G166</xm:sqref>
            </x14:sparkline>
          </x14:sparklines>
        </x14:sparklineGroup>
        <x14:sparklineGroup manualMax="0" manualMin="0" displayEmptyCellsAs="gap" last="1" xr2:uid="{00000000-0003-0000-0200-00003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Scorecards'!D206:F206</xm:f>
              <xm:sqref>G206</xm:sqref>
            </x14:sparkline>
          </x14:sparklines>
        </x14:sparklineGroup>
        <x14:sparklineGroup manualMax="0" manualMin="0" displayEmptyCellsAs="gap" last="1" xr2:uid="{00000000-0003-0000-0200-00003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'Total Scorecards'!D20:F20</xm:f>
              <xm:sqref>G20</xm:sqref>
            </x14:sparkline>
            <x14:sparkline>
              <xm:f>'Total Scorecards'!D21:F21</xm:f>
              <xm:sqref>G21</xm:sqref>
            </x14:sparkline>
            <x14:sparkline>
              <xm:f>'Total Scorecards'!D22:F22</xm:f>
              <xm:sqref>G22</xm:sqref>
            </x14:sparkline>
            <x14:sparkline>
              <xm:f>'Total Scorecards'!D24:F24</xm:f>
              <xm:sqref>G24</xm:sqref>
            </x14:sparkline>
            <x14:sparkline>
              <xm:f>'Total Scorecards'!D23:F23</xm:f>
              <xm:sqref>G23</xm:sqref>
            </x14:sparkline>
            <x14:sparkline>
              <xm:f>'Total Scorecards'!D25:F25</xm:f>
              <xm:sqref>G25</xm:sqref>
            </x14:sparkline>
            <x14:sparkline>
              <xm:f>'Total Scorecards'!D26:F26</xm:f>
              <xm:sqref>G26</xm:sqref>
            </x14:sparkline>
            <x14:sparkline>
              <xm:f>'Total Scorecards'!D27:F27</xm:f>
              <xm:sqref>G27</xm:sqref>
            </x14:sparkline>
            <x14:sparkline>
              <xm:f>'Total Scorecards'!D28:F28</xm:f>
              <xm:sqref>G28</xm:sqref>
            </x14:sparkline>
            <x14:sparkline>
              <xm:f>'Total Scorecards'!D29:F29</xm:f>
              <xm:sqref>G29</xm:sqref>
            </x14:sparkline>
            <x14:sparkline>
              <xm:f>'Total Scorecards'!D33:F33</xm:f>
              <xm:sqref>G33</xm:sqref>
            </x14:sparkline>
            <x14:sparkline>
              <xm:f>'Total Scorecards'!D34:F34</xm:f>
              <xm:sqref>G34</xm:sqref>
            </x14:sparkline>
            <x14:sparkline>
              <xm:f>'Total Scorecards'!D35:F35</xm:f>
              <xm:sqref>G35</xm:sqref>
            </x14:sparkline>
            <x14:sparkline>
              <xm:f>'Total Scorecards'!D36:F36</xm:f>
              <xm:sqref>G36</xm:sqref>
            </x14:sparkline>
            <x14:sparkline>
              <xm:f>'Total Scorecards'!D37:F37</xm:f>
              <xm:sqref>G37</xm:sqref>
            </x14:sparkline>
            <x14:sparkline>
              <xm:f>'Total Scorecards'!D38:F38</xm:f>
              <xm:sqref>G38</xm:sqref>
            </x14:sparkline>
            <x14:sparkline>
              <xm:f>'Total Scorecards'!D39:F39</xm:f>
              <xm:sqref>G39</xm:sqref>
            </x14:sparkline>
            <x14:sparkline>
              <xm:f>'Total Scorecards'!D48:F48</xm:f>
              <xm:sqref>G48</xm:sqref>
            </x14:sparkline>
            <x14:sparkline>
              <xm:f>'Total Scorecards'!D49:F49</xm:f>
              <xm:sqref>G49</xm:sqref>
            </x14:sparkline>
            <x14:sparkline>
              <xm:f>'Total Scorecards'!D45:F45</xm:f>
              <xm:sqref>G45</xm:sqref>
            </x14:sparkline>
            <x14:sparkline>
              <xm:f>'Total Scorecards'!D41:F41</xm:f>
              <xm:sqref>G41</xm:sqref>
            </x14:sparkline>
            <x14:sparkline>
              <xm:f>'Total Scorecards'!D30:F30</xm:f>
              <xm:sqref>G30</xm:sqref>
            </x14:sparkline>
            <x14:sparkline>
              <xm:f>'Total Scorecards'!D31:F31</xm:f>
              <xm:sqref>G31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Q205"/>
  <sheetViews>
    <sheetView showGridLines="0" zoomScale="85" zoomScaleNormal="85" workbookViewId="0">
      <selection activeCell="F142" sqref="F142"/>
    </sheetView>
  </sheetViews>
  <sheetFormatPr defaultRowHeight="15" x14ac:dyDescent="0.25"/>
  <cols>
    <col min="1" max="1" width="14.5703125" style="2" customWidth="1"/>
    <col min="2" max="2" width="4.140625" style="64" customWidth="1"/>
    <col min="3" max="3" width="24.28515625" style="2" customWidth="1"/>
    <col min="4" max="6" width="11.28515625" style="2" customWidth="1"/>
    <col min="7" max="7" width="6.140625" style="2" customWidth="1"/>
    <col min="8" max="9" width="8" style="6" customWidth="1"/>
    <col min="10" max="10" width="8.140625" style="2" customWidth="1"/>
    <col min="11" max="11" width="68.140625" style="2" customWidth="1"/>
    <col min="12" max="12" width="8.140625" style="55" customWidth="1"/>
    <col min="13" max="13" width="19.7109375" style="2" customWidth="1"/>
    <col min="14" max="14" width="10.42578125" style="55" customWidth="1"/>
    <col min="15" max="15" width="17.85546875" style="2" customWidth="1"/>
    <col min="16" max="16" width="20.7109375" style="2" customWidth="1"/>
    <col min="17" max="17" width="15.28515625" style="2" customWidth="1"/>
    <col min="18" max="20" width="8.42578125" style="2" customWidth="1"/>
    <col min="21" max="16384" width="9.140625" style="2"/>
  </cols>
  <sheetData>
    <row r="1" spans="1:17" ht="22.5" customHeight="1" x14ac:dyDescent="0.35">
      <c r="A1" s="7" t="str">
        <f>Source1</f>
        <v>California</v>
      </c>
      <c r="K1" s="48"/>
    </row>
    <row r="2" spans="1:17" ht="22.5" customHeight="1" x14ac:dyDescent="0.35">
      <c r="A2" s="7" t="str">
        <f>MIN(Months)&amp;" Months"</f>
        <v>0 Months</v>
      </c>
      <c r="K2" s="39" t="str">
        <f>IF(ISBLANK('Total Scorecards'!C4),"-",'Total Scorecards'!C4)</f>
        <v>Notes</v>
      </c>
      <c r="M2" s="11" t="str">
        <f>A1&amp;" Exposures"</f>
        <v>California Exposures</v>
      </c>
      <c r="O2" s="55"/>
      <c r="Q2" s="55"/>
    </row>
    <row r="3" spans="1:17" ht="18" customHeight="1" thickBot="1" x14ac:dyDescent="0.3">
      <c r="A3" s="11"/>
      <c r="K3" s="39" t="str">
        <f>IF(ISBLANK('Total Scorecards'!C5),"-",'Total Scorecards'!C5)</f>
        <v>$0 incurred claims excluded</v>
      </c>
      <c r="M3" s="11"/>
      <c r="O3" s="55"/>
      <c r="Q3" s="55"/>
    </row>
    <row r="4" spans="1:17" x14ac:dyDescent="0.25">
      <c r="B4" s="65" t="s">
        <v>41</v>
      </c>
      <c r="C4" s="14" t="str">
        <f>Source1</f>
        <v>California</v>
      </c>
      <c r="D4" s="148"/>
      <c r="E4" s="149"/>
      <c r="F4" s="149"/>
      <c r="G4" s="14"/>
      <c r="H4" s="15"/>
      <c r="I4" s="16"/>
      <c r="K4" s="39" t="str">
        <f>IF(ISBLANK('Total Scorecards'!C6),"-",'Total Scorecards'!C6)</f>
        <v>financials limited to retention</v>
      </c>
      <c r="M4" s="54" t="s">
        <v>16</v>
      </c>
      <c r="N4" s="56" t="s">
        <v>70</v>
      </c>
      <c r="O4" s="56" t="s">
        <v>17</v>
      </c>
      <c r="P4" s="53" t="s">
        <v>18</v>
      </c>
      <c r="Q4" s="56" t="s">
        <v>19</v>
      </c>
    </row>
    <row r="5" spans="1:17" x14ac:dyDescent="0.25">
      <c r="C5" s="150" t="str">
        <f>"PY"&amp;RIGHT(YEAR($F$6),2)&amp;" at "&amp;execute!D32&amp;" Months"</f>
        <v>PY21 at 0 Months</v>
      </c>
      <c r="D5" s="151" t="s">
        <v>43</v>
      </c>
      <c r="E5" s="152"/>
      <c r="F5" s="152"/>
      <c r="G5" s="150"/>
      <c r="H5" s="153"/>
      <c r="I5" s="154"/>
      <c r="K5" s="39" t="str">
        <f>IF(ISBLANK('Total Scorecards'!C7),"-",'Total Scorecards'!C7)</f>
        <v>indemnity status defined by indemnity incurred &gt;$0</v>
      </c>
      <c r="M5" s="13">
        <f t="array" ref="M5">PY1_</f>
        <v>44197</v>
      </c>
      <c r="N5" s="55">
        <v>1000000</v>
      </c>
      <c r="O5" s="55">
        <v>13800000</v>
      </c>
      <c r="P5" s="2">
        <v>755</v>
      </c>
      <c r="Q5" s="55">
        <v>401627000</v>
      </c>
    </row>
    <row r="6" spans="1:17" x14ac:dyDescent="0.25">
      <c r="C6" s="150"/>
      <c r="D6" s="43">
        <f t="array" ref="D6">PY3_</f>
        <v>43466</v>
      </c>
      <c r="E6" s="44">
        <f t="array" ref="E6">PY2_</f>
        <v>43831</v>
      </c>
      <c r="F6" s="44">
        <f t="array" ref="F6">PY1_</f>
        <v>44197</v>
      </c>
      <c r="G6" s="150"/>
      <c r="H6" s="153"/>
      <c r="I6" s="154"/>
      <c r="K6" s="39" t="str">
        <f>IF(ISBLANK('Total Scorecards'!C8),"-",'Total Scorecards'!C8)</f>
        <v>closure status defined by TPA</v>
      </c>
      <c r="M6" s="12">
        <f t="array" ref="M6">PY2_</f>
        <v>43831</v>
      </c>
      <c r="N6" s="55">
        <v>1000000</v>
      </c>
      <c r="O6" s="55">
        <v>12000000</v>
      </c>
      <c r="P6" s="2">
        <v>717</v>
      </c>
      <c r="Q6" s="55">
        <v>366586000</v>
      </c>
    </row>
    <row r="7" spans="1:17" x14ac:dyDescent="0.25">
      <c r="C7" s="150"/>
      <c r="D7" s="17" t="s">
        <v>46</v>
      </c>
      <c r="E7" s="18" t="s">
        <v>46</v>
      </c>
      <c r="F7" s="18" t="s">
        <v>46</v>
      </c>
      <c r="G7" s="150"/>
      <c r="H7" s="153"/>
      <c r="I7" s="154"/>
      <c r="K7" s="39" t="str">
        <f>IF(ISBLANK('Total Scorecards'!C9),"-",'Total Scorecards'!C9)</f>
        <v>litigation defined as represented date before valuation</v>
      </c>
      <c r="M7" s="12">
        <f>PY3_</f>
        <v>43466</v>
      </c>
      <c r="N7" s="55">
        <v>1000000</v>
      </c>
      <c r="O7" s="55">
        <v>12830000</v>
      </c>
      <c r="P7" s="2">
        <v>690</v>
      </c>
      <c r="Q7" s="55">
        <v>372921000</v>
      </c>
    </row>
    <row r="8" spans="1:17" ht="15.75" customHeight="1" x14ac:dyDescent="0.25">
      <c r="C8" s="150"/>
      <c r="D8" s="41" t="str">
        <f t="array" ref="D8">MONTH(Val_current)&amp;"/"&amp;DAY(Val_current)&amp;"/"&amp;YEAR(Val_current)-2</f>
        <v>1/0/1898</v>
      </c>
      <c r="E8" s="40" t="str">
        <f t="array" ref="E8">MONTH(Val_current)&amp;"/"&amp;DAY(Val_current)&amp;"/"&amp;YEAR(Val_current)-1</f>
        <v>1/0/1899</v>
      </c>
      <c r="F8" s="40">
        <f t="array" ref="F8">Val_current</f>
        <v>0</v>
      </c>
      <c r="G8" s="45" t="s">
        <v>47</v>
      </c>
      <c r="H8" s="46" t="str">
        <f t="array" ref="H8">IF(IncYr_yn="Y",RIGHT(YEAR($D$6),2)&amp;" vs "&amp;RIGHT(YEAR($F$6),2),RIGHT(YEAR($D$6),2)+1&amp;" vs "&amp;RIGHT(YEAR($F$6)+1,2))</f>
        <v>19 vs 21</v>
      </c>
      <c r="I8" s="47" t="str">
        <f t="array" ref="I8">IF(IncYr_yn="Y",RIGHT(YEAR($E$6),2)&amp;" vs "&amp;RIGHT(YEAR($F$6),2),RIGHT(YEAR($E$6),2)+1&amp;" vs "&amp;RIGHT(YEAR($F$6)+1,2))</f>
        <v>20 vs 21</v>
      </c>
      <c r="K8" s="39" t="str">
        <f>IF(ISBLANK('Total Scorecards'!C10),"-",'Total Scorecards'!C10)</f>
        <v>Actuarial: Milliman as of 3/31/19</v>
      </c>
      <c r="M8" s="12">
        <f>PY4_</f>
        <v>43101</v>
      </c>
      <c r="N8" s="55">
        <v>1000000</v>
      </c>
      <c r="O8" s="55">
        <v>9020000</v>
      </c>
      <c r="P8" s="2">
        <v>645</v>
      </c>
      <c r="Q8" s="55">
        <v>359650000</v>
      </c>
    </row>
    <row r="9" spans="1:17" ht="15.75" customHeight="1" thickBot="1" x14ac:dyDescent="0.3">
      <c r="C9" s="19"/>
      <c r="D9" s="20"/>
      <c r="E9" s="20"/>
      <c r="F9" s="21"/>
      <c r="G9" s="22"/>
      <c r="H9" s="23"/>
      <c r="I9" s="24"/>
      <c r="K9" s="39" t="str">
        <f>IF(ISBLANK('Total Scorecards'!C11),"-",'Total Scorecards'!C11)</f>
        <v>PY 7/1/18 ultimates are prorated from actuarial report</v>
      </c>
      <c r="M9" s="12">
        <f>PY5_</f>
        <v>39083</v>
      </c>
      <c r="N9" s="55">
        <v>1000000</v>
      </c>
      <c r="O9" s="55">
        <v>9030000</v>
      </c>
      <c r="P9" s="2">
        <v>697</v>
      </c>
      <c r="Q9" s="55">
        <v>376975000</v>
      </c>
    </row>
    <row r="10" spans="1:17" ht="15.75" customHeight="1" x14ac:dyDescent="0.25">
      <c r="C10" s="25" t="s">
        <v>50</v>
      </c>
      <c r="D10" s="74">
        <f t="array" ref="D10">IFERROR(VLOOKUP(PY3_,$M$4:$R$13,3,FALSE),"-")</f>
        <v>12830000</v>
      </c>
      <c r="E10" s="74">
        <f>IFERROR(VLOOKUP(PY2_,$M$4:$R$13,3,FALSE),"-")</f>
        <v>12000000</v>
      </c>
      <c r="F10" s="74">
        <f t="array" ref="F10">IFERROR(VLOOKUP(PY1_,$M$4:$R$13,3,FALSE),"-")</f>
        <v>13800000</v>
      </c>
      <c r="G10" s="76"/>
      <c r="H10" s="77">
        <f>IFERROR((F10-D10)/D10,"-")</f>
        <v>7.5604053000779423E-2</v>
      </c>
      <c r="I10" s="78">
        <f>IFERROR((F10-E10)/E10,"-")</f>
        <v>0.15</v>
      </c>
      <c r="K10" s="49"/>
      <c r="M10" s="12">
        <f>PY6_</f>
        <v>42370</v>
      </c>
      <c r="N10" s="55">
        <v>1000000</v>
      </c>
      <c r="O10" s="55">
        <v>9820000</v>
      </c>
      <c r="P10" s="2">
        <v>712</v>
      </c>
      <c r="Q10" s="55">
        <v>379000000</v>
      </c>
    </row>
    <row r="11" spans="1:17" ht="15.75" customHeight="1" x14ac:dyDescent="0.25">
      <c r="C11" s="25" t="s">
        <v>18</v>
      </c>
      <c r="D11" s="82">
        <f>IFERROR(VLOOKUP(PY3_,$M$4:$P$11,4,FALSE),"-")</f>
        <v>690</v>
      </c>
      <c r="E11" s="82">
        <f>IFERROR(VLOOKUP(PY2_,$M$4:$P$11,4,FALSE),"-")</f>
        <v>717</v>
      </c>
      <c r="F11" s="83">
        <f>IFERROR(VLOOKUP(PY1_,$M$4:$P$11,4,FALSE),"-")</f>
        <v>755</v>
      </c>
      <c r="G11" s="76"/>
      <c r="H11" s="81">
        <f>IFERROR((F11-D11)/D11,"-")</f>
        <v>9.420289855072464E-2</v>
      </c>
      <c r="I11" s="78">
        <f>IFERROR((F11-E11)/E11,"-")</f>
        <v>5.2998605299860529E-2</v>
      </c>
      <c r="M11" s="12">
        <f>PY7_</f>
        <v>42005</v>
      </c>
    </row>
    <row r="12" spans="1:17" ht="15.75" thickBot="1" x14ac:dyDescent="0.3">
      <c r="C12" s="19"/>
      <c r="D12" s="20"/>
      <c r="E12" s="20"/>
      <c r="F12" s="21"/>
      <c r="G12" s="22"/>
      <c r="H12" s="23"/>
      <c r="I12" s="24"/>
      <c r="L12" s="2"/>
      <c r="M12" s="12"/>
    </row>
    <row r="13" spans="1:17" x14ac:dyDescent="0.25">
      <c r="C13" s="25" t="s">
        <v>38</v>
      </c>
      <c r="D13" s="74">
        <f t="array" ref="D13">SUM((IncLim)*(Months=months1)*(PY=PY3_)*(Filter1=Source1))</f>
        <v>0</v>
      </c>
      <c r="E13" s="74">
        <f t="array" ref="E13">SUM((IncLim)*(Months=months1)*(PY=PY2_)*(Filter1=Source1))</f>
        <v>0</v>
      </c>
      <c r="F13" s="75">
        <f t="array" ref="F13">SUM((IncLim)*(Months=months1)*(PY=PY1_)*(Filter1=Source1)*(Filter1=Source1))</f>
        <v>0</v>
      </c>
      <c r="G13" s="76"/>
      <c r="H13" s="77" t="str">
        <f>IFERROR((F13-D13)/D13,"-")</f>
        <v>-</v>
      </c>
      <c r="I13" s="78" t="str">
        <f>IFERROR((F13-E13)/E13,"-")</f>
        <v>-</v>
      </c>
      <c r="L13" s="2"/>
    </row>
    <row r="14" spans="1:17" x14ac:dyDescent="0.25">
      <c r="B14" s="71"/>
      <c r="C14" s="25" t="s">
        <v>71</v>
      </c>
      <c r="D14" s="74">
        <f t="array" ref="D14">SUM((pdLim)*(Months=months1)*(PY=PY3_)*(Filter1=Source1))</f>
        <v>0</v>
      </c>
      <c r="E14" s="74">
        <f t="array" ref="E14">SUM((pdLim)*(Months=months1)*(PY=PY2_)*(Filter1=Source1))</f>
        <v>0</v>
      </c>
      <c r="F14" s="75">
        <f t="array" ref="F14">SUM((pdLim)*(Months=months1)*(PY=PY1_)*(Filter1=Source1))</f>
        <v>0</v>
      </c>
      <c r="G14" s="76"/>
      <c r="H14" s="81" t="str">
        <f>IFERROR((F14-D14)/D14,"-")</f>
        <v>-</v>
      </c>
      <c r="I14" s="78" t="str">
        <f>IFERROR((F14-E14)/E14,"-")</f>
        <v>-</v>
      </c>
      <c r="J14" s="5"/>
      <c r="L14" s="2"/>
      <c r="N14" s="2"/>
    </row>
    <row r="15" spans="1:17" x14ac:dyDescent="0.25">
      <c r="C15" s="25" t="s">
        <v>51</v>
      </c>
      <c r="D15" s="74">
        <f>D13-D14</f>
        <v>0</v>
      </c>
      <c r="E15" s="74">
        <f>E13-E14</f>
        <v>0</v>
      </c>
      <c r="F15" s="74">
        <f>F13-F14</f>
        <v>0</v>
      </c>
      <c r="G15" s="76"/>
      <c r="H15" s="81" t="str">
        <f>IFERROR((F15-D15)/D15,"-")</f>
        <v>-</v>
      </c>
      <c r="I15" s="78" t="str">
        <f>IFERROR((F15-E15)/E15,"-")</f>
        <v>-</v>
      </c>
      <c r="J15" s="5"/>
      <c r="L15" s="2"/>
    </row>
    <row r="16" spans="1:17" ht="15.75" thickBot="1" x14ac:dyDescent="0.3">
      <c r="C16" s="26"/>
      <c r="D16" s="27"/>
      <c r="E16" s="27"/>
      <c r="F16" s="28"/>
      <c r="G16" s="29"/>
      <c r="H16" s="30"/>
      <c r="I16" s="31"/>
      <c r="L16" s="2"/>
    </row>
    <row r="17" spans="2:14" x14ac:dyDescent="0.25">
      <c r="C17" s="25" t="s">
        <v>52</v>
      </c>
      <c r="D17" s="82">
        <f t="array" ref="D17">SUM((IncLim&gt;0)*(Months=months1)*(PY=PY3_)*(Filter1=Source1))</f>
        <v>0</v>
      </c>
      <c r="E17" s="82">
        <f t="array" ref="E17">SUM((IncLim&gt;0)*(Months=months1)*(PY=PY2_)*(Filter1=Source1))</f>
        <v>0</v>
      </c>
      <c r="F17" s="83">
        <f t="array" ref="F17">SUM((IncLim&gt;0)*(Months=months1)*(PY=PY1_)*(Filter1=Source1))</f>
        <v>0</v>
      </c>
      <c r="G17" s="76"/>
      <c r="H17" s="77" t="str">
        <f>IFERROR((F17-D17)/D17,"-")</f>
        <v>-</v>
      </c>
      <c r="I17" s="78" t="str">
        <f>IFERROR((F17-E17)/E17,"-")</f>
        <v>-</v>
      </c>
    </row>
    <row r="18" spans="2:14" x14ac:dyDescent="0.25">
      <c r="C18" s="25" t="s">
        <v>53</v>
      </c>
      <c r="D18" s="74" t="str">
        <f>IFERROR(D13/D17,"-")</f>
        <v>-</v>
      </c>
      <c r="E18" s="74" t="str">
        <f>IFERROR(E13/E17,"-")</f>
        <v>-</v>
      </c>
      <c r="F18" s="74" t="str">
        <f>IFERROR(F13/F17,"-")</f>
        <v>-</v>
      </c>
      <c r="G18" s="76"/>
      <c r="H18" s="84" t="str">
        <f>IFERROR((F18-D18)/D18,"-")</f>
        <v>-</v>
      </c>
      <c r="I18" s="78" t="str">
        <f>IFERROR((F18-E18)/E18,"-")</f>
        <v>-</v>
      </c>
    </row>
    <row r="19" spans="2:14" x14ac:dyDescent="0.25">
      <c r="C19" s="25" t="s">
        <v>54</v>
      </c>
      <c r="D19" s="74" t="str">
        <f t="array" ref="D19">IFERROR(MEDIAN(IF(IncLim&gt;0, IF(Months=months1,IF(PY=PY3_, IF(Filter1=Source1, IncLim))))),"-")</f>
        <v>-</v>
      </c>
      <c r="E19" s="74" t="str">
        <f t="array" ref="E19">IFERROR(MEDIAN(IF(IncLim&gt;0, IF(Months=months1,IF(PY=PY2_, IF(Filter1=Source1, IncLim))))),"-")</f>
        <v>-</v>
      </c>
      <c r="F19" s="74" t="str">
        <f t="array" ref="F19">IFERROR(MEDIAN(IF(IncLim&gt;0, IF(Months=months1,IF(PY=PY1_, IF(Filter1=Source1,IncLim))))),"-")</f>
        <v>-</v>
      </c>
      <c r="G19" s="76"/>
      <c r="H19" s="81" t="str">
        <f>IFERROR((F19-D19)/D19,"-")</f>
        <v>-</v>
      </c>
      <c r="I19" s="78" t="str">
        <f>IFERROR((F19-E19)/E19,"-")</f>
        <v>-</v>
      </c>
    </row>
    <row r="20" spans="2:14" x14ac:dyDescent="0.25">
      <c r="C20" s="26"/>
      <c r="D20" s="27"/>
      <c r="E20" s="27"/>
      <c r="F20" s="28"/>
      <c r="G20" s="29"/>
      <c r="H20" s="23"/>
      <c r="I20" s="24"/>
    </row>
    <row r="21" spans="2:14" x14ac:dyDescent="0.25">
      <c r="C21" s="25" t="s">
        <v>55</v>
      </c>
      <c r="D21" s="74">
        <f>IFERROR((VLOOKUP(PY3_,$M$4:$Q$10,5,FALSE)/100),"-")</f>
        <v>3729210</v>
      </c>
      <c r="E21" s="74">
        <f>IFERROR((VLOOKUP(PY2_,$M$4:$Q$10,5,FALSE)/100),"-")</f>
        <v>3665860</v>
      </c>
      <c r="F21" s="75">
        <f>IFERROR((VLOOKUP(PY1_,$M$4:$Q$10,5,FALSE)/100),"-")</f>
        <v>4016270</v>
      </c>
      <c r="G21" s="76"/>
      <c r="H21" s="81">
        <f>IFERROR((F21-D21)/D21,"-")</f>
        <v>7.6976088769471276E-2</v>
      </c>
      <c r="I21" s="78">
        <f>IFERROR((F21-E21)/E21,"-")</f>
        <v>9.5587392862793455E-2</v>
      </c>
      <c r="J21" s="2" t="s">
        <v>56</v>
      </c>
    </row>
    <row r="22" spans="2:14" ht="15.75" thickBot="1" x14ac:dyDescent="0.3">
      <c r="C22" s="32" t="s">
        <v>57</v>
      </c>
      <c r="D22" s="85">
        <f>IFERROR(D13/D21,"-")</f>
        <v>0</v>
      </c>
      <c r="E22" s="85">
        <f>IFERROR(E13/E21,"-")</f>
        <v>0</v>
      </c>
      <c r="F22" s="85">
        <f>IFERROR(F13/F21,"-")</f>
        <v>0</v>
      </c>
      <c r="G22" s="86"/>
      <c r="H22" s="87" t="str">
        <f>IFERROR((F22-D22)/D22,"-")</f>
        <v>-</v>
      </c>
      <c r="I22" s="88" t="str">
        <f>IFERROR((F22-E22)/E22,"-")</f>
        <v>-</v>
      </c>
    </row>
    <row r="23" spans="2:14" ht="15.75" thickBot="1" x14ac:dyDescent="0.3">
      <c r="C23" s="26"/>
      <c r="D23" s="27"/>
      <c r="E23" s="27"/>
      <c r="F23" s="28"/>
      <c r="G23" s="29"/>
      <c r="H23" s="30"/>
      <c r="I23" s="31"/>
    </row>
    <row r="24" spans="2:14" x14ac:dyDescent="0.25">
      <c r="C24" s="25" t="s">
        <v>58</v>
      </c>
      <c r="D24" s="80">
        <f t="array" ref="D24">SUM((IncLim&gt;0)*(indType&gt;0)*(Months=months1)*(PY=PY3_)*(Filter1=Source1))</f>
        <v>0</v>
      </c>
      <c r="E24" s="80">
        <f t="array" ref="E24">SUM((IncLim&gt;0)*(indType&gt;0)*(Months=months1)*(PY=PY2_)*(Filter1=Source1))</f>
        <v>0</v>
      </c>
      <c r="F24" s="89">
        <f t="array" ref="F24">SUM((IncLim&gt;0)*(indType&gt;0)*(Months=months1)*(PY=PY1_)*(Filter1=Source1))</f>
        <v>0</v>
      </c>
      <c r="G24" s="76"/>
      <c r="H24" s="77" t="str">
        <f>IFERROR((F24-D24)/D24,"-")</f>
        <v>-</v>
      </c>
      <c r="I24" s="78" t="str">
        <f>IFERROR((F24-E24)/E24,"-")</f>
        <v>-</v>
      </c>
    </row>
    <row r="25" spans="2:14" x14ac:dyDescent="0.25">
      <c r="B25" s="66"/>
      <c r="C25" s="25" t="s">
        <v>59</v>
      </c>
      <c r="D25" s="90" t="str">
        <f>IFERROR(D24/D17,"-")</f>
        <v>-</v>
      </c>
      <c r="E25" s="90" t="str">
        <f>IFERROR(E24/E17,"-")</f>
        <v>-</v>
      </c>
      <c r="F25" s="90" t="str">
        <f>IFERROR(F24/F17,"-")</f>
        <v>-</v>
      </c>
      <c r="G25" s="76"/>
      <c r="H25" s="91" t="str">
        <f>IFERROR(IF(((F25-D25)*100)&gt;0,"+"&amp;ROUND((F25-D25)*100,1),ROUND((F25-D25)*100,1)),"-")</f>
        <v>-</v>
      </c>
      <c r="I25" s="92" t="str">
        <f>IFERROR(IF(((F25-E25)*100)&gt;0,"+"&amp;ROUND((F25-E25)*100,1),ROUND((F25-E25)*100,1)),"-")</f>
        <v>-</v>
      </c>
    </row>
    <row r="26" spans="2:14" x14ac:dyDescent="0.25">
      <c r="B26" s="73"/>
      <c r="C26" s="25" t="s">
        <v>60</v>
      </c>
      <c r="D26" s="74">
        <f t="array" ref="D26">SUM((IncLim)*(indType&gt;0)*(Months=months1)*(PY=PY3_)*(Filter1=Source1))</f>
        <v>0</v>
      </c>
      <c r="E26" s="74">
        <f t="array" ref="E26">SUM((IncLim)*(indType&gt;0)*(Months=months1)*(PY=PY2_)*(Filter1=Source1))</f>
        <v>0</v>
      </c>
      <c r="F26" s="74">
        <f t="array" ref="F26">SUM((IncLim)*(indType&gt;0)*(Months=months1)*(PY=PY1_)*(Filter1=Source1))</f>
        <v>0</v>
      </c>
      <c r="G26" s="76"/>
      <c r="H26" s="81" t="str">
        <f t="shared" ref="H26:H27" si="0">IFERROR((F26-D26)/D26,"-")</f>
        <v>-</v>
      </c>
      <c r="I26" s="78" t="str">
        <f t="shared" ref="I26:I27" si="1">IFERROR((F26-E26)/E26,"-")</f>
        <v>-</v>
      </c>
      <c r="L26" s="2"/>
      <c r="N26" s="2"/>
    </row>
    <row r="27" spans="2:14" x14ac:dyDescent="0.25">
      <c r="B27" s="73"/>
      <c r="C27" s="25" t="s">
        <v>61</v>
      </c>
      <c r="D27" s="74" t="str">
        <f>IFERROR(D26/D24,"-")</f>
        <v>-</v>
      </c>
      <c r="E27" s="74" t="str">
        <f t="shared" ref="E27:F27" si="2">IFERROR(E26/E24,"-")</f>
        <v>-</v>
      </c>
      <c r="F27" s="74" t="str">
        <f t="shared" si="2"/>
        <v>-</v>
      </c>
      <c r="G27" s="76"/>
      <c r="H27" s="81" t="str">
        <f t="shared" si="0"/>
        <v>-</v>
      </c>
      <c r="I27" s="78" t="str">
        <f t="shared" si="1"/>
        <v>-</v>
      </c>
      <c r="L27" s="2"/>
      <c r="N27" s="2"/>
    </row>
    <row r="28" spans="2:14" x14ac:dyDescent="0.25">
      <c r="B28" s="66"/>
      <c r="C28" s="25" t="s">
        <v>62</v>
      </c>
      <c r="D28" s="90" t="str">
        <f>IFERROR(1-(D29/D24),"-")</f>
        <v>-</v>
      </c>
      <c r="E28" s="90" t="str">
        <f>IFERROR(1-(E29/E24),"-")</f>
        <v>-</v>
      </c>
      <c r="F28" s="90" t="str">
        <f>IFERROR(1-(F29/F24),"-")</f>
        <v>-</v>
      </c>
      <c r="G28" s="76"/>
      <c r="H28" s="93" t="str">
        <f>IFERROR(IF(((F28-D28)*100)&gt;0,"+"&amp;ROUND((F28-D28)*100,1),ROUND((F28-D28)*100,1)),"-")</f>
        <v>-</v>
      </c>
      <c r="I28" s="92" t="str">
        <f>IFERROR(IF(((F28-E28)*100)&gt;0,"+"&amp;ROUND((F28-E28)*100,1),ROUND((F28-E28)*100,1)),"-")</f>
        <v>-</v>
      </c>
    </row>
    <row r="29" spans="2:14" ht="15.75" thickBot="1" x14ac:dyDescent="0.3">
      <c r="B29" s="66"/>
      <c r="C29" s="32" t="s">
        <v>63</v>
      </c>
      <c r="D29" s="106">
        <f t="array" ref="D29">D24-SUM((IncLim&gt;0)*(indType&gt;0)*(Closed&gt;0)*(Months=months1)*(PY=PY3_)*(Filter1=Source1))</f>
        <v>0</v>
      </c>
      <c r="E29" s="106">
        <f t="array" ref="E29">E24-SUM((IncLim&gt;0)*(indType&gt;0)*(Closed&gt;0)*(Months=months1)*(PY=PY2_)*(Filter1=Source1))</f>
        <v>0</v>
      </c>
      <c r="F29" s="106">
        <f t="array" ref="F29">F24-SUM((IncLim&gt;0)*(indType&gt;0)*(Closed&gt;0)*(Months=months1)*(PY=PY1_)*(Filter1=Source1))</f>
        <v>0</v>
      </c>
      <c r="G29" s="86"/>
      <c r="H29" s="87" t="str">
        <f>IFERROR((F29-D29)/D29,"-")</f>
        <v>-</v>
      </c>
      <c r="I29" s="88" t="str">
        <f>IFERROR((F29-E29)/E29,"-")</f>
        <v>-</v>
      </c>
    </row>
    <row r="30" spans="2:14" x14ac:dyDescent="0.25">
      <c r="B30" s="66"/>
      <c r="C30" s="26"/>
      <c r="D30" s="33"/>
      <c r="E30" s="33"/>
      <c r="F30" s="34"/>
      <c r="G30" s="29"/>
      <c r="H30" s="30"/>
      <c r="I30" s="31"/>
    </row>
    <row r="31" spans="2:14" x14ac:dyDescent="0.25">
      <c r="B31" s="71"/>
      <c r="C31" s="25" t="s">
        <v>72</v>
      </c>
      <c r="D31" s="80">
        <f t="array" ref="D31">SUM((IncLim&gt;0)*(Lit&gt;0)*(indType&gt;0)*(Months=months1)*(PY=PY3_)*(Filter1=Source1))</f>
        <v>0</v>
      </c>
      <c r="E31" s="80">
        <f t="array" ref="E31">SUM((IncLim&gt;0)*(Lit&gt;0)*(indType&gt;0)*(Months=months1)*(PY=PY2_)*(Filter1=Source1))</f>
        <v>0</v>
      </c>
      <c r="F31" s="89">
        <f t="array" ref="F31">SUM((IncLim&gt;0)*(Lit&gt;0)*(indType&gt;0)*(Months=months1)*(PY=PY1_)*(Filter1=Source1))</f>
        <v>0</v>
      </c>
      <c r="G31" s="76"/>
      <c r="H31" s="81" t="str">
        <f>IFERROR((F31-D31)/D31,"-")</f>
        <v>-</v>
      </c>
      <c r="I31" s="78" t="str">
        <f>IFERROR((F31-E31)/E31,"-")</f>
        <v>-</v>
      </c>
      <c r="L31" s="2"/>
      <c r="N31" s="2"/>
    </row>
    <row r="32" spans="2:14" x14ac:dyDescent="0.25">
      <c r="B32" s="71"/>
      <c r="C32" s="25" t="s">
        <v>73</v>
      </c>
      <c r="D32" s="90" t="str">
        <f>IFERROR(D31/D24,"-")</f>
        <v>-</v>
      </c>
      <c r="E32" s="90" t="str">
        <f>IFERROR(E31/E24,"-")</f>
        <v>-</v>
      </c>
      <c r="F32" s="125" t="str">
        <f>IFERROR(F31/F24,"-")</f>
        <v>-</v>
      </c>
      <c r="G32" s="76"/>
      <c r="H32" s="93" t="str">
        <f>IFERROR(IF(((F32-D32)*100)&gt;0,"+"&amp;ROUND((F32-D32)*100,1),ROUND((F32-D32)*100,1)),"-")</f>
        <v>-</v>
      </c>
      <c r="I32" s="92" t="str">
        <f>IFERROR(IF(((F32-E32)*100)&gt;0,"+"&amp;ROUND((F32-E32)*100,1),ROUND((F32-E32)*100,1)),"-")</f>
        <v>-</v>
      </c>
      <c r="L32" s="2"/>
      <c r="N32" s="2"/>
    </row>
    <row r="33" spans="2:14" x14ac:dyDescent="0.25">
      <c r="B33" s="71"/>
      <c r="C33" s="25" t="s">
        <v>75</v>
      </c>
      <c r="D33" s="74">
        <f t="array" ref="D33">SUM((IncLim)*(Lit&gt;0)*(indType&gt;0)*(Months=months1)*(PY=PY3_)*(Filter1=Source1))</f>
        <v>0</v>
      </c>
      <c r="E33" s="74">
        <f t="array" ref="E33">SUM((IncLim)*(Lit&gt;0)*(indType&gt;0)*(Months=months1)*(PY=PY2_)*(Filter1=Source1))</f>
        <v>0</v>
      </c>
      <c r="F33" s="75">
        <f t="array" ref="F33">SUM((IncLim)*(Lit&gt;0)*(indType&gt;0)*(Months=months1)*(PY=PY1_)*(Filter1=Source1))</f>
        <v>0</v>
      </c>
      <c r="G33" s="76"/>
      <c r="H33" s="81" t="str">
        <f>IFERROR((F33-D33)/D33,"-")</f>
        <v>-</v>
      </c>
      <c r="I33" s="78" t="str">
        <f>IFERROR((F33-E33)/E33,"-")</f>
        <v>-</v>
      </c>
      <c r="L33" s="2"/>
      <c r="N33" s="2"/>
    </row>
    <row r="34" spans="2:14" x14ac:dyDescent="0.25">
      <c r="B34" s="71"/>
      <c r="C34" s="120" t="s">
        <v>100</v>
      </c>
      <c r="D34" s="122" t="str">
        <f>IFERROR(D33/D26,"-")</f>
        <v>-</v>
      </c>
      <c r="E34" s="122" t="str">
        <f>IFERROR(E33/E26,"-")</f>
        <v>-</v>
      </c>
      <c r="F34" s="122" t="str">
        <f>IFERROR(F33/F26,"-")</f>
        <v>-</v>
      </c>
      <c r="G34" s="121"/>
      <c r="H34" s="93" t="str">
        <f>IFERROR(IF(((F34-D34)*100)&gt;0,"+"&amp;ROUND((F34-D34)*100,1),ROUND((F34-D34)*100,1)),"-")</f>
        <v>-</v>
      </c>
      <c r="I34" s="92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1"/>
      <c r="C35" s="25" t="s">
        <v>91</v>
      </c>
      <c r="D35" s="80">
        <f t="array" ref="D35">SUM((IncLim&gt;0)*(Lit&gt;0)*(Months=months1)*(PY=PY3_)*(Filter1=Source1))</f>
        <v>0</v>
      </c>
      <c r="E35" s="80">
        <f t="array" ref="E35">SUM((IncLim&gt;0)*(Lit&gt;0)*(Months=months1)*(PY=PY2_)*(Filter1=Source1))</f>
        <v>0</v>
      </c>
      <c r="F35" s="89">
        <f t="array" ref="F35">SUM((IncLim&gt;0)*(Lit&gt;0)*(Months=months1)*(PY=PY1_)*(Filter1=Source1))</f>
        <v>0</v>
      </c>
      <c r="G35" s="76"/>
      <c r="H35" s="81" t="str">
        <f>IFERROR((F35-D35)/D35,"-")</f>
        <v>-</v>
      </c>
      <c r="I35" s="78" t="str">
        <f>IFERROR((F35-E35)/E35,"-")</f>
        <v>-</v>
      </c>
      <c r="L35" s="2"/>
      <c r="N35" s="2"/>
    </row>
    <row r="36" spans="2:14" x14ac:dyDescent="0.25">
      <c r="B36" s="71"/>
      <c r="C36" s="25" t="s">
        <v>74</v>
      </c>
      <c r="D36" s="74">
        <f t="array" ref="D36">SUM((IncLim)*(Lit&gt;0)*(Months=months1)*(PY=PY3_)*(Filter1=Source1))</f>
        <v>0</v>
      </c>
      <c r="E36" s="74">
        <f t="array" ref="E36">SUM((IncLim)*(Lit&gt;0)*(Months=months1)*(PY=PY2_)*(Filter1=Source1))</f>
        <v>0</v>
      </c>
      <c r="F36" s="75">
        <f t="array" ref="F36">SUM((IncLim)*(Lit&gt;0)*(Months=months1)*(PY=PY1_)*(Filter1=Source1))</f>
        <v>0</v>
      </c>
      <c r="G36" s="76"/>
      <c r="H36" s="81" t="str">
        <f>IFERROR((F36-D36)/D36,"-")</f>
        <v>-</v>
      </c>
      <c r="I36" s="78" t="str">
        <f>IFERROR((F36-E36)/E36,"-")</f>
        <v>-</v>
      </c>
      <c r="L36" s="2"/>
      <c r="N36" s="2"/>
    </row>
    <row r="37" spans="2:14" x14ac:dyDescent="0.25">
      <c r="B37" s="71"/>
      <c r="C37" s="25" t="s">
        <v>104</v>
      </c>
      <c r="D37" s="74"/>
      <c r="E37" s="74"/>
      <c r="F37" s="75"/>
      <c r="G37" s="76"/>
      <c r="H37" s="81" t="str">
        <f>IFERROR((F37-D37)/D37,"-")</f>
        <v>-</v>
      </c>
      <c r="I37" s="78" t="str">
        <f>IFERROR((F37-E37)/E37,"-")</f>
        <v>-</v>
      </c>
      <c r="L37" s="2"/>
      <c r="N37" s="2"/>
    </row>
    <row r="38" spans="2:14" x14ac:dyDescent="0.25">
      <c r="B38" s="66"/>
      <c r="C38" s="26"/>
      <c r="D38" s="33"/>
      <c r="E38" s="33"/>
      <c r="F38" s="34"/>
      <c r="G38" s="29"/>
      <c r="H38" s="30"/>
      <c r="I38" s="31"/>
    </row>
    <row r="39" spans="2:14" x14ac:dyDescent="0.25">
      <c r="B39" s="71"/>
      <c r="C39" s="25" t="s">
        <v>64</v>
      </c>
      <c r="D39" s="94">
        <f>SUMPRODUCT(LARGE((Months=months1)*(PY=PY3_)*(IncLim)*(Filter1=Source1),{1,2,3,4,5}))</f>
        <v>0</v>
      </c>
      <c r="E39" s="94">
        <f>SUMPRODUCT(LARGE((Months=months1)*(PY=PY2_)*(IncLim)*(Filter1=Source1),{1,2,3,4,5}))</f>
        <v>0</v>
      </c>
      <c r="F39" s="95">
        <f>SUMPRODUCT(LARGE((Months=months1)*(PY=PY1_)*(IncLim)*(Filter1=Source1),{1,2,3,4,5}))</f>
        <v>0</v>
      </c>
      <c r="G39" s="76"/>
      <c r="H39" s="81" t="str">
        <f>IFERROR((F39-D39)/D39,"-")</f>
        <v>-</v>
      </c>
      <c r="I39" s="78" t="str">
        <f>IFERROR((F39-E39)/E39,"-")</f>
        <v>-</v>
      </c>
      <c r="L39" s="2"/>
      <c r="N39" s="2"/>
    </row>
    <row r="40" spans="2:14" ht="15.75" thickBot="1" x14ac:dyDescent="0.3">
      <c r="B40" s="71"/>
      <c r="C40" s="35" t="s">
        <v>65</v>
      </c>
      <c r="D40" s="126" t="str">
        <f>IFERROR(D39/D13,"-")</f>
        <v>-</v>
      </c>
      <c r="E40" s="126" t="str">
        <f>IFERROR(E39/E13,"-")</f>
        <v>-</v>
      </c>
      <c r="F40" s="126" t="str">
        <f>IFERROR(F39/F13,"-")</f>
        <v>-</v>
      </c>
      <c r="G40" s="96"/>
      <c r="H40" s="97" t="str">
        <f>IFERROR(IF(((F40-D40)*100)&gt;0,"+"&amp;ROUND((F40-D40)*100,1),ROUND((F40-D40)*100,1)),"-")</f>
        <v>-</v>
      </c>
      <c r="I40" s="98" t="str">
        <f>IFERROR(IF(((F40-E40)*100)&gt;0,"+"&amp;ROUND((F40-E40)*100,1),ROUND((F40-E40)*100,1)),"-")</f>
        <v>-</v>
      </c>
      <c r="L40" s="2"/>
      <c r="N40" s="2"/>
    </row>
    <row r="41" spans="2:14" x14ac:dyDescent="0.25">
      <c r="C41" s="39"/>
      <c r="D41" s="39"/>
      <c r="E41" s="39"/>
      <c r="F41" s="39"/>
      <c r="G41" s="39"/>
      <c r="H41" s="36"/>
      <c r="I41" s="36"/>
    </row>
    <row r="43" spans="2:14" ht="15.75" thickBot="1" x14ac:dyDescent="0.3"/>
    <row r="44" spans="2:14" x14ac:dyDescent="0.25">
      <c r="B44" s="64" t="s">
        <v>66</v>
      </c>
      <c r="C44" s="14" t="str">
        <f>Source1</f>
        <v>California</v>
      </c>
      <c r="D44" s="148"/>
      <c r="E44" s="149"/>
      <c r="F44" s="149"/>
      <c r="G44" s="14"/>
      <c r="H44" s="15"/>
      <c r="I44" s="16"/>
    </row>
    <row r="45" spans="2:14" x14ac:dyDescent="0.25">
      <c r="C45" s="150" t="str">
        <f>"PY"&amp;RIGHT(YEAR($F$46),2)&amp;" at "&amp;execute!D33&amp;" Months"</f>
        <v>PY20 at 12 Months</v>
      </c>
      <c r="D45" s="151" t="s">
        <v>43</v>
      </c>
      <c r="E45" s="152"/>
      <c r="F45" s="152"/>
      <c r="G45" s="150"/>
      <c r="H45" s="153"/>
      <c r="I45" s="154"/>
    </row>
    <row r="46" spans="2:14" x14ac:dyDescent="0.25">
      <c r="C46" s="150"/>
      <c r="D46" s="43">
        <f t="array" ref="D46">PY4_</f>
        <v>43101</v>
      </c>
      <c r="E46" s="44">
        <f t="array" ref="E46">PY3_</f>
        <v>43466</v>
      </c>
      <c r="F46" s="44">
        <f t="array" ref="F46">PY2_</f>
        <v>43831</v>
      </c>
      <c r="G46" s="150"/>
      <c r="H46" s="153"/>
      <c r="I46" s="154"/>
    </row>
    <row r="47" spans="2:14" x14ac:dyDescent="0.25">
      <c r="C47" s="150"/>
      <c r="D47" s="17" t="s">
        <v>46</v>
      </c>
      <c r="E47" s="18" t="s">
        <v>46</v>
      </c>
      <c r="F47" s="18" t="s">
        <v>46</v>
      </c>
      <c r="G47" s="150"/>
      <c r="H47" s="153"/>
      <c r="I47" s="154"/>
    </row>
    <row r="48" spans="2:14" x14ac:dyDescent="0.25">
      <c r="C48" s="150"/>
      <c r="D48" s="41" t="str">
        <f t="array" ref="D48">MONTH(Val_current)&amp;"/"&amp;DAY(Val_current)&amp;"/"&amp;YEAR(Val_current)-2</f>
        <v>1/0/1898</v>
      </c>
      <c r="E48" s="40" t="str">
        <f t="array" ref="E48">MONTH(Val_current)&amp;"/"&amp;DAY(Val_current)&amp;"/"&amp;YEAR(Val_current)-1</f>
        <v>1/0/1899</v>
      </c>
      <c r="F48" s="42" t="str">
        <f t="array" ref="F48">MONTH(Val_current)&amp;"/"&amp;DAY(Val_current)&amp;"/"&amp;YEAR(Val_current)</f>
        <v>1/0/1900</v>
      </c>
      <c r="G48" s="45" t="s">
        <v>47</v>
      </c>
      <c r="H48" s="46" t="str">
        <f t="array" ref="H48">(IF(IncYr_yn="Y",RIGHT(YEAR($D$46),2)&amp;" vs "&amp;RIGHT(YEAR($F$46),2),RIGHT(YEAR($D$46),2)+1&amp;" vs "&amp;RIGHT(YEAR($F$46),2)+1))</f>
        <v>18 vs 20</v>
      </c>
      <c r="I48" s="47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19"/>
      <c r="D49" s="20"/>
      <c r="E49" s="20"/>
      <c r="F49" s="21"/>
      <c r="G49" s="22"/>
      <c r="H49" s="23"/>
      <c r="I49" s="24"/>
    </row>
    <row r="50" spans="3:12" x14ac:dyDescent="0.25">
      <c r="C50" s="25" t="s">
        <v>50</v>
      </c>
      <c r="D50" s="74">
        <f t="array" ref="D50">IFERROR(VLOOKUP(PY4_,$M$4:$R$13,3,FALSE),"-")</f>
        <v>9020000</v>
      </c>
      <c r="E50" s="74">
        <f t="array" ref="E50">IFERROR(VLOOKUP(PY3_,$M$4:$R$13,3,FALSE),"-")</f>
        <v>12830000</v>
      </c>
      <c r="F50" s="74">
        <f t="array" ref="F50">IFERROR(VLOOKUP(PY2_,$M$4:$R$13,3,FALSE),"-")</f>
        <v>12000000</v>
      </c>
      <c r="G50" s="76"/>
      <c r="H50" s="77">
        <f>IFERROR((F50-D50)/D50,"-")</f>
        <v>0.3303769401330377</v>
      </c>
      <c r="I50" s="78">
        <f>IFERROR((F50-E50)/E50,"-")</f>
        <v>-6.4692127825409201E-2</v>
      </c>
    </row>
    <row r="51" spans="3:12" x14ac:dyDescent="0.25">
      <c r="C51" s="25" t="s">
        <v>18</v>
      </c>
      <c r="D51" s="80">
        <f t="array" ref="D51">IFERROR(VLOOKUP(PY4_,$M$4:$R$13,4,FALSE),"-")</f>
        <v>645</v>
      </c>
      <c r="E51" s="80">
        <f t="array" ref="E51">IFERROR(VLOOKUP(PY3_,$M$4:$R$13,4,FALSE),"-")</f>
        <v>690</v>
      </c>
      <c r="F51" s="80">
        <f t="array" ref="F51">IFERROR(VLOOKUP(PY2_,$M$4:$R$13,4,FALSE),"-")</f>
        <v>717</v>
      </c>
      <c r="G51" s="76"/>
      <c r="H51" s="81">
        <f>IFERROR((F51-D51)/D51,"-")</f>
        <v>0.11162790697674418</v>
      </c>
      <c r="I51" s="78">
        <f>IFERROR((F51-E51)/E51,"-")</f>
        <v>3.9130434782608699E-2</v>
      </c>
    </row>
    <row r="52" spans="3:12" ht="15.75" thickBot="1" x14ac:dyDescent="0.3">
      <c r="C52" s="19"/>
      <c r="D52" s="20"/>
      <c r="E52" s="20"/>
      <c r="F52" s="21"/>
      <c r="G52" s="22"/>
      <c r="H52" s="23"/>
      <c r="I52" s="24"/>
    </row>
    <row r="53" spans="3:12" x14ac:dyDescent="0.25">
      <c r="C53" s="25" t="s">
        <v>38</v>
      </c>
      <c r="D53" s="74">
        <f t="array" ref="D53">SUM((IncLim)*(Months=months2)*(PY=PY4_)*(Filter1=Source1))</f>
        <v>0</v>
      </c>
      <c r="E53" s="74">
        <f t="array" ref="E53">SUM((IncLim)*(Months=months2)*(PY=PY3_)*(Filter1=Source1))</f>
        <v>0</v>
      </c>
      <c r="F53" s="75">
        <f t="array" ref="F53">SUM((IncLim)*(Months=months2)*(PY=PY2_)*(Filter1=Source1))</f>
        <v>0</v>
      </c>
      <c r="G53" s="76"/>
      <c r="H53" s="77" t="str">
        <f>IFERROR((F53-D53)/D53,"-")</f>
        <v>-</v>
      </c>
      <c r="I53" s="78" t="str">
        <f>IFERROR((F53-E53)/E53,"-")</f>
        <v>-</v>
      </c>
    </row>
    <row r="54" spans="3:12" x14ac:dyDescent="0.25">
      <c r="C54" s="25" t="s">
        <v>71</v>
      </c>
      <c r="D54" s="74">
        <f t="array" ref="D54">SUM((pdLim)*(Months=months2)*(PY=PY4_)*(Filter1=Source1))</f>
        <v>0</v>
      </c>
      <c r="E54" s="74">
        <f t="array" ref="E54">SUM((pdLim)*(Months=months2)*(PY=PY3_)*(Filter1=Source1))</f>
        <v>0</v>
      </c>
      <c r="F54" s="75">
        <f t="array" ref="F54">SUM((pdLim)*(Months=months2)*(PY=PY2_)*(Filter1=Source1))</f>
        <v>0</v>
      </c>
      <c r="G54" s="76"/>
      <c r="H54" s="81" t="str">
        <f>IFERROR((F54-D54)/D54,"-")</f>
        <v>-</v>
      </c>
      <c r="I54" s="78" t="str">
        <f>IFERROR((F54-E54)/E54,"-")</f>
        <v>-</v>
      </c>
      <c r="J54" s="5"/>
      <c r="L54" s="2"/>
    </row>
    <row r="55" spans="3:12" x14ac:dyDescent="0.25">
      <c r="C55" s="25" t="s">
        <v>51</v>
      </c>
      <c r="D55" s="74">
        <f>D53-D54</f>
        <v>0</v>
      </c>
      <c r="E55" s="74">
        <f>E53-E54</f>
        <v>0</v>
      </c>
      <c r="F55" s="74">
        <f>F53-F54</f>
        <v>0</v>
      </c>
      <c r="G55" s="76"/>
      <c r="H55" s="81" t="str">
        <f>IFERROR((F55-D55)/D55,"-")</f>
        <v>-</v>
      </c>
      <c r="I55" s="78" t="str">
        <f>IFERROR((F55-E55)/E55,"-")</f>
        <v>-</v>
      </c>
    </row>
    <row r="56" spans="3:12" ht="15.75" thickBot="1" x14ac:dyDescent="0.3">
      <c r="C56" s="26"/>
      <c r="D56" s="27"/>
      <c r="E56" s="27"/>
      <c r="F56" s="28"/>
      <c r="G56" s="29"/>
      <c r="H56" s="30"/>
      <c r="I56" s="31"/>
    </row>
    <row r="57" spans="3:12" x14ac:dyDescent="0.25">
      <c r="C57" s="25" t="s">
        <v>52</v>
      </c>
      <c r="D57" s="82">
        <f t="array" ref="D57">SUM((IncLim&gt;0)*(Months=months2)*(PY=PY4_)*(Filter1=Source1))</f>
        <v>0</v>
      </c>
      <c r="E57" s="82">
        <f t="array" ref="E57">SUM((IncLim&gt;0)*(Months=months2)*(PY=PY3_)*(Filter1=Source1))</f>
        <v>0</v>
      </c>
      <c r="F57" s="83">
        <f t="array" ref="F57">SUM((IncLim&gt;0)*(Months=months2)*(PY=PY2_)*(Filter1=Source1))</f>
        <v>0</v>
      </c>
      <c r="G57" s="76"/>
      <c r="H57" s="77" t="str">
        <f>IFERROR((F57-D57)/D57,"-")</f>
        <v>-</v>
      </c>
      <c r="I57" s="78" t="str">
        <f>IFERROR((F57-E57)/E57,"-")</f>
        <v>-</v>
      </c>
    </row>
    <row r="58" spans="3:12" x14ac:dyDescent="0.25">
      <c r="C58" s="25" t="s">
        <v>53</v>
      </c>
      <c r="D58" s="74" t="str">
        <f>IFERROR(D53/D57,"-")</f>
        <v>-</v>
      </c>
      <c r="E58" s="74" t="str">
        <f>IFERROR(E53/E57,"-")</f>
        <v>-</v>
      </c>
      <c r="F58" s="74" t="str">
        <f>IFERROR(F53/F57,"-")</f>
        <v>-</v>
      </c>
      <c r="G58" s="76"/>
      <c r="H58" s="84" t="str">
        <f>IFERROR((F58-D58)/D58,"-")</f>
        <v>-</v>
      </c>
      <c r="I58" s="78" t="str">
        <f>IFERROR((F58-E58)/E58,"-")</f>
        <v>-</v>
      </c>
    </row>
    <row r="59" spans="3:12" x14ac:dyDescent="0.25">
      <c r="C59" s="25" t="s">
        <v>54</v>
      </c>
      <c r="D59" s="74" t="str">
        <f t="array" ref="D59">IFERROR(MEDIAN(IF(IncLim&gt;0, IF(Months=months2,IF(PY=PY4_,IF(Filter1=Source1,IncLim))))),"-")</f>
        <v>-</v>
      </c>
      <c r="E59" s="74" t="str">
        <f t="array" ref="E59">IFERROR(MEDIAN(IF(IncLim&gt;0, IF(Months=months2,IF(PY=PY3_, IF(Filter1=Source1, IncLim))))),"-")</f>
        <v>-</v>
      </c>
      <c r="F59" s="74" t="str">
        <f t="array" ref="F59">IFERROR(MEDIAN(IF(IncLim&gt;0, IF(Months=months2,IF(PY=PY2_, IF(Filter1=Source1, IncLim))))),"-")</f>
        <v>-</v>
      </c>
      <c r="G59" s="76"/>
      <c r="H59" s="81" t="str">
        <f>IFERROR((F59-D59)/D59,"-")</f>
        <v>-</v>
      </c>
      <c r="I59" s="78" t="str">
        <f>IFERROR((F59-E59)/E59,"-")</f>
        <v>-</v>
      </c>
    </row>
    <row r="60" spans="3:12" x14ac:dyDescent="0.25">
      <c r="C60" s="26"/>
      <c r="D60" s="27"/>
      <c r="E60" s="27"/>
      <c r="F60" s="28"/>
      <c r="G60" s="29"/>
      <c r="H60" s="23"/>
      <c r="I60" s="24"/>
    </row>
    <row r="61" spans="3:12" x14ac:dyDescent="0.25">
      <c r="C61" s="25" t="s">
        <v>55</v>
      </c>
      <c r="D61" s="74">
        <f>IFERROR((VLOOKUP(PY4_,$M$4:$Q$10,5,FALSE)/100),"-")</f>
        <v>3596500</v>
      </c>
      <c r="E61" s="74">
        <f>IFERROR((VLOOKUP(PY3_,$M$4:$Q$10,5,FALSE)/100),"-")</f>
        <v>3729210</v>
      </c>
      <c r="F61" s="75">
        <f>IFERROR((VLOOKUP(PY2_,$M$4:$Q$10,5,FALSE)/100),"-")</f>
        <v>3665860</v>
      </c>
      <c r="G61" s="76"/>
      <c r="H61" s="81">
        <f>IFERROR((F61-D61)/D61,"-")</f>
        <v>1.9285416377033227E-2</v>
      </c>
      <c r="I61" s="78">
        <f>IFERROR((F61-E61)/E61,"-")</f>
        <v>-1.6987512100418052E-2</v>
      </c>
    </row>
    <row r="62" spans="3:12" ht="15.75" thickBot="1" x14ac:dyDescent="0.3">
      <c r="C62" s="32" t="s">
        <v>57</v>
      </c>
      <c r="D62" s="85">
        <f>IFERROR(D53/D61,"-")</f>
        <v>0</v>
      </c>
      <c r="E62" s="85">
        <f>IFERROR(E53/E61,"-")</f>
        <v>0</v>
      </c>
      <c r="F62" s="85">
        <f>IFERROR(F53/F61,"-")</f>
        <v>0</v>
      </c>
      <c r="G62" s="86"/>
      <c r="H62" s="87" t="str">
        <f>IFERROR((F62-D62)/D62,"-")</f>
        <v>-</v>
      </c>
      <c r="I62" s="88" t="str">
        <f>IFERROR((F62-E62)/E62,"-")</f>
        <v>-</v>
      </c>
    </row>
    <row r="63" spans="3:12" ht="15.75" thickBot="1" x14ac:dyDescent="0.3">
      <c r="C63" s="26"/>
      <c r="D63" s="27"/>
      <c r="E63" s="27"/>
      <c r="F63" s="28"/>
      <c r="G63" s="29"/>
      <c r="H63" s="30"/>
      <c r="I63" s="31"/>
    </row>
    <row r="64" spans="3:12" x14ac:dyDescent="0.25">
      <c r="C64" s="25" t="s">
        <v>58</v>
      </c>
      <c r="D64" s="80">
        <f t="array" ref="D64">SUM((IncLim&gt;0)*(indType&gt;0)*(Months=months2)*(PY=PY4_)*(Filter1=Source1))</f>
        <v>0</v>
      </c>
      <c r="E64" s="80">
        <f t="array" ref="E64">SUM((IncLim&gt;0)*(indType&gt;0)*(Months=months2)*(PY=PY3_)*(Filter1=Source1))</f>
        <v>0</v>
      </c>
      <c r="F64" s="89">
        <f t="array" ref="F64">SUM((IncLim&gt;0)*(indType&gt;0)*(Months=months2)*(PY=PY2_)*(Filter1=Source1))</f>
        <v>0</v>
      </c>
      <c r="G64" s="76"/>
      <c r="H64" s="77" t="str">
        <f>IFERROR((F64-D64)/D64,"-")</f>
        <v>-</v>
      </c>
      <c r="I64" s="78" t="str">
        <f>IFERROR((F64-E64)/E64,"-")</f>
        <v>-</v>
      </c>
    </row>
    <row r="65" spans="2:14" x14ac:dyDescent="0.25">
      <c r="C65" s="25" t="s">
        <v>59</v>
      </c>
      <c r="D65" s="90" t="str">
        <f>IFERROR(D64/D57,"-")</f>
        <v>-</v>
      </c>
      <c r="E65" s="90" t="str">
        <f t="shared" ref="E65:F65" si="3">IFERROR(E64/E57,"-")</f>
        <v>-</v>
      </c>
      <c r="F65" s="90" t="str">
        <f t="shared" si="3"/>
        <v>-</v>
      </c>
      <c r="G65" s="76"/>
      <c r="H65" s="91" t="str">
        <f>IFERROR(IF(((F65-D65)*100)&gt;0,"+"&amp;ROUND((F65-D65)*100,1),ROUND((F65-D65)*100,1)),"-")</f>
        <v>-</v>
      </c>
      <c r="I65" s="92" t="str">
        <f>IFERROR(IF(((F65-E65)*100)&gt;0,"+"&amp;ROUND((F65-E65)*100,1),ROUND((F65-E65)*100,1)),"-")</f>
        <v>-</v>
      </c>
    </row>
    <row r="66" spans="2:14" x14ac:dyDescent="0.25">
      <c r="B66" s="73"/>
      <c r="C66" s="25" t="s">
        <v>60</v>
      </c>
      <c r="D66" s="74">
        <f t="array" ref="D66">SUM((IncLim)*(indType&gt;0)*(Months=months2)*(PY=PY4_)*(Filter1=Source1))</f>
        <v>0</v>
      </c>
      <c r="E66" s="74">
        <f t="array" ref="E66">SUM((IncLim)*(indType&gt;0)*(Months=months2)*(PY=PY3_)*(Filter1=Source1))</f>
        <v>0</v>
      </c>
      <c r="F66" s="74">
        <f t="array" ref="F66">SUM((IncLim)*(indType&gt;0)*(Months=months2)*(PY=PY2_)*(Filter1=Source1))</f>
        <v>0</v>
      </c>
      <c r="G66" s="76"/>
      <c r="H66" s="81" t="str">
        <f t="shared" ref="H66:H67" si="4">IFERROR((F66-D66)/D66,"-")</f>
        <v>-</v>
      </c>
      <c r="I66" s="78" t="str">
        <f t="shared" ref="I66:I67" si="5">IFERROR((F66-E66)/E66,"-")</f>
        <v>-</v>
      </c>
      <c r="L66" s="2"/>
      <c r="N66" s="2"/>
    </row>
    <row r="67" spans="2:14" x14ac:dyDescent="0.25">
      <c r="B67" s="73"/>
      <c r="C67" s="25" t="s">
        <v>61</v>
      </c>
      <c r="D67" s="74" t="str">
        <f>IFERROR(D66/D64,"-")</f>
        <v>-</v>
      </c>
      <c r="E67" s="74" t="str">
        <f t="shared" ref="E67" si="6">IFERROR(E66/E64,"-")</f>
        <v>-</v>
      </c>
      <c r="F67" s="74" t="str">
        <f t="shared" ref="F67" si="7">IFERROR(F66/F64,"-")</f>
        <v>-</v>
      </c>
      <c r="G67" s="76"/>
      <c r="H67" s="81" t="str">
        <f t="shared" si="4"/>
        <v>-</v>
      </c>
      <c r="I67" s="78" t="str">
        <f t="shared" si="5"/>
        <v>-</v>
      </c>
      <c r="L67" s="2"/>
      <c r="N67" s="2"/>
    </row>
    <row r="68" spans="2:14" x14ac:dyDescent="0.25">
      <c r="C68" s="25" t="s">
        <v>62</v>
      </c>
      <c r="D68" s="90" t="str">
        <f>IFERROR(1-(D69/D64),"-")</f>
        <v>-</v>
      </c>
      <c r="E68" s="90" t="str">
        <f>IFERROR(1-(E69/E64),"-")</f>
        <v>-</v>
      </c>
      <c r="F68" s="90" t="str">
        <f>IFERROR(1-(F69/F64),"-")</f>
        <v>-</v>
      </c>
      <c r="G68" s="76"/>
      <c r="H68" s="124" t="str">
        <f>IFERROR(IF(((F68-D68)*100)&gt;0,"+"&amp;ROUND((F68-D68)*100,1),ROUND((F68-D68)*100,1)),"-")</f>
        <v>-</v>
      </c>
      <c r="I68" s="92" t="str">
        <f>IFERROR(IF(((F68-E68)*100)&gt;0,"+"&amp;ROUND((F68-E68)*100,1),ROUND((F68-E68)*100,1)),"-")</f>
        <v>-</v>
      </c>
    </row>
    <row r="69" spans="2:14" ht="15.75" thickBot="1" x14ac:dyDescent="0.3">
      <c r="C69" s="32" t="s">
        <v>63</v>
      </c>
      <c r="D69" s="106">
        <f t="array" ref="D69">D64-SUM((IncLim&gt;0)*(indType&gt;0)*(Closed&gt;0)*(Months=months2)*(PY=PY4_)*(Filter1=Source1))</f>
        <v>0</v>
      </c>
      <c r="E69" s="106">
        <f t="array" ref="E69">E64-SUM((IncLim&gt;0)*(indType&gt;0)*(Closed&gt;0)*(Months=months2)*(PY=PY3_)*(Filter1=Source1))</f>
        <v>0</v>
      </c>
      <c r="F69" s="106">
        <f t="array" ref="F69">F64-SUM((IncLim&gt;0)*(indType&gt;0)*(Closed&gt;0)*(Months=months2)*(PY=PY2_)*(Filter1=Source1))</f>
        <v>0</v>
      </c>
      <c r="G69" s="86"/>
      <c r="H69" s="87" t="str">
        <f>IFERROR((F69-D69)/D69,"-")</f>
        <v>-</v>
      </c>
      <c r="I69" s="88" t="str">
        <f>IFERROR((F69-E69)/E69,"-")</f>
        <v>-</v>
      </c>
    </row>
    <row r="70" spans="2:14" x14ac:dyDescent="0.25">
      <c r="C70" s="26"/>
      <c r="D70" s="33"/>
      <c r="E70" s="33"/>
      <c r="F70" s="34"/>
      <c r="G70" s="29"/>
      <c r="H70" s="30"/>
      <c r="I70" s="31"/>
    </row>
    <row r="71" spans="2:14" x14ac:dyDescent="0.25">
      <c r="C71" s="25" t="s">
        <v>72</v>
      </c>
      <c r="D71" s="80">
        <f t="array" ref="D71">SUM((IncLim&gt;0)*(Lit&gt;0)*(indType&gt;0)*(Months=months2)*(PY=PY4_)*(Filter1=Source1))</f>
        <v>0</v>
      </c>
      <c r="E71" s="80">
        <f t="array" ref="E71">SUM((IncLim&gt;0)*(Lit&gt;0)*(indType&gt;0)*(Months=months2)*(PY=PY3_)*(Filter1=Source1))</f>
        <v>0</v>
      </c>
      <c r="F71" s="89">
        <f t="array" ref="F71">SUM((IncLim&gt;0)*(Lit&gt;0)*(indType&gt;0)*(Months=months2)*(PY=PY2_)*(Filter1=Source1))</f>
        <v>0</v>
      </c>
      <c r="G71" s="76"/>
      <c r="H71" s="81" t="str">
        <f>IFERROR((F71-D71)/D71,"-")</f>
        <v>-</v>
      </c>
      <c r="I71" s="78" t="str">
        <f>IFERROR((F71-E71)/E71,"-")</f>
        <v>-</v>
      </c>
    </row>
    <row r="72" spans="2:14" x14ac:dyDescent="0.25">
      <c r="C72" s="25" t="s">
        <v>73</v>
      </c>
      <c r="D72" s="90" t="str">
        <f>IFERROR(D71/D64,"-")</f>
        <v>-</v>
      </c>
      <c r="E72" s="90" t="str">
        <f>IFERROR(E71/E64,"-")</f>
        <v>-</v>
      </c>
      <c r="F72" s="125" t="str">
        <f>IFERROR(F71/F64,"-")</f>
        <v>-</v>
      </c>
      <c r="G72" s="76"/>
      <c r="H72" s="93" t="str">
        <f>IFERROR(IF(((F72-D72)*100)&gt;0,"+"&amp;ROUND((F72-D72)*100,1),ROUND((F72-D72)*100,1)),"-")</f>
        <v>-</v>
      </c>
      <c r="I72" s="92" t="str">
        <f>IFERROR(IF(((F72-E72)*100)&gt;0,"+"&amp;ROUND((F72-E72)*100,1),ROUND((F72-E72)*100,1)),"-")</f>
        <v>-</v>
      </c>
    </row>
    <row r="73" spans="2:14" x14ac:dyDescent="0.25">
      <c r="B73" s="71"/>
      <c r="C73" s="25" t="s">
        <v>75</v>
      </c>
      <c r="D73" s="74">
        <f t="array" ref="D73">SUM((IncLim)*(Lit&gt;0)*(indType&gt;0)*(Months=months2)*(PY=PY4_)*(Filter1=Source1))</f>
        <v>0</v>
      </c>
      <c r="E73" s="74">
        <f t="array" ref="E73">SUM((IncLim)*(Lit&gt;0)*(indType&gt;0)*(Months=months2)*(PY=PY3_)*(Filter1=Source1))</f>
        <v>0</v>
      </c>
      <c r="F73" s="75">
        <f t="array" ref="F73">SUM((IncLim)*(Lit&gt;0)*(indType&gt;0)*(Months=months2)*(PY=PY2_)*(Filter1=Source1))</f>
        <v>0</v>
      </c>
      <c r="G73" s="76"/>
      <c r="H73" s="81" t="str">
        <f>IFERROR((F73-D73)/D73,"-")</f>
        <v>-</v>
      </c>
      <c r="I73" s="78" t="str">
        <f>IFERROR((F73-E73)/E73,"-")</f>
        <v>-</v>
      </c>
      <c r="L73" s="2"/>
      <c r="N73" s="2"/>
    </row>
    <row r="74" spans="2:14" x14ac:dyDescent="0.25">
      <c r="B74" s="71"/>
      <c r="C74" s="120" t="s">
        <v>100</v>
      </c>
      <c r="D74" s="122" t="str">
        <f>IFERROR(D73/D66,"-")</f>
        <v>-</v>
      </c>
      <c r="E74" s="122" t="str">
        <f>IFERROR(E73/E66,"-")</f>
        <v>-</v>
      </c>
      <c r="F74" s="122" t="str">
        <f>IFERROR(F73/F66,"-")</f>
        <v>-</v>
      </c>
      <c r="G74" s="121"/>
      <c r="H74" s="93" t="str">
        <f>IFERROR(IF(((F74-D74)*100)&gt;0,"+"&amp;ROUND((F74-D74)*100,1),ROUND((F74-D74)*100,1)),"-")</f>
        <v>-</v>
      </c>
      <c r="I74" s="92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1"/>
      <c r="C75" s="25" t="s">
        <v>91</v>
      </c>
      <c r="D75" s="80">
        <f t="array" ref="D75">SUM((IncLim&gt;0)*(Lit&gt;0)*(Months=months2)*(PY=PY4_)*(Filter1=Source1))</f>
        <v>0</v>
      </c>
      <c r="E75" s="80">
        <f t="array" ref="E75">SUM((IncLim&gt;0)*(Lit&gt;0)*(Months=months2)*(PY=PY3_)*(Filter1=Source1))</f>
        <v>0</v>
      </c>
      <c r="F75" s="89">
        <f t="array" ref="F75">SUM((IncLim&gt;0)*(Lit&gt;0)*(Months=months2)*(PY=PY2_)*(Filter1=Source1))</f>
        <v>0</v>
      </c>
      <c r="G75" s="76"/>
      <c r="H75" s="81" t="str">
        <f>IFERROR((F75-D75)/D75,"-")</f>
        <v>-</v>
      </c>
      <c r="I75" s="78" t="str">
        <f>IFERROR((F75-E75)/E75,"-")</f>
        <v>-</v>
      </c>
      <c r="L75" s="2"/>
      <c r="N75" s="2"/>
    </row>
    <row r="76" spans="2:14" x14ac:dyDescent="0.25">
      <c r="B76" s="71"/>
      <c r="C76" s="25" t="s">
        <v>74</v>
      </c>
      <c r="D76" s="74">
        <f>SUM((IncLim)*(Lit&gt;0)*(Months=months2)*(PY=PY4_)*(Filter1=Source1))</f>
        <v>0</v>
      </c>
      <c r="E76" s="74">
        <f t="array" ref="E76">SUM((IncLim)*(Lit&gt;0)*(Months=months2)*(PY=PY3_)*(Filter1=Source1))</f>
        <v>0</v>
      </c>
      <c r="F76" s="75">
        <f t="array" ref="F76">SUM((IncLim)*(Lit&gt;0)*(Months=months2)*(PY=PY2_)*(Filter1=Source1))</f>
        <v>0</v>
      </c>
      <c r="G76" s="76"/>
      <c r="H76" s="81" t="str">
        <f>IFERROR((F76-D76)/D76,"-")</f>
        <v>-</v>
      </c>
      <c r="I76" s="78" t="str">
        <f>IFERROR((F76-E76)/E76,"-")</f>
        <v>-</v>
      </c>
      <c r="L76" s="2"/>
      <c r="N76" s="2"/>
    </row>
    <row r="77" spans="2:14" x14ac:dyDescent="0.25">
      <c r="B77" s="71"/>
      <c r="C77" s="25" t="s">
        <v>104</v>
      </c>
      <c r="D77" s="74"/>
      <c r="E77" s="74"/>
      <c r="F77" s="75"/>
      <c r="G77" s="76"/>
      <c r="H77" s="81" t="str">
        <f>IFERROR((F77-D77)/D77,"-")</f>
        <v>-</v>
      </c>
      <c r="I77" s="78" t="str">
        <f>IFERROR((F77-E77)/E77,"-")</f>
        <v>-</v>
      </c>
      <c r="L77" s="2"/>
      <c r="N77" s="2"/>
    </row>
    <row r="78" spans="2:14" x14ac:dyDescent="0.25">
      <c r="C78" s="26"/>
      <c r="D78" s="33"/>
      <c r="E78" s="33"/>
      <c r="F78" s="34"/>
      <c r="G78" s="29"/>
      <c r="H78" s="30"/>
      <c r="I78" s="31"/>
    </row>
    <row r="79" spans="2:14" x14ac:dyDescent="0.25">
      <c r="C79" s="25" t="s">
        <v>64</v>
      </c>
      <c r="D79" s="94">
        <f>SUMPRODUCT(LARGE((Months=months2)*(PY=PY4_)*(IncLim)*(Filter1=Source1),{1,2,3,4,5}))</f>
        <v>0</v>
      </c>
      <c r="E79" s="94">
        <f t="array" ref="E79">SUMPRODUCT(LARGE((Months=months2)*(PY=PY3_)*(IncLim)*(Filter1=Source1),{1,2,3,4,5}))</f>
        <v>0</v>
      </c>
      <c r="F79" s="95">
        <f t="array" ref="F79">SUMPRODUCT(LARGE((Months=months2)*(PY=PY2_)*(IncLim)*(Filter1=Source1),{1,2,3,4,5}))</f>
        <v>0</v>
      </c>
      <c r="G79" s="76"/>
      <c r="H79" s="81" t="str">
        <f>IFERROR((F79-D79)/D79,"-")</f>
        <v>-</v>
      </c>
      <c r="I79" s="78" t="str">
        <f>IFERROR((F79-E79)/E79,"-")</f>
        <v>-</v>
      </c>
    </row>
    <row r="80" spans="2:14" ht="15.75" thickBot="1" x14ac:dyDescent="0.3">
      <c r="C80" s="35" t="s">
        <v>65</v>
      </c>
      <c r="D80" s="126" t="str">
        <f>IFERROR(D79/D53,"-")</f>
        <v>-</v>
      </c>
      <c r="E80" s="126" t="str">
        <f>IFERROR(E79/E53,"-")</f>
        <v>-</v>
      </c>
      <c r="F80" s="126" t="str">
        <f>IFERROR(F79/F53,"-")</f>
        <v>-</v>
      </c>
      <c r="G80" s="96"/>
      <c r="H80" s="97" t="str">
        <f>IFERROR(IF(((F80-D80)*100)&gt;0,"+"&amp;ROUND((F80-D80)*100,1),ROUND((F80-D80)*100,1)),"-")</f>
        <v>-</v>
      </c>
      <c r="I80" s="98" t="str">
        <f>IFERROR(IF(((F80-E80)*100)&gt;0,"+"&amp;ROUND((F80-E80)*100,1),ROUND((F80-E80)*100,1)),"-")</f>
        <v>-</v>
      </c>
    </row>
    <row r="81" spans="2:12" x14ac:dyDescent="0.25">
      <c r="C81" s="39"/>
      <c r="D81" s="39"/>
      <c r="E81" s="39"/>
      <c r="F81" s="39"/>
      <c r="G81" s="39"/>
      <c r="H81" s="123"/>
      <c r="I81" s="123"/>
    </row>
    <row r="83" spans="2:12" ht="15.75" thickBot="1" x14ac:dyDescent="0.3"/>
    <row r="84" spans="2:12" x14ac:dyDescent="0.25">
      <c r="B84" s="64" t="s">
        <v>67</v>
      </c>
      <c r="C84" s="14" t="str">
        <f>Source1</f>
        <v>California</v>
      </c>
      <c r="D84" s="148"/>
      <c r="E84" s="149"/>
      <c r="F84" s="149"/>
      <c r="G84" s="14"/>
      <c r="H84" s="15"/>
      <c r="I84" s="16"/>
    </row>
    <row r="85" spans="2:12" x14ac:dyDescent="0.25">
      <c r="C85" s="150" t="str">
        <f>"PY"&amp;RIGHT(YEAR($F$86),2)&amp;" at "&amp;execute!D34&amp;" Months"</f>
        <v>PY19 at 24 Months</v>
      </c>
      <c r="D85" s="151" t="s">
        <v>43</v>
      </c>
      <c r="E85" s="152"/>
      <c r="F85" s="152"/>
      <c r="G85" s="150"/>
      <c r="H85" s="153"/>
      <c r="I85" s="154"/>
    </row>
    <row r="86" spans="2:12" x14ac:dyDescent="0.25">
      <c r="C86" s="150"/>
      <c r="D86" s="43">
        <f t="array" ref="D86">PY5_</f>
        <v>39083</v>
      </c>
      <c r="E86" s="44">
        <f t="array" ref="E86">PY4_</f>
        <v>43101</v>
      </c>
      <c r="F86" s="44">
        <f t="array" ref="F86">PY3_</f>
        <v>43466</v>
      </c>
      <c r="G86" s="150"/>
      <c r="H86" s="153"/>
      <c r="I86" s="154"/>
    </row>
    <row r="87" spans="2:12" x14ac:dyDescent="0.25">
      <c r="C87" s="150"/>
      <c r="D87" s="17" t="s">
        <v>46</v>
      </c>
      <c r="E87" s="18" t="s">
        <v>46</v>
      </c>
      <c r="F87" s="18" t="s">
        <v>46</v>
      </c>
      <c r="G87" s="150"/>
      <c r="H87" s="153"/>
      <c r="I87" s="154"/>
    </row>
    <row r="88" spans="2:12" x14ac:dyDescent="0.25">
      <c r="C88" s="150"/>
      <c r="D88" s="41" t="str">
        <f t="array" ref="D88">MONTH(Val_current)&amp;"/"&amp;DAY(Val_current)&amp;"/"&amp;YEAR(Val_current)-2</f>
        <v>1/0/1898</v>
      </c>
      <c r="E88" s="40" t="str">
        <f t="array" ref="E88">MONTH(Val_current)&amp;"/"&amp;DAY(Val_current)&amp;"/"&amp;YEAR(Val_current)-1</f>
        <v>1/0/1899</v>
      </c>
      <c r="F88" s="42" t="str">
        <f t="array" ref="F88">MONTH(Val_current)&amp;"/"&amp;DAY(Val_current)&amp;"/"&amp;YEAR(Val_current)</f>
        <v>1/0/1900</v>
      </c>
      <c r="G88" s="45" t="s">
        <v>47</v>
      </c>
      <c r="H88" s="46" t="str">
        <f t="array" ref="H88">IF(IncYr_yn="Y",RIGHT(YEAR($D$86),2)&amp;" vs "&amp;RIGHT(YEAR($F$86),2),RIGHT(YEAR($D$86),2)+1&amp;" vs "&amp;RIGHT(YEAR($F$86),2)+1)</f>
        <v>07 vs 19</v>
      </c>
      <c r="I88" s="47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19"/>
      <c r="D89" s="20"/>
      <c r="E89" s="20"/>
      <c r="F89" s="21"/>
      <c r="G89" s="22"/>
      <c r="H89" s="23"/>
      <c r="I89" s="24"/>
    </row>
    <row r="90" spans="2:12" x14ac:dyDescent="0.25">
      <c r="C90" s="25" t="s">
        <v>50</v>
      </c>
      <c r="D90" s="74">
        <f t="array" ref="D90">IFERROR(VLOOKUP(PY5_,$M$4:$R$13,3,FALSE),"-")</f>
        <v>9030000</v>
      </c>
      <c r="E90" s="74">
        <f t="array" ref="E90">IFERROR(VLOOKUP(PY4_,$M$4:$R$13,3,FALSE),"-")</f>
        <v>9020000</v>
      </c>
      <c r="F90" s="74">
        <f t="array" ref="F90">IFERROR(VLOOKUP(PY3_,$M$4:$R$13,3,FALSE),"-")</f>
        <v>12830000</v>
      </c>
      <c r="G90" s="76"/>
      <c r="H90" s="77">
        <f>IFERROR((F90-D90)/D90,"-")</f>
        <v>0.42081949058693247</v>
      </c>
      <c r="I90" s="78">
        <f>IFERROR((F90-E90)/E90,"-")</f>
        <v>0.42239467849223949</v>
      </c>
    </row>
    <row r="91" spans="2:12" x14ac:dyDescent="0.25">
      <c r="C91" s="25" t="s">
        <v>18</v>
      </c>
      <c r="D91" s="80">
        <f t="array" ref="D91">IFERROR(VLOOKUP(PY5_,$M$4:$P$11,4,FALSE),"-")</f>
        <v>697</v>
      </c>
      <c r="E91" s="80">
        <f t="array" ref="E91">IFERROR(VLOOKUP(PY4_,$M$4:$P$11,4,FALSE),"-")</f>
        <v>645</v>
      </c>
      <c r="F91" s="80">
        <f t="array" ref="F91">IFERROR(VLOOKUP(PY3_,$M$4:$P$11,4,FALSE),"-")</f>
        <v>690</v>
      </c>
      <c r="G91" s="76"/>
      <c r="H91" s="81">
        <f>IFERROR((F91-D91)/D91,"-")</f>
        <v>-1.0043041606886656E-2</v>
      </c>
      <c r="I91" s="78">
        <f>IFERROR((F91-E91)/E91,"-")</f>
        <v>6.9767441860465115E-2</v>
      </c>
    </row>
    <row r="92" spans="2:12" ht="15.75" thickBot="1" x14ac:dyDescent="0.3">
      <c r="C92" s="19"/>
      <c r="D92" s="20"/>
      <c r="E92" s="20"/>
      <c r="F92" s="21"/>
      <c r="G92" s="22"/>
      <c r="H92" s="23"/>
      <c r="I92" s="24"/>
    </row>
    <row r="93" spans="2:12" x14ac:dyDescent="0.25">
      <c r="C93" s="25" t="s">
        <v>38</v>
      </c>
      <c r="D93" s="74">
        <f t="array" ref="D93">SUM((IncLim)*(Months=months3)*(PY=PY5_)*(Filter1=Source1))</f>
        <v>0</v>
      </c>
      <c r="E93" s="74">
        <f t="array" ref="E93">SUM((IncLim)*(Months=months3)*(PY=PY4_)*(Filter1=Source1))</f>
        <v>0</v>
      </c>
      <c r="F93" s="75">
        <f t="array" ref="F93">SUM((IncLim)*(Months=months3)*(PY=PY3_)*(Filter1=Source1))</f>
        <v>0</v>
      </c>
      <c r="G93" s="76"/>
      <c r="H93" s="77" t="str">
        <f>IFERROR((F93-D93)/D93,"-")</f>
        <v>-</v>
      </c>
      <c r="I93" s="78" t="str">
        <f>IFERROR((F93-E93)/E93,"-")</f>
        <v>-</v>
      </c>
    </row>
    <row r="94" spans="2:12" x14ac:dyDescent="0.25">
      <c r="C94" s="25" t="s">
        <v>71</v>
      </c>
      <c r="D94" s="74">
        <f t="array" ref="D94">SUM((pdLim)*(Months=months3)*(PY=PY5_)*(Filter1=Source1))</f>
        <v>0</v>
      </c>
      <c r="E94" s="74">
        <f t="array" ref="E94">SUM((pdLim)*(Months=months3)*(PY=PY4_)*(Filter1=Source1))</f>
        <v>0</v>
      </c>
      <c r="F94" s="75">
        <f t="array" ref="F94">SUM((pdLim)*(Months=months3)*(PY=PY3_)*(Filter1=Source1))</f>
        <v>0</v>
      </c>
      <c r="G94" s="76"/>
      <c r="H94" s="81" t="str">
        <f>IFERROR((F94-D94)/D94,"-")</f>
        <v>-</v>
      </c>
      <c r="I94" s="78" t="str">
        <f>IFERROR((F94-E94)/E94,"-")</f>
        <v>-</v>
      </c>
      <c r="J94" s="5"/>
      <c r="L94" s="2"/>
    </row>
    <row r="95" spans="2:12" x14ac:dyDescent="0.25">
      <c r="C95" s="25" t="s">
        <v>51</v>
      </c>
      <c r="D95" s="74">
        <f>D93-D94</f>
        <v>0</v>
      </c>
      <c r="E95" s="74">
        <f>E93-E94</f>
        <v>0</v>
      </c>
      <c r="F95" s="74">
        <f>F93-F94</f>
        <v>0</v>
      </c>
      <c r="G95" s="76"/>
      <c r="H95" s="81" t="str">
        <f>IFERROR((F95-D95)/D95,"-")</f>
        <v>-</v>
      </c>
      <c r="I95" s="78" t="str">
        <f>IFERROR((F95-E95)/E95,"-")</f>
        <v>-</v>
      </c>
    </row>
    <row r="96" spans="2:12" ht="15.75" thickBot="1" x14ac:dyDescent="0.3">
      <c r="C96" s="26"/>
      <c r="D96" s="27"/>
      <c r="E96" s="27"/>
      <c r="F96" s="28"/>
      <c r="G96" s="29"/>
      <c r="H96" s="30"/>
      <c r="I96" s="31"/>
    </row>
    <row r="97" spans="2:14" x14ac:dyDescent="0.25">
      <c r="C97" s="25" t="s">
        <v>52</v>
      </c>
      <c r="D97" s="82">
        <f t="array" ref="D97">SUM((IncLim&gt;0)*(Months=months3)*(PY=PY5_)*(Filter1=Source1))</f>
        <v>0</v>
      </c>
      <c r="E97" s="82">
        <f t="array" ref="E97">SUM((IncLim&gt;0)*(Months=months3)*(PY=PY4_)*(Filter1=Source1))</f>
        <v>0</v>
      </c>
      <c r="F97" s="83">
        <f t="array" ref="F97">SUM((IncLim&gt;0)*(Months=months3)*(PY=PY3_)*(Filter1=Source1))</f>
        <v>0</v>
      </c>
      <c r="G97" s="76"/>
      <c r="H97" s="77" t="str">
        <f>IFERROR((F97-D97)/D97,"-")</f>
        <v>-</v>
      </c>
      <c r="I97" s="78" t="str">
        <f>IFERROR((F97-E97)/E97,"-")</f>
        <v>-</v>
      </c>
    </row>
    <row r="98" spans="2:14" x14ac:dyDescent="0.25">
      <c r="C98" s="25" t="s">
        <v>53</v>
      </c>
      <c r="D98" s="74" t="str">
        <f>IFERROR(D93/D97,"-")</f>
        <v>-</v>
      </c>
      <c r="E98" s="74" t="str">
        <f>IFERROR(E93/E97,"-")</f>
        <v>-</v>
      </c>
      <c r="F98" s="74" t="str">
        <f>IFERROR(F93/F97,"-")</f>
        <v>-</v>
      </c>
      <c r="G98" s="76"/>
      <c r="H98" s="84" t="str">
        <f>IFERROR((F98-D98)/D98,"-")</f>
        <v>-</v>
      </c>
      <c r="I98" s="78" t="str">
        <f>IFERROR((F98-E98)/E98,"-")</f>
        <v>-</v>
      </c>
    </row>
    <row r="99" spans="2:14" x14ac:dyDescent="0.25">
      <c r="C99" s="25" t="s">
        <v>54</v>
      </c>
      <c r="D99" s="74" t="str">
        <f t="array" ref="D99">IFERROR(MEDIAN(IF(IncLim&gt;0, IF(Months=months3,IF(PY=PY5_,IF(Filter1=Source1,IncLim))))),"-")</f>
        <v>-</v>
      </c>
      <c r="E99" s="74" t="str">
        <f t="array" ref="E99">IFERROR(MEDIAN(IF(IncLim&gt;0, IF(Months=months3,IF(PY=PY4_, IF(Filter1=Source1, IncLim))))),"-")</f>
        <v>-</v>
      </c>
      <c r="F99" s="74" t="str">
        <f t="array" ref="F99">IFERROR(MEDIAN(IF(IncLim&gt;0, IF(Months=months3,IF(PY=PY3_, IF(Filter1=Source1, IncLim))))),"-")</f>
        <v>-</v>
      </c>
      <c r="G99" s="76"/>
      <c r="H99" s="81" t="str">
        <f>IFERROR((F99-D99)/D99,"-")</f>
        <v>-</v>
      </c>
      <c r="I99" s="78" t="str">
        <f>IFERROR((F99-E99)/E99,"-")</f>
        <v>-</v>
      </c>
    </row>
    <row r="100" spans="2:14" x14ac:dyDescent="0.25">
      <c r="C100" s="26"/>
      <c r="D100" s="27"/>
      <c r="E100" s="27"/>
      <c r="F100" s="28"/>
      <c r="G100" s="29"/>
      <c r="H100" s="23"/>
      <c r="I100" s="24"/>
    </row>
    <row r="101" spans="2:14" x14ac:dyDescent="0.25">
      <c r="C101" s="25" t="s">
        <v>55</v>
      </c>
      <c r="D101" s="74">
        <f>IFERROR((VLOOKUP(PY5_,$M$4:$Q$10,5,FALSE)/100),"-")</f>
        <v>3769750</v>
      </c>
      <c r="E101" s="74">
        <f>IFERROR((VLOOKUP(PY4_,$M$4:$Q$10,5,FALSE)/100),"-")</f>
        <v>3596500</v>
      </c>
      <c r="F101" s="75">
        <f>IFERROR((VLOOKUP(PY3_,$M$4:$Q$10,5,FALSE)/100),"-")</f>
        <v>3729210</v>
      </c>
      <c r="G101" s="76"/>
      <c r="H101" s="81">
        <f>IFERROR((F101-D101)/D101,"-")</f>
        <v>-1.0754028781749452E-2</v>
      </c>
      <c r="I101" s="78">
        <f>IFERROR((F101-E101)/E101,"-")</f>
        <v>3.6899763659113023E-2</v>
      </c>
    </row>
    <row r="102" spans="2:14" ht="15.75" thickBot="1" x14ac:dyDescent="0.3">
      <c r="C102" s="32" t="s">
        <v>57</v>
      </c>
      <c r="D102" s="85">
        <f>IFERROR(D93/D101,"-")</f>
        <v>0</v>
      </c>
      <c r="E102" s="85">
        <f>IFERROR(E93/E101,"-")</f>
        <v>0</v>
      </c>
      <c r="F102" s="85">
        <f>IFERROR(F93/F101,"-")</f>
        <v>0</v>
      </c>
      <c r="G102" s="86"/>
      <c r="H102" s="87" t="str">
        <f>IFERROR((F102-D102)/D102,"-")</f>
        <v>-</v>
      </c>
      <c r="I102" s="88" t="str">
        <f>IFERROR((F102-E102)/E102,"-")</f>
        <v>-</v>
      </c>
    </row>
    <row r="103" spans="2:14" ht="15.75" thickBot="1" x14ac:dyDescent="0.3">
      <c r="C103" s="26"/>
      <c r="D103" s="27"/>
      <c r="E103" s="27"/>
      <c r="F103" s="28"/>
      <c r="G103" s="29"/>
      <c r="H103" s="30"/>
      <c r="I103" s="31"/>
    </row>
    <row r="104" spans="2:14" x14ac:dyDescent="0.25">
      <c r="C104" s="25" t="s">
        <v>58</v>
      </c>
      <c r="D104" s="80">
        <f t="array" ref="D104">SUM((IncLim&gt;0)*(indType&gt;0)*(Months=months3)*(PY=PY5_)*(Filter1=Source1))</f>
        <v>0</v>
      </c>
      <c r="E104" s="80">
        <f t="array" ref="E104">SUM((IncLim&gt;0)*(indType&gt;0)*(Months=months3)*(PY=PY4_)*(Filter1=Source1))</f>
        <v>0</v>
      </c>
      <c r="F104" s="89">
        <f t="array" ref="F104">SUM((IncLim&gt;0)*(indType&gt;0)*(Months=months3)*(PY=PY3_)*(Filter1=Source1))</f>
        <v>0</v>
      </c>
      <c r="G104" s="76"/>
      <c r="H104" s="77" t="str">
        <f>IFERROR((F104-D104)/D104,"-")</f>
        <v>-</v>
      </c>
      <c r="I104" s="78" t="str">
        <f>IFERROR((F104-E104)/E104,"-")</f>
        <v>-</v>
      </c>
    </row>
    <row r="105" spans="2:14" x14ac:dyDescent="0.25">
      <c r="C105" s="25" t="s">
        <v>59</v>
      </c>
      <c r="D105" s="90" t="str">
        <f>IFERROR(D104/D97,"-")</f>
        <v>-</v>
      </c>
      <c r="E105" s="90" t="str">
        <f t="shared" ref="E105:F105" si="8">IFERROR(E104/E97,"-")</f>
        <v>-</v>
      </c>
      <c r="F105" s="90" t="str">
        <f t="shared" si="8"/>
        <v>-</v>
      </c>
      <c r="G105" s="76"/>
      <c r="H105" s="93" t="str">
        <f>IFERROR(IF(((F105-D105)*100)&gt;0,"+"&amp;ROUND((F105-D105)*100,1),ROUND((F105-D105)*100,1)),"-")</f>
        <v>-</v>
      </c>
      <c r="I105" s="92" t="str">
        <f>IFERROR(IF(((F105-E105)*100)&gt;0,"+"&amp;ROUND((F105-E105)*100,1),ROUND((F105-E105)*100,1)),"-")</f>
        <v>-</v>
      </c>
    </row>
    <row r="106" spans="2:14" x14ac:dyDescent="0.25">
      <c r="B106" s="73"/>
      <c r="C106" s="25" t="s">
        <v>60</v>
      </c>
      <c r="D106" s="74">
        <f t="array" ref="D106">SUM((IncLim)*(indType&gt;0)*(Months=months3)*(PY=PY5_)*(Filter1=Source1))</f>
        <v>0</v>
      </c>
      <c r="E106" s="74">
        <f t="array" ref="E106">SUM((IncLim)*(indType&gt;0)*(Months=months3)*(PY=PY4_)*(Filter1=Source1))</f>
        <v>0</v>
      </c>
      <c r="F106" s="74">
        <f t="array" ref="F106">SUM((IncLim)*(indType&gt;0)*(Months=months3)*(PY=PY3_)*(Filter1=Source1))</f>
        <v>0</v>
      </c>
      <c r="G106" s="76"/>
      <c r="H106" s="81" t="str">
        <f t="shared" ref="H106:H107" si="9">IFERROR((F106-D106)/D106,"-")</f>
        <v>-</v>
      </c>
      <c r="I106" s="78" t="str">
        <f t="shared" ref="I106:I107" si="10">IFERROR((F106-E106)/E106,"-")</f>
        <v>-</v>
      </c>
      <c r="L106" s="2"/>
      <c r="N106" s="2"/>
    </row>
    <row r="107" spans="2:14" x14ac:dyDescent="0.25">
      <c r="B107" s="73"/>
      <c r="C107" s="25" t="s">
        <v>61</v>
      </c>
      <c r="D107" s="74" t="str">
        <f>IFERROR(D106/D104,"-")</f>
        <v>-</v>
      </c>
      <c r="E107" s="74" t="str">
        <f t="shared" ref="E107" si="11">IFERROR(E106/E104,"-")</f>
        <v>-</v>
      </c>
      <c r="F107" s="74" t="str">
        <f t="shared" ref="F107" si="12">IFERROR(F106/F104,"-")</f>
        <v>-</v>
      </c>
      <c r="G107" s="76"/>
      <c r="H107" s="81" t="str">
        <f t="shared" si="9"/>
        <v>-</v>
      </c>
      <c r="I107" s="78" t="str">
        <f t="shared" si="10"/>
        <v>-</v>
      </c>
      <c r="L107" s="2"/>
      <c r="N107" s="2"/>
    </row>
    <row r="108" spans="2:14" x14ac:dyDescent="0.25">
      <c r="C108" s="25" t="s">
        <v>62</v>
      </c>
      <c r="D108" s="90" t="str">
        <f>IFERROR(1-(D109/D104),"-")</f>
        <v>-</v>
      </c>
      <c r="E108" s="90" t="str">
        <f>IFERROR(1-(E109/E104),"-")</f>
        <v>-</v>
      </c>
      <c r="F108" s="90" t="str">
        <f>IFERROR(1-(F109/F104),"-")</f>
        <v>-</v>
      </c>
      <c r="G108" s="76"/>
      <c r="H108" s="93" t="str">
        <f>IFERROR(IF(((F108-D108)*100)&gt;0,"+"&amp;ROUND((F108-D108)*100,1),ROUND((F108-D108)*100,1)),"-")</f>
        <v>-</v>
      </c>
      <c r="I108" s="92" t="str">
        <f>IFERROR(IF(((F108-E108)*100)&gt;0,"+"&amp;ROUND((F108-E108)*100,1),ROUND((F108-E108)*100,1)),"-")</f>
        <v>-</v>
      </c>
    </row>
    <row r="109" spans="2:14" ht="15.75" thickBot="1" x14ac:dyDescent="0.3">
      <c r="C109" s="32" t="s">
        <v>63</v>
      </c>
      <c r="D109" s="106">
        <f t="array" ref="D109">D104-SUM((IncLim&gt;0)*(indType&gt;0)*(Closed&gt;0)*(Months=months3)*(PY=PY5_)*(Filter1=Source1))</f>
        <v>0</v>
      </c>
      <c r="E109" s="106">
        <f t="array" ref="E109">E104-SUM((IncLim&gt;0)*(indType&gt;0)*(Closed&gt;0)*(Months=months3)*(PY=PY4_)*(Filter1=Source1))</f>
        <v>0</v>
      </c>
      <c r="F109" s="106">
        <f t="array" ref="F109">F104-SUM((IncLim&gt;0)*(indType&gt;0)*(Closed&gt;0)*(Months=months3)*(PY=PY3_)*(Filter1=Source1))</f>
        <v>0</v>
      </c>
      <c r="G109" s="86"/>
      <c r="H109" s="87" t="str">
        <f>IFERROR((F109-D109)/D109,"-")</f>
        <v>-</v>
      </c>
      <c r="I109" s="88" t="str">
        <f>IFERROR((F109-E109)/E109,"-")</f>
        <v>-</v>
      </c>
    </row>
    <row r="110" spans="2:14" x14ac:dyDescent="0.25">
      <c r="C110" s="26"/>
      <c r="D110" s="33"/>
      <c r="E110" s="33"/>
      <c r="F110" s="34"/>
      <c r="G110" s="29"/>
      <c r="H110" s="30"/>
      <c r="I110" s="31"/>
    </row>
    <row r="111" spans="2:14" x14ac:dyDescent="0.25">
      <c r="C111" s="25" t="s">
        <v>72</v>
      </c>
      <c r="D111" s="80">
        <f t="array" ref="D111">SUM((IncLim&gt;0)*(Lit&gt;0)*(indType&gt;0)*(Months=months3)*(PY=PY5_)*(Filter1=Source1))</f>
        <v>0</v>
      </c>
      <c r="E111" s="80">
        <f t="array" ref="E111">SUM((IncLim&gt;0)*(Lit&gt;0)*(indType&gt;0)*(Months=months3)*(PY=PY4_)*(Filter1=Source1))</f>
        <v>0</v>
      </c>
      <c r="F111" s="89">
        <f t="array" ref="F111">SUM((IncLim&gt;0)*(Lit&gt;0)*(indType&gt;0)*(Months=months3)*(PY=PY3_)*(Filter1=Source1))</f>
        <v>0</v>
      </c>
      <c r="G111" s="76"/>
      <c r="H111" s="81" t="str">
        <f>IFERROR((F111-D111)/D111,"-")</f>
        <v>-</v>
      </c>
      <c r="I111" s="78" t="str">
        <f>IFERROR((F111-E111)/E111,"-")</f>
        <v>-</v>
      </c>
    </row>
    <row r="112" spans="2:14" x14ac:dyDescent="0.25">
      <c r="C112" s="25" t="s">
        <v>73</v>
      </c>
      <c r="D112" s="90" t="str">
        <f>IFERROR(D111/D104,"-")</f>
        <v>-</v>
      </c>
      <c r="E112" s="90" t="str">
        <f>IFERROR(E111/E104,"-")</f>
        <v>-</v>
      </c>
      <c r="F112" s="125" t="str">
        <f>IFERROR(F111/F104,"-")</f>
        <v>-</v>
      </c>
      <c r="G112" s="76"/>
      <c r="H112" s="93" t="str">
        <f>IFERROR(IF(((F112-D112)*100)&gt;0,"+"&amp;ROUND((F112-D112)*100,1),ROUND((F112-D112)*100,1)),"-")</f>
        <v>-</v>
      </c>
      <c r="I112" s="92" t="str">
        <f>IFERROR(IF(((F112-E112)*100)&gt;0,"+"&amp;ROUND((F112-E112)*100,1),ROUND((F112-E112)*100,1)),"-")</f>
        <v>-</v>
      </c>
    </row>
    <row r="113" spans="2:14" x14ac:dyDescent="0.25">
      <c r="B113" s="71"/>
      <c r="C113" s="25" t="s">
        <v>75</v>
      </c>
      <c r="D113" s="74">
        <f t="array" ref="D113">SUM((IncLim)*(Lit&gt;0)*(indType&gt;0)*(Months=months3)*(PY=PY5_)*(Filter1=Source1))</f>
        <v>0</v>
      </c>
      <c r="E113" s="74">
        <f t="array" ref="E113">SUM((IncLim)*(Lit&gt;0)*(indType&gt;0)*(Months=months3)*(PY=PY4_)*(Filter1=Source1))</f>
        <v>0</v>
      </c>
      <c r="F113" s="75">
        <f t="array" ref="F113">SUM((IncLim)*(Lit&gt;0)*(indType&gt;0)*(Months=months3)*(PY=PY3_)*(Filter1=Source1))</f>
        <v>0</v>
      </c>
      <c r="G113" s="76"/>
      <c r="H113" s="81" t="str">
        <f>IFERROR((F113-D113)/D113,"-")</f>
        <v>-</v>
      </c>
      <c r="I113" s="78" t="str">
        <f>IFERROR((F113-E113)/E113,"-")</f>
        <v>-</v>
      </c>
      <c r="L113" s="2"/>
      <c r="N113" s="2"/>
    </row>
    <row r="114" spans="2:14" x14ac:dyDescent="0.25">
      <c r="B114" s="71"/>
      <c r="C114" s="120" t="s">
        <v>100</v>
      </c>
      <c r="D114" s="122" t="str">
        <f>IFERROR(D113/D106,"-")</f>
        <v>-</v>
      </c>
      <c r="E114" s="122" t="str">
        <f>IFERROR(E113/E106,"-")</f>
        <v>-</v>
      </c>
      <c r="F114" s="122" t="str">
        <f>IFERROR(F113/F106,"-")</f>
        <v>-</v>
      </c>
      <c r="G114" s="121"/>
      <c r="H114" s="93" t="str">
        <f>IFERROR(IF(((F114-D114)*100)&gt;0,"+"&amp;ROUND((F114-D114)*100,1),ROUND((F114-D114)*100,1)),"-")</f>
        <v>-</v>
      </c>
      <c r="I114" s="92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1"/>
      <c r="C115" s="25" t="s">
        <v>91</v>
      </c>
      <c r="D115" s="80">
        <f t="array" ref="D115">SUM((IncLim&gt;0)*(Lit&gt;0)*(Months=months3)*(PY=PY5_)*(Filter1=Source1))</f>
        <v>0</v>
      </c>
      <c r="E115" s="80">
        <f t="array" ref="E115">SUM((IncLim&gt;0)*(Lit&gt;0)*(Months=months3)*(PY=PY4_)*(Filter1=Source1))</f>
        <v>0</v>
      </c>
      <c r="F115" s="89">
        <f t="array" ref="F115">SUM((IncLim&gt;0)*(Lit&gt;0)*(Months=months3)*(PY=PY3_)*(Filter1=Source1))</f>
        <v>0</v>
      </c>
      <c r="G115" s="76"/>
      <c r="H115" s="81" t="str">
        <f>IFERROR((F115-D115)/D115,"-")</f>
        <v>-</v>
      </c>
      <c r="I115" s="78" t="str">
        <f>IFERROR((F115-E115)/E115,"-")</f>
        <v>-</v>
      </c>
      <c r="L115" s="2"/>
      <c r="N115" s="2"/>
    </row>
    <row r="116" spans="2:14" x14ac:dyDescent="0.25">
      <c r="B116" s="71"/>
      <c r="C116" s="25" t="s">
        <v>74</v>
      </c>
      <c r="D116" s="74">
        <f t="array" ref="D116">SUM((IncLim)*(Lit&gt;0)*(Months=months3)*(PY=PY5_)*(Filter1=Source1))</f>
        <v>0</v>
      </c>
      <c r="E116" s="74">
        <f t="array" ref="E116">SUM((IncLim)*(Lit&gt;0)*(Months=months3)*(PY=PY4_)*(Filter1=Source1))</f>
        <v>0</v>
      </c>
      <c r="F116" s="75">
        <f t="array" ref="F116">SUM((IncLim)*(Lit&gt;0)*(Months=months3)*(PY=PY3_)*(Filter1=Source1))</f>
        <v>0</v>
      </c>
      <c r="G116" s="76"/>
      <c r="H116" s="81" t="str">
        <f>IFERROR((F116-D116)/D116,"-")</f>
        <v>-</v>
      </c>
      <c r="I116" s="78" t="str">
        <f>IFERROR((F116-E116)/E116,"-")</f>
        <v>-</v>
      </c>
      <c r="L116" s="2"/>
      <c r="N116" s="2"/>
    </row>
    <row r="117" spans="2:14" x14ac:dyDescent="0.25">
      <c r="B117" s="71"/>
      <c r="C117" s="25" t="s">
        <v>104</v>
      </c>
      <c r="D117" s="74"/>
      <c r="E117" s="74"/>
      <c r="F117" s="75"/>
      <c r="G117" s="76"/>
      <c r="H117" s="81" t="str">
        <f>IFERROR((F117-D117)/D117,"-")</f>
        <v>-</v>
      </c>
      <c r="I117" s="78" t="str">
        <f>IFERROR((F117-E117)/E117,"-")</f>
        <v>-</v>
      </c>
      <c r="L117" s="2"/>
      <c r="N117" s="2"/>
    </row>
    <row r="118" spans="2:14" x14ac:dyDescent="0.25">
      <c r="C118" s="26"/>
      <c r="D118" s="33"/>
      <c r="E118" s="33"/>
      <c r="F118" s="34"/>
      <c r="G118" s="29"/>
      <c r="H118" s="30"/>
      <c r="I118" s="31"/>
    </row>
    <row r="119" spans="2:14" x14ac:dyDescent="0.25">
      <c r="C119" s="25" t="s">
        <v>64</v>
      </c>
      <c r="D119" s="94">
        <f>SUMPRODUCT(LARGE((Months=months3)*(PY=PY5_)*(IncLim)*(Filter1=Source1),{1,2,3,4,5}))</f>
        <v>0</v>
      </c>
      <c r="E119" s="94">
        <f>SUMPRODUCT(LARGE((Months=months3)*(PY=PY4_)*(IncLim)*(Filter1=Source1),{1,2,3,4,5}))</f>
        <v>0</v>
      </c>
      <c r="F119" s="95">
        <f>SUMPRODUCT(LARGE((Months=months3)*(PY=PY3_)*(IncLim)*(Filter1=Source1),{1,2,3,4,5}))</f>
        <v>0</v>
      </c>
      <c r="G119" s="76"/>
      <c r="H119" s="81" t="str">
        <f>IFERROR((F119-D119)/D119,"-")</f>
        <v>-</v>
      </c>
      <c r="I119" s="78" t="str">
        <f>IFERROR((F119-E119)/E119,"-")</f>
        <v>-</v>
      </c>
    </row>
    <row r="120" spans="2:14" ht="15.75" thickBot="1" x14ac:dyDescent="0.3">
      <c r="C120" s="35" t="s">
        <v>65</v>
      </c>
      <c r="D120" s="126" t="str">
        <f>IFERROR(D119/D93,"-")</f>
        <v>-</v>
      </c>
      <c r="E120" s="126" t="str">
        <f>IFERROR(E119/E93,"-")</f>
        <v>-</v>
      </c>
      <c r="F120" s="126" t="str">
        <f>IFERROR(F119/F93,"-")</f>
        <v>-</v>
      </c>
      <c r="G120" s="96"/>
      <c r="H120" s="97" t="str">
        <f>IFERROR(IF(((F120-D120)*100)&gt;0,"+"&amp;ROUND((F120-D120)*100,1),ROUND((F120-D120)*100,1)),"-")</f>
        <v>-</v>
      </c>
      <c r="I120" s="98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4" t="s">
        <v>68</v>
      </c>
      <c r="C124" s="14" t="str">
        <f>Source1</f>
        <v>California</v>
      </c>
      <c r="D124" s="148"/>
      <c r="E124" s="149"/>
      <c r="F124" s="149"/>
      <c r="G124" s="14"/>
      <c r="H124" s="15"/>
      <c r="I124" s="16"/>
    </row>
    <row r="125" spans="2:14" x14ac:dyDescent="0.25">
      <c r="C125" s="150" t="str">
        <f>"PY"&amp;RIGHT(YEAR($F$126),2)&amp;" at "&amp;execute!D35&amp;" Months"</f>
        <v>PY18 at 36 Months</v>
      </c>
      <c r="D125" s="151" t="s">
        <v>43</v>
      </c>
      <c r="E125" s="152"/>
      <c r="F125" s="152"/>
      <c r="G125" s="150"/>
      <c r="H125" s="153"/>
      <c r="I125" s="154"/>
    </row>
    <row r="126" spans="2:14" x14ac:dyDescent="0.25">
      <c r="C126" s="150"/>
      <c r="D126" s="43">
        <f t="array" ref="D126">PY6_</f>
        <v>42370</v>
      </c>
      <c r="E126" s="44">
        <f t="array" ref="E126">PY5_</f>
        <v>39083</v>
      </c>
      <c r="F126" s="44">
        <f t="array" ref="F126">PY4_</f>
        <v>43101</v>
      </c>
      <c r="G126" s="150"/>
      <c r="H126" s="153"/>
      <c r="I126" s="154"/>
    </row>
    <row r="127" spans="2:14" x14ac:dyDescent="0.25">
      <c r="C127" s="150"/>
      <c r="D127" s="17" t="s">
        <v>46</v>
      </c>
      <c r="E127" s="18" t="s">
        <v>46</v>
      </c>
      <c r="F127" s="18" t="s">
        <v>46</v>
      </c>
      <c r="G127" s="150"/>
      <c r="H127" s="153"/>
      <c r="I127" s="154"/>
    </row>
    <row r="128" spans="2:14" x14ac:dyDescent="0.25">
      <c r="C128" s="150"/>
      <c r="D128" s="41" t="str">
        <f t="array" ref="D128">MONTH(Val_current)&amp;"/"&amp;DAY(Val_current)&amp;"/"&amp;YEAR(Val_current)-2</f>
        <v>1/0/1898</v>
      </c>
      <c r="E128" s="40" t="str">
        <f t="array" ref="E128">MONTH(Val_current)&amp;"/"&amp;DAY(Val_current)&amp;"/"&amp;YEAR(Val_current)-1</f>
        <v>1/0/1899</v>
      </c>
      <c r="F128" s="42" t="str">
        <f t="array" ref="F128">MONTH(Val_current)&amp;"/"&amp;DAY(Val_current)&amp;"/"&amp;YEAR(Val_current)</f>
        <v>1/0/1900</v>
      </c>
      <c r="G128" s="45" t="s">
        <v>47</v>
      </c>
      <c r="H128" s="46" t="str">
        <f t="array" ref="H128">IF(IncYr_yn="Y",RIGHT(YEAR($D$126),2)&amp;" vs "&amp;RIGHT(YEAR($F$126),2),RIGHT(YEAR($D$126),2)+1&amp;" vs "&amp;RIGHT(YEAR($F$126),2)+1)</f>
        <v>16 vs 18</v>
      </c>
      <c r="I128" s="47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19"/>
      <c r="D129" s="20"/>
      <c r="E129" s="20"/>
      <c r="F129" s="21"/>
      <c r="G129" s="22"/>
      <c r="H129" s="23"/>
      <c r="I129" s="24"/>
    </row>
    <row r="130" spans="3:12" x14ac:dyDescent="0.25">
      <c r="C130" s="25" t="s">
        <v>50</v>
      </c>
      <c r="D130" s="74">
        <f t="array" ref="D130">IFERROR(VLOOKUP(PY6_,$M$4:$R$13,3,FALSE),"-")</f>
        <v>9820000</v>
      </c>
      <c r="E130" s="74">
        <f t="array" ref="E130">IFERROR(VLOOKUP(PY5_,$M$4:$R$13,3,FALSE),"-")</f>
        <v>9030000</v>
      </c>
      <c r="F130" s="74">
        <f>IFERROR(VLOOKUP(PY4_,$M$4:$R$13,3,FALSE),"-")</f>
        <v>9020000</v>
      </c>
      <c r="G130" s="76"/>
      <c r="H130" s="77">
        <f>IFERROR((F130-D130)/D130,"-")</f>
        <v>-8.1466395112016296E-2</v>
      </c>
      <c r="I130" s="78">
        <f>IFERROR((F130-E130)/E130,"-")</f>
        <v>-1.1074197120708748E-3</v>
      </c>
    </row>
    <row r="131" spans="3:12" x14ac:dyDescent="0.25">
      <c r="C131" s="25" t="s">
        <v>18</v>
      </c>
      <c r="D131" s="80">
        <f t="array" ref="D131">IFERROR(VLOOKUP(PY6_,$M$4:$P$11,4,FALSE),"-")</f>
        <v>712</v>
      </c>
      <c r="E131" s="80">
        <f t="array" ref="E131">IFERROR(VLOOKUP(PY5_,$M$4:$P$11,4,FALSE),"-")</f>
        <v>697</v>
      </c>
      <c r="F131" s="80">
        <f t="array" ref="F131">IFERROR(VLOOKUP(PY4_,$M$4:$P$11,4,FALSE),"-")</f>
        <v>645</v>
      </c>
      <c r="G131" s="76"/>
      <c r="H131" s="81">
        <f>IFERROR((F131-D131)/D131,"-")</f>
        <v>-9.4101123595505612E-2</v>
      </c>
      <c r="I131" s="78">
        <f>IFERROR((F131-E131)/E131,"-")</f>
        <v>-7.4605451936872305E-2</v>
      </c>
    </row>
    <row r="132" spans="3:12" ht="15.75" thickBot="1" x14ac:dyDescent="0.3">
      <c r="C132" s="19"/>
      <c r="D132" s="20"/>
      <c r="E132" s="20"/>
      <c r="F132" s="21"/>
      <c r="G132" s="22"/>
      <c r="H132" s="23"/>
      <c r="I132" s="24"/>
    </row>
    <row r="133" spans="3:12" x14ac:dyDescent="0.25">
      <c r="C133" s="25" t="s">
        <v>38</v>
      </c>
      <c r="D133" s="74">
        <f t="array" ref="D133">SUM((IncLim)*(Months=months4)*(PY=PY6_)*(Filter1=Source1))</f>
        <v>0</v>
      </c>
      <c r="E133" s="74">
        <f t="array" ref="E133">SUM((IncLim)*(Months=months4)*(PY=PY5_)*(Filter1=Source1))</f>
        <v>0</v>
      </c>
      <c r="F133" s="75">
        <f t="array" ref="F133">SUM((IncLim)*(Months=months4)*(PY=PY4_)*(Filter1=Source1))</f>
        <v>0</v>
      </c>
      <c r="G133" s="76"/>
      <c r="H133" s="77" t="str">
        <f>IFERROR((F133-D133)/D133,"-")</f>
        <v>-</v>
      </c>
      <c r="I133" s="78" t="str">
        <f>IFERROR((F133-E133)/E133,"-")</f>
        <v>-</v>
      </c>
    </row>
    <row r="134" spans="3:12" x14ac:dyDescent="0.25">
      <c r="C134" s="25" t="s">
        <v>71</v>
      </c>
      <c r="D134" s="74">
        <f t="array" ref="D134">SUM((pdLim)*(Months=months4)*(PY=PY6_)*(Filter1=Source1))</f>
        <v>0</v>
      </c>
      <c r="E134" s="74">
        <f t="array" ref="E134">SUM((pdLim)*(Months=months4)*(PY=PY5_)*(Filter1=Source1))</f>
        <v>0</v>
      </c>
      <c r="F134" s="75">
        <f t="array" ref="F134">SUM((pdLim)*(Months=months4)*(PY=PY4_)*(Filter1=Source1))</f>
        <v>0</v>
      </c>
      <c r="G134" s="76"/>
      <c r="H134" s="81" t="str">
        <f>IFERROR((F134-D134)/D134,"-")</f>
        <v>-</v>
      </c>
      <c r="I134" s="78" t="str">
        <f>IFERROR((F134-E134)/E134,"-")</f>
        <v>-</v>
      </c>
      <c r="J134" s="5"/>
      <c r="L134" s="2"/>
    </row>
    <row r="135" spans="3:12" x14ac:dyDescent="0.25">
      <c r="C135" s="25" t="s">
        <v>51</v>
      </c>
      <c r="D135" s="74">
        <f>D133-D134</f>
        <v>0</v>
      </c>
      <c r="E135" s="74">
        <f>E133-E134</f>
        <v>0</v>
      </c>
      <c r="F135" s="74">
        <f>F133-F134</f>
        <v>0</v>
      </c>
      <c r="G135" s="76"/>
      <c r="H135" s="81" t="str">
        <f>IFERROR((F135-D135)/D135,"-")</f>
        <v>-</v>
      </c>
      <c r="I135" s="78" t="str">
        <f>IFERROR((F135-E135)/E135,"-")</f>
        <v>-</v>
      </c>
    </row>
    <row r="136" spans="3:12" ht="15.75" thickBot="1" x14ac:dyDescent="0.3">
      <c r="C136" s="26"/>
      <c r="D136" s="27"/>
      <c r="E136" s="27"/>
      <c r="F136" s="28"/>
      <c r="G136" s="29"/>
      <c r="H136" s="30"/>
      <c r="I136" s="31"/>
    </row>
    <row r="137" spans="3:12" x14ac:dyDescent="0.25">
      <c r="C137" s="25" t="s">
        <v>52</v>
      </c>
      <c r="D137" s="82">
        <f t="array" ref="D137">SUM((IncLim&gt;0)*(Months=months4)*(PY=PY6_)*(Filter1=Source1))</f>
        <v>0</v>
      </c>
      <c r="E137" s="82">
        <f t="array" ref="E137">SUM((IncLim&gt;0)*(Months=months4)*(PY=PY5_)*(Filter1=Source1))</f>
        <v>0</v>
      </c>
      <c r="F137" s="83">
        <f t="array" ref="F137">SUM((IncLim&gt;0)*(Months=months4)*(PY=PY4_)*(Filter1=Source1))</f>
        <v>0</v>
      </c>
      <c r="G137" s="76"/>
      <c r="H137" s="77" t="str">
        <f>IFERROR((F137-D137)/D137,"-")</f>
        <v>-</v>
      </c>
      <c r="I137" s="78" t="str">
        <f>IFERROR((F137-E137)/E137,"-")</f>
        <v>-</v>
      </c>
    </row>
    <row r="138" spans="3:12" x14ac:dyDescent="0.25">
      <c r="C138" s="25" t="s">
        <v>53</v>
      </c>
      <c r="D138" s="74" t="str">
        <f>IFERROR(D133/D137,"-")</f>
        <v>-</v>
      </c>
      <c r="E138" s="74" t="str">
        <f>IFERROR(E133/E137,"-")</f>
        <v>-</v>
      </c>
      <c r="F138" s="74" t="str">
        <f>IFERROR(F133/F137,"-")</f>
        <v>-</v>
      </c>
      <c r="G138" s="76"/>
      <c r="H138" s="84" t="str">
        <f>IFERROR((F138-D138)/D138,"-")</f>
        <v>-</v>
      </c>
      <c r="I138" s="78" t="str">
        <f>IFERROR((F138-E138)/E138,"-")</f>
        <v>-</v>
      </c>
    </row>
    <row r="139" spans="3:12" x14ac:dyDescent="0.25">
      <c r="C139" s="25" t="s">
        <v>54</v>
      </c>
      <c r="D139" s="74" t="str">
        <f t="array" ref="D139">IFERROR(MEDIAN(IF(IncLim&gt;0, IF(Months=months4,IF(PY=PY6_,IF(Filter1=Source1,IncLim))))),"-")</f>
        <v>-</v>
      </c>
      <c r="E139" s="74" t="str">
        <f t="array" ref="E139">IFERROR(MEDIAN(IF(IncLim&gt;0, IF(Months=months4,IF(PY=PY5_, IF(Filter1=Source1, IncLim))))),"-")</f>
        <v>-</v>
      </c>
      <c r="F139" s="74" t="str">
        <f t="array" ref="F139">IFERROR(MEDIAN(IF(IncLim&gt;0, IF(Months=months4,IF(PY=PY4_, IF(Filter1=Source1, IncLim))))),"-")</f>
        <v>-</v>
      </c>
      <c r="G139" s="76"/>
      <c r="H139" s="81" t="str">
        <f>IFERROR((F139-D139)/D139,"-")</f>
        <v>-</v>
      </c>
      <c r="I139" s="78" t="str">
        <f>IFERROR((F139-E139)/E139,"-")</f>
        <v>-</v>
      </c>
    </row>
    <row r="140" spans="3:12" x14ac:dyDescent="0.25">
      <c r="C140" s="26"/>
      <c r="D140" s="27"/>
      <c r="E140" s="27"/>
      <c r="F140" s="28"/>
      <c r="G140" s="29"/>
      <c r="H140" s="23"/>
      <c r="I140" s="24"/>
    </row>
    <row r="141" spans="3:12" x14ac:dyDescent="0.25">
      <c r="C141" s="25" t="s">
        <v>55</v>
      </c>
      <c r="D141" s="74">
        <f>IFERROR((VLOOKUP(PY6_,$M$4:$Q$10,5,FALSE)/100),"-")</f>
        <v>3790000</v>
      </c>
      <c r="E141" s="74">
        <f>IFERROR((VLOOKUP(PY5_,$M$4:$Q$10,5,FALSE)/100),"-")</f>
        <v>3769750</v>
      </c>
      <c r="F141" s="75">
        <f>IFERROR((VLOOKUP(PY4_,$M$4:$Q$10,5,FALSE)/100),"-")</f>
        <v>3596500</v>
      </c>
      <c r="G141" s="76"/>
      <c r="H141" s="81">
        <f>IFERROR((F141-D141)/D141,"-")</f>
        <v>-5.1055408970976254E-2</v>
      </c>
      <c r="I141" s="78">
        <f>IFERROR((F141-E141)/E141,"-")</f>
        <v>-4.5957954771536573E-2</v>
      </c>
    </row>
    <row r="142" spans="3:12" ht="15.75" thickBot="1" x14ac:dyDescent="0.3">
      <c r="C142" s="32" t="s">
        <v>57</v>
      </c>
      <c r="D142" s="85">
        <f>IFERROR(D133/D141,"-")</f>
        <v>0</v>
      </c>
      <c r="E142" s="85">
        <f>IFERROR(E133/E141,"-")</f>
        <v>0</v>
      </c>
      <c r="F142" s="85">
        <f>IFERROR(F133/F141,"-")</f>
        <v>0</v>
      </c>
      <c r="G142" s="86"/>
      <c r="H142" s="87" t="str">
        <f>IFERROR((F142-D142)/D142,"-")</f>
        <v>-</v>
      </c>
      <c r="I142" s="88" t="str">
        <f>IFERROR((F142-E142)/E142,"-")</f>
        <v>-</v>
      </c>
    </row>
    <row r="143" spans="3:12" ht="15.75" thickBot="1" x14ac:dyDescent="0.3">
      <c r="C143" s="26"/>
      <c r="D143" s="27"/>
      <c r="E143" s="27"/>
      <c r="F143" s="28"/>
      <c r="G143" s="29"/>
      <c r="H143" s="30"/>
      <c r="I143" s="31"/>
    </row>
    <row r="144" spans="3:12" x14ac:dyDescent="0.25">
      <c r="C144" s="25" t="s">
        <v>58</v>
      </c>
      <c r="D144" s="80">
        <f t="array" ref="D144">SUM((IncLim&gt;0)*(indType&gt;0)*(Months=months4)*(PY=PY6_)*(Filter1=Source1))</f>
        <v>0</v>
      </c>
      <c r="E144" s="80">
        <f t="array" ref="E144">SUM((IncLim&gt;0)*(indType&gt;0)*(Months=months4)*(PY=PY5_)*(Filter1=Source1))</f>
        <v>0</v>
      </c>
      <c r="F144" s="89">
        <f t="array" ref="F144">SUM((IncLim&gt;0)*(indType&gt;0)*(Months=months4)*(PY=PY4_)*(Filter1=Source1))</f>
        <v>0</v>
      </c>
      <c r="G144" s="76"/>
      <c r="H144" s="77" t="str">
        <f>IFERROR((F144-D144)/D144,"-")</f>
        <v>-</v>
      </c>
      <c r="I144" s="78" t="str">
        <f>IFERROR((F144-E144)/E144,"-")</f>
        <v>-</v>
      </c>
    </row>
    <row r="145" spans="2:14" x14ac:dyDescent="0.25">
      <c r="C145" s="25" t="s">
        <v>59</v>
      </c>
      <c r="D145" s="90" t="str">
        <f>IFERROR(D144/D137,"-")</f>
        <v>-</v>
      </c>
      <c r="E145" s="90" t="str">
        <f>IFERROR(E144/E137,"-")</f>
        <v>-</v>
      </c>
      <c r="F145" s="90" t="str">
        <f>IFERROR(F144/F137,"-")</f>
        <v>-</v>
      </c>
      <c r="G145" s="76"/>
      <c r="H145" s="93" t="str">
        <f>IFERROR(IF(((F145-D145)*100)&gt;0,"+"&amp;ROUND((F145-D145)*100,1),ROUND((F145-D145)*100,1)),"-")</f>
        <v>-</v>
      </c>
      <c r="I145" s="92" t="str">
        <f>IFERROR(IF(((F145-E145)*100)&gt;0,"+"&amp;ROUND((F145-E145)*100,1),ROUND((F145-E145)*100,1)),"-")</f>
        <v>-</v>
      </c>
    </row>
    <row r="146" spans="2:14" x14ac:dyDescent="0.25">
      <c r="B146" s="73"/>
      <c r="C146" s="25" t="s">
        <v>60</v>
      </c>
      <c r="D146" s="74">
        <f t="array" ref="D146">SUM((IncLim)*(indType&gt;0)*(Months=months4)*(PY=PY6_)*(Filter1=Source1))</f>
        <v>0</v>
      </c>
      <c r="E146" s="74">
        <f t="array" ref="E146">SUM((IncLim)*(indType&gt;0)*(Months=months4)*(PY=PY5_)*(Filter1=Source1))</f>
        <v>0</v>
      </c>
      <c r="F146" s="74">
        <f t="array" ref="F146">SUM((IncLim)*(indType&gt;0)*(Months=months4)*(PY=PY4_)*(Filter1=Source1))</f>
        <v>0</v>
      </c>
      <c r="G146" s="76"/>
      <c r="H146" s="81" t="str">
        <f t="shared" ref="H146:H147" si="13">IFERROR((F146-D146)/D146,"-")</f>
        <v>-</v>
      </c>
      <c r="I146" s="78" t="str">
        <f t="shared" ref="I146:I147" si="14">IFERROR((F146-E146)/E146,"-")</f>
        <v>-</v>
      </c>
      <c r="L146" s="2"/>
      <c r="N146" s="2"/>
    </row>
    <row r="147" spans="2:14" x14ac:dyDescent="0.25">
      <c r="B147" s="73"/>
      <c r="C147" s="25" t="s">
        <v>61</v>
      </c>
      <c r="D147" s="74" t="str">
        <f>IFERROR(D146/D144,"-")</f>
        <v>-</v>
      </c>
      <c r="E147" s="74" t="str">
        <f t="shared" ref="E147" si="15">IFERROR(E146/E144,"-")</f>
        <v>-</v>
      </c>
      <c r="F147" s="74" t="str">
        <f t="shared" ref="F147" si="16">IFERROR(F146/F144,"-")</f>
        <v>-</v>
      </c>
      <c r="G147" s="76"/>
      <c r="H147" s="81" t="str">
        <f t="shared" si="13"/>
        <v>-</v>
      </c>
      <c r="I147" s="78" t="str">
        <f t="shared" si="14"/>
        <v>-</v>
      </c>
      <c r="L147" s="2"/>
      <c r="N147" s="2"/>
    </row>
    <row r="148" spans="2:14" x14ac:dyDescent="0.25">
      <c r="C148" s="25" t="s">
        <v>62</v>
      </c>
      <c r="D148" s="90" t="str">
        <f>IFERROR(1-(D149/D144),"-")</f>
        <v>-</v>
      </c>
      <c r="E148" s="90" t="str">
        <f>IFERROR(1-(E149/E144),"-")</f>
        <v>-</v>
      </c>
      <c r="F148" s="90" t="str">
        <f>IFERROR(1-(F149/F144),"-")</f>
        <v>-</v>
      </c>
      <c r="G148" s="76"/>
      <c r="H148" s="93" t="str">
        <f>IFERROR(IF(((F148-D148)*100)&gt;0,"+"&amp;ROUND((F148-D148)*100,1),ROUND((F148-D148)*100,1)),"-")</f>
        <v>-</v>
      </c>
      <c r="I148" s="92" t="str">
        <f>IFERROR(IF(((F148-E148)*100)&gt;0,"+"&amp;ROUND((F148-E148)*100,1),ROUND((F148-E148)*100,1)),"-")</f>
        <v>-</v>
      </c>
    </row>
    <row r="149" spans="2:14" ht="15.75" thickBot="1" x14ac:dyDescent="0.3">
      <c r="C149" s="32" t="s">
        <v>63</v>
      </c>
      <c r="D149" s="106">
        <f t="array" ref="D149">D144-SUM((IncLim&gt;0)*(indType&gt;0)*(Closed&gt;0)*(Months=months4)*(PY=PY6_)*(Filter1=Source1))</f>
        <v>0</v>
      </c>
      <c r="E149" s="106">
        <f t="array" ref="E149">E144-SUM((IncLim&gt;0)*(indType&gt;0)*(Closed&gt;0)*(Months=months4)*(PY=PY5_)*(Filter1=Source1))</f>
        <v>0</v>
      </c>
      <c r="F149" s="106">
        <f t="array" ref="F149">F144-SUM((IncLim&gt;0)*(indType&gt;0)*(Closed&gt;0)*(Months=months4)*(PY=PY4_)*(Filter1=Source1))</f>
        <v>0</v>
      </c>
      <c r="G149" s="86"/>
      <c r="H149" s="87" t="str">
        <f>IFERROR((F149-D149)/D149,"-")</f>
        <v>-</v>
      </c>
      <c r="I149" s="88" t="str">
        <f>IFERROR((F149-E149)/E149,"-")</f>
        <v>-</v>
      </c>
    </row>
    <row r="150" spans="2:14" x14ac:dyDescent="0.25">
      <c r="C150" s="26"/>
      <c r="D150" s="33"/>
      <c r="E150" s="33"/>
      <c r="F150" s="34"/>
      <c r="G150" s="29"/>
      <c r="H150" s="30"/>
      <c r="I150" s="31"/>
    </row>
    <row r="151" spans="2:14" x14ac:dyDescent="0.25">
      <c r="C151" s="25" t="s">
        <v>72</v>
      </c>
      <c r="D151" s="80">
        <f t="array" ref="D151">SUM((IncLim&gt;0)*(Lit&gt;0)*(indType&gt;0)*(Months=months4)*(PY=PY6_)*(Filter1=Source1))</f>
        <v>0</v>
      </c>
      <c r="E151" s="80">
        <f t="array" ref="E151">SUM((IncLim&gt;0)*(Lit&gt;0)*(indType&gt;0)*(Months=months4)*(PY=PY5_)*(Filter1=Source1))</f>
        <v>0</v>
      </c>
      <c r="F151" s="89">
        <f t="array" ref="F151">SUM((IncLim&gt;0)*(Lit&gt;0)*(indType&gt;0)*(Months=months4)*(PY=PY4_)*(Filter1=Source1))</f>
        <v>0</v>
      </c>
      <c r="G151" s="76"/>
      <c r="H151" s="81" t="str">
        <f>IFERROR((F151-D151)/D151,"-")</f>
        <v>-</v>
      </c>
      <c r="I151" s="78" t="str">
        <f>IFERROR((F151-E151)/E151,"-")</f>
        <v>-</v>
      </c>
    </row>
    <row r="152" spans="2:14" x14ac:dyDescent="0.25">
      <c r="C152" s="25" t="s">
        <v>73</v>
      </c>
      <c r="D152" s="90" t="str">
        <f>IFERROR(D151/D144,"-")</f>
        <v>-</v>
      </c>
      <c r="E152" s="90" t="str">
        <f>IFERROR(E151/E144,"-")</f>
        <v>-</v>
      </c>
      <c r="F152" s="125" t="str">
        <f>IFERROR(F151/F144,"-")</f>
        <v>-</v>
      </c>
      <c r="G152" s="76"/>
      <c r="H152" s="93" t="str">
        <f>IFERROR(IF(((F152-D152)*100)&gt;0,"+"&amp;ROUND((F152-D152)*100,1),ROUND((F152-D152)*100,1)),"-")</f>
        <v>-</v>
      </c>
      <c r="I152" s="92" t="str">
        <f>IFERROR(IF(((F152-E152)*100)&gt;0,"+"&amp;ROUND((F152-E152)*100,1),ROUND((F152-E152)*100,1)),"-")</f>
        <v>-</v>
      </c>
    </row>
    <row r="153" spans="2:14" x14ac:dyDescent="0.25">
      <c r="B153" s="71"/>
      <c r="C153" s="25" t="s">
        <v>75</v>
      </c>
      <c r="D153" s="74">
        <f t="array" ref="D153">SUM((IncLim)*(Lit&gt;0)*(indType&gt;0)*(Months=months4)*(PY=PY6_)*(Filter1=Source1))</f>
        <v>0</v>
      </c>
      <c r="E153" s="74">
        <f t="array" ref="E153">SUM((IncLim)*(Lit&gt;0)*(indType&gt;0)*(Months=months4)*(PY=PY5_)*(Filter1=Source1))</f>
        <v>0</v>
      </c>
      <c r="F153" s="75">
        <f t="array" ref="F153">SUM((IncLim)*(Lit&gt;0)*(indType&gt;0)*(Months=months4)*(PY=PY4_)*(Filter1=Source1))</f>
        <v>0</v>
      </c>
      <c r="G153" s="76"/>
      <c r="H153" s="81" t="str">
        <f>IFERROR((F153-D153)/D153,"-")</f>
        <v>-</v>
      </c>
      <c r="I153" s="78" t="str">
        <f>IFERROR((F153-E153)/E153,"-")</f>
        <v>-</v>
      </c>
      <c r="L153" s="2"/>
      <c r="N153" s="2"/>
    </row>
    <row r="154" spans="2:14" x14ac:dyDescent="0.25">
      <c r="B154" s="71"/>
      <c r="C154" s="120" t="s">
        <v>100</v>
      </c>
      <c r="D154" s="122" t="str">
        <f>IFERROR(D153/D146,"-")</f>
        <v>-</v>
      </c>
      <c r="E154" s="122" t="str">
        <f>IFERROR(E153/E146,"-")</f>
        <v>-</v>
      </c>
      <c r="F154" s="122" t="str">
        <f>IFERROR(F153/F146,"-")</f>
        <v>-</v>
      </c>
      <c r="G154" s="121"/>
      <c r="H154" s="93" t="str">
        <f>IFERROR(IF(((F154-D154)*100)&gt;0,"+"&amp;ROUND((F154-D154)*100,1),ROUND((F154-D154)*100,1)),"-")</f>
        <v>-</v>
      </c>
      <c r="I154" s="92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1"/>
      <c r="C155" s="25" t="s">
        <v>91</v>
      </c>
      <c r="D155" s="80">
        <f t="array" ref="D155">SUM((IncLim&gt;0)*(Lit&gt;0)*(Months=months4)*(PY=PY6_)*(Filter1=Source1))</f>
        <v>0</v>
      </c>
      <c r="E155" s="80">
        <f t="array" ref="E155">SUM((IncLim&gt;0)*(Lit&gt;0)*(Months=months4)*(PY=PY5_)*(Filter1=Source1))</f>
        <v>0</v>
      </c>
      <c r="F155" s="89">
        <f t="array" ref="F155">SUM((IncLim&gt;0)*(Lit&gt;0)*(Months=months4)*(PY=PY4_)*(Filter1=Source1))</f>
        <v>0</v>
      </c>
      <c r="G155" s="76"/>
      <c r="H155" s="81" t="str">
        <f>IFERROR((F155-D155)/D155,"-")</f>
        <v>-</v>
      </c>
      <c r="I155" s="78" t="str">
        <f>IFERROR((F155-E155)/E155,"-")</f>
        <v>-</v>
      </c>
      <c r="L155" s="2"/>
      <c r="N155" s="2"/>
    </row>
    <row r="156" spans="2:14" x14ac:dyDescent="0.25">
      <c r="B156" s="71"/>
      <c r="C156" s="25" t="s">
        <v>74</v>
      </c>
      <c r="D156" s="74">
        <f t="array" ref="D156">SUM((IncLim)*(Lit&gt;0)*(Months=months4)*(PY=PY6_)*(Filter1=Source1))</f>
        <v>0</v>
      </c>
      <c r="E156" s="74">
        <f t="array" ref="E156">SUM((IncLim)*(Lit&gt;0)*(Months=months4)*(PY=PY5_)*(Filter1=Source1))</f>
        <v>0</v>
      </c>
      <c r="F156" s="75">
        <f t="array" ref="F156">SUM((IncLim)*(Lit&gt;0)*(Months=months4)*(PY=PY4_)*(Filter1=Source1))</f>
        <v>0</v>
      </c>
      <c r="G156" s="76"/>
      <c r="H156" s="81" t="str">
        <f>IFERROR((F156-D156)/D156,"-")</f>
        <v>-</v>
      </c>
      <c r="I156" s="78" t="str">
        <f>IFERROR((F156-E156)/E156,"-")</f>
        <v>-</v>
      </c>
      <c r="L156" s="2"/>
      <c r="N156" s="2"/>
    </row>
    <row r="157" spans="2:14" x14ac:dyDescent="0.25">
      <c r="B157" s="71"/>
      <c r="C157" s="25" t="s">
        <v>104</v>
      </c>
      <c r="D157" s="74"/>
      <c r="E157" s="74"/>
      <c r="F157" s="75"/>
      <c r="G157" s="76"/>
      <c r="H157" s="81" t="str">
        <f>IFERROR((F157-D157)/D157,"-")</f>
        <v>-</v>
      </c>
      <c r="I157" s="78" t="str">
        <f>IFERROR((F157-E157)/E157,"-")</f>
        <v>-</v>
      </c>
      <c r="L157" s="2"/>
      <c r="N157" s="2"/>
    </row>
    <row r="158" spans="2:14" x14ac:dyDescent="0.25">
      <c r="C158" s="26"/>
      <c r="D158" s="33"/>
      <c r="E158" s="33"/>
      <c r="F158" s="34"/>
      <c r="G158" s="29"/>
      <c r="H158" s="30"/>
      <c r="I158" s="31"/>
    </row>
    <row r="159" spans="2:14" x14ac:dyDescent="0.25">
      <c r="C159" s="25" t="s">
        <v>64</v>
      </c>
      <c r="D159" s="94">
        <f>SUMPRODUCT(LARGE((Months=months4)*(PY=PY6_)*(IncLim)*(Filter1=Source1),{1,2,3,4,5}))</f>
        <v>0</v>
      </c>
      <c r="E159" s="94">
        <f>SUMPRODUCT(LARGE((Months=months4)*(PY=PY5_)*(IncLim)*(Filter1=Source1),{1,2,3,4,5}))</f>
        <v>0</v>
      </c>
      <c r="F159" s="95">
        <f>SUMPRODUCT(LARGE((Months=months4)*(PY=PY4_)*(IncLim)*(Filter1=Source1),{1,2,3,4,5}))</f>
        <v>0</v>
      </c>
      <c r="G159" s="76"/>
      <c r="H159" s="81" t="str">
        <f>IFERROR((F159-D159)/D159,"-")</f>
        <v>-</v>
      </c>
      <c r="I159" s="78" t="str">
        <f>IFERROR((F159-E159)/E159,"-")</f>
        <v>-</v>
      </c>
    </row>
    <row r="160" spans="2:14" ht="15.75" thickBot="1" x14ac:dyDescent="0.3">
      <c r="C160" s="35" t="s">
        <v>65</v>
      </c>
      <c r="D160" s="126" t="str">
        <f>IFERROR(D159/D133,"-")</f>
        <v>-</v>
      </c>
      <c r="E160" s="126" t="str">
        <f>IFERROR(E159/E133,"-")</f>
        <v>-</v>
      </c>
      <c r="F160" s="126" t="str">
        <f>IFERROR(F159/F133,"-")</f>
        <v>-</v>
      </c>
      <c r="G160" s="96"/>
      <c r="H160" s="97" t="str">
        <f>IFERROR(IF(((F160-D160)*100)&gt;0,"+"&amp;ROUND((F160-D160)*100,1),ROUND((F160-D160)*100,1)),"-")</f>
        <v>-</v>
      </c>
      <c r="I160" s="98" t="str">
        <f>IFERROR(IF(((F160-E160)*100)&gt;0,"+"&amp;ROUND((F160-E160)*100,1),ROUND((F160-E160)*100,1)),"-")</f>
        <v>-</v>
      </c>
    </row>
    <row r="163" spans="8:9" x14ac:dyDescent="0.25">
      <c r="H163" s="2"/>
      <c r="I163" s="2"/>
    </row>
    <row r="164" spans="8:9" x14ac:dyDescent="0.25">
      <c r="H164" s="2"/>
      <c r="I164" s="2"/>
    </row>
    <row r="165" spans="8:9" x14ac:dyDescent="0.25">
      <c r="H165" s="2"/>
      <c r="I165" s="2"/>
    </row>
    <row r="166" spans="8:9" x14ac:dyDescent="0.25">
      <c r="H166" s="2"/>
      <c r="I166" s="2"/>
    </row>
    <row r="167" spans="8:9" x14ac:dyDescent="0.25">
      <c r="H167" s="2"/>
      <c r="I167" s="2"/>
    </row>
    <row r="168" spans="8:9" x14ac:dyDescent="0.25">
      <c r="H168" s="2"/>
      <c r="I168" s="2"/>
    </row>
    <row r="169" spans="8:9" x14ac:dyDescent="0.25">
      <c r="H169" s="2"/>
      <c r="I169" s="2"/>
    </row>
    <row r="170" spans="8:9" x14ac:dyDescent="0.25">
      <c r="H170" s="2"/>
      <c r="I170" s="2"/>
    </row>
    <row r="171" spans="8:9" x14ac:dyDescent="0.25">
      <c r="H171" s="2"/>
      <c r="I171" s="2"/>
    </row>
    <row r="172" spans="8:9" x14ac:dyDescent="0.25">
      <c r="H172" s="2"/>
      <c r="I172" s="2"/>
    </row>
    <row r="173" spans="8:9" x14ac:dyDescent="0.25">
      <c r="H173" s="2"/>
      <c r="I173" s="2"/>
    </row>
    <row r="174" spans="8:9" x14ac:dyDescent="0.25">
      <c r="H174" s="2"/>
      <c r="I174" s="2"/>
    </row>
    <row r="175" spans="8:9" x14ac:dyDescent="0.25">
      <c r="H175" s="2"/>
      <c r="I175" s="2"/>
    </row>
    <row r="176" spans="8:9" x14ac:dyDescent="0.25">
      <c r="H176" s="2"/>
      <c r="I176" s="2"/>
    </row>
    <row r="177" spans="8:9" x14ac:dyDescent="0.25">
      <c r="H177" s="2"/>
      <c r="I177" s="2"/>
    </row>
    <row r="178" spans="8:9" x14ac:dyDescent="0.25">
      <c r="H178" s="2"/>
      <c r="I178" s="2"/>
    </row>
    <row r="179" spans="8:9" x14ac:dyDescent="0.25">
      <c r="H179" s="2"/>
      <c r="I179" s="2"/>
    </row>
    <row r="180" spans="8:9" x14ac:dyDescent="0.25">
      <c r="H180" s="2"/>
      <c r="I180" s="2"/>
    </row>
    <row r="181" spans="8:9" x14ac:dyDescent="0.25">
      <c r="H181" s="2"/>
      <c r="I181" s="2"/>
    </row>
    <row r="182" spans="8:9" x14ac:dyDescent="0.25">
      <c r="H182" s="2"/>
      <c r="I182" s="2"/>
    </row>
    <row r="183" spans="8:9" x14ac:dyDescent="0.25">
      <c r="H183" s="2"/>
      <c r="I183" s="2"/>
    </row>
    <row r="184" spans="8:9" x14ac:dyDescent="0.25">
      <c r="H184" s="2"/>
      <c r="I184" s="2"/>
    </row>
    <row r="185" spans="8:9" x14ac:dyDescent="0.25">
      <c r="H185" s="2"/>
      <c r="I185" s="2"/>
    </row>
    <row r="186" spans="8:9" x14ac:dyDescent="0.25">
      <c r="H186" s="2"/>
      <c r="I186" s="2"/>
    </row>
    <row r="187" spans="8:9" x14ac:dyDescent="0.25">
      <c r="H187" s="2"/>
      <c r="I187" s="2"/>
    </row>
    <row r="188" spans="8:9" x14ac:dyDescent="0.25">
      <c r="H188" s="2"/>
      <c r="I188" s="2"/>
    </row>
    <row r="189" spans="8:9" x14ac:dyDescent="0.25">
      <c r="H189" s="2"/>
      <c r="I189" s="2"/>
    </row>
    <row r="190" spans="8:9" x14ac:dyDescent="0.25">
      <c r="H190" s="2"/>
      <c r="I190" s="2"/>
    </row>
    <row r="191" spans="8:9" x14ac:dyDescent="0.25">
      <c r="H191" s="2"/>
      <c r="I191" s="2"/>
    </row>
    <row r="192" spans="8:9" x14ac:dyDescent="0.25">
      <c r="H192" s="2"/>
      <c r="I192" s="2"/>
    </row>
    <row r="193" spans="2:14" x14ac:dyDescent="0.25">
      <c r="H193" s="2"/>
      <c r="I193" s="2"/>
    </row>
    <row r="194" spans="2:14" x14ac:dyDescent="0.25">
      <c r="H194" s="2"/>
      <c r="I194" s="2"/>
    </row>
    <row r="195" spans="2:14" x14ac:dyDescent="0.25">
      <c r="H195" s="2"/>
      <c r="I195" s="2"/>
    </row>
    <row r="196" spans="2:14" x14ac:dyDescent="0.25">
      <c r="H196" s="2"/>
      <c r="I196" s="2"/>
    </row>
    <row r="197" spans="2:14" x14ac:dyDescent="0.25">
      <c r="B197" s="71"/>
      <c r="C197" s="25" t="s">
        <v>104</v>
      </c>
      <c r="D197" s="74"/>
      <c r="E197" s="74"/>
      <c r="F197" s="75"/>
      <c r="G197" s="76"/>
      <c r="H197" s="81" t="str">
        <f>IFERROR((F197-D197)/D197,"-")</f>
        <v>-</v>
      </c>
      <c r="I197" s="78" t="str">
        <f>IFERROR((F197-E197)/E197,"-")</f>
        <v>-</v>
      </c>
      <c r="L197" s="2"/>
      <c r="N197" s="2"/>
    </row>
    <row r="198" spans="2:14" x14ac:dyDescent="0.25">
      <c r="H198" s="2"/>
      <c r="I198" s="2"/>
    </row>
    <row r="199" spans="2:14" x14ac:dyDescent="0.25"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C125:C128"/>
    <mergeCell ref="D125:F125"/>
    <mergeCell ref="G125:I127"/>
    <mergeCell ref="D4:F4"/>
    <mergeCell ref="C5:C8"/>
    <mergeCell ref="D5:F5"/>
    <mergeCell ref="G5:I7"/>
    <mergeCell ref="D44:F44"/>
    <mergeCell ref="C45:C48"/>
    <mergeCell ref="D45:F45"/>
    <mergeCell ref="G45:I47"/>
    <mergeCell ref="D84:F84"/>
    <mergeCell ref="C85:C88"/>
    <mergeCell ref="D85:F85"/>
    <mergeCell ref="G85:I87"/>
    <mergeCell ref="D124:F124"/>
  </mergeCells>
  <pageMargins left="0.7" right="0.7" top="0.75" bottom="0.75" header="0.3" footer="0.3"/>
  <pageSetup orientation="portrait" horizontalDpi="300" verticalDpi="300" r:id="rId1"/>
  <ignoredErrors>
    <ignoredError sqref="D33:F33 D73:F73 D153:E153 D113:F113 F153 H25:I25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300-00006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1'!D197:F197</xm:f>
              <xm:sqref>G197</xm:sqref>
            </x14:sparkline>
          </x14:sparklines>
        </x14:sparklineGroup>
        <x14:sparklineGroup manualMax="0" manualMin="0" displayEmptyCellsAs="gap" last="1" xr2:uid="{00000000-0003-0000-0300-00006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1'!D157:F157</xm:f>
              <xm:sqref>G157</xm:sqref>
            </x14:sparkline>
          </x14:sparklines>
        </x14:sparklineGroup>
        <x14:sparklineGroup manualMax="0" manualMin="0" displayEmptyCellsAs="gap" last="1" xr2:uid="{00000000-0003-0000-0300-00006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1'!D117:F117</xm:f>
              <xm:sqref>G117</xm:sqref>
            </x14:sparkline>
          </x14:sparklines>
        </x14:sparklineGroup>
        <x14:sparklineGroup manualMax="0" manualMin="0" displayEmptyCellsAs="gap" last="1" xr2:uid="{00000000-0003-0000-0300-00006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1'!D77:F77</xm:f>
              <xm:sqref>G77</xm:sqref>
            </x14:sparkline>
          </x14:sparklines>
        </x14:sparklineGroup>
        <x14:sparklineGroup manualMax="0" manualMin="0" displayEmptyCellsAs="gap" last="1" xr2:uid="{00000000-0003-0000-0300-00006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1'!D37:F37</xm:f>
              <xm:sqref>G37</xm:sqref>
            </x14:sparkline>
          </x14:sparklines>
        </x14:sparklineGroup>
        <x14:sparklineGroup manualMax="0" manualMin="0" displayEmptyCellsAs="gap" last="1" xr2:uid="{00000000-0003-0000-0300-00006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1'!D155:F155</xm:f>
              <xm:sqref>G155</xm:sqref>
            </x14:sparkline>
          </x14:sparklines>
        </x14:sparklineGroup>
        <x14:sparklineGroup manualMax="0" manualMin="0" displayEmptyCellsAs="gap" last="1" xr2:uid="{00000000-0003-0000-0300-00006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1'!D153:F153</xm:f>
              <xm:sqref>G153</xm:sqref>
            </x14:sparkline>
            <x14:sparkline>
              <xm:f>'Filtered Scorecard 1'!D154:F154</xm:f>
              <xm:sqref>G154</xm:sqref>
            </x14:sparkline>
          </x14:sparklines>
        </x14:sparklineGroup>
        <x14:sparklineGroup manualMax="0" manualMin="0" displayEmptyCellsAs="gap" last="1" xr2:uid="{00000000-0003-0000-0300-00006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1'!D156:F156</xm:f>
              <xm:sqref>G156</xm:sqref>
            </x14:sparkline>
          </x14:sparklines>
        </x14:sparklineGroup>
        <x14:sparklineGroup manualMax="0" manualMin="0" displayEmptyCellsAs="gap" last="1" xr2:uid="{00000000-0003-0000-0300-00006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1'!D131:F131</xm:f>
              <xm:sqref>G131</xm:sqref>
            </x14:sparkline>
            <x14:sparkline>
              <xm:f>'Filtered Scorecard 1'!D132:F132</xm:f>
              <xm:sqref>G132</xm:sqref>
            </x14:sparkline>
            <x14:sparkline>
              <xm:f>'Filtered Scorecard 1'!D133:F133</xm:f>
              <xm:sqref>G133</xm:sqref>
            </x14:sparkline>
            <x14:sparkline>
              <xm:f>'Filtered Scorecard 1'!D135:F135</xm:f>
              <xm:sqref>G135</xm:sqref>
            </x14:sparkline>
            <x14:sparkline>
              <xm:f>'Filtered Scorecard 1'!D136:F136</xm:f>
              <xm:sqref>G136</xm:sqref>
            </x14:sparkline>
            <x14:sparkline>
              <xm:f>'Filtered Scorecard 1'!D137:F137</xm:f>
              <xm:sqref>G137</xm:sqref>
            </x14:sparkline>
            <x14:sparkline>
              <xm:f>'Filtered Scorecard 1'!D138:F138</xm:f>
              <xm:sqref>G138</xm:sqref>
            </x14:sparkline>
            <x14:sparkline>
              <xm:f>'Filtered Scorecard 1'!D139:F139</xm:f>
              <xm:sqref>G139</xm:sqref>
            </x14:sparkline>
            <x14:sparkline>
              <xm:f>'Filtered Scorecard 1'!D140:F140</xm:f>
              <xm:sqref>G140</xm:sqref>
            </x14:sparkline>
            <x14:sparkline>
              <xm:f>'Filtered Scorecard 1'!D144:F144</xm:f>
              <xm:sqref>G144</xm:sqref>
            </x14:sparkline>
            <x14:sparkline>
              <xm:f>'Filtered Scorecard 1'!D145:F145</xm:f>
              <xm:sqref>G145</xm:sqref>
            </x14:sparkline>
            <x14:sparkline>
              <xm:f>'Filtered Scorecard 1'!D148:F148</xm:f>
              <xm:sqref>G148</xm:sqref>
            </x14:sparkline>
            <x14:sparkline>
              <xm:f>'Filtered Scorecard 1'!D149:F149</xm:f>
              <xm:sqref>G149</xm:sqref>
            </x14:sparkline>
            <x14:sparkline>
              <xm:f>'Filtered Scorecard 1'!D150:F150</xm:f>
              <xm:sqref>G150</xm:sqref>
            </x14:sparkline>
            <x14:sparkline>
              <xm:f>'Filtered Scorecard 1'!D159:F159</xm:f>
              <xm:sqref>G159</xm:sqref>
            </x14:sparkline>
            <x14:sparkline>
              <xm:f>'Filtered Scorecard 1'!D160:F160</xm:f>
              <xm:sqref>G160</xm:sqref>
            </x14:sparkline>
            <x14:sparkline>
              <xm:f>'Filtered Scorecard 1'!D152:F152</xm:f>
              <xm:sqref>G152</xm:sqref>
            </x14:sparkline>
            <x14:sparkline>
              <xm:f>'Filtered Scorecard 1'!D141:F141</xm:f>
              <xm:sqref>G141</xm:sqref>
            </x14:sparkline>
            <x14:sparkline>
              <xm:f>'Filtered Scorecard 1'!D142:F142</xm:f>
              <xm:sqref>G142</xm:sqref>
            </x14:sparkline>
          </x14:sparklines>
        </x14:sparklineGroup>
        <x14:sparklineGroup manualMax="0" manualMin="0" displayEmptyCellsAs="gap" last="1" xr2:uid="{00000000-0003-0000-0300-00006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1'!D158:F158</xm:f>
              <xm:sqref>G158</xm:sqref>
            </x14:sparkline>
          </x14:sparklines>
        </x14:sparklineGroup>
        <x14:sparklineGroup manualMax="0" manualMin="0" displayEmptyCellsAs="gap" last="1" xr2:uid="{00000000-0003-0000-0300-00005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1'!D116:F116</xm:f>
              <xm:sqref>G116</xm:sqref>
            </x14:sparkline>
          </x14:sparklines>
        </x14:sparklineGroup>
        <x14:sparklineGroup manualMax="0" manualMin="0" displayEmptyCellsAs="gap" last="1" xr2:uid="{00000000-0003-0000-0300-00005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1'!D113:F113</xm:f>
              <xm:sqref>G113</xm:sqref>
            </x14:sparkline>
            <x14:sparkline>
              <xm:f>'Filtered Scorecard 1'!D114:F114</xm:f>
              <xm:sqref>G114</xm:sqref>
            </x14:sparkline>
          </x14:sparklines>
        </x14:sparklineGroup>
        <x14:sparklineGroup manualMax="0" manualMin="0" displayEmptyCellsAs="gap" last="1" xr2:uid="{00000000-0003-0000-0300-00005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1'!D118:F118</xm:f>
              <xm:sqref>G118</xm:sqref>
            </x14:sparkline>
          </x14:sparklines>
        </x14:sparklineGroup>
        <x14:sparklineGroup manualMax="0" manualMin="0" displayEmptyCellsAs="gap" last="1" xr2:uid="{00000000-0003-0000-0300-00005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1'!D76:F76</xm:f>
              <xm:sqref>G76</xm:sqref>
            </x14:sparkline>
          </x14:sparklines>
        </x14:sparklineGroup>
        <x14:sparklineGroup manualMax="0" manualMin="0" displayEmptyCellsAs="gap" last="1" xr2:uid="{00000000-0003-0000-0300-00005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1'!D73:F73</xm:f>
              <xm:sqref>G73</xm:sqref>
            </x14:sparkline>
            <x14:sparkline>
              <xm:f>'Filtered Scorecard 1'!D74:F74</xm:f>
              <xm:sqref>G74</xm:sqref>
            </x14:sparkline>
          </x14:sparklines>
        </x14:sparklineGroup>
        <x14:sparklineGroup manualMax="0" manualMin="0" displayEmptyCellsAs="gap" last="1" xr2:uid="{00000000-0003-0000-0300-00005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1'!D75:F75</xm:f>
              <xm:sqref>G75</xm:sqref>
            </x14:sparkline>
          </x14:sparklines>
        </x14:sparklineGroup>
        <x14:sparklineGroup manualMax="0" manualMin="0" displayEmptyCellsAs="gap" last="1" xr2:uid="{00000000-0003-0000-0300-00005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1'!D78:F78</xm:f>
              <xm:sqref>G78</xm:sqref>
            </x14:sparkline>
          </x14:sparklines>
        </x14:sparklineGroup>
        <x14:sparklineGroup manualMax="0" manualMin="0" displayEmptyCellsAs="gap" last="1" xr2:uid="{00000000-0003-0000-0300-00005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1'!D38:F38</xm:f>
              <xm:sqref>G38</xm:sqref>
            </x14:sparkline>
          </x14:sparklines>
        </x14:sparklineGroup>
        <x14:sparklineGroup manualMax="0" manualMin="0" displayEmptyCellsAs="gap" last="1" xr2:uid="{00000000-0003-0000-0300-00005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1'!D36:F36</xm:f>
              <xm:sqref>G36</xm:sqref>
            </x14:sparkline>
          </x14:sparklines>
        </x14:sparklineGroup>
        <x14:sparklineGroup manualMax="0" manualMin="0" displayEmptyCellsAs="gap" last="1" xr2:uid="{00000000-0003-0000-0300-00005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1'!D33:F33</xm:f>
              <xm:sqref>G33</xm:sqref>
            </x14:sparkline>
            <x14:sparkline>
              <xm:f>'Filtered Scorecard 1'!D34:F34</xm:f>
              <xm:sqref>G34</xm:sqref>
            </x14:sparkline>
          </x14:sparklines>
        </x14:sparklineGroup>
        <x14:sparklineGroup manualMax="0" manualMin="0" displayEmptyCellsAs="gap" last="1" xr2:uid="{00000000-0003-0000-0300-00005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1'!D35:F35</xm:f>
              <xm:sqref>G35</xm:sqref>
            </x14:sparkline>
          </x14:sparklines>
        </x14:sparklineGroup>
        <x14:sparklineGroup manualMax="0" manualMin="0" displayEmptyCellsAs="gap" last="1" xr2:uid="{00000000-0003-0000-0300-00005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1'!D14:F14</xm:f>
              <xm:sqref>G14</xm:sqref>
            </x14:sparkline>
          </x14:sparklines>
        </x14:sparklineGroup>
        <x14:sparklineGroup manualMax="0" manualMin="0" displayEmptyCellsAs="gap" last="1" xr2:uid="{00000000-0003-0000-0300-00005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1'!D134:F134</xm:f>
              <xm:sqref>G134</xm:sqref>
            </x14:sparkline>
          </x14:sparklines>
        </x14:sparklineGroup>
        <x14:sparklineGroup manualMax="0" manualMin="0" displayEmptyCellsAs="gap" last="1" xr2:uid="{00000000-0003-0000-0300-00005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1'!D94:F94</xm:f>
              <xm:sqref>G94</xm:sqref>
            </x14:sparkline>
          </x14:sparklines>
        </x14:sparklineGroup>
        <x14:sparklineGroup manualMax="0" manualMin="0" displayEmptyCellsAs="gap" last="1" xr2:uid="{00000000-0003-0000-0300-00005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1'!D54:F54</xm:f>
              <xm:sqref>G54</xm:sqref>
            </x14:sparkline>
          </x14:sparklines>
        </x14:sparklineGroup>
        <x14:sparklineGroup manualMax="0" manualMin="0" displayEmptyCellsAs="gap" last="1" xr2:uid="{00000000-0003-0000-0300-00005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1'!D146:F146</xm:f>
              <xm:sqref>G146</xm:sqref>
            </x14:sparkline>
            <x14:sparkline>
              <xm:f>'Filtered Scorecard 1'!D147:F147</xm:f>
              <xm:sqref>G147</xm:sqref>
            </x14:sparkline>
          </x14:sparklines>
        </x14:sparklineGroup>
        <x14:sparklineGroup manualMax="0" manualMin="0" displayEmptyCellsAs="gap" last="1" xr2:uid="{00000000-0003-0000-0300-00004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1'!D106:F106</xm:f>
              <xm:sqref>G106</xm:sqref>
            </x14:sparkline>
            <x14:sparkline>
              <xm:f>'Filtered Scorecard 1'!D107:F107</xm:f>
              <xm:sqref>G107</xm:sqref>
            </x14:sparkline>
          </x14:sparklines>
        </x14:sparklineGroup>
        <x14:sparklineGroup manualMax="0" manualMin="0" displayEmptyCellsAs="gap" last="1" xr2:uid="{00000000-0003-0000-0300-00004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1'!D66:F66</xm:f>
              <xm:sqref>G66</xm:sqref>
            </x14:sparkline>
            <x14:sparkline>
              <xm:f>'Filtered Scorecard 1'!D67:F67</xm:f>
              <xm:sqref>G67</xm:sqref>
            </x14:sparkline>
          </x14:sparklines>
        </x14:sparklineGroup>
        <x14:sparklineGroup manualMax="0" manualMin="0" displayEmptyCellsAs="gap" last="1" xr2:uid="{00000000-0003-0000-0300-00004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1'!D26:F26</xm:f>
              <xm:sqref>G26</xm:sqref>
            </x14:sparkline>
            <x14:sparkline>
              <xm:f>'Filtered Scorecard 1'!D27:F27</xm:f>
              <xm:sqref>G27</xm:sqref>
            </x14:sparkline>
          </x14:sparklines>
        </x14:sparklineGroup>
        <x14:sparklineGroup manualMax="0" manualMin="0" displayEmptyCellsAs="gap" last="1" xr2:uid="{00000000-0003-0000-0300-00004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300-00004B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1'!D129:F129</xm:f>
              <xm:sqref>G129</xm:sqref>
            </x14:sparkline>
          </x14:sparklines>
        </x14:sparklineGroup>
        <x14:sparklineGroup manualMax="0" manualMin="0" displayEmptyCellsAs="gap" last="1" xr2:uid="{00000000-0003-0000-0300-00004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1'!D143:F143</xm:f>
              <xm:sqref>G143</xm:sqref>
            </x14:sparkline>
          </x14:sparklines>
        </x14:sparklineGroup>
        <x14:sparklineGroup manualMax="0" manualMin="0" displayEmptyCellsAs="gap" last="1" xr2:uid="{00000000-0003-0000-0300-00004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1'!D151:F151</xm:f>
              <xm:sqref>G151</xm:sqref>
            </x14:sparkline>
          </x14:sparklines>
        </x14:sparklineGroup>
        <x14:sparklineGroup manualMax="0" manualMin="0" displayEmptyCellsAs="gap" last="1" xr2:uid="{00000000-0003-0000-0300-00004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1'!D115:F115</xm:f>
              <xm:sqref>G115</xm:sqref>
            </x14:sparkline>
          </x14:sparklines>
        </x14:sparklineGroup>
        <x14:sparklineGroup manualMax="0" manualMin="0" displayEmptyCellsAs="gap" last="1" xr2:uid="{00000000-0003-0000-0300-00004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1'!D11:F11</xm:f>
              <xm:sqref>G11</xm:sqref>
            </x14:sparkline>
            <x14:sparkline>
              <xm:f>'Filtered Scorecard 1'!D12:F12</xm:f>
              <xm:sqref>G12</xm:sqref>
            </x14:sparkline>
            <x14:sparkline>
              <xm:f>'Filtered Scorecard 1'!D13:F13</xm:f>
              <xm:sqref>G13</xm:sqref>
            </x14:sparkline>
            <x14:sparkline>
              <xm:f>'Filtered Scorecard 1'!D15:F15</xm:f>
              <xm:sqref>G15</xm:sqref>
            </x14:sparkline>
            <x14:sparkline>
              <xm:f>'Filtered Scorecard 1'!D16:F16</xm:f>
              <xm:sqref>G16</xm:sqref>
            </x14:sparkline>
            <x14:sparkline>
              <xm:f>'Filtered Scorecard 1'!D17:F17</xm:f>
              <xm:sqref>G17</xm:sqref>
            </x14:sparkline>
            <x14:sparkline>
              <xm:f>'Filtered Scorecard 1'!D18:F18</xm:f>
              <xm:sqref>G18</xm:sqref>
            </x14:sparkline>
            <x14:sparkline>
              <xm:f>'Filtered Scorecard 1'!D19:F19</xm:f>
              <xm:sqref>G19</xm:sqref>
            </x14:sparkline>
            <x14:sparkline>
              <xm:f>'Filtered Scorecard 1'!D20:F20</xm:f>
              <xm:sqref>G20</xm:sqref>
            </x14:sparkline>
            <x14:sparkline>
              <xm:f>'Filtered Scorecard 1'!D24:F24</xm:f>
              <xm:sqref>G24</xm:sqref>
            </x14:sparkline>
            <x14:sparkline>
              <xm:f>'Filtered Scorecard 1'!D25:F25</xm:f>
              <xm:sqref>G25</xm:sqref>
            </x14:sparkline>
            <x14:sparkline>
              <xm:f>'Filtered Scorecard 1'!D28:F28</xm:f>
              <xm:sqref>G28</xm:sqref>
            </x14:sparkline>
            <x14:sparkline>
              <xm:f>'Filtered Scorecard 1'!D29:F29</xm:f>
              <xm:sqref>G29</xm:sqref>
            </x14:sparkline>
            <x14:sparkline>
              <xm:f>'Filtered Scorecard 1'!D30:F30</xm:f>
              <xm:sqref>G30</xm:sqref>
            </x14:sparkline>
            <x14:sparkline>
              <xm:f>'Filtered Scorecard 1'!D39:F39</xm:f>
              <xm:sqref>G39</xm:sqref>
            </x14:sparkline>
            <x14:sparkline>
              <xm:f>'Filtered Scorecard 1'!D40:F40</xm:f>
              <xm:sqref>G40</xm:sqref>
            </x14:sparkline>
            <x14:sparkline>
              <xm:f>'Filtered Scorecard 1'!D32:F32</xm:f>
              <xm:sqref>G32</xm:sqref>
            </x14:sparkline>
            <x14:sparkline>
              <xm:f>'Filtered Scorecard 1'!D21:F21</xm:f>
              <xm:sqref>G21</xm:sqref>
            </x14:sparkline>
            <x14:sparkline>
              <xm:f>'Filtered Scorecard 1'!D22:F22</xm:f>
              <xm:sqref>G22</xm:sqref>
            </x14:sparkline>
          </x14:sparklines>
        </x14:sparklineGroup>
        <x14:sparklineGroup manualMax="0" manualMin="0" displayEmptyCellsAs="gap" last="1" xr2:uid="{00000000-0003-0000-0300-00004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1'!D50:F50</xm:f>
              <xm:sqref>G50</xm:sqref>
            </x14:sparkline>
          </x14:sparklines>
        </x14:sparklineGroup>
        <x14:sparklineGroup manualMax="0" manualMin="0" displayEmptyCellsAs="gap" last="1" negative="1" xr2:uid="{00000000-0003-0000-0300-000045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1'!D49:F49</xm:f>
              <xm:sqref>G49</xm:sqref>
            </x14:sparkline>
          </x14:sparklines>
        </x14:sparklineGroup>
        <x14:sparklineGroup manualMax="0" manualMin="0" displayEmptyCellsAs="gap" last="1" xr2:uid="{00000000-0003-0000-0300-00004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1'!D63:F63</xm:f>
              <xm:sqref>G63</xm:sqref>
            </x14:sparkline>
          </x14:sparklines>
        </x14:sparklineGroup>
        <x14:sparklineGroup manualMax="0" manualMin="0" displayEmptyCellsAs="gap" last="1" xr2:uid="{00000000-0003-0000-0300-00004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1'!D71:F71</xm:f>
              <xm:sqref>G71</xm:sqref>
            </x14:sparkline>
          </x14:sparklines>
        </x14:sparklineGroup>
        <x14:sparklineGroup manualMax="0" manualMin="0" displayEmptyCellsAs="gap" last="1" xr2:uid="{00000000-0003-0000-0300-00004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1'!D51:F51</xm:f>
              <xm:sqref>G51</xm:sqref>
            </x14:sparkline>
            <x14:sparkline>
              <xm:f>'Filtered Scorecard 1'!D52:F52</xm:f>
              <xm:sqref>G52</xm:sqref>
            </x14:sparkline>
            <x14:sparkline>
              <xm:f>'Filtered Scorecard 1'!D53:F53</xm:f>
              <xm:sqref>G53</xm:sqref>
            </x14:sparkline>
            <x14:sparkline>
              <xm:f>'Filtered Scorecard 1'!D55:F55</xm:f>
              <xm:sqref>G55</xm:sqref>
            </x14:sparkline>
            <x14:sparkline>
              <xm:f>'Filtered Scorecard 1'!D56:F56</xm:f>
              <xm:sqref>G56</xm:sqref>
            </x14:sparkline>
            <x14:sparkline>
              <xm:f>'Filtered Scorecard 1'!D57:F57</xm:f>
              <xm:sqref>G57</xm:sqref>
            </x14:sparkline>
            <x14:sparkline>
              <xm:f>'Filtered Scorecard 1'!D58:F58</xm:f>
              <xm:sqref>G58</xm:sqref>
            </x14:sparkline>
            <x14:sparkline>
              <xm:f>'Filtered Scorecard 1'!D59:F59</xm:f>
              <xm:sqref>G59</xm:sqref>
            </x14:sparkline>
            <x14:sparkline>
              <xm:f>'Filtered Scorecard 1'!D60:F60</xm:f>
              <xm:sqref>G60</xm:sqref>
            </x14:sparkline>
            <x14:sparkline>
              <xm:f>'Filtered Scorecard 1'!D64:F64</xm:f>
              <xm:sqref>G64</xm:sqref>
            </x14:sparkline>
            <x14:sparkline>
              <xm:f>'Filtered Scorecard 1'!D65:F65</xm:f>
              <xm:sqref>G65</xm:sqref>
            </x14:sparkline>
            <x14:sparkline>
              <xm:f>'Filtered Scorecard 1'!D68:F68</xm:f>
              <xm:sqref>G68</xm:sqref>
            </x14:sparkline>
            <x14:sparkline>
              <xm:f>'Filtered Scorecard 1'!D69:F69</xm:f>
              <xm:sqref>G69</xm:sqref>
            </x14:sparkline>
            <x14:sparkline>
              <xm:f>'Filtered Scorecard 1'!D70:F70</xm:f>
              <xm:sqref>G70</xm:sqref>
            </x14:sparkline>
            <x14:sparkline>
              <xm:f>'Filtered Scorecard 1'!D79:F79</xm:f>
              <xm:sqref>G79</xm:sqref>
            </x14:sparkline>
            <x14:sparkline>
              <xm:f>'Filtered Scorecard 1'!D80:F80</xm:f>
              <xm:sqref>G80</xm:sqref>
            </x14:sparkline>
            <x14:sparkline>
              <xm:f>'Filtered Scorecard 1'!D72:F72</xm:f>
              <xm:sqref>G72</xm:sqref>
            </x14:sparkline>
            <x14:sparkline>
              <xm:f>'Filtered Scorecard 1'!D61:F61</xm:f>
              <xm:sqref>G61</xm:sqref>
            </x14:sparkline>
            <x14:sparkline>
              <xm:f>'Filtered Scorecard 1'!D62:F62</xm:f>
              <xm:sqref>G62</xm:sqref>
            </x14:sparkline>
          </x14:sparklines>
        </x14:sparklineGroup>
        <x14:sparklineGroup manualMax="0" manualMin="0" displayEmptyCellsAs="gap" last="1" xr2:uid="{00000000-0003-0000-0300-00004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1'!D91:F91</xm:f>
              <xm:sqref>G91</xm:sqref>
            </x14:sparkline>
            <x14:sparkline>
              <xm:f>'Filtered Scorecard 1'!D92:F92</xm:f>
              <xm:sqref>G92</xm:sqref>
            </x14:sparkline>
            <x14:sparkline>
              <xm:f>'Filtered Scorecard 1'!D93:F93</xm:f>
              <xm:sqref>G93</xm:sqref>
            </x14:sparkline>
            <x14:sparkline>
              <xm:f>'Filtered Scorecard 1'!D95:F95</xm:f>
              <xm:sqref>G95</xm:sqref>
            </x14:sparkline>
            <x14:sparkline>
              <xm:f>'Filtered Scorecard 1'!D96:F96</xm:f>
              <xm:sqref>G96</xm:sqref>
            </x14:sparkline>
            <x14:sparkline>
              <xm:f>'Filtered Scorecard 1'!D97:F97</xm:f>
              <xm:sqref>G97</xm:sqref>
            </x14:sparkline>
            <x14:sparkline>
              <xm:f>'Filtered Scorecard 1'!D98:F98</xm:f>
              <xm:sqref>G98</xm:sqref>
            </x14:sparkline>
            <x14:sparkline>
              <xm:f>'Filtered Scorecard 1'!D99:F99</xm:f>
              <xm:sqref>G99</xm:sqref>
            </x14:sparkline>
            <x14:sparkline>
              <xm:f>'Filtered Scorecard 1'!D100:F100</xm:f>
              <xm:sqref>G100</xm:sqref>
            </x14:sparkline>
            <x14:sparkline>
              <xm:f>'Filtered Scorecard 1'!D104:F104</xm:f>
              <xm:sqref>G104</xm:sqref>
            </x14:sparkline>
            <x14:sparkline>
              <xm:f>'Filtered Scorecard 1'!D105:F105</xm:f>
              <xm:sqref>G105</xm:sqref>
            </x14:sparkline>
            <x14:sparkline>
              <xm:f>'Filtered Scorecard 1'!D108:F108</xm:f>
              <xm:sqref>G108</xm:sqref>
            </x14:sparkline>
            <x14:sparkline>
              <xm:f>'Filtered Scorecard 1'!D109:F109</xm:f>
              <xm:sqref>G109</xm:sqref>
            </x14:sparkline>
            <x14:sparkline>
              <xm:f>'Filtered Scorecard 1'!D110:F110</xm:f>
              <xm:sqref>G110</xm:sqref>
            </x14:sparkline>
            <x14:sparkline>
              <xm:f>'Filtered Scorecard 1'!D119:F119</xm:f>
              <xm:sqref>G119</xm:sqref>
            </x14:sparkline>
            <x14:sparkline>
              <xm:f>'Filtered Scorecard 1'!D120:F120</xm:f>
              <xm:sqref>G120</xm:sqref>
            </x14:sparkline>
            <x14:sparkline>
              <xm:f>'Filtered Scorecard 1'!D112:F112</xm:f>
              <xm:sqref>G112</xm:sqref>
            </x14:sparkline>
            <x14:sparkline>
              <xm:f>'Filtered Scorecard 1'!D101:F101</xm:f>
              <xm:sqref>G101</xm:sqref>
            </x14:sparkline>
            <x14:sparkline>
              <xm:f>'Filtered Scorecard 1'!D102:F102</xm:f>
              <xm:sqref>G102</xm:sqref>
            </x14:sparkline>
          </x14:sparklines>
        </x14:sparklineGroup>
        <x14:sparklineGroup manualMax="0" manualMin="0" displayEmptyCellsAs="gap" last="1" xr2:uid="{00000000-0003-0000-0300-00004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1'!D31:F31</xm:f>
              <xm:sqref>G31</xm:sqref>
            </x14:sparkline>
          </x14:sparklines>
        </x14:sparklineGroup>
        <x14:sparklineGroup manualMax="0" manualMin="0" displayEmptyCellsAs="gap" last="1" xr2:uid="{00000000-0003-0000-0300-00003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1'!D23:F23</xm:f>
              <xm:sqref>G23</xm:sqref>
            </x14:sparkline>
          </x14:sparklines>
        </x14:sparklineGroup>
        <x14:sparklineGroup manualMax="0" manualMin="0" displayEmptyCellsAs="gap" last="1" xr2:uid="{00000000-0003-0000-0300-00003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1'!D111:F111</xm:f>
              <xm:sqref>G111</xm:sqref>
            </x14:sparkline>
          </x14:sparklines>
        </x14:sparklineGroup>
        <x14:sparklineGroup manualMax="0" manualMin="0" displayEmptyCellsAs="gap" last="1" xr2:uid="{00000000-0003-0000-0300-00003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300-00003C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1'!D89:F89</xm:f>
              <xm:sqref>G89</xm:sqref>
            </x14:sparkline>
          </x14:sparklines>
        </x14:sparklineGroup>
        <x14:sparklineGroup manualMax="0" manualMin="0" displayEmptyCellsAs="gap" last="1" xr2:uid="{00000000-0003-0000-0300-00003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1'!D90:F90</xm:f>
              <xm:sqref>G90</xm:sqref>
            </x14:sparkline>
          </x14:sparklines>
        </x14:sparklineGroup>
        <x14:sparklineGroup manualMax="0" manualMin="0" displayEmptyCellsAs="gap" last="1" negative="1" xr2:uid="{00000000-0003-0000-0300-00003A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1'!D9:F9</xm:f>
              <xm:sqref>G9</xm:sqref>
            </x14:sparkline>
          </x14:sparklines>
        </x14:sparklineGroup>
        <x14:sparklineGroup manualMax="0" manualMin="0" displayEmptyCellsAs="gap" last="1" xr2:uid="{00000000-0003-0000-0300-00003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1'!D10:F10</xm:f>
              <xm:sqref>G10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59999389629810485"/>
  </sheetPr>
  <dimension ref="A1:Q205"/>
  <sheetViews>
    <sheetView showGridLines="0" zoomScale="85" zoomScaleNormal="85" workbookViewId="0">
      <selection activeCell="F104" sqref="F104"/>
    </sheetView>
  </sheetViews>
  <sheetFormatPr defaultRowHeight="15" x14ac:dyDescent="0.25"/>
  <cols>
    <col min="1" max="1" width="14.5703125" style="2" customWidth="1"/>
    <col min="2" max="2" width="4.140625" style="64" customWidth="1"/>
    <col min="3" max="3" width="24.28515625" style="2" customWidth="1"/>
    <col min="4" max="6" width="11.28515625" style="2" customWidth="1"/>
    <col min="7" max="7" width="6.140625" style="2" customWidth="1"/>
    <col min="8" max="9" width="8" style="6" customWidth="1"/>
    <col min="10" max="10" width="8.140625" style="2" customWidth="1"/>
    <col min="11" max="11" width="68.140625" style="2" customWidth="1"/>
    <col min="12" max="12" width="8.140625" style="55" customWidth="1"/>
    <col min="13" max="13" width="20.42578125" style="2" bestFit="1" customWidth="1"/>
    <col min="14" max="14" width="10.28515625" style="55" bestFit="1" customWidth="1"/>
    <col min="15" max="15" width="17.5703125" style="2" bestFit="1" customWidth="1"/>
    <col min="16" max="16" width="21" style="2" bestFit="1" customWidth="1"/>
    <col min="17" max="17" width="15.140625" style="2" bestFit="1" customWidth="1"/>
    <col min="18" max="20" width="8.42578125" style="2" customWidth="1"/>
    <col min="21" max="16384" width="9.140625" style="2"/>
  </cols>
  <sheetData>
    <row r="1" spans="1:17" ht="22.5" customHeight="1" x14ac:dyDescent="0.35">
      <c r="A1" s="7">
        <f>Source2</f>
        <v>0</v>
      </c>
      <c r="K1" s="48"/>
    </row>
    <row r="2" spans="1:17" ht="22.5" customHeight="1" x14ac:dyDescent="0.35">
      <c r="A2" s="7" t="str">
        <f>MIN(Months)&amp;" Months"</f>
        <v>0 Months</v>
      </c>
      <c r="K2" s="39" t="str">
        <f>IF(ISBLANK('Total Scorecards'!C4),"-",'Total Scorecards'!C4)</f>
        <v>Notes</v>
      </c>
      <c r="M2" s="11" t="str">
        <f>A1&amp;" Exposures"</f>
        <v>0 Exposures</v>
      </c>
      <c r="O2" s="55"/>
      <c r="Q2" s="55"/>
    </row>
    <row r="3" spans="1:17" ht="18" customHeight="1" thickBot="1" x14ac:dyDescent="0.3">
      <c r="A3" s="11"/>
      <c r="K3" s="39" t="str">
        <f>IF(ISBLANK('Total Scorecards'!C5),"-",'Total Scorecards'!C5)</f>
        <v>$0 incurred claims excluded</v>
      </c>
      <c r="M3" s="11"/>
      <c r="O3" s="55"/>
      <c r="Q3" s="55"/>
    </row>
    <row r="4" spans="1:17" x14ac:dyDescent="0.25">
      <c r="B4" s="65" t="s">
        <v>41</v>
      </c>
      <c r="C4" s="14">
        <f>Source2</f>
        <v>0</v>
      </c>
      <c r="D4" s="148"/>
      <c r="E4" s="149"/>
      <c r="F4" s="149"/>
      <c r="G4" s="14"/>
      <c r="H4" s="15"/>
      <c r="I4" s="16"/>
      <c r="K4" s="39" t="str">
        <f>IF(ISBLANK('Total Scorecards'!C6),"-",'Total Scorecards'!C6)</f>
        <v>financials limited to retention</v>
      </c>
      <c r="M4" s="54" t="s">
        <v>16</v>
      </c>
      <c r="N4" s="56" t="s">
        <v>70</v>
      </c>
      <c r="O4" s="56" t="s">
        <v>17</v>
      </c>
      <c r="P4" s="53" t="s">
        <v>18</v>
      </c>
      <c r="Q4" s="56" t="s">
        <v>19</v>
      </c>
    </row>
    <row r="5" spans="1:17" x14ac:dyDescent="0.25">
      <c r="C5" s="150" t="str">
        <f>"PY"&amp;RIGHT(YEAR($F$6),2)&amp;" at "&amp;execute!D32&amp;" Months"</f>
        <v>PY21 at 0 Months</v>
      </c>
      <c r="D5" s="151" t="s">
        <v>43</v>
      </c>
      <c r="E5" s="152"/>
      <c r="F5" s="152"/>
      <c r="G5" s="150"/>
      <c r="H5" s="153"/>
      <c r="I5" s="154"/>
      <c r="K5" s="39" t="str">
        <f>IF(ISBLANK('Total Scorecards'!C7),"-",'Total Scorecards'!C7)</f>
        <v>indemnity status defined by indemnity incurred &gt;$0</v>
      </c>
      <c r="M5" s="13">
        <f t="array" ref="M5">PY1_</f>
        <v>44197</v>
      </c>
      <c r="N5" s="55">
        <v>400000</v>
      </c>
      <c r="O5" s="55">
        <v>700000</v>
      </c>
      <c r="P5" s="2">
        <v>30</v>
      </c>
      <c r="Q5" s="55">
        <v>55341000</v>
      </c>
    </row>
    <row r="6" spans="1:17" x14ac:dyDescent="0.25">
      <c r="C6" s="150"/>
      <c r="D6" s="43">
        <f t="array" ref="D6">PY3_</f>
        <v>43466</v>
      </c>
      <c r="E6" s="44">
        <f t="array" ref="E6">PY2_</f>
        <v>43831</v>
      </c>
      <c r="F6" s="44">
        <f t="array" ref="F6">PY1_</f>
        <v>44197</v>
      </c>
      <c r="G6" s="150"/>
      <c r="H6" s="153"/>
      <c r="I6" s="154"/>
      <c r="K6" s="39" t="str">
        <f>IF(ISBLANK('Total Scorecards'!C8),"-",'Total Scorecards'!C8)</f>
        <v>closure status defined by TPA</v>
      </c>
      <c r="M6" s="12">
        <f t="array" ref="M6">PY2_</f>
        <v>43831</v>
      </c>
      <c r="N6" s="55">
        <v>400000</v>
      </c>
      <c r="O6" s="55">
        <v>340000</v>
      </c>
      <c r="P6" s="2">
        <v>62</v>
      </c>
      <c r="Q6" s="55">
        <v>27862000</v>
      </c>
    </row>
    <row r="7" spans="1:17" x14ac:dyDescent="0.25">
      <c r="C7" s="150"/>
      <c r="D7" s="17" t="s">
        <v>46</v>
      </c>
      <c r="E7" s="18" t="s">
        <v>46</v>
      </c>
      <c r="F7" s="18" t="s">
        <v>46</v>
      </c>
      <c r="G7" s="150"/>
      <c r="H7" s="153"/>
      <c r="I7" s="154"/>
      <c r="K7" s="39" t="str">
        <f>IF(ISBLANK('Total Scorecards'!C9),"-",'Total Scorecards'!C9)</f>
        <v>litigation defined as represented date before valuation</v>
      </c>
      <c r="M7" s="12">
        <f>PY3_</f>
        <v>43466</v>
      </c>
      <c r="N7" s="55">
        <v>400000</v>
      </c>
      <c r="O7" s="55">
        <v>219000</v>
      </c>
      <c r="P7" s="2">
        <v>49</v>
      </c>
      <c r="Q7" s="55">
        <v>26720000</v>
      </c>
    </row>
    <row r="8" spans="1:17" ht="15.75" customHeight="1" x14ac:dyDescent="0.25">
      <c r="C8" s="150"/>
      <c r="D8" s="41" t="str">
        <f t="array" ref="D8">MONTH(Val_current)&amp;"/"&amp;DAY(Val_current)&amp;"/"&amp;YEAR(Val_current)-2</f>
        <v>1/0/1898</v>
      </c>
      <c r="E8" s="40" t="str">
        <f t="array" ref="E8">MONTH(Val_current)&amp;"/"&amp;DAY(Val_current)&amp;"/"&amp;YEAR(Val_current)-1</f>
        <v>1/0/1899</v>
      </c>
      <c r="F8" s="40">
        <f t="array" ref="F8">Val_current</f>
        <v>0</v>
      </c>
      <c r="G8" s="45" t="s">
        <v>47</v>
      </c>
      <c r="H8" s="46" t="str">
        <f t="array" ref="H8">IF(IncYr_yn="Y",RIGHT(YEAR($D$6),2)&amp;" vs "&amp;RIGHT(YEAR($F$6),2),RIGHT(YEAR($D$6),2)+1&amp;" vs "&amp;RIGHT(YEAR($F$6)+1,2))</f>
        <v>19 vs 21</v>
      </c>
      <c r="I8" s="47" t="str">
        <f t="array" ref="I8">IF(IncYr_yn="Y",RIGHT(YEAR($E$6),2)&amp;" vs "&amp;RIGHT(YEAR($F$6),2),RIGHT(YEAR($E$6),2)+1&amp;" vs "&amp;RIGHT(YEAR($F$6)+1,2))</f>
        <v>20 vs 21</v>
      </c>
      <c r="K8" s="39" t="str">
        <f>IF(ISBLANK('Total Scorecards'!C10),"-",'Total Scorecards'!C10)</f>
        <v>Actuarial: Milliman as of 3/31/19</v>
      </c>
      <c r="M8" s="12">
        <f>PY4_</f>
        <v>43101</v>
      </c>
      <c r="N8" s="55">
        <v>400000</v>
      </c>
      <c r="O8" s="55">
        <v>98000</v>
      </c>
      <c r="P8" s="2">
        <v>46</v>
      </c>
      <c r="Q8" s="55">
        <v>29312000</v>
      </c>
    </row>
    <row r="9" spans="1:17" ht="15.75" customHeight="1" thickBot="1" x14ac:dyDescent="0.3">
      <c r="C9" s="19"/>
      <c r="D9" s="20"/>
      <c r="E9" s="20"/>
      <c r="F9" s="21"/>
      <c r="G9" s="22"/>
      <c r="H9" s="23"/>
      <c r="I9" s="24"/>
      <c r="K9" s="39" t="str">
        <f>IF(ISBLANK('Total Scorecards'!C11),"-",'Total Scorecards'!C11)</f>
        <v>PY 7/1/18 ultimates are prorated from actuarial report</v>
      </c>
      <c r="M9" s="12">
        <f>PY5_</f>
        <v>39083</v>
      </c>
      <c r="N9" s="55">
        <v>400000</v>
      </c>
      <c r="O9" s="55">
        <v>364000</v>
      </c>
      <c r="P9" s="2">
        <v>51</v>
      </c>
      <c r="Q9" s="55">
        <v>27408000</v>
      </c>
    </row>
    <row r="10" spans="1:17" ht="15.75" customHeight="1" x14ac:dyDescent="0.25">
      <c r="C10" s="25" t="s">
        <v>50</v>
      </c>
      <c r="D10" s="74">
        <f t="array" ref="D10">IFERROR(VLOOKUP(PY3_,$M$4:$R$13,3,FALSE),"-")</f>
        <v>219000</v>
      </c>
      <c r="E10" s="74">
        <f>IFERROR(VLOOKUP(PY2_,$M$4:$R$13,3,FALSE),"-")</f>
        <v>340000</v>
      </c>
      <c r="F10" s="74">
        <f t="array" ref="F10">IFERROR(VLOOKUP(PY1_,$M$4:$R$13,3,FALSE),"-")</f>
        <v>700000</v>
      </c>
      <c r="G10" s="76"/>
      <c r="H10" s="77">
        <f>IFERROR((F10-D10)/D10,"-")</f>
        <v>2.1963470319634704</v>
      </c>
      <c r="I10" s="78">
        <f>IFERROR((F10-E10)/E10,"-")</f>
        <v>1.0588235294117647</v>
      </c>
      <c r="K10" s="49"/>
      <c r="M10" s="12">
        <f>PY6_</f>
        <v>42370</v>
      </c>
      <c r="N10" s="55">
        <v>400000</v>
      </c>
      <c r="O10" s="55">
        <v>372000</v>
      </c>
      <c r="P10" s="2">
        <v>46</v>
      </c>
      <c r="Q10" s="55">
        <v>29300000</v>
      </c>
    </row>
    <row r="11" spans="1:17" ht="15.75" customHeight="1" x14ac:dyDescent="0.25">
      <c r="C11" s="25" t="s">
        <v>18</v>
      </c>
      <c r="D11" s="82">
        <f>IFERROR(VLOOKUP(PY3_,$M$4:$P$11,4,FALSE),"-")</f>
        <v>49</v>
      </c>
      <c r="E11" s="82">
        <f>IFERROR(VLOOKUP(PY2_,$M$4:$P$11,4,FALSE),"-")</f>
        <v>62</v>
      </c>
      <c r="F11" s="83">
        <f>IFERROR(VLOOKUP(PY1_,$M$4:$P$11,4,FALSE),"-")</f>
        <v>30</v>
      </c>
      <c r="G11" s="76"/>
      <c r="H11" s="81">
        <f>IFERROR((F11-D11)/D11,"-")</f>
        <v>-0.38775510204081631</v>
      </c>
      <c r="I11" s="78">
        <f>IFERROR((F11-E11)/E11,"-")</f>
        <v>-0.5161290322580645</v>
      </c>
      <c r="M11" s="12">
        <f>PY7_</f>
        <v>42005</v>
      </c>
    </row>
    <row r="12" spans="1:17" ht="15.75" thickBot="1" x14ac:dyDescent="0.3">
      <c r="C12" s="19"/>
      <c r="D12" s="20"/>
      <c r="E12" s="20"/>
      <c r="F12" s="21"/>
      <c r="G12" s="22"/>
      <c r="H12" s="23"/>
      <c r="I12" s="24"/>
      <c r="L12" s="2"/>
      <c r="M12" s="12"/>
    </row>
    <row r="13" spans="1:17" x14ac:dyDescent="0.25">
      <c r="C13" s="25" t="s">
        <v>38</v>
      </c>
      <c r="D13" s="74">
        <f t="array" ref="D13">SUM((IncLim)*(Months=months1)*(PY=PY3_)*(Filter1=Source2))</f>
        <v>0</v>
      </c>
      <c r="E13" s="74">
        <f t="array" ref="E13">SUM((IncLim)*(Months=months1)*(PY=PY2_)*(Filter1=Source2))</f>
        <v>0</v>
      </c>
      <c r="F13" s="75">
        <f t="array" ref="F13">SUM((IncLim)*(Months=months1)*(PY=PY1_)*(Filter1=Source2)*(Filter1=Source2))</f>
        <v>0</v>
      </c>
      <c r="G13" s="76"/>
      <c r="H13" s="77" t="str">
        <f>IFERROR((F13-D13)/D13,"-")</f>
        <v>-</v>
      </c>
      <c r="I13" s="78" t="str">
        <f>IFERROR((F13-E13)/E13,"-")</f>
        <v>-</v>
      </c>
      <c r="L13" s="2"/>
    </row>
    <row r="14" spans="1:17" x14ac:dyDescent="0.25">
      <c r="B14" s="71"/>
      <c r="C14" s="25" t="s">
        <v>71</v>
      </c>
      <c r="D14" s="74">
        <f t="array" ref="D14">SUM((pdLim)*(Months=months1)*(PY=PY3_)*(Filter1=Source2))</f>
        <v>0</v>
      </c>
      <c r="E14" s="74">
        <f t="array" ref="E14">SUM((pdLim)*(Months=months1)*(PY=PY2_)*(Filter1=Source2))</f>
        <v>0</v>
      </c>
      <c r="F14" s="75">
        <f>SUM((pdLim)*(Months=months1)*(PY=PY1_)*(Filter1=Source2))</f>
        <v>0</v>
      </c>
      <c r="G14" s="76"/>
      <c r="H14" s="81" t="str">
        <f>IFERROR((F14-D14)/D14,"-")</f>
        <v>-</v>
      </c>
      <c r="I14" s="78" t="str">
        <f>IFERROR((F14-E14)/E14,"-")</f>
        <v>-</v>
      </c>
      <c r="J14" s="5"/>
      <c r="L14" s="2"/>
      <c r="N14" s="2"/>
    </row>
    <row r="15" spans="1:17" x14ac:dyDescent="0.25">
      <c r="C15" s="25" t="s">
        <v>51</v>
      </c>
      <c r="D15" s="74">
        <f>D13-D14</f>
        <v>0</v>
      </c>
      <c r="E15" s="74">
        <f>E13-E14</f>
        <v>0</v>
      </c>
      <c r="F15" s="74">
        <f>F13-F14</f>
        <v>0</v>
      </c>
      <c r="G15" s="76"/>
      <c r="H15" s="81" t="str">
        <f>IFERROR((F15-D15)/D15,"-")</f>
        <v>-</v>
      </c>
      <c r="I15" s="78" t="str">
        <f>IFERROR((F15-E15)/E15,"-")</f>
        <v>-</v>
      </c>
      <c r="J15" s="5"/>
      <c r="L15" s="2"/>
    </row>
    <row r="16" spans="1:17" ht="15.75" thickBot="1" x14ac:dyDescent="0.3">
      <c r="C16" s="26"/>
      <c r="D16" s="27"/>
      <c r="E16" s="27"/>
      <c r="F16" s="28"/>
      <c r="G16" s="29"/>
      <c r="H16" s="30"/>
      <c r="I16" s="31"/>
      <c r="L16" s="2"/>
    </row>
    <row r="17" spans="2:14" x14ac:dyDescent="0.25">
      <c r="C17" s="25" t="s">
        <v>52</v>
      </c>
      <c r="D17" s="82">
        <f t="array" ref="D17">SUM((IncLim&gt;0)*(Months=months1)*(PY=PY3_)*(Filter1=Source2))</f>
        <v>0</v>
      </c>
      <c r="E17" s="82">
        <f t="array" ref="E17">SUM((IncLim&gt;0)*(Months=months1)*(PY=PY2_)*(Filter1=Source2))</f>
        <v>0</v>
      </c>
      <c r="F17" s="83">
        <f t="array" ref="F17">SUM((IncLim&gt;0)*(Months=months1)*(PY=PY1_)*(Filter1=Source2))</f>
        <v>0</v>
      </c>
      <c r="G17" s="76"/>
      <c r="H17" s="77" t="str">
        <f>IFERROR((F17-D17)/D17,"-")</f>
        <v>-</v>
      </c>
      <c r="I17" s="78" t="str">
        <f>IFERROR((F17-E17)/E17,"-")</f>
        <v>-</v>
      </c>
    </row>
    <row r="18" spans="2:14" x14ac:dyDescent="0.25">
      <c r="C18" s="25" t="s">
        <v>53</v>
      </c>
      <c r="D18" s="74" t="str">
        <f>IFERROR(D13/D17,"-")</f>
        <v>-</v>
      </c>
      <c r="E18" s="74" t="str">
        <f>IFERROR(E13/E17,"-")</f>
        <v>-</v>
      </c>
      <c r="F18" s="74" t="str">
        <f>IFERROR(F13/F17,"-")</f>
        <v>-</v>
      </c>
      <c r="G18" s="76"/>
      <c r="H18" s="84" t="str">
        <f>IFERROR((F18-D18)/D18,"-")</f>
        <v>-</v>
      </c>
      <c r="I18" s="78" t="str">
        <f>IFERROR((F18-E18)/E18,"-")</f>
        <v>-</v>
      </c>
    </row>
    <row r="19" spans="2:14" x14ac:dyDescent="0.25">
      <c r="C19" s="25" t="s">
        <v>54</v>
      </c>
      <c r="D19" s="74" t="str">
        <f t="array" ref="D19">IFERROR(MEDIAN(IF(IncLim&gt;0, IF(Months=months1,IF(PY=PY3_, IF(Filter1=Source2, IncLim))))),"-")</f>
        <v>-</v>
      </c>
      <c r="E19" s="74" t="str">
        <f t="array" ref="E19">IFERROR(MEDIAN(IF(IncLim&gt;0, IF(Months=months1,IF(PY=PY2_, IF(Filter1=Source2, IncLim))))),"-")</f>
        <v>-</v>
      </c>
      <c r="F19" s="74" t="str">
        <f t="array" ref="F19">IFERROR(MEDIAN(IF(IncLim&gt;0, IF(Months=months1,IF(PY=PY1_, IF(Filter1=Source2,IncLim))))),"-")</f>
        <v>-</v>
      </c>
      <c r="G19" s="76"/>
      <c r="H19" s="81" t="str">
        <f>IFERROR((F19-D19)/D19,"-")</f>
        <v>-</v>
      </c>
      <c r="I19" s="78" t="str">
        <f>IFERROR((F19-E19)/E19,"-")</f>
        <v>-</v>
      </c>
    </row>
    <row r="20" spans="2:14" x14ac:dyDescent="0.25">
      <c r="C20" s="26"/>
      <c r="D20" s="27"/>
      <c r="E20" s="27"/>
      <c r="F20" s="28"/>
      <c r="G20" s="29"/>
      <c r="H20" s="23"/>
      <c r="I20" s="24"/>
    </row>
    <row r="21" spans="2:14" x14ac:dyDescent="0.25">
      <c r="C21" s="25" t="s">
        <v>55</v>
      </c>
      <c r="D21" s="74">
        <f>IFERROR((VLOOKUP(PY3_,$M$4:$Q$10,5,FALSE)/100),"-")</f>
        <v>267200</v>
      </c>
      <c r="E21" s="74">
        <f>IFERROR((VLOOKUP(PY2_,$M$4:$Q$10,5,FALSE)/100),"-")</f>
        <v>278620</v>
      </c>
      <c r="F21" s="75">
        <f>IFERROR((VLOOKUP(PY1_,$M$4:$Q$10,5,FALSE)/100),"-")</f>
        <v>553410</v>
      </c>
      <c r="G21" s="76"/>
      <c r="H21" s="81">
        <f>IFERROR((F21-D21)/D21,"-")</f>
        <v>1.0711452095808383</v>
      </c>
      <c r="I21" s="78">
        <f>IFERROR((F21-E21)/E21,"-")</f>
        <v>0.98625367884573967</v>
      </c>
      <c r="J21" s="2" t="s">
        <v>56</v>
      </c>
    </row>
    <row r="22" spans="2:14" ht="15.75" thickBot="1" x14ac:dyDescent="0.3">
      <c r="C22" s="32" t="s">
        <v>57</v>
      </c>
      <c r="D22" s="85">
        <f>IFERROR(D13/D21,"-")</f>
        <v>0</v>
      </c>
      <c r="E22" s="85">
        <f>IFERROR(E13/E21,"-")</f>
        <v>0</v>
      </c>
      <c r="F22" s="85">
        <f>IFERROR(F13/F21,"-")</f>
        <v>0</v>
      </c>
      <c r="G22" s="86"/>
      <c r="H22" s="87" t="str">
        <f>IFERROR((F22-D22)/D22,"-")</f>
        <v>-</v>
      </c>
      <c r="I22" s="88" t="str">
        <f>IFERROR((F22-E22)/E22,"-")</f>
        <v>-</v>
      </c>
    </row>
    <row r="23" spans="2:14" ht="15.75" thickBot="1" x14ac:dyDescent="0.3">
      <c r="C23" s="26"/>
      <c r="D23" s="27"/>
      <c r="E23" s="27"/>
      <c r="F23" s="28"/>
      <c r="G23" s="29"/>
      <c r="H23" s="30"/>
      <c r="I23" s="31"/>
    </row>
    <row r="24" spans="2:14" x14ac:dyDescent="0.25">
      <c r="C24" s="25" t="s">
        <v>58</v>
      </c>
      <c r="D24" s="80">
        <f t="array" ref="D24">SUM((IncLim&gt;0)*(indType&gt;0)*(Months=months1)*(PY=PY3_)*(Filter1=Source2))</f>
        <v>0</v>
      </c>
      <c r="E24" s="80">
        <f t="array" ref="E24">SUM((IncLim&gt;0)*(indType&gt;0)*(Months=months1)*(PY=PY2_)*(Filter1=Source2))</f>
        <v>0</v>
      </c>
      <c r="F24" s="89">
        <f t="array" ref="F24">SUM((IncLim&gt;0)*(indType&gt;0)*(Months=months1)*(PY=PY1_)*(Filter1=Source2))</f>
        <v>0</v>
      </c>
      <c r="G24" s="76"/>
      <c r="H24" s="77" t="str">
        <f>IFERROR((F24-D24)/D24,"-")</f>
        <v>-</v>
      </c>
      <c r="I24" s="78" t="str">
        <f>IFERROR((F24-E24)/E24,"-")</f>
        <v>-</v>
      </c>
    </row>
    <row r="25" spans="2:14" x14ac:dyDescent="0.25">
      <c r="B25" s="66"/>
      <c r="C25" s="25" t="s">
        <v>59</v>
      </c>
      <c r="D25" s="90" t="str">
        <f>IFERROR(D24/D17,"-")</f>
        <v>-</v>
      </c>
      <c r="E25" s="90" t="str">
        <f>IFERROR(E24/E17,"-")</f>
        <v>-</v>
      </c>
      <c r="F25" s="90" t="str">
        <f>IFERROR(F24/F17,"-")</f>
        <v>-</v>
      </c>
      <c r="G25" s="76"/>
      <c r="H25" s="91" t="str">
        <f>IFERROR(IF(((F25-D25)*100)&gt;0,"+"&amp;ROUND((F25-D25)*100,1),ROUND((F25-D25)*100,1)),"-")</f>
        <v>-</v>
      </c>
      <c r="I25" s="92" t="str">
        <f>IFERROR(IF(((F25-E25)*100)&gt;0,"+"&amp;ROUND((F25-E25)*100,1),ROUND((F25-E25)*100,1)),"-")</f>
        <v>-</v>
      </c>
    </row>
    <row r="26" spans="2:14" x14ac:dyDescent="0.25">
      <c r="B26" s="73"/>
      <c r="C26" s="25" t="s">
        <v>60</v>
      </c>
      <c r="D26" s="74">
        <f t="array" ref="D26">SUM((IncLim)*(indType&gt;0)*(Months=months1)*(PY=PY3_)*(Filter1=Source2))</f>
        <v>0</v>
      </c>
      <c r="E26" s="74">
        <f t="array" ref="E26">SUM((IncLim)*(indType&gt;0)*(Months=months1)*(PY=PY2_)*(Filter1=Source2))</f>
        <v>0</v>
      </c>
      <c r="F26" s="74">
        <f t="array" ref="F26">SUM((IncLim)*(indType&gt;0)*(Months=months1)*(PY=PY1_)*(Filter1=Source2))</f>
        <v>0</v>
      </c>
      <c r="G26" s="76"/>
      <c r="H26" s="81" t="str">
        <f t="shared" ref="H26:H27" si="0">IFERROR((F26-D26)/D26,"-")</f>
        <v>-</v>
      </c>
      <c r="I26" s="78" t="str">
        <f t="shared" ref="I26:I27" si="1">IFERROR((F26-E26)/E26,"-")</f>
        <v>-</v>
      </c>
      <c r="L26" s="2"/>
      <c r="N26" s="2"/>
    </row>
    <row r="27" spans="2:14" x14ac:dyDescent="0.25">
      <c r="B27" s="73"/>
      <c r="C27" s="25" t="s">
        <v>61</v>
      </c>
      <c r="D27" s="74" t="str">
        <f>IFERROR(D26/D24,"-")</f>
        <v>-</v>
      </c>
      <c r="E27" s="74" t="str">
        <f t="shared" ref="E27:F27" si="2">IFERROR(E26/E24,"-")</f>
        <v>-</v>
      </c>
      <c r="F27" s="74" t="str">
        <f t="shared" si="2"/>
        <v>-</v>
      </c>
      <c r="G27" s="76"/>
      <c r="H27" s="81" t="str">
        <f t="shared" si="0"/>
        <v>-</v>
      </c>
      <c r="I27" s="78" t="str">
        <f t="shared" si="1"/>
        <v>-</v>
      </c>
      <c r="L27" s="2"/>
      <c r="N27" s="2"/>
    </row>
    <row r="28" spans="2:14" x14ac:dyDescent="0.25">
      <c r="B28" s="66"/>
      <c r="C28" s="25" t="s">
        <v>62</v>
      </c>
      <c r="D28" s="90" t="str">
        <f>IFERROR(1-(D29/D24),"-")</f>
        <v>-</v>
      </c>
      <c r="E28" s="90" t="str">
        <f>IFERROR(1-(E29/E24),"-")</f>
        <v>-</v>
      </c>
      <c r="F28" s="90" t="str">
        <f>IFERROR(1-(F29/F24),"-")</f>
        <v>-</v>
      </c>
      <c r="G28" s="76"/>
      <c r="H28" s="93" t="str">
        <f>IFERROR(IF(((F28-D28)*100)&gt;0,"+"&amp;ROUND((F28-D28)*100,1),ROUND((F28-D28)*100,1)),"-")</f>
        <v>-</v>
      </c>
      <c r="I28" s="92" t="str">
        <f>IFERROR(IF(((F28-E28)*100)&gt;0,"+"&amp;ROUND((F28-E28)*100,1),ROUND((F28-E28)*100,1)),"-")</f>
        <v>-</v>
      </c>
    </row>
    <row r="29" spans="2:14" ht="15.75" thickBot="1" x14ac:dyDescent="0.3">
      <c r="B29" s="66"/>
      <c r="C29" s="32" t="s">
        <v>63</v>
      </c>
      <c r="D29" s="106">
        <f t="array" ref="D29">D24-SUM((IncLim&gt;0)*(indType&gt;0)*(Closed&gt;0)*(Months=months1)*(PY=PY3_)*(Filter1=Source2))</f>
        <v>0</v>
      </c>
      <c r="E29" s="106">
        <f t="array" ref="E29">E24-SUM((IncLim&gt;0)*(indType&gt;0)*(Closed&gt;0)*(Months=months1)*(PY=PY2_)*(Filter1=Source2))</f>
        <v>0</v>
      </c>
      <c r="F29" s="106">
        <f t="array" ref="F29">F24-SUM((IncLim&gt;0)*(indType&gt;0)*(Closed&gt;0)*(Months=months1)*(PY=PY1_)*(Filter1=Source2))</f>
        <v>0</v>
      </c>
      <c r="G29" s="86"/>
      <c r="H29" s="87" t="str">
        <f>IFERROR((F29-D29)/D29,"-")</f>
        <v>-</v>
      </c>
      <c r="I29" s="88" t="str">
        <f>IFERROR((F29-E29)/E29,"-")</f>
        <v>-</v>
      </c>
    </row>
    <row r="30" spans="2:14" x14ac:dyDescent="0.25">
      <c r="B30" s="66"/>
      <c r="C30" s="26"/>
      <c r="D30" s="33"/>
      <c r="E30" s="33"/>
      <c r="F30" s="34"/>
      <c r="G30" s="29"/>
      <c r="H30" s="30"/>
      <c r="I30" s="31"/>
    </row>
    <row r="31" spans="2:14" x14ac:dyDescent="0.25">
      <c r="C31" s="25" t="s">
        <v>72</v>
      </c>
      <c r="D31" s="80">
        <f t="array" ref="D31">SUM((IncLim&gt;0)*(Lit&gt;0)*(indType&gt;0)*(Months=months1)*(PY=PY3_)*(Filter1=Source2))</f>
        <v>0</v>
      </c>
      <c r="E31" s="80">
        <f t="array" ref="E31">SUM((IncLim&gt;0)*(Lit&gt;0)*(indType&gt;0)*(Months=months1)*(PY=PY2_)*(Filter1=Source2))</f>
        <v>0</v>
      </c>
      <c r="F31" s="89">
        <f t="array" ref="F31">SUM((IncLim&gt;0)*(Lit&gt;0)*(indType&gt;0)*(Months=months1)*(PY=PY1_)*(Filter1=Source2))</f>
        <v>0</v>
      </c>
      <c r="G31" s="76"/>
      <c r="H31" s="81" t="str">
        <f>IFERROR((F31-D31)/D31,"-")</f>
        <v>-</v>
      </c>
      <c r="I31" s="78" t="str">
        <f>IFERROR((F31-E31)/E31,"-")</f>
        <v>-</v>
      </c>
    </row>
    <row r="32" spans="2:14" x14ac:dyDescent="0.25">
      <c r="C32" s="25" t="s">
        <v>73</v>
      </c>
      <c r="D32" s="90" t="str">
        <f>IFERROR(D31/D24,"-")</f>
        <v>-</v>
      </c>
      <c r="E32" s="90" t="str">
        <f>IFERROR(E31/E24,"-")</f>
        <v>-</v>
      </c>
      <c r="F32" s="125" t="str">
        <f>IFERROR(F31/F24,"-")</f>
        <v>-</v>
      </c>
      <c r="G32" s="76"/>
      <c r="H32" s="93" t="str">
        <f>IFERROR(IF(((F32-D32)*100)&gt;0,"+"&amp;ROUND((F32-D32)*100,1),ROUND((F32-D32)*100,1)),"-")</f>
        <v>-</v>
      </c>
      <c r="I32" s="92" t="str">
        <f>IFERROR(IF(((F32-E32)*100)&gt;0,"+"&amp;ROUND((F32-E32)*100,1),ROUND((F32-E32)*100,1)),"-")</f>
        <v>-</v>
      </c>
    </row>
    <row r="33" spans="2:14" x14ac:dyDescent="0.25">
      <c r="B33" s="71"/>
      <c r="C33" s="25" t="s">
        <v>75</v>
      </c>
      <c r="D33" s="74">
        <f t="array" ref="D33">SUM((IncLim)*(Lit&gt;0)*(indType&gt;0)*(Months=months1)*(PY=PY3_)*(Filter1=Source2))</f>
        <v>0</v>
      </c>
      <c r="E33" s="74">
        <f t="array" ref="E33">SUM((IncLim)*(Lit&gt;0)*(indType&gt;0)*(Months=months1)*(PY=PY2_)*(Filter1=Source2))</f>
        <v>0</v>
      </c>
      <c r="F33" s="75">
        <f>SUM((IncLim)*(Lit&gt;0)*(indType&gt;0)*(Months=months1)*(PY=PY1_)*(Filter1=Source2))</f>
        <v>0</v>
      </c>
      <c r="G33" s="76"/>
      <c r="H33" s="81" t="str">
        <f>IFERROR((F33-D33)/D33,"-")</f>
        <v>-</v>
      </c>
      <c r="I33" s="78" t="str">
        <f>IFERROR((F33-E33)/E33,"-")</f>
        <v>-</v>
      </c>
      <c r="L33" s="2"/>
      <c r="N33" s="2"/>
    </row>
    <row r="34" spans="2:14" x14ac:dyDescent="0.25">
      <c r="B34" s="71"/>
      <c r="C34" s="120" t="s">
        <v>100</v>
      </c>
      <c r="D34" s="122" t="str">
        <f>IFERROR(D33/D26,"-")</f>
        <v>-</v>
      </c>
      <c r="E34" s="122" t="str">
        <f>IFERROR(E33/E26,"-")</f>
        <v>-</v>
      </c>
      <c r="F34" s="122" t="str">
        <f>IFERROR(F33/F26,"-")</f>
        <v>-</v>
      </c>
      <c r="G34" s="121"/>
      <c r="H34" s="93" t="str">
        <f>IFERROR(IF(((F34-D34)*100)&gt;0,"+"&amp;ROUND((F34-D34)*100,1),ROUND((F34-D34)*100,1)),"-")</f>
        <v>-</v>
      </c>
      <c r="I34" s="92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1"/>
      <c r="C35" s="25" t="s">
        <v>91</v>
      </c>
      <c r="D35" s="80">
        <f t="array" ref="D35">SUM((IncLim&gt;0)*(Lit&gt;0)*(Months=months1)*(PY=PY3_)*(Filter1=Source2))</f>
        <v>0</v>
      </c>
      <c r="E35" s="80">
        <f t="array" ref="E35">SUM((IncLim&gt;0)*(Lit&gt;0)*(Months=months1)*(PY=PY2_)*(Filter1=Source2))</f>
        <v>0</v>
      </c>
      <c r="F35" s="89">
        <f t="array" ref="F35">SUM((IncLim&gt;0)*(Lit&gt;0)*(Months=months1)*(PY=PY1_)*(Filter1=Source2))</f>
        <v>0</v>
      </c>
      <c r="G35" s="76"/>
      <c r="H35" s="81" t="str">
        <f>IFERROR((F35-D35)/D35,"-")</f>
        <v>-</v>
      </c>
      <c r="I35" s="78" t="str">
        <f>IFERROR((F35-E35)/E35,"-")</f>
        <v>-</v>
      </c>
      <c r="L35" s="2"/>
      <c r="N35" s="2"/>
    </row>
    <row r="36" spans="2:14" x14ac:dyDescent="0.25">
      <c r="B36" s="71"/>
      <c r="C36" s="25" t="s">
        <v>74</v>
      </c>
      <c r="D36" s="74">
        <f t="array" ref="D36">SUM((IncLim)*(Lit&gt;0)*(Months=months1)*(PY=PY3_)*(Filter1=Source2))</f>
        <v>0</v>
      </c>
      <c r="E36" s="74">
        <f t="array" ref="E36">SUM((IncLim)*(Lit&gt;0)*(Months=months1)*(PY=PY2_)*(Filter1=Source2))</f>
        <v>0</v>
      </c>
      <c r="F36" s="75">
        <f t="array" ref="F36">SUM((IncLim)*(Lit&gt;0)*(Months=months1)*(PY=PY1_)*(Filter1=Source2))</f>
        <v>0</v>
      </c>
      <c r="G36" s="76"/>
      <c r="H36" s="81" t="str">
        <f>IFERROR((F36-D36)/D36,"-")</f>
        <v>-</v>
      </c>
      <c r="I36" s="78" t="str">
        <f>IFERROR((F36-E36)/E36,"-")</f>
        <v>-</v>
      </c>
      <c r="L36" s="2"/>
      <c r="N36" s="2"/>
    </row>
    <row r="37" spans="2:14" x14ac:dyDescent="0.25">
      <c r="B37" s="71"/>
      <c r="C37" s="25" t="s">
        <v>104</v>
      </c>
      <c r="D37" s="74"/>
      <c r="E37" s="74"/>
      <c r="F37" s="75"/>
      <c r="G37" s="76"/>
      <c r="H37" s="81" t="str">
        <f>IFERROR((F37-D37)/D37,"-")</f>
        <v>-</v>
      </c>
      <c r="I37" s="78" t="str">
        <f>IFERROR((F37-E37)/E37,"-")</f>
        <v>-</v>
      </c>
      <c r="L37" s="2"/>
      <c r="N37" s="2"/>
    </row>
    <row r="38" spans="2:14" x14ac:dyDescent="0.25">
      <c r="B38" s="66"/>
      <c r="C38" s="26"/>
      <c r="D38" s="33"/>
      <c r="E38" s="33"/>
      <c r="F38" s="34"/>
      <c r="G38" s="29"/>
      <c r="H38" s="30"/>
      <c r="I38" s="31"/>
    </row>
    <row r="39" spans="2:14" x14ac:dyDescent="0.25">
      <c r="C39" s="25" t="s">
        <v>64</v>
      </c>
      <c r="D39" s="94">
        <f>SUMPRODUCT(LARGE((Months=months1)*(PY=PY3_)*(IncLim)*(Filter1=Source2),{1,2,3,4,5}))</f>
        <v>0</v>
      </c>
      <c r="E39" s="94">
        <f>SUMPRODUCT(LARGE((Months=months1)*(PY=PY2_)*(IncLim)*(Filter1=Source2),{1,2,3,4,5}))</f>
        <v>0</v>
      </c>
      <c r="F39" s="95">
        <f>SUMPRODUCT(LARGE((Months=months1)*(PY=PY1_)*(IncLim)*(Filter1=Source2),{1,2,3,4,5}))</f>
        <v>0</v>
      </c>
      <c r="G39" s="76"/>
      <c r="H39" s="81" t="str">
        <f>IFERROR((F39-D39)/D39,"-")</f>
        <v>-</v>
      </c>
      <c r="I39" s="78" t="str">
        <f>IFERROR((F39-E39)/E39,"-")</f>
        <v>-</v>
      </c>
    </row>
    <row r="40" spans="2:14" ht="15.75" thickBot="1" x14ac:dyDescent="0.3">
      <c r="C40" s="35" t="s">
        <v>65</v>
      </c>
      <c r="D40" s="126" t="str">
        <f>IFERROR(D39/D13,"-")</f>
        <v>-</v>
      </c>
      <c r="E40" s="126" t="str">
        <f>IFERROR(E39/E13,"-")</f>
        <v>-</v>
      </c>
      <c r="F40" s="126" t="str">
        <f>IFERROR(F39/F13,"-")</f>
        <v>-</v>
      </c>
      <c r="G40" s="96"/>
      <c r="H40" s="97" t="str">
        <f>IFERROR(IF(((F40-D40)*100)&gt;0,"+"&amp;ROUND((F40-D40)*100,1),ROUND((F40-D40)*100,1)),"-")</f>
        <v>-</v>
      </c>
      <c r="I40" s="98" t="str">
        <f>IFERROR(IF(((F40-E40)*100)&gt;0,"+"&amp;ROUND((F40-E40)*100,1),ROUND((F40-E40)*100,1)),"-")</f>
        <v>-</v>
      </c>
    </row>
    <row r="41" spans="2:14" x14ac:dyDescent="0.25">
      <c r="C41" s="39"/>
      <c r="D41" s="39"/>
      <c r="E41" s="39"/>
      <c r="F41" s="39"/>
      <c r="G41" s="39"/>
      <c r="H41" s="36"/>
      <c r="I41" s="36"/>
    </row>
    <row r="43" spans="2:14" ht="15.75" thickBot="1" x14ac:dyDescent="0.3"/>
    <row r="44" spans="2:14" x14ac:dyDescent="0.25">
      <c r="B44" s="64" t="s">
        <v>66</v>
      </c>
      <c r="C44" s="14">
        <f>Source2</f>
        <v>0</v>
      </c>
      <c r="D44" s="148"/>
      <c r="E44" s="149"/>
      <c r="F44" s="149"/>
      <c r="G44" s="14"/>
      <c r="H44" s="15"/>
      <c r="I44" s="16"/>
    </row>
    <row r="45" spans="2:14" x14ac:dyDescent="0.25">
      <c r="C45" s="150" t="str">
        <f>"PY"&amp;RIGHT(YEAR($F$46),2)&amp;" at "&amp;execute!D33&amp;" Months"</f>
        <v>PY20 at 12 Months</v>
      </c>
      <c r="D45" s="151" t="s">
        <v>43</v>
      </c>
      <c r="E45" s="152"/>
      <c r="F45" s="152"/>
      <c r="G45" s="150"/>
      <c r="H45" s="153"/>
      <c r="I45" s="154"/>
    </row>
    <row r="46" spans="2:14" x14ac:dyDescent="0.25">
      <c r="C46" s="150"/>
      <c r="D46" s="43">
        <f t="array" ref="D46">PY4_</f>
        <v>43101</v>
      </c>
      <c r="E46" s="44">
        <f t="array" ref="E46">PY3_</f>
        <v>43466</v>
      </c>
      <c r="F46" s="44">
        <f t="array" ref="F46">PY2_</f>
        <v>43831</v>
      </c>
      <c r="G46" s="150"/>
      <c r="H46" s="153"/>
      <c r="I46" s="154"/>
    </row>
    <row r="47" spans="2:14" x14ac:dyDescent="0.25">
      <c r="C47" s="150"/>
      <c r="D47" s="17" t="s">
        <v>46</v>
      </c>
      <c r="E47" s="18" t="s">
        <v>46</v>
      </c>
      <c r="F47" s="18" t="s">
        <v>46</v>
      </c>
      <c r="G47" s="150"/>
      <c r="H47" s="153"/>
      <c r="I47" s="154"/>
    </row>
    <row r="48" spans="2:14" x14ac:dyDescent="0.25">
      <c r="C48" s="150"/>
      <c r="D48" s="41" t="str">
        <f t="array" ref="D48">MONTH(Val_current)&amp;"/"&amp;DAY(Val_current)&amp;"/"&amp;YEAR(Val_current)-2</f>
        <v>1/0/1898</v>
      </c>
      <c r="E48" s="40" t="str">
        <f t="array" ref="E48">MONTH(Val_current)&amp;"/"&amp;DAY(Val_current)&amp;"/"&amp;YEAR(Val_current)-1</f>
        <v>1/0/1899</v>
      </c>
      <c r="F48" s="42" t="str">
        <f t="array" ref="F48">MONTH(Val_current)&amp;"/"&amp;DAY(Val_current)&amp;"/"&amp;YEAR(Val_current)</f>
        <v>1/0/1900</v>
      </c>
      <c r="G48" s="45" t="s">
        <v>47</v>
      </c>
      <c r="H48" s="46" t="str">
        <f t="array" ref="H48">(IF(IncYr_yn="Y",RIGHT(YEAR($D$46),2)&amp;" vs "&amp;RIGHT(YEAR($F$46),2),RIGHT(YEAR($D$46),2)+1&amp;" vs "&amp;RIGHT(YEAR($F$46),2)+1))</f>
        <v>18 vs 20</v>
      </c>
      <c r="I48" s="47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19"/>
      <c r="D49" s="20"/>
      <c r="E49" s="20"/>
      <c r="F49" s="21"/>
      <c r="G49" s="22"/>
      <c r="H49" s="23"/>
      <c r="I49" s="24"/>
    </row>
    <row r="50" spans="3:12" x14ac:dyDescent="0.25">
      <c r="C50" s="25" t="s">
        <v>50</v>
      </c>
      <c r="D50" s="74">
        <f t="array" ref="D50">IFERROR(VLOOKUP(PY4_,$M$4:$R$13,3,FALSE),"-")</f>
        <v>98000</v>
      </c>
      <c r="E50" s="74">
        <f t="array" ref="E50">IFERROR(VLOOKUP(PY3_,$M$4:$R$13,3,FALSE),"-")</f>
        <v>219000</v>
      </c>
      <c r="F50" s="74">
        <f t="array" ref="F50">IFERROR(VLOOKUP(PY2_,$M$4:$R$13,3,FALSE),"-")</f>
        <v>340000</v>
      </c>
      <c r="G50" s="76"/>
      <c r="H50" s="77">
        <f>IFERROR((F50-D50)/D50,"-")</f>
        <v>2.4693877551020407</v>
      </c>
      <c r="I50" s="78">
        <f>IFERROR((F50-E50)/E50,"-")</f>
        <v>0.55251141552511418</v>
      </c>
    </row>
    <row r="51" spans="3:12" x14ac:dyDescent="0.25">
      <c r="C51" s="25" t="s">
        <v>18</v>
      </c>
      <c r="D51" s="80">
        <f t="array" ref="D51">IFERROR(VLOOKUP(PY4_,$M$4:$R$13,4,FALSE),"-")</f>
        <v>46</v>
      </c>
      <c r="E51" s="80">
        <f t="array" ref="E51">IFERROR(VLOOKUP(PY3_,$M$4:$R$13,4,FALSE),"-")</f>
        <v>49</v>
      </c>
      <c r="F51" s="80">
        <f t="array" ref="F51">IFERROR(VLOOKUP(PY2_,$M$4:$R$13,4,FALSE),"-")</f>
        <v>62</v>
      </c>
      <c r="G51" s="76"/>
      <c r="H51" s="81">
        <f>IFERROR((F51-D51)/D51,"-")</f>
        <v>0.34782608695652173</v>
      </c>
      <c r="I51" s="78">
        <f>IFERROR((F51-E51)/E51,"-")</f>
        <v>0.26530612244897961</v>
      </c>
    </row>
    <row r="52" spans="3:12" ht="15.75" thickBot="1" x14ac:dyDescent="0.3">
      <c r="C52" s="19"/>
      <c r="D52" s="20"/>
      <c r="E52" s="20"/>
      <c r="F52" s="21"/>
      <c r="G52" s="22"/>
      <c r="H52" s="23"/>
      <c r="I52" s="24"/>
    </row>
    <row r="53" spans="3:12" x14ac:dyDescent="0.25">
      <c r="C53" s="25" t="s">
        <v>38</v>
      </c>
      <c r="D53" s="74">
        <f t="array" ref="D53">SUM((IncLim)*(Months=months2)*(PY=PY4_)*(Filter1=Source2))</f>
        <v>0</v>
      </c>
      <c r="E53" s="74">
        <f t="array" ref="E53">SUM((IncLim)*(Months=months2)*(PY=PY3_)*(Filter1=Source2))</f>
        <v>0</v>
      </c>
      <c r="F53" s="75">
        <f t="array" ref="F53">SUM((IncLim)*(Months=months2)*(PY=PY2_)*(Filter1=Source2))</f>
        <v>0</v>
      </c>
      <c r="G53" s="76"/>
      <c r="H53" s="77" t="str">
        <f>IFERROR((F53-D53)/D53,"-")</f>
        <v>-</v>
      </c>
      <c r="I53" s="78" t="str">
        <f>IFERROR((F53-E53)/E53,"-")</f>
        <v>-</v>
      </c>
    </row>
    <row r="54" spans="3:12" x14ac:dyDescent="0.25">
      <c r="C54" s="25" t="s">
        <v>71</v>
      </c>
      <c r="D54" s="74">
        <f t="array" ref="D54">SUM((pdLim)*(Months=months2)*(PY=PY4_)*(Filter1=Source2))</f>
        <v>0</v>
      </c>
      <c r="E54" s="74">
        <f t="array" ref="E54">SUM((pdLim)*(Months=months2)*(PY=PY3_)*(Filter1=Source2))</f>
        <v>0</v>
      </c>
      <c r="F54" s="75">
        <f t="array" ref="F54">SUM((pdLim)*(Months=months2)*(PY=PY2_)*(Filter1=Source2))</f>
        <v>0</v>
      </c>
      <c r="G54" s="76"/>
      <c r="H54" s="81" t="str">
        <f>IFERROR((F54-D54)/D54,"-")</f>
        <v>-</v>
      </c>
      <c r="I54" s="78" t="str">
        <f>IFERROR((F54-E54)/E54,"-")</f>
        <v>-</v>
      </c>
      <c r="J54" s="5"/>
      <c r="L54" s="2"/>
    </row>
    <row r="55" spans="3:12" x14ac:dyDescent="0.25">
      <c r="C55" s="25" t="s">
        <v>51</v>
      </c>
      <c r="D55" s="74">
        <f>D53-D54</f>
        <v>0</v>
      </c>
      <c r="E55" s="74">
        <f>E53-E54</f>
        <v>0</v>
      </c>
      <c r="F55" s="74">
        <f>F53-F54</f>
        <v>0</v>
      </c>
      <c r="G55" s="76"/>
      <c r="H55" s="81" t="str">
        <f>IFERROR((F55-D55)/D55,"-")</f>
        <v>-</v>
      </c>
      <c r="I55" s="78" t="str">
        <f>IFERROR((F55-E55)/E55,"-")</f>
        <v>-</v>
      </c>
    </row>
    <row r="56" spans="3:12" ht="15.75" thickBot="1" x14ac:dyDescent="0.3">
      <c r="C56" s="26"/>
      <c r="D56" s="27"/>
      <c r="E56" s="27"/>
      <c r="F56" s="28"/>
      <c r="G56" s="29"/>
      <c r="H56" s="30"/>
      <c r="I56" s="31"/>
    </row>
    <row r="57" spans="3:12" x14ac:dyDescent="0.25">
      <c r="C57" s="25" t="s">
        <v>52</v>
      </c>
      <c r="D57" s="82">
        <f t="array" ref="D57">SUM((IncLim&gt;0)*(Months=months2)*(PY=PY4_)*(Filter1=Source2))</f>
        <v>0</v>
      </c>
      <c r="E57" s="82">
        <f t="array" ref="E57">SUM((IncLim&gt;0)*(Months=months2)*(PY=PY3_)*(Filter1=Source2))</f>
        <v>0</v>
      </c>
      <c r="F57" s="83">
        <f t="array" ref="F57">SUM((IncLim&gt;0)*(Months=months2)*(PY=PY2_)*(Filter1=Source2))</f>
        <v>0</v>
      </c>
      <c r="G57" s="76"/>
      <c r="H57" s="77" t="str">
        <f>IFERROR((F57-D57)/D57,"-")</f>
        <v>-</v>
      </c>
      <c r="I57" s="78" t="str">
        <f>IFERROR((F57-E57)/E57,"-")</f>
        <v>-</v>
      </c>
    </row>
    <row r="58" spans="3:12" x14ac:dyDescent="0.25">
      <c r="C58" s="25" t="s">
        <v>53</v>
      </c>
      <c r="D58" s="74" t="str">
        <f>IFERROR(D53/D57,"-")</f>
        <v>-</v>
      </c>
      <c r="E58" s="74" t="str">
        <f>IFERROR(E53/E57,"-")</f>
        <v>-</v>
      </c>
      <c r="F58" s="74" t="str">
        <f>IFERROR(F53/F57,"-")</f>
        <v>-</v>
      </c>
      <c r="G58" s="76"/>
      <c r="H58" s="84" t="str">
        <f>IFERROR((F58-D58)/D58,"-")</f>
        <v>-</v>
      </c>
      <c r="I58" s="78" t="str">
        <f>IFERROR((F58-E58)/E58,"-")</f>
        <v>-</v>
      </c>
    </row>
    <row r="59" spans="3:12" x14ac:dyDescent="0.25">
      <c r="C59" s="25" t="s">
        <v>54</v>
      </c>
      <c r="D59" s="74" t="str">
        <f t="array" ref="D59">IFERROR(MEDIAN(IF(IncLim&gt;0, IF(Months=months2,IF(PY=PY4_,IF(Filter1=Source2,IncLim))))),"-")</f>
        <v>-</v>
      </c>
      <c r="E59" s="74" t="str">
        <f t="array" ref="E59">IFERROR(MEDIAN(IF(IncLim&gt;0, IF(Months=months2,IF(PY=PY3_, IF(Filter1=Source2, IncLim))))),"-")</f>
        <v>-</v>
      </c>
      <c r="F59" s="74" t="str">
        <f t="array" ref="F59">IFERROR(MEDIAN(IF(IncLim&gt;0, IF(Months=months2,IF(PY=PY2_, IF(Filter1=Source2, IncLim))))),"-")</f>
        <v>-</v>
      </c>
      <c r="G59" s="76"/>
      <c r="H59" s="81" t="str">
        <f>IFERROR((F59-D59)/D59,"-")</f>
        <v>-</v>
      </c>
      <c r="I59" s="78" t="str">
        <f>IFERROR((F59-E59)/E59,"-")</f>
        <v>-</v>
      </c>
    </row>
    <row r="60" spans="3:12" x14ac:dyDescent="0.25">
      <c r="C60" s="26"/>
      <c r="D60" s="27"/>
      <c r="E60" s="27"/>
      <c r="F60" s="28"/>
      <c r="G60" s="29"/>
      <c r="H60" s="23"/>
      <c r="I60" s="24"/>
    </row>
    <row r="61" spans="3:12" x14ac:dyDescent="0.25">
      <c r="C61" s="25" t="s">
        <v>55</v>
      </c>
      <c r="D61" s="74">
        <f>IFERROR((VLOOKUP(PY4_,$M$4:$Q$10,5,FALSE)/100),"-")</f>
        <v>293120</v>
      </c>
      <c r="E61" s="74">
        <f>IFERROR((VLOOKUP(PY3_,$M$4:$Q$10,5,FALSE)/100),"-")</f>
        <v>267200</v>
      </c>
      <c r="F61" s="75">
        <f>IFERROR((VLOOKUP(PY2_,$M$4:$Q$10,5,FALSE)/100),"-")</f>
        <v>278620</v>
      </c>
      <c r="G61" s="76"/>
      <c r="H61" s="81">
        <f>IFERROR((F61-D61)/D61,"-")</f>
        <v>-4.946779475982533E-2</v>
      </c>
      <c r="I61" s="78">
        <f>IFERROR((F61-E61)/E61,"-")</f>
        <v>4.2739520958083831E-2</v>
      </c>
    </row>
    <row r="62" spans="3:12" ht="15.75" thickBot="1" x14ac:dyDescent="0.3">
      <c r="C62" s="32" t="s">
        <v>57</v>
      </c>
      <c r="D62" s="85">
        <f>IFERROR(D53/D61,"-")</f>
        <v>0</v>
      </c>
      <c r="E62" s="85">
        <f>IFERROR(E53/E61,"-")</f>
        <v>0</v>
      </c>
      <c r="F62" s="85">
        <f>IFERROR(F53/F61,"-")</f>
        <v>0</v>
      </c>
      <c r="G62" s="86"/>
      <c r="H62" s="87" t="str">
        <f>IFERROR((F62-D62)/D62,"-")</f>
        <v>-</v>
      </c>
      <c r="I62" s="88" t="str">
        <f>IFERROR((F62-E62)/E62,"-")</f>
        <v>-</v>
      </c>
    </row>
    <row r="63" spans="3:12" ht="15.75" thickBot="1" x14ac:dyDescent="0.3">
      <c r="C63" s="26"/>
      <c r="D63" s="27"/>
      <c r="E63" s="27"/>
      <c r="F63" s="28"/>
      <c r="G63" s="29"/>
      <c r="H63" s="30"/>
      <c r="I63" s="31"/>
    </row>
    <row r="64" spans="3:12" x14ac:dyDescent="0.25">
      <c r="C64" s="25" t="s">
        <v>58</v>
      </c>
      <c r="D64" s="80">
        <f t="array" ref="D64">SUM((IncLim&gt;0)*(indType&gt;0)*(Months=months2)*(PY=PY4_)*(Filter1=Source2))</f>
        <v>0</v>
      </c>
      <c r="E64" s="80">
        <f t="array" ref="E64">SUM((IncLim&gt;0)*(indType&gt;0)*(Months=months2)*(PY=PY3_)*(Filter1=Source2))</f>
        <v>0</v>
      </c>
      <c r="F64" s="89">
        <f t="array" ref="F64">SUM((IncLim&gt;0)*(indType&gt;0)*(Months=months2)*(PY=PY2_)*(Filter1=Source2))</f>
        <v>0</v>
      </c>
      <c r="G64" s="76"/>
      <c r="H64" s="77" t="str">
        <f>IFERROR((F64-D64)/D64,"-")</f>
        <v>-</v>
      </c>
      <c r="I64" s="78" t="str">
        <f>IFERROR((F64-E64)/E64,"-")</f>
        <v>-</v>
      </c>
    </row>
    <row r="65" spans="2:14" x14ac:dyDescent="0.25">
      <c r="C65" s="25" t="s">
        <v>59</v>
      </c>
      <c r="D65" s="90" t="str">
        <f>IFERROR(D64/D57,"-")</f>
        <v>-</v>
      </c>
      <c r="E65" s="90" t="str">
        <f t="shared" ref="E65:F65" si="3">IFERROR(E64/E57,"-")</f>
        <v>-</v>
      </c>
      <c r="F65" s="90" t="str">
        <f t="shared" si="3"/>
        <v>-</v>
      </c>
      <c r="G65" s="76"/>
      <c r="H65" s="93" t="str">
        <f>IFERROR(IF(((F65-D65)*100)&gt;0,"+"&amp;ROUND((F65-D65)*100,1),ROUND((F65-D65)*100,1)),"-")</f>
        <v>-</v>
      </c>
      <c r="I65" s="92" t="str">
        <f>IFERROR(IF(((F65-E65)*100)&gt;0,"+"&amp;ROUND((F65-E65)*100,1),ROUND((F65-E65)*100,1)),"-")</f>
        <v>-</v>
      </c>
    </row>
    <row r="66" spans="2:14" x14ac:dyDescent="0.25">
      <c r="B66" s="73"/>
      <c r="C66" s="25" t="s">
        <v>60</v>
      </c>
      <c r="D66" s="74">
        <f t="array" ref="D66">SUM((IncLim)*(indType&gt;0)*(Months=months2)*(PY=PY4_)*(Filter1=Source2))</f>
        <v>0</v>
      </c>
      <c r="E66" s="74">
        <f t="array" ref="E66">SUM((IncLim)*(indType&gt;0)*(Months=months2)*(PY=PY3_)*(Filter1=Source2))</f>
        <v>0</v>
      </c>
      <c r="F66" s="74">
        <f t="array" ref="F66">SUM((IncLim)*(indType&gt;0)*(Months=months2)*(PY=PY2_)*(Filter1=Source2))</f>
        <v>0</v>
      </c>
      <c r="G66" s="76"/>
      <c r="H66" s="81" t="str">
        <f t="shared" ref="H66:H67" si="4">IFERROR((F66-D66)/D66,"-")</f>
        <v>-</v>
      </c>
      <c r="I66" s="78" t="str">
        <f t="shared" ref="I66:I67" si="5">IFERROR((F66-E66)/E66,"-")</f>
        <v>-</v>
      </c>
      <c r="L66" s="2"/>
      <c r="N66" s="2"/>
    </row>
    <row r="67" spans="2:14" x14ac:dyDescent="0.25">
      <c r="B67" s="73"/>
      <c r="C67" s="25" t="s">
        <v>61</v>
      </c>
      <c r="D67" s="74" t="str">
        <f>IFERROR(D66/D64,"-")</f>
        <v>-</v>
      </c>
      <c r="E67" s="74" t="str">
        <f t="shared" ref="E67" si="6">IFERROR(E66/E64,"-")</f>
        <v>-</v>
      </c>
      <c r="F67" s="74" t="str">
        <f t="shared" ref="F67" si="7">IFERROR(F66/F64,"-")</f>
        <v>-</v>
      </c>
      <c r="G67" s="76"/>
      <c r="H67" s="81" t="str">
        <f t="shared" si="4"/>
        <v>-</v>
      </c>
      <c r="I67" s="78" t="str">
        <f t="shared" si="5"/>
        <v>-</v>
      </c>
      <c r="L67" s="2"/>
      <c r="N67" s="2"/>
    </row>
    <row r="68" spans="2:14" x14ac:dyDescent="0.25">
      <c r="C68" s="25" t="s">
        <v>62</v>
      </c>
      <c r="D68" s="90" t="str">
        <f>IFERROR(1-(D69/D64),"-")</f>
        <v>-</v>
      </c>
      <c r="E68" s="90" t="str">
        <f>IFERROR(1-(E69/E64),"-")</f>
        <v>-</v>
      </c>
      <c r="F68" s="90" t="str">
        <f>IFERROR(1-(F69/F64),"-")</f>
        <v>-</v>
      </c>
      <c r="G68" s="76"/>
      <c r="H68" s="124" t="str">
        <f>IFERROR(IF(((F68-D68)*100)&gt;0,"+"&amp;ROUND((F68-D68)*100,1),ROUND((F68-D68)*100,1)),"-")</f>
        <v>-</v>
      </c>
      <c r="I68" s="92" t="str">
        <f>IFERROR(IF(((F68-E68)*100)&gt;0,"+"&amp;ROUND((F68-E68)*100,1),ROUND((F68-E68)*100,1)),"-")</f>
        <v>-</v>
      </c>
    </row>
    <row r="69" spans="2:14" ht="15.75" thickBot="1" x14ac:dyDescent="0.3">
      <c r="C69" s="32" t="s">
        <v>63</v>
      </c>
      <c r="D69" s="106">
        <f t="array" ref="D69">D64-SUM((IncLim&gt;0)*(indType&gt;0)*(Closed&gt;0)*(Months=months2)*(PY=PY4_)*(Filter1=Source2))</f>
        <v>0</v>
      </c>
      <c r="E69" s="106">
        <f t="array" ref="E69">E64-SUM((IncLim&gt;0)*(indType&gt;0)*(Closed&gt;0)*(Months=months2)*(PY=PY3_)*(Filter1=Source2))</f>
        <v>0</v>
      </c>
      <c r="F69" s="106">
        <f t="array" ref="F69">F64-SUM((IncLim&gt;0)*(indType&gt;0)*(Closed&gt;0)*(Months=months2)*(PY=PY2_)*(Filter1=Source2))</f>
        <v>0</v>
      </c>
      <c r="G69" s="86"/>
      <c r="H69" s="87" t="str">
        <f>IFERROR((F69-D69)/D69,"-")</f>
        <v>-</v>
      </c>
      <c r="I69" s="88" t="str">
        <f>IFERROR((F69-E69)/E69,"-")</f>
        <v>-</v>
      </c>
    </row>
    <row r="70" spans="2:14" x14ac:dyDescent="0.25">
      <c r="C70" s="26"/>
      <c r="D70" s="33"/>
      <c r="E70" s="33"/>
      <c r="F70" s="34"/>
      <c r="G70" s="29"/>
      <c r="H70" s="30"/>
      <c r="I70" s="31"/>
    </row>
    <row r="71" spans="2:14" x14ac:dyDescent="0.25">
      <c r="C71" s="25" t="s">
        <v>72</v>
      </c>
      <c r="D71" s="80">
        <f t="array" ref="D71">SUM((IncLim&gt;0)*(Lit&gt;0)*(indType&gt;0)*(Months=months2)*(PY=PY4_)*(Filter1=Source2))</f>
        <v>0</v>
      </c>
      <c r="E71" s="80">
        <f t="array" ref="E71">SUM((IncLim&gt;0)*(Lit&gt;0)*(indType&gt;0)*(Months=months2)*(PY=PY3_)*(Filter1=Source2))</f>
        <v>0</v>
      </c>
      <c r="F71" s="89">
        <f t="array" ref="F71">SUM((IncLim&gt;0)*(Lit&gt;0)*(indType&gt;0)*(Months=months2)*(PY=PY2_)*(Filter1=Source2))</f>
        <v>0</v>
      </c>
      <c r="G71" s="76"/>
      <c r="H71" s="81" t="str">
        <f>IFERROR((F71-D71)/D71,"-")</f>
        <v>-</v>
      </c>
      <c r="I71" s="78" t="str">
        <f>IFERROR((F71-E71)/E71,"-")</f>
        <v>-</v>
      </c>
    </row>
    <row r="72" spans="2:14" x14ac:dyDescent="0.25">
      <c r="C72" s="25" t="s">
        <v>73</v>
      </c>
      <c r="D72" s="90" t="str">
        <f>IFERROR(D71/D64,"-")</f>
        <v>-</v>
      </c>
      <c r="E72" s="90" t="str">
        <f>IFERROR(E71/E64,"-")</f>
        <v>-</v>
      </c>
      <c r="F72" s="125" t="str">
        <f>IFERROR(F71/F64,"-")</f>
        <v>-</v>
      </c>
      <c r="G72" s="76"/>
      <c r="H72" s="93" t="str">
        <f>IFERROR(IF(((F72-D72)*100)&gt;0,"+"&amp;ROUND((F72-D72)*100,1),ROUND((F72-D72)*100,1)),"-")</f>
        <v>-</v>
      </c>
      <c r="I72" s="92" t="str">
        <f>IFERROR(IF(((F72-E72)*100)&gt;0,"+"&amp;ROUND((F72-E72)*100,1),ROUND((F72-E72)*100,1)),"-")</f>
        <v>-</v>
      </c>
    </row>
    <row r="73" spans="2:14" x14ac:dyDescent="0.25">
      <c r="B73" s="71"/>
      <c r="C73" s="25" t="s">
        <v>75</v>
      </c>
      <c r="D73" s="74">
        <f t="array" ref="D73">SUM((IncLim)*(Lit&gt;0)*(indType&gt;0)*(Months=months2)*(PY=PY4_)*(Filter1=Source2))</f>
        <v>0</v>
      </c>
      <c r="E73" s="74">
        <f t="array" ref="E73">SUM((IncLim)*(Lit&gt;0)*(indType&gt;0)*(Months=months2)*(PY=PY3_)*(Filter1=Source2))</f>
        <v>0</v>
      </c>
      <c r="F73" s="75">
        <f t="array" ref="F73">SUM((IncLim)*(Lit&gt;0)*(indType&gt;0)*(Months=months2)*(PY=PY2_)*(Filter1=Source2))</f>
        <v>0</v>
      </c>
      <c r="G73" s="76"/>
      <c r="H73" s="81" t="str">
        <f>IFERROR((F73-D73)/D73,"-")</f>
        <v>-</v>
      </c>
      <c r="I73" s="78" t="str">
        <f>IFERROR((F73-E73)/E73,"-")</f>
        <v>-</v>
      </c>
      <c r="L73" s="2"/>
      <c r="N73" s="2"/>
    </row>
    <row r="74" spans="2:14" x14ac:dyDescent="0.25">
      <c r="B74" s="71"/>
      <c r="C74" s="120" t="s">
        <v>100</v>
      </c>
      <c r="D74" s="122" t="str">
        <f>IFERROR(D73/D66,"-")</f>
        <v>-</v>
      </c>
      <c r="E74" s="122" t="str">
        <f>IFERROR(E73/E66,"-")</f>
        <v>-</v>
      </c>
      <c r="F74" s="122" t="str">
        <f>IFERROR(F73/F66,"-")</f>
        <v>-</v>
      </c>
      <c r="G74" s="121"/>
      <c r="H74" s="93" t="str">
        <f>IFERROR(IF(((F74-D74)*100)&gt;0,"+"&amp;ROUND((F74-D74)*100,1),ROUND((F74-D74)*100,1)),"-")</f>
        <v>-</v>
      </c>
      <c r="I74" s="92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1"/>
      <c r="C75" s="25" t="s">
        <v>91</v>
      </c>
      <c r="D75" s="80">
        <f t="array" ref="D75">SUM((IncLim&gt;0)*(Lit&gt;0)*(Months=months2)*(PY=PY4_)*(Filter1=Source2))</f>
        <v>0</v>
      </c>
      <c r="E75" s="80">
        <f t="array" ref="E75">SUM((IncLim&gt;0)*(Lit&gt;0)*(Months=months2)*(PY=PY3_)*(Filter1=Source2))</f>
        <v>0</v>
      </c>
      <c r="F75" s="89">
        <f t="array" ref="F75">SUM((IncLim&gt;0)*(Lit&gt;0)*(Months=months2)*(PY=PY2_)*(Filter1=Source2))</f>
        <v>0</v>
      </c>
      <c r="G75" s="76"/>
      <c r="H75" s="81" t="str">
        <f>IFERROR((F75-D75)/D75,"-")</f>
        <v>-</v>
      </c>
      <c r="I75" s="78" t="str">
        <f>IFERROR((F75-E75)/E75,"-")</f>
        <v>-</v>
      </c>
      <c r="L75" s="2"/>
      <c r="N75" s="2"/>
    </row>
    <row r="76" spans="2:14" x14ac:dyDescent="0.25">
      <c r="B76" s="71"/>
      <c r="C76" s="25" t="s">
        <v>74</v>
      </c>
      <c r="D76" s="74">
        <f t="array" ref="D76">SUM((IncLim)*(Lit&gt;0)*(Months=months2)*(PY=PY4_)*(Filter1=Source2))</f>
        <v>0</v>
      </c>
      <c r="E76" s="74">
        <f t="array" ref="E76">SUM((IncLim)*(Lit&gt;0)*(Months=months2)*(PY=PY3_)*(Filter1=Source2))</f>
        <v>0</v>
      </c>
      <c r="F76" s="75">
        <f t="array" ref="F76">SUM((IncLim)*(Lit&gt;0)*(Months=months2)*(PY=PY2_)*(Filter1=Source2))</f>
        <v>0</v>
      </c>
      <c r="G76" s="76"/>
      <c r="H76" s="81" t="str">
        <f>IFERROR((F76-D76)/D76,"-")</f>
        <v>-</v>
      </c>
      <c r="I76" s="78" t="str">
        <f>IFERROR((F76-E76)/E76,"-")</f>
        <v>-</v>
      </c>
      <c r="L76" s="2"/>
      <c r="N76" s="2"/>
    </row>
    <row r="77" spans="2:14" x14ac:dyDescent="0.25">
      <c r="B77" s="71"/>
      <c r="C77" s="25" t="s">
        <v>104</v>
      </c>
      <c r="D77" s="74"/>
      <c r="E77" s="74"/>
      <c r="F77" s="75"/>
      <c r="G77" s="76"/>
      <c r="H77" s="81" t="str">
        <f>IFERROR((F77-D77)/D77,"-")</f>
        <v>-</v>
      </c>
      <c r="I77" s="78" t="str">
        <f>IFERROR((F77-E77)/E77,"-")</f>
        <v>-</v>
      </c>
      <c r="L77" s="2"/>
      <c r="N77" s="2"/>
    </row>
    <row r="78" spans="2:14" x14ac:dyDescent="0.25">
      <c r="C78" s="26"/>
      <c r="D78" s="33"/>
      <c r="E78" s="33"/>
      <c r="F78" s="34"/>
      <c r="G78" s="29"/>
      <c r="H78" s="30"/>
      <c r="I78" s="31"/>
    </row>
    <row r="79" spans="2:14" x14ac:dyDescent="0.25">
      <c r="C79" s="25" t="s">
        <v>64</v>
      </c>
      <c r="D79" s="94">
        <f>SUMPRODUCT(LARGE((Months=months2)*(PY=PY4_)*(IncLim)*(Filter1=Source2),{1,2,3,4,5}))</f>
        <v>0</v>
      </c>
      <c r="E79" s="94">
        <f t="array" ref="E79">SUMPRODUCT(LARGE((Months=months2)*(PY=PY3_)*(IncLim)*(Filter1=Source2),{1,2,3,4,5}))</f>
        <v>0</v>
      </c>
      <c r="F79" s="95">
        <f t="array" ref="F79">SUMPRODUCT(LARGE((Months=months2)*(PY=PY2_)*(IncLim)*(Filter1=Source2),{1,2,3,4,5}))</f>
        <v>0</v>
      </c>
      <c r="G79" s="76"/>
      <c r="H79" s="81" t="str">
        <f>IFERROR((F79-D79)/D79,"-")</f>
        <v>-</v>
      </c>
      <c r="I79" s="78" t="str">
        <f>IFERROR((F79-E79)/E79,"-")</f>
        <v>-</v>
      </c>
    </row>
    <row r="80" spans="2:14" ht="15.75" thickBot="1" x14ac:dyDescent="0.3">
      <c r="C80" s="35" t="s">
        <v>65</v>
      </c>
      <c r="D80" s="126" t="str">
        <f>IFERROR(D79/D53,"-")</f>
        <v>-</v>
      </c>
      <c r="E80" s="126" t="str">
        <f>IFERROR(E79/E53,"-")</f>
        <v>-</v>
      </c>
      <c r="F80" s="126" t="str">
        <f>IFERROR(F79/F53,"-")</f>
        <v>-</v>
      </c>
      <c r="G80" s="96"/>
      <c r="H80" s="97" t="str">
        <f>IFERROR(IF(((F80-D80)*100)&gt;0,"+"&amp;ROUND((F80-D80)*100,1),ROUND((F80-D80)*100,1)),"-")</f>
        <v>-</v>
      </c>
      <c r="I80" s="98" t="str">
        <f>IFERROR(IF(((F80-E80)*100)&gt;0,"+"&amp;ROUND((F80-E80)*100,1),ROUND((F80-E80)*100,1)),"-")</f>
        <v>-</v>
      </c>
    </row>
    <row r="81" spans="2:12" x14ac:dyDescent="0.25">
      <c r="C81" s="39"/>
      <c r="D81" s="39"/>
      <c r="E81" s="39"/>
      <c r="F81" s="39"/>
      <c r="G81" s="39"/>
      <c r="H81" s="123"/>
      <c r="I81" s="123"/>
    </row>
    <row r="83" spans="2:12" ht="15.75" thickBot="1" x14ac:dyDescent="0.3"/>
    <row r="84" spans="2:12" x14ac:dyDescent="0.25">
      <c r="B84" s="64" t="s">
        <v>67</v>
      </c>
      <c r="C84" s="14">
        <f>Source2</f>
        <v>0</v>
      </c>
      <c r="D84" s="148"/>
      <c r="E84" s="149"/>
      <c r="F84" s="149"/>
      <c r="G84" s="14"/>
      <c r="H84" s="15"/>
      <c r="I84" s="16"/>
    </row>
    <row r="85" spans="2:12" x14ac:dyDescent="0.25">
      <c r="C85" s="150" t="str">
        <f>"PY"&amp;RIGHT(YEAR($F$86),2)&amp;" at "&amp;execute!D34&amp;" Months"</f>
        <v>PY19 at 24 Months</v>
      </c>
      <c r="D85" s="151" t="s">
        <v>43</v>
      </c>
      <c r="E85" s="152"/>
      <c r="F85" s="152"/>
      <c r="G85" s="150"/>
      <c r="H85" s="153"/>
      <c r="I85" s="154"/>
    </row>
    <row r="86" spans="2:12" x14ac:dyDescent="0.25">
      <c r="C86" s="150"/>
      <c r="D86" s="43">
        <f t="array" ref="D86">PY5_</f>
        <v>39083</v>
      </c>
      <c r="E86" s="44">
        <f t="array" ref="E86">PY4_</f>
        <v>43101</v>
      </c>
      <c r="F86" s="44">
        <f t="array" ref="F86">PY3_</f>
        <v>43466</v>
      </c>
      <c r="G86" s="150"/>
      <c r="H86" s="153"/>
      <c r="I86" s="154"/>
    </row>
    <row r="87" spans="2:12" x14ac:dyDescent="0.25">
      <c r="C87" s="150"/>
      <c r="D87" s="17" t="s">
        <v>46</v>
      </c>
      <c r="E87" s="18" t="s">
        <v>46</v>
      </c>
      <c r="F87" s="18" t="s">
        <v>46</v>
      </c>
      <c r="G87" s="150"/>
      <c r="H87" s="153"/>
      <c r="I87" s="154"/>
    </row>
    <row r="88" spans="2:12" x14ac:dyDescent="0.25">
      <c r="C88" s="150"/>
      <c r="D88" s="41" t="str">
        <f t="array" ref="D88">MONTH(Val_current)&amp;"/"&amp;DAY(Val_current)&amp;"/"&amp;YEAR(Val_current)-2</f>
        <v>1/0/1898</v>
      </c>
      <c r="E88" s="40" t="str">
        <f t="array" ref="E88">MONTH(Val_current)&amp;"/"&amp;DAY(Val_current)&amp;"/"&amp;YEAR(Val_current)-1</f>
        <v>1/0/1899</v>
      </c>
      <c r="F88" s="42" t="str">
        <f t="array" ref="F88">MONTH(Val_current)&amp;"/"&amp;DAY(Val_current)&amp;"/"&amp;YEAR(Val_current)</f>
        <v>1/0/1900</v>
      </c>
      <c r="G88" s="45" t="s">
        <v>47</v>
      </c>
      <c r="H88" s="46" t="str">
        <f t="array" ref="H88">IF(IncYr_yn="Y",RIGHT(YEAR($D$86),2)&amp;" vs "&amp;RIGHT(YEAR($F$86),2),RIGHT(YEAR($D$86),2)+1&amp;" vs "&amp;RIGHT(YEAR($F$86),2)+1)</f>
        <v>07 vs 19</v>
      </c>
      <c r="I88" s="47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19"/>
      <c r="D89" s="20"/>
      <c r="E89" s="20"/>
      <c r="F89" s="21"/>
      <c r="G89" s="22"/>
      <c r="H89" s="23"/>
      <c r="I89" s="24"/>
    </row>
    <row r="90" spans="2:12" x14ac:dyDescent="0.25">
      <c r="C90" s="25" t="s">
        <v>50</v>
      </c>
      <c r="D90" s="74">
        <f t="array" ref="D90">IFERROR(VLOOKUP(PY5_,$M$4:$R$13,3,FALSE),"-")</f>
        <v>364000</v>
      </c>
      <c r="E90" s="74">
        <f t="array" ref="E90">IFERROR(VLOOKUP(PY4_,$M$4:$R$13,3,FALSE),"-")</f>
        <v>98000</v>
      </c>
      <c r="F90" s="74">
        <f t="array" ref="F90">IFERROR(VLOOKUP(PY3_,$M$4:$R$13,3,FALSE),"-")</f>
        <v>219000</v>
      </c>
      <c r="G90" s="76"/>
      <c r="H90" s="77">
        <f>IFERROR((F90-D90)/D90,"-")</f>
        <v>-0.39835164835164832</v>
      </c>
      <c r="I90" s="78">
        <f>IFERROR((F90-E90)/E90,"-")</f>
        <v>1.2346938775510203</v>
      </c>
    </row>
    <row r="91" spans="2:12" x14ac:dyDescent="0.25">
      <c r="C91" s="25" t="s">
        <v>18</v>
      </c>
      <c r="D91" s="80">
        <f t="array" ref="D91">IFERROR(VLOOKUP(PY5_,$M$4:$P$11,4,FALSE),"-")</f>
        <v>51</v>
      </c>
      <c r="E91" s="80">
        <f t="array" ref="E91">IFERROR(VLOOKUP(PY4_,$M$4:$P$11,4,FALSE),"-")</f>
        <v>46</v>
      </c>
      <c r="F91" s="80">
        <f t="array" ref="F91">IFERROR(VLOOKUP(PY3_,$M$4:$P$11,4,FALSE),"-")</f>
        <v>49</v>
      </c>
      <c r="G91" s="76"/>
      <c r="H91" s="81">
        <f>IFERROR((F91-D91)/D91,"-")</f>
        <v>-3.9215686274509803E-2</v>
      </c>
      <c r="I91" s="78">
        <f>IFERROR((F91-E91)/E91,"-")</f>
        <v>6.5217391304347824E-2</v>
      </c>
    </row>
    <row r="92" spans="2:12" ht="15.75" thickBot="1" x14ac:dyDescent="0.3">
      <c r="C92" s="19"/>
      <c r="D92" s="20"/>
      <c r="E92" s="20"/>
      <c r="F92" s="21"/>
      <c r="G92" s="22"/>
      <c r="H92" s="23"/>
      <c r="I92" s="24"/>
    </row>
    <row r="93" spans="2:12" x14ac:dyDescent="0.25">
      <c r="C93" s="25" t="s">
        <v>38</v>
      </c>
      <c r="D93" s="74">
        <f t="array" ref="D93">SUM((IncLim)*(Months=months3)*(PY=PY5_)*(Filter1=Source2))</f>
        <v>0</v>
      </c>
      <c r="E93" s="74">
        <f t="array" ref="E93">SUM((IncLim)*(Months=months3)*(PY=PY4_)*(Filter1=Source2))</f>
        <v>0</v>
      </c>
      <c r="F93" s="75">
        <f t="array" ref="F93">SUM((IncLim)*(Months=months3)*(PY=PY3_)*(Filter1=Source2))</f>
        <v>0</v>
      </c>
      <c r="G93" s="76"/>
      <c r="H93" s="77" t="str">
        <f>IFERROR((F93-D93)/D93,"-")</f>
        <v>-</v>
      </c>
      <c r="I93" s="78" t="str">
        <f>IFERROR((F93-E93)/E93,"-")</f>
        <v>-</v>
      </c>
    </row>
    <row r="94" spans="2:12" x14ac:dyDescent="0.25">
      <c r="C94" s="25" t="s">
        <v>71</v>
      </c>
      <c r="D94" s="74">
        <f t="array" ref="D94">SUM((pdLim)*(Months=months3)*(PY=PY5_)*(Filter1=Source2))</f>
        <v>0</v>
      </c>
      <c r="E94" s="74">
        <f t="array" ref="E94">SUM((pdLim)*(Months=months3)*(PY=PY4_)*(Filter1=Source2))</f>
        <v>0</v>
      </c>
      <c r="F94" s="75">
        <f t="array" ref="F94">SUM((pdLim)*(Months=months3)*(PY=PY3_)*(Filter1=Source2))</f>
        <v>0</v>
      </c>
      <c r="G94" s="76"/>
      <c r="H94" s="81" t="str">
        <f>IFERROR((F94-D94)/D94,"-")</f>
        <v>-</v>
      </c>
      <c r="I94" s="78" t="str">
        <f>IFERROR((F94-E94)/E94,"-")</f>
        <v>-</v>
      </c>
      <c r="J94" s="5"/>
      <c r="L94" s="2"/>
    </row>
    <row r="95" spans="2:12" x14ac:dyDescent="0.25">
      <c r="C95" s="25" t="s">
        <v>51</v>
      </c>
      <c r="D95" s="74">
        <f>D93-D94</f>
        <v>0</v>
      </c>
      <c r="E95" s="74">
        <f>E93-E94</f>
        <v>0</v>
      </c>
      <c r="F95" s="74">
        <f>F93-F94</f>
        <v>0</v>
      </c>
      <c r="G95" s="76"/>
      <c r="H95" s="81" t="str">
        <f>IFERROR((F95-D95)/D95,"-")</f>
        <v>-</v>
      </c>
      <c r="I95" s="78" t="str">
        <f>IFERROR((F95-E95)/E95,"-")</f>
        <v>-</v>
      </c>
    </row>
    <row r="96" spans="2:12" ht="15.75" thickBot="1" x14ac:dyDescent="0.3">
      <c r="C96" s="26"/>
      <c r="D96" s="27"/>
      <c r="E96" s="27"/>
      <c r="F96" s="28"/>
      <c r="G96" s="29"/>
      <c r="H96" s="30"/>
      <c r="I96" s="31"/>
    </row>
    <row r="97" spans="2:14" x14ac:dyDescent="0.25">
      <c r="C97" s="25" t="s">
        <v>52</v>
      </c>
      <c r="D97" s="82">
        <f t="array" ref="D97">SUM((IncLim&gt;0)*(Months=months3)*(PY=PY5_)*(Filter1=Source2))</f>
        <v>0</v>
      </c>
      <c r="E97" s="82">
        <f t="array" ref="E97">SUM((IncLim&gt;0)*(Months=months3)*(PY=PY4_)*(Filter1=Source2))</f>
        <v>0</v>
      </c>
      <c r="F97" s="83">
        <f t="array" ref="F97">SUM((IncLim&gt;0)*(Months=months3)*(PY=PY3_)*(Filter1=Source2))</f>
        <v>0</v>
      </c>
      <c r="G97" s="76"/>
      <c r="H97" s="77" t="str">
        <f>IFERROR((F97-D97)/D97,"-")</f>
        <v>-</v>
      </c>
      <c r="I97" s="78" t="str">
        <f>IFERROR((F97-E97)/E97,"-")</f>
        <v>-</v>
      </c>
    </row>
    <row r="98" spans="2:14" x14ac:dyDescent="0.25">
      <c r="C98" s="25" t="s">
        <v>53</v>
      </c>
      <c r="D98" s="74" t="str">
        <f>IFERROR(D93/D97,"-")</f>
        <v>-</v>
      </c>
      <c r="E98" s="74" t="str">
        <f>IFERROR(E93/E97,"-")</f>
        <v>-</v>
      </c>
      <c r="F98" s="74" t="str">
        <f>IFERROR(F93/F97,"-")</f>
        <v>-</v>
      </c>
      <c r="G98" s="76"/>
      <c r="H98" s="84" t="str">
        <f>IFERROR((F98-D98)/D98,"-")</f>
        <v>-</v>
      </c>
      <c r="I98" s="78" t="str">
        <f>IFERROR((F98-E98)/E98,"-")</f>
        <v>-</v>
      </c>
    </row>
    <row r="99" spans="2:14" x14ac:dyDescent="0.25">
      <c r="C99" s="25" t="s">
        <v>54</v>
      </c>
      <c r="D99" s="74" t="str">
        <f t="array" ref="D99">IFERROR(MEDIAN(IF(IncLim&gt;0, IF(Months=months3,IF(PY=PY5_,IF(Filter1=Source2,IncLim))))),"-")</f>
        <v>-</v>
      </c>
      <c r="E99" s="74" t="str">
        <f t="array" ref="E99">IFERROR(MEDIAN(IF(IncLim&gt;0, IF(Months=months3,IF(PY=PY4_, IF(Filter1=Source2, IncLim))))),"-")</f>
        <v>-</v>
      </c>
      <c r="F99" s="74" t="str">
        <f t="array" ref="F99">IFERROR(MEDIAN(IF(IncLim&gt;0, IF(Months=months3,IF(PY=PY3_, IF(Filter1=Source2, IncLim))))),"-")</f>
        <v>-</v>
      </c>
      <c r="G99" s="76"/>
      <c r="H99" s="81" t="str">
        <f>IFERROR((F99-D99)/D99,"-")</f>
        <v>-</v>
      </c>
      <c r="I99" s="78" t="str">
        <f>IFERROR((F99-E99)/E99,"-")</f>
        <v>-</v>
      </c>
    </row>
    <row r="100" spans="2:14" x14ac:dyDescent="0.25">
      <c r="C100" s="26"/>
      <c r="D100" s="27"/>
      <c r="E100" s="27"/>
      <c r="F100" s="28"/>
      <c r="G100" s="29"/>
      <c r="H100" s="23"/>
      <c r="I100" s="24"/>
    </row>
    <row r="101" spans="2:14" x14ac:dyDescent="0.25">
      <c r="C101" s="25" t="s">
        <v>55</v>
      </c>
      <c r="D101" s="74">
        <f>IFERROR((VLOOKUP(PY5_,$M$4:$Q$10,5,FALSE)/100),"-")</f>
        <v>274080</v>
      </c>
      <c r="E101" s="74">
        <f>IFERROR((VLOOKUP(PY4_,$M$4:$Q$10,5,FALSE)/100),"-")</f>
        <v>293120</v>
      </c>
      <c r="F101" s="75">
        <f>IFERROR((VLOOKUP(PY3_,$M$4:$Q$10,5,FALSE)/100),"-")</f>
        <v>267200</v>
      </c>
      <c r="G101" s="76"/>
      <c r="H101" s="81">
        <f>IFERROR((F101-D101)/D101,"-")</f>
        <v>-2.5102159953298307E-2</v>
      </c>
      <c r="I101" s="78">
        <f>IFERROR((F101-E101)/E101,"-")</f>
        <v>-8.8427947598253273E-2</v>
      </c>
    </row>
    <row r="102" spans="2:14" ht="15.75" thickBot="1" x14ac:dyDescent="0.3">
      <c r="C102" s="32" t="s">
        <v>57</v>
      </c>
      <c r="D102" s="85">
        <f>IFERROR(D93/D101,"-")</f>
        <v>0</v>
      </c>
      <c r="E102" s="85">
        <f>IFERROR(E93/E101,"-")</f>
        <v>0</v>
      </c>
      <c r="F102" s="85">
        <f>IFERROR(F93/F101,"-")</f>
        <v>0</v>
      </c>
      <c r="G102" s="86"/>
      <c r="H102" s="87" t="str">
        <f>IFERROR((F102-D102)/D102,"-")</f>
        <v>-</v>
      </c>
      <c r="I102" s="88" t="str">
        <f>IFERROR((F102-E102)/E102,"-")</f>
        <v>-</v>
      </c>
    </row>
    <row r="103" spans="2:14" ht="15.75" thickBot="1" x14ac:dyDescent="0.3">
      <c r="C103" s="26"/>
      <c r="D103" s="27"/>
      <c r="E103" s="27"/>
      <c r="F103" s="28"/>
      <c r="G103" s="29"/>
      <c r="H103" s="30"/>
      <c r="I103" s="31"/>
    </row>
    <row r="104" spans="2:14" x14ac:dyDescent="0.25">
      <c r="C104" s="25" t="s">
        <v>58</v>
      </c>
      <c r="D104" s="80">
        <f t="array" ref="D104">SUM((IncLim&gt;0)*(indType&gt;0)*(Months=months3)*(PY=PY5_)*(Filter1=Source2))</f>
        <v>0</v>
      </c>
      <c r="E104" s="80">
        <f t="array" ref="E104">SUM((IncLim&gt;0)*(indType&gt;0)*(Months=months3)*(PY=PY4_)*(Filter1=Source2))</f>
        <v>0</v>
      </c>
      <c r="F104" s="89">
        <f t="array" ref="F104">SUM((IncLim&gt;0)*(indType&gt;0)*(Months=months3)*(PY=PY3_)*(Filter1=Source2))</f>
        <v>0</v>
      </c>
      <c r="G104" s="76"/>
      <c r="H104" s="77" t="str">
        <f>IFERROR((F104-D104)/D104,"-")</f>
        <v>-</v>
      </c>
      <c r="I104" s="78" t="str">
        <f>IFERROR((F104-E104)/E104,"-")</f>
        <v>-</v>
      </c>
    </row>
    <row r="105" spans="2:14" x14ac:dyDescent="0.25">
      <c r="C105" s="25" t="s">
        <v>59</v>
      </c>
      <c r="D105" s="90" t="str">
        <f>IFERROR(D104/D97,"-")</f>
        <v>-</v>
      </c>
      <c r="E105" s="90" t="str">
        <f>IFERROR(E104/E97,"-")</f>
        <v>-</v>
      </c>
      <c r="F105" s="90" t="str">
        <f>IFERROR(F104/F97,"-")</f>
        <v>-</v>
      </c>
      <c r="G105" s="76"/>
      <c r="H105" s="93" t="str">
        <f>IFERROR(IF(((F105-D105)*100)&gt;0,"+"&amp;ROUND((F105-D105)*100,1),ROUND((F105-D105)*100,1)),"-")</f>
        <v>-</v>
      </c>
      <c r="I105" s="92" t="str">
        <f>IFERROR(IF(((F105-E105)*100)&gt;0,"+"&amp;ROUND((F105-E105)*100,1),ROUND((F105-E105)*100,1)),"-")</f>
        <v>-</v>
      </c>
    </row>
    <row r="106" spans="2:14" x14ac:dyDescent="0.25">
      <c r="B106" s="73"/>
      <c r="C106" s="25" t="s">
        <v>60</v>
      </c>
      <c r="D106" s="74">
        <f t="array" ref="D106">SUM((IncLim)*(indType&gt;0)*(Months=months3)*(PY=PY5_)*(Filter1=Source2))</f>
        <v>0</v>
      </c>
      <c r="E106" s="74">
        <f t="array" ref="E106">SUM((IncLim)*(indType&gt;0)*(Months=months3)*(PY=PY4_)*(Filter1=Source2))</f>
        <v>0</v>
      </c>
      <c r="F106" s="74">
        <f t="array" ref="F106">SUM((IncLim)*(indType&gt;0)*(Months=months3)*(PY=PY3_)*(Filter1=Source2))</f>
        <v>0</v>
      </c>
      <c r="G106" s="76"/>
      <c r="H106" s="81" t="str">
        <f t="shared" ref="H106:H107" si="8">IFERROR((F106-D106)/D106,"-")</f>
        <v>-</v>
      </c>
      <c r="I106" s="78" t="str">
        <f t="shared" ref="I106:I107" si="9">IFERROR((F106-E106)/E106,"-")</f>
        <v>-</v>
      </c>
      <c r="L106" s="2"/>
      <c r="N106" s="2"/>
    </row>
    <row r="107" spans="2:14" x14ac:dyDescent="0.25">
      <c r="B107" s="73"/>
      <c r="C107" s="25" t="s">
        <v>61</v>
      </c>
      <c r="D107" s="74" t="str">
        <f>IFERROR(D106/D104,"-")</f>
        <v>-</v>
      </c>
      <c r="E107" s="74" t="str">
        <f t="shared" ref="E107" si="10">IFERROR(E106/E104,"-")</f>
        <v>-</v>
      </c>
      <c r="F107" s="74" t="str">
        <f t="shared" ref="F107" si="11">IFERROR(F106/F104,"-")</f>
        <v>-</v>
      </c>
      <c r="G107" s="76"/>
      <c r="H107" s="81" t="str">
        <f t="shared" si="8"/>
        <v>-</v>
      </c>
      <c r="I107" s="78" t="str">
        <f t="shared" si="9"/>
        <v>-</v>
      </c>
      <c r="L107" s="2"/>
      <c r="N107" s="2"/>
    </row>
    <row r="108" spans="2:14" x14ac:dyDescent="0.25">
      <c r="C108" s="25" t="s">
        <v>62</v>
      </c>
      <c r="D108" s="90" t="str">
        <f>IFERROR(1-(D109/D104),"-")</f>
        <v>-</v>
      </c>
      <c r="E108" s="90" t="str">
        <f>IFERROR(1-(E109/E104),"-")</f>
        <v>-</v>
      </c>
      <c r="F108" s="90" t="str">
        <f>IFERROR(1-(F109/F104),"-")</f>
        <v>-</v>
      </c>
      <c r="G108" s="76"/>
      <c r="H108" s="93" t="str">
        <f>IFERROR(IF(((F108-D108)*100)&gt;0,"+"&amp;ROUND((F108-D108)*100,1),ROUND((F108-D108)*100,1)),"-")</f>
        <v>-</v>
      </c>
      <c r="I108" s="92" t="str">
        <f>IFERROR(IF(((F108-E108)*100)&gt;0,"+"&amp;ROUND((F108-E108)*100,1),ROUND((F108-E108)*100,1)),"-")</f>
        <v>-</v>
      </c>
    </row>
    <row r="109" spans="2:14" ht="15.75" thickBot="1" x14ac:dyDescent="0.3">
      <c r="C109" s="32" t="s">
        <v>63</v>
      </c>
      <c r="D109" s="106">
        <f t="array" ref="D109">D104-SUM((IncLim&gt;0)*(indType&gt;0)*(Closed&gt;0)*(Months=months3)*(PY=PY5_)*(Filter1=Source2))</f>
        <v>0</v>
      </c>
      <c r="E109" s="106">
        <f t="array" ref="E109">E104-SUM((IncLim&gt;0)*(indType&gt;0)*(Closed&gt;0)*(Months=months3)*(PY=PY4_)*(Filter1=Source2))</f>
        <v>0</v>
      </c>
      <c r="F109" s="106">
        <f t="array" ref="F109">F104-SUM((IncLim&gt;0)*(indType&gt;0)*(Closed&gt;0)*(Months=months3)*(PY=PY3_)*(Filter1=Source2))</f>
        <v>0</v>
      </c>
      <c r="G109" s="86"/>
      <c r="H109" s="87" t="str">
        <f>IFERROR((F109-D109)/D109,"-")</f>
        <v>-</v>
      </c>
      <c r="I109" s="88" t="str">
        <f>IFERROR((F109-E109)/E109,"-")</f>
        <v>-</v>
      </c>
    </row>
    <row r="110" spans="2:14" x14ac:dyDescent="0.25">
      <c r="C110" s="26"/>
      <c r="D110" s="33"/>
      <c r="E110" s="33"/>
      <c r="F110" s="34"/>
      <c r="G110" s="29"/>
      <c r="H110" s="30"/>
      <c r="I110" s="31"/>
    </row>
    <row r="111" spans="2:14" x14ac:dyDescent="0.25">
      <c r="C111" s="25" t="s">
        <v>72</v>
      </c>
      <c r="D111" s="80">
        <f t="array" ref="D111">SUM((IncLim&gt;0)*(Lit&gt;0)*(indType&gt;0)*(Months=months3)*(PY=PY5_)*(Filter1=Source2))</f>
        <v>0</v>
      </c>
      <c r="E111" s="80">
        <f t="array" ref="E111">SUM((IncLim&gt;0)*(Lit&gt;0)*(indType&gt;0)*(Months=months3)*(PY=PY4_)*(Filter1=Source2))</f>
        <v>0</v>
      </c>
      <c r="F111" s="89">
        <f t="array" ref="F111">SUM((IncLim&gt;0)*(Lit&gt;0)*(indType&gt;0)*(Months=months3)*(PY=PY3_)*(Filter1=Source2))</f>
        <v>0</v>
      </c>
      <c r="G111" s="76"/>
      <c r="H111" s="81" t="str">
        <f>IFERROR((F111-D111)/D111,"-")</f>
        <v>-</v>
      </c>
      <c r="I111" s="78" t="str">
        <f>IFERROR((F111-E111)/E111,"-")</f>
        <v>-</v>
      </c>
    </row>
    <row r="112" spans="2:14" x14ac:dyDescent="0.25">
      <c r="C112" s="25" t="s">
        <v>73</v>
      </c>
      <c r="D112" s="90" t="str">
        <f>IFERROR(D111/D104,"-")</f>
        <v>-</v>
      </c>
      <c r="E112" s="90" t="str">
        <f>IFERROR(E111/E104,"-")</f>
        <v>-</v>
      </c>
      <c r="F112" s="125" t="str">
        <f>IFERROR(F111/F104,"-")</f>
        <v>-</v>
      </c>
      <c r="G112" s="76"/>
      <c r="H112" s="93" t="str">
        <f>IFERROR(IF(((F112-D112)*100)&gt;0,"+"&amp;ROUND((F112-D112)*100,1),ROUND((F112-D112)*100,1)),"-")</f>
        <v>-</v>
      </c>
      <c r="I112" s="92" t="str">
        <f>IFERROR(IF(((F112-E112)*100)&gt;0,"+"&amp;ROUND((F112-E112)*100,1),ROUND((F112-E112)*100,1)),"-")</f>
        <v>-</v>
      </c>
    </row>
    <row r="113" spans="2:14" x14ac:dyDescent="0.25">
      <c r="B113" s="71"/>
      <c r="C113" s="25" t="s">
        <v>75</v>
      </c>
      <c r="D113" s="74">
        <f t="array" ref="D113">SUM((IncLim)*(Lit&gt;0)*(indType&gt;0)*(Months=months3)*(PY=PY5_)*(Filter1=Source2))</f>
        <v>0</v>
      </c>
      <c r="E113" s="74">
        <f t="array" ref="E113">SUM((IncLim)*(Lit&gt;0)*(indType&gt;0)*(Months=months3)*(PY=PY4_)*(Filter1=Source2))</f>
        <v>0</v>
      </c>
      <c r="F113" s="75">
        <f t="array" ref="F113">SUM((IncLim)*(Lit&gt;0)*(indType&gt;0)*(Months=months3)*(PY=PY3_)*(Filter1=Source2))</f>
        <v>0</v>
      </c>
      <c r="G113" s="76"/>
      <c r="H113" s="81" t="str">
        <f>IFERROR((F113-D113)/D113,"-")</f>
        <v>-</v>
      </c>
      <c r="I113" s="78" t="str">
        <f>IFERROR((F113-E113)/E113,"-")</f>
        <v>-</v>
      </c>
      <c r="L113" s="2"/>
      <c r="N113" s="2"/>
    </row>
    <row r="114" spans="2:14" x14ac:dyDescent="0.25">
      <c r="B114" s="71"/>
      <c r="C114" s="120" t="s">
        <v>100</v>
      </c>
      <c r="D114" s="122" t="str">
        <f>IFERROR(D113/D106,"-")</f>
        <v>-</v>
      </c>
      <c r="E114" s="122" t="str">
        <f>IFERROR(E113/E106,"-")</f>
        <v>-</v>
      </c>
      <c r="F114" s="122" t="str">
        <f>IFERROR(F113/F106,"-")</f>
        <v>-</v>
      </c>
      <c r="G114" s="121"/>
      <c r="H114" s="93" t="str">
        <f>IFERROR(IF(((F114-D114)*100)&gt;0,"+"&amp;ROUND((F114-D114)*100,1),ROUND((F114-D114)*100,1)),"-")</f>
        <v>-</v>
      </c>
      <c r="I114" s="92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1"/>
      <c r="C115" s="25" t="s">
        <v>91</v>
      </c>
      <c r="D115" s="80">
        <f t="array" ref="D115">SUM((IncLim&gt;0)*(Lit&gt;0)*(Months=months3)*(PY=PY5_)*(Filter1=Source2))</f>
        <v>0</v>
      </c>
      <c r="E115" s="80">
        <f t="array" ref="E115">SUM((IncLim&gt;0)*(Lit&gt;0)*(Months=months3)*(PY=PY4_)*(Filter1=Source2))</f>
        <v>0</v>
      </c>
      <c r="F115" s="89">
        <f t="array" ref="F115">SUM((IncLim&gt;0)*(Lit&gt;0)*(Months=months3)*(PY=PY3_)*(Filter1=Source2))</f>
        <v>0</v>
      </c>
      <c r="G115" s="76"/>
      <c r="H115" s="81" t="str">
        <f>IFERROR((F115-D115)/D115,"-")</f>
        <v>-</v>
      </c>
      <c r="I115" s="78" t="str">
        <f>IFERROR((F115-E115)/E115,"-")</f>
        <v>-</v>
      </c>
      <c r="L115" s="2"/>
      <c r="N115" s="2"/>
    </row>
    <row r="116" spans="2:14" x14ac:dyDescent="0.25">
      <c r="B116" s="71"/>
      <c r="C116" s="25" t="s">
        <v>74</v>
      </c>
      <c r="D116" s="74">
        <f t="array" ref="D116">SUM((IncLim)*(Lit&gt;0)*(Months=months3)*(PY=PY5_)*(Filter1=Source2))</f>
        <v>0</v>
      </c>
      <c r="E116" s="74">
        <f t="array" ref="E116">SUM((IncLim)*(Lit&gt;0)*(Months=months3)*(PY=PY4_)*(Filter1=Source2))</f>
        <v>0</v>
      </c>
      <c r="F116" s="75">
        <f t="array" ref="F116">SUM((IncLim)*(Lit&gt;0)*(Months=months3)*(PY=PY3_)*(Filter1=Source2))</f>
        <v>0</v>
      </c>
      <c r="G116" s="76"/>
      <c r="H116" s="81" t="str">
        <f>IFERROR((F116-D116)/D116,"-")</f>
        <v>-</v>
      </c>
      <c r="I116" s="78" t="str">
        <f>IFERROR((F116-E116)/E116,"-")</f>
        <v>-</v>
      </c>
      <c r="L116" s="2"/>
      <c r="N116" s="2"/>
    </row>
    <row r="117" spans="2:14" x14ac:dyDescent="0.25">
      <c r="B117" s="71"/>
      <c r="C117" s="25" t="s">
        <v>104</v>
      </c>
      <c r="D117" s="74"/>
      <c r="E117" s="74"/>
      <c r="F117" s="75"/>
      <c r="G117" s="76"/>
      <c r="H117" s="81" t="str">
        <f>IFERROR((F117-D117)/D117,"-")</f>
        <v>-</v>
      </c>
      <c r="I117" s="78" t="str">
        <f>IFERROR((F117-E117)/E117,"-")</f>
        <v>-</v>
      </c>
      <c r="L117" s="2"/>
      <c r="N117" s="2"/>
    </row>
    <row r="118" spans="2:14" x14ac:dyDescent="0.25">
      <c r="C118" s="26"/>
      <c r="D118" s="33"/>
      <c r="E118" s="33"/>
      <c r="F118" s="34"/>
      <c r="G118" s="29"/>
      <c r="H118" s="30"/>
      <c r="I118" s="31"/>
    </row>
    <row r="119" spans="2:14" x14ac:dyDescent="0.25">
      <c r="C119" s="25" t="s">
        <v>64</v>
      </c>
      <c r="D119" s="94">
        <f>SUMPRODUCT(LARGE((Months=months3)*(PY=PY5_)*(IncLim)*(Filter1=Source2),{1,2,3,4,5}))</f>
        <v>0</v>
      </c>
      <c r="E119" s="94">
        <f>SUMPRODUCT(LARGE((Months=months3)*(PY=PY4_)*(IncLim)*(Filter1=Source2),{1,2,3,4,5}))</f>
        <v>0</v>
      </c>
      <c r="F119" s="95">
        <f>SUMPRODUCT(LARGE((Months=months3)*(PY=PY3_)*(IncLim)*(Filter1=Source2),{1,2,3,4,5}))</f>
        <v>0</v>
      </c>
      <c r="G119" s="76"/>
      <c r="H119" s="81" t="str">
        <f>IFERROR((F119-D119)/D119,"-")</f>
        <v>-</v>
      </c>
      <c r="I119" s="78" t="str">
        <f>IFERROR((F119-E119)/E119,"-")</f>
        <v>-</v>
      </c>
    </row>
    <row r="120" spans="2:14" ht="15.75" thickBot="1" x14ac:dyDescent="0.3">
      <c r="C120" s="35" t="s">
        <v>65</v>
      </c>
      <c r="D120" s="126" t="str">
        <f>IFERROR(D119/D93,"-")</f>
        <v>-</v>
      </c>
      <c r="E120" s="126" t="str">
        <f>IFERROR(E119/E93,"-")</f>
        <v>-</v>
      </c>
      <c r="F120" s="126" t="str">
        <f>IFERROR(F119/F93,"-")</f>
        <v>-</v>
      </c>
      <c r="G120" s="96"/>
      <c r="H120" s="97" t="str">
        <f>IFERROR(IF(((F120-D120)*100)&gt;0,"+"&amp;ROUND((F120-D120)*100,1),ROUND((F120-D120)*100,1)),"-")</f>
        <v>-</v>
      </c>
      <c r="I120" s="98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4" t="s">
        <v>68</v>
      </c>
      <c r="C124" s="14">
        <f>Source2</f>
        <v>0</v>
      </c>
      <c r="D124" s="148"/>
      <c r="E124" s="149"/>
      <c r="F124" s="149"/>
      <c r="G124" s="14"/>
      <c r="H124" s="15"/>
      <c r="I124" s="16"/>
    </row>
    <row r="125" spans="2:14" x14ac:dyDescent="0.25">
      <c r="C125" s="150" t="str">
        <f>"PY"&amp;RIGHT(YEAR($F$126),2)&amp;" at "&amp;execute!D35&amp;" Months"</f>
        <v>PY18 at 36 Months</v>
      </c>
      <c r="D125" s="151" t="s">
        <v>43</v>
      </c>
      <c r="E125" s="152"/>
      <c r="F125" s="152"/>
      <c r="G125" s="150"/>
      <c r="H125" s="153"/>
      <c r="I125" s="154"/>
    </row>
    <row r="126" spans="2:14" x14ac:dyDescent="0.25">
      <c r="C126" s="150"/>
      <c r="D126" s="43">
        <f t="array" ref="D126">PY6_</f>
        <v>42370</v>
      </c>
      <c r="E126" s="44">
        <f t="array" ref="E126">PY5_</f>
        <v>39083</v>
      </c>
      <c r="F126" s="44">
        <f t="array" ref="F126">PY4_</f>
        <v>43101</v>
      </c>
      <c r="G126" s="150"/>
      <c r="H126" s="153"/>
      <c r="I126" s="154"/>
    </row>
    <row r="127" spans="2:14" x14ac:dyDescent="0.25">
      <c r="C127" s="150"/>
      <c r="D127" s="17" t="s">
        <v>46</v>
      </c>
      <c r="E127" s="18" t="s">
        <v>46</v>
      </c>
      <c r="F127" s="18" t="s">
        <v>46</v>
      </c>
      <c r="G127" s="150"/>
      <c r="H127" s="153"/>
      <c r="I127" s="154"/>
    </row>
    <row r="128" spans="2:14" x14ac:dyDescent="0.25">
      <c r="C128" s="150"/>
      <c r="D128" s="41" t="str">
        <f t="array" ref="D128">MONTH(Val_current)&amp;"/"&amp;DAY(Val_current)&amp;"/"&amp;YEAR(Val_current)-2</f>
        <v>1/0/1898</v>
      </c>
      <c r="E128" s="40" t="str">
        <f t="array" ref="E128">MONTH(Val_current)&amp;"/"&amp;DAY(Val_current)&amp;"/"&amp;YEAR(Val_current)-1</f>
        <v>1/0/1899</v>
      </c>
      <c r="F128" s="42" t="str">
        <f t="array" ref="F128">MONTH(Val_current)&amp;"/"&amp;DAY(Val_current)&amp;"/"&amp;YEAR(Val_current)</f>
        <v>1/0/1900</v>
      </c>
      <c r="G128" s="45" t="s">
        <v>47</v>
      </c>
      <c r="H128" s="46" t="str">
        <f t="array" ref="H128">IF(IncYr_yn="Y",RIGHT(YEAR($D$126),2)&amp;" vs "&amp;RIGHT(YEAR($F$126),2),RIGHT(YEAR($D$126),2)+1&amp;" vs "&amp;RIGHT(YEAR($F$126),2)+1)</f>
        <v>16 vs 18</v>
      </c>
      <c r="I128" s="47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19"/>
      <c r="D129" s="20"/>
      <c r="E129" s="20"/>
      <c r="F129" s="21"/>
      <c r="G129" s="22"/>
      <c r="H129" s="23"/>
      <c r="I129" s="24"/>
    </row>
    <row r="130" spans="3:12" x14ac:dyDescent="0.25">
      <c r="C130" s="25" t="s">
        <v>50</v>
      </c>
      <c r="D130" s="74">
        <f t="array" ref="D130">IFERROR(VLOOKUP(PY6_,$M$4:$R$13,3,FALSE),"-")</f>
        <v>372000</v>
      </c>
      <c r="E130" s="74">
        <f t="array" ref="E130">IFERROR(VLOOKUP(PY5_,$M$4:$R$13,3,FALSE),"-")</f>
        <v>364000</v>
      </c>
      <c r="F130" s="74">
        <f>IFERROR(VLOOKUP(PY4_,$M$4:$R$13,3,FALSE),"-")</f>
        <v>98000</v>
      </c>
      <c r="G130" s="76"/>
      <c r="H130" s="77">
        <f>IFERROR((F130-D130)/D130,"-")</f>
        <v>-0.73655913978494625</v>
      </c>
      <c r="I130" s="78">
        <f>IFERROR((F130-E130)/E130,"-")</f>
        <v>-0.73076923076923073</v>
      </c>
    </row>
    <row r="131" spans="3:12" x14ac:dyDescent="0.25">
      <c r="C131" s="25" t="s">
        <v>18</v>
      </c>
      <c r="D131" s="80">
        <f t="array" ref="D131">IFERROR(VLOOKUP(PY6_,$M$4:$P$11,4,FALSE),"-")</f>
        <v>46</v>
      </c>
      <c r="E131" s="80">
        <f t="array" ref="E131">IFERROR(VLOOKUP(PY5_,$M$4:$P$11,4,FALSE),"-")</f>
        <v>51</v>
      </c>
      <c r="F131" s="80">
        <f t="array" ref="F131">IFERROR(VLOOKUP(PY4_,$M$4:$P$11,4,FALSE),"-")</f>
        <v>46</v>
      </c>
      <c r="G131" s="76"/>
      <c r="H131" s="81">
        <f>IFERROR((F131-D131)/D131,"-")</f>
        <v>0</v>
      </c>
      <c r="I131" s="78">
        <f>IFERROR((F131-E131)/E131,"-")</f>
        <v>-9.8039215686274508E-2</v>
      </c>
    </row>
    <row r="132" spans="3:12" ht="15.75" thickBot="1" x14ac:dyDescent="0.3">
      <c r="C132" s="19"/>
      <c r="D132" s="20"/>
      <c r="E132" s="20"/>
      <c r="F132" s="21"/>
      <c r="G132" s="22"/>
      <c r="H132" s="23"/>
      <c r="I132" s="24"/>
    </row>
    <row r="133" spans="3:12" x14ac:dyDescent="0.25">
      <c r="C133" s="25" t="s">
        <v>38</v>
      </c>
      <c r="D133" s="74">
        <f t="array" ref="D133">SUM((IncLim)*(Months=months4)*(PY=PY6_)*(Filter1=Source2))</f>
        <v>0</v>
      </c>
      <c r="E133" s="74">
        <f t="array" ref="E133">SUM((IncLim)*(Months=months4)*(PY=PY5_)*(Filter1=Source2))</f>
        <v>0</v>
      </c>
      <c r="F133" s="75">
        <f t="array" ref="F133">SUM((IncLim)*(Months=months4)*(PY=PY4_)*(Filter1=Source2))</f>
        <v>0</v>
      </c>
      <c r="G133" s="76"/>
      <c r="H133" s="77" t="str">
        <f>IFERROR((F133-D133)/D133,"-")</f>
        <v>-</v>
      </c>
      <c r="I133" s="78" t="str">
        <f>IFERROR((F133-E133)/E133,"-")</f>
        <v>-</v>
      </c>
    </row>
    <row r="134" spans="3:12" x14ac:dyDescent="0.25">
      <c r="C134" s="25" t="s">
        <v>71</v>
      </c>
      <c r="D134" s="74">
        <f t="array" ref="D134">SUM((pdLim)*(Months=months4)*(PY=PY6_)*(Filter1=Source2))</f>
        <v>0</v>
      </c>
      <c r="E134" s="74">
        <f t="array" ref="E134">SUM((pdLim)*(Months=months4)*(PY=PY5_)*(Filter1=Source2))</f>
        <v>0</v>
      </c>
      <c r="F134" s="75">
        <f t="array" ref="F134">SUM((pdLim)*(Months=months4)*(PY=PY4_)*(Filter1=Source2))</f>
        <v>0</v>
      </c>
      <c r="G134" s="76"/>
      <c r="H134" s="81" t="str">
        <f>IFERROR((F134-D134)/D134,"-")</f>
        <v>-</v>
      </c>
      <c r="I134" s="78" t="str">
        <f>IFERROR((F134-E134)/E134,"-")</f>
        <v>-</v>
      </c>
      <c r="J134" s="5"/>
      <c r="L134" s="2"/>
    </row>
    <row r="135" spans="3:12" x14ac:dyDescent="0.25">
      <c r="C135" s="25" t="s">
        <v>51</v>
      </c>
      <c r="D135" s="74">
        <f>D133-D134</f>
        <v>0</v>
      </c>
      <c r="E135" s="74">
        <f>E133-E134</f>
        <v>0</v>
      </c>
      <c r="F135" s="74">
        <f>F133-F134</f>
        <v>0</v>
      </c>
      <c r="G135" s="76"/>
      <c r="H135" s="81" t="str">
        <f>IFERROR((F135-D135)/D135,"-")</f>
        <v>-</v>
      </c>
      <c r="I135" s="78" t="str">
        <f>IFERROR((F135-E135)/E135,"-")</f>
        <v>-</v>
      </c>
    </row>
    <row r="136" spans="3:12" ht="15.75" thickBot="1" x14ac:dyDescent="0.3">
      <c r="C136" s="26"/>
      <c r="D136" s="27"/>
      <c r="E136" s="27"/>
      <c r="F136" s="28"/>
      <c r="G136" s="29"/>
      <c r="H136" s="30"/>
      <c r="I136" s="31"/>
    </row>
    <row r="137" spans="3:12" x14ac:dyDescent="0.25">
      <c r="C137" s="25" t="s">
        <v>52</v>
      </c>
      <c r="D137" s="82">
        <f t="array" ref="D137">SUM((IncLim&gt;0)*(Months=months4)*(PY=PY6_)*(Filter1=Source2))</f>
        <v>0</v>
      </c>
      <c r="E137" s="82">
        <f t="array" ref="E137">SUM((IncLim&gt;0)*(Months=months4)*(PY=PY5_)*(Filter1=Source2))</f>
        <v>0</v>
      </c>
      <c r="F137" s="83">
        <f t="array" ref="F137">SUM((IncLim&gt;0)*(Months=months4)*(PY=PY4_)*(Filter1=Source2))</f>
        <v>0</v>
      </c>
      <c r="G137" s="76"/>
      <c r="H137" s="77" t="str">
        <f>IFERROR((F137-D137)/D137,"-")</f>
        <v>-</v>
      </c>
      <c r="I137" s="78" t="str">
        <f>IFERROR((F137-E137)/E137,"-")</f>
        <v>-</v>
      </c>
    </row>
    <row r="138" spans="3:12" x14ac:dyDescent="0.25">
      <c r="C138" s="25" t="s">
        <v>53</v>
      </c>
      <c r="D138" s="74" t="str">
        <f>IFERROR(D133/D137,"-")</f>
        <v>-</v>
      </c>
      <c r="E138" s="74" t="str">
        <f>IFERROR(E133/E137,"-")</f>
        <v>-</v>
      </c>
      <c r="F138" s="74" t="str">
        <f>IFERROR(F133/F137,"-")</f>
        <v>-</v>
      </c>
      <c r="G138" s="76"/>
      <c r="H138" s="84" t="str">
        <f>IFERROR((F138-D138)/D138,"-")</f>
        <v>-</v>
      </c>
      <c r="I138" s="78" t="str">
        <f>IFERROR((F138-E138)/E138,"-")</f>
        <v>-</v>
      </c>
    </row>
    <row r="139" spans="3:12" x14ac:dyDescent="0.25">
      <c r="C139" s="25" t="s">
        <v>54</v>
      </c>
      <c r="D139" s="74" t="str">
        <f t="array" ref="D139">IFERROR(MEDIAN(IF(IncLim&gt;0, IF(Months=months4,IF(PY=PY6_,IF(Filter1=Source2,IncLim))))),"-")</f>
        <v>-</v>
      </c>
      <c r="E139" s="74" t="str">
        <f t="array" ref="E139">IFERROR(MEDIAN(IF(IncLim&gt;0, IF(Months=months4,IF(PY=PY5_, IF(Filter1=Source2, IncLim))))),"-")</f>
        <v>-</v>
      </c>
      <c r="F139" s="74" t="str">
        <f t="array" ref="F139">IFERROR(MEDIAN(IF(IncLim&gt;0, IF(Months=months4,IF(PY=PY4_, IF(Filter1=Source2, IncLim))))),"-")</f>
        <v>-</v>
      </c>
      <c r="G139" s="76"/>
      <c r="H139" s="81" t="str">
        <f>IFERROR((F139-D139)/D139,"-")</f>
        <v>-</v>
      </c>
      <c r="I139" s="78" t="str">
        <f>IFERROR((F139-E139)/E139,"-")</f>
        <v>-</v>
      </c>
    </row>
    <row r="140" spans="3:12" x14ac:dyDescent="0.25">
      <c r="C140" s="26"/>
      <c r="D140" s="27"/>
      <c r="E140" s="27"/>
      <c r="F140" s="28"/>
      <c r="G140" s="29"/>
      <c r="H140" s="23"/>
      <c r="I140" s="24"/>
    </row>
    <row r="141" spans="3:12" x14ac:dyDescent="0.25">
      <c r="C141" s="25" t="s">
        <v>55</v>
      </c>
      <c r="D141" s="74">
        <f>IFERROR((VLOOKUP(PY6_,$M$4:$Q$10,5,FALSE)/100),"-")</f>
        <v>293000</v>
      </c>
      <c r="E141" s="74">
        <f>IFERROR((VLOOKUP(PY5_,$M$4:$Q$10,5,FALSE)/100),"-")</f>
        <v>274080</v>
      </c>
      <c r="F141" s="75">
        <f>IFERROR((VLOOKUP(PY4_,$M$4:$Q$10,5,FALSE)/100),"-")</f>
        <v>293120</v>
      </c>
      <c r="G141" s="76"/>
      <c r="H141" s="81">
        <f>IFERROR((F141-D141)/D141,"-")</f>
        <v>4.0955631399317407E-4</v>
      </c>
      <c r="I141" s="78">
        <f>IFERROR((F141-E141)/E141,"-")</f>
        <v>6.9468768242848797E-2</v>
      </c>
    </row>
    <row r="142" spans="3:12" ht="15.75" thickBot="1" x14ac:dyDescent="0.3">
      <c r="C142" s="32" t="s">
        <v>57</v>
      </c>
      <c r="D142" s="85">
        <f>IFERROR(D133/D141,"-")</f>
        <v>0</v>
      </c>
      <c r="E142" s="85">
        <f>IFERROR(E133/E141,"-")</f>
        <v>0</v>
      </c>
      <c r="F142" s="85">
        <f>IFERROR(F133/F141,"-")</f>
        <v>0</v>
      </c>
      <c r="G142" s="86"/>
      <c r="H142" s="87" t="str">
        <f>IFERROR((F142-D142)/D142,"-")</f>
        <v>-</v>
      </c>
      <c r="I142" s="88" t="str">
        <f>IFERROR((F142-E142)/E142,"-")</f>
        <v>-</v>
      </c>
    </row>
    <row r="143" spans="3:12" ht="15.75" thickBot="1" x14ac:dyDescent="0.3">
      <c r="C143" s="26"/>
      <c r="D143" s="27"/>
      <c r="E143" s="27"/>
      <c r="F143" s="28"/>
      <c r="G143" s="29"/>
      <c r="H143" s="30"/>
      <c r="I143" s="31"/>
    </row>
    <row r="144" spans="3:12" x14ac:dyDescent="0.25">
      <c r="C144" s="25" t="s">
        <v>58</v>
      </c>
      <c r="D144" s="80">
        <f t="array" ref="D144">SUM((IncLim&gt;0)*(indType&gt;0)*(Months=months4)*(PY=PY6_)*(Filter1=Source2))</f>
        <v>0</v>
      </c>
      <c r="E144" s="80">
        <f t="array" ref="E144">SUM((IncLim&gt;0)*(indType&gt;0)*(Months=months4)*(PY=PY5_)*(Filter1=Source2))</f>
        <v>0</v>
      </c>
      <c r="F144" s="89">
        <f t="array" ref="F144">SUM((IncLim&gt;0)*(indType&gt;0)*(Months=months4)*(PY=PY4_)*(Filter1=Source2))</f>
        <v>0</v>
      </c>
      <c r="G144" s="76"/>
      <c r="H144" s="77" t="str">
        <f>IFERROR((F144-D144)/D144,"-")</f>
        <v>-</v>
      </c>
      <c r="I144" s="78" t="str">
        <f>IFERROR((F144-E144)/E144,"-")</f>
        <v>-</v>
      </c>
    </row>
    <row r="145" spans="2:14" x14ac:dyDescent="0.25">
      <c r="C145" s="25" t="s">
        <v>59</v>
      </c>
      <c r="D145" s="90" t="str">
        <f>IFERROR(D144/D137,"-")</f>
        <v>-</v>
      </c>
      <c r="E145" s="90" t="str">
        <f>IFERROR(E144/E137,"-")</f>
        <v>-</v>
      </c>
      <c r="F145" s="90" t="str">
        <f>IFERROR(F144/F137,"-")</f>
        <v>-</v>
      </c>
      <c r="G145" s="76"/>
      <c r="H145" s="93" t="str">
        <f>IFERROR(IF(((F145-D145)*100)&gt;0,"+"&amp;ROUND((F145-D145)*100,1),ROUND((F145-D145)*100,1)),"-")</f>
        <v>-</v>
      </c>
      <c r="I145" s="92" t="str">
        <f>IFERROR(IF(((F145-E145)*100)&gt;0,"+"&amp;ROUND((F145-E145)*100,1),ROUND((F145-E145)*100,1)),"-")</f>
        <v>-</v>
      </c>
    </row>
    <row r="146" spans="2:14" x14ac:dyDescent="0.25">
      <c r="B146" s="73"/>
      <c r="C146" s="25" t="s">
        <v>60</v>
      </c>
      <c r="D146" s="74">
        <f t="array" ref="D146">SUM((IncLim)*(indType&gt;0)*(Months=months4)*(PY=PY6_)*(Filter1=Source2))</f>
        <v>0</v>
      </c>
      <c r="E146" s="74">
        <f t="array" ref="E146">SUM((IncLim)*(indType&gt;0)*(Months=months4)*(PY=PY5_)*(Filter1=Source2))</f>
        <v>0</v>
      </c>
      <c r="F146" s="74">
        <f t="array" ref="F146">SUM((IncLim)*(indType&gt;0)*(Months=months4)*(PY=PY4_)*(Filter1=Source2))</f>
        <v>0</v>
      </c>
      <c r="G146" s="76"/>
      <c r="H146" s="81" t="str">
        <f t="shared" ref="H146:H147" si="12">IFERROR((F146-D146)/D146,"-")</f>
        <v>-</v>
      </c>
      <c r="I146" s="78" t="str">
        <f t="shared" ref="I146:I147" si="13">IFERROR((F146-E146)/E146,"-")</f>
        <v>-</v>
      </c>
      <c r="L146" s="2"/>
      <c r="N146" s="2"/>
    </row>
    <row r="147" spans="2:14" x14ac:dyDescent="0.25">
      <c r="B147" s="73"/>
      <c r="C147" s="25" t="s">
        <v>61</v>
      </c>
      <c r="D147" s="74" t="str">
        <f>IFERROR(D146/D144,"-")</f>
        <v>-</v>
      </c>
      <c r="E147" s="74" t="str">
        <f t="shared" ref="E147" si="14">IFERROR(E146/E144,"-")</f>
        <v>-</v>
      </c>
      <c r="F147" s="74" t="str">
        <f t="shared" ref="F147" si="15">IFERROR(F146/F144,"-")</f>
        <v>-</v>
      </c>
      <c r="G147" s="76"/>
      <c r="H147" s="81" t="str">
        <f t="shared" si="12"/>
        <v>-</v>
      </c>
      <c r="I147" s="78" t="str">
        <f t="shared" si="13"/>
        <v>-</v>
      </c>
      <c r="L147" s="2"/>
      <c r="N147" s="2"/>
    </row>
    <row r="148" spans="2:14" x14ac:dyDescent="0.25">
      <c r="C148" s="25" t="s">
        <v>62</v>
      </c>
      <c r="D148" s="90" t="str">
        <f>IFERROR(1-(D149/D144),"-")</f>
        <v>-</v>
      </c>
      <c r="E148" s="90" t="str">
        <f>IFERROR(1-(E149/E144),"-")</f>
        <v>-</v>
      </c>
      <c r="F148" s="90" t="str">
        <f>IFERROR(1-(F149/F144),"-")</f>
        <v>-</v>
      </c>
      <c r="G148" s="76"/>
      <c r="H148" s="93" t="str">
        <f>IFERROR(IF(((F148-D148)*100)&gt;0,"+"&amp;ROUND((F148-D148)*100,1),ROUND((F148-D148)*100,1)),"-")</f>
        <v>-</v>
      </c>
      <c r="I148" s="92" t="str">
        <f>IFERROR(IF(((F148-E148)*100)&gt;0,"+"&amp;ROUND((F148-E148)*100,1),ROUND((F148-E148)*100,1)),"-")</f>
        <v>-</v>
      </c>
    </row>
    <row r="149" spans="2:14" ht="15.75" thickBot="1" x14ac:dyDescent="0.3">
      <c r="C149" s="32" t="s">
        <v>63</v>
      </c>
      <c r="D149" s="106">
        <f t="array" ref="D149">D144-SUM((IncLim&gt;0)*(indType&gt;0)*(Closed&gt;0)*(Months=months4)*(PY=PY6_)*(Filter1=Source2))</f>
        <v>0</v>
      </c>
      <c r="E149" s="106">
        <f t="array" ref="E149">E144-SUM((IncLim&gt;0)*(indType&gt;0)*(Closed&gt;0)*(Months=months4)*(PY=PY5_)*(Filter1=Source2))</f>
        <v>0</v>
      </c>
      <c r="F149" s="106">
        <f t="array" ref="F149">F144-SUM((IncLim&gt;0)*(indType&gt;0)*(Closed&gt;0)*(Months=months4)*(PY=PY4_)*(Filter1=Source2))</f>
        <v>0</v>
      </c>
      <c r="G149" s="86"/>
      <c r="H149" s="87" t="str">
        <f>IFERROR((F149-D149)/D149,"-")</f>
        <v>-</v>
      </c>
      <c r="I149" s="88" t="str">
        <f>IFERROR((F149-E149)/E149,"-")</f>
        <v>-</v>
      </c>
    </row>
    <row r="150" spans="2:14" x14ac:dyDescent="0.25">
      <c r="C150" s="26"/>
      <c r="D150" s="33"/>
      <c r="E150" s="33"/>
      <c r="F150" s="34"/>
      <c r="G150" s="29"/>
      <c r="H150" s="30"/>
      <c r="I150" s="31"/>
    </row>
    <row r="151" spans="2:14" x14ac:dyDescent="0.25">
      <c r="C151" s="25" t="s">
        <v>72</v>
      </c>
      <c r="D151" s="80">
        <f t="array" ref="D151">SUM((IncLim&gt;0)*(Lit&gt;0)*(indType&gt;0)*(Months=months4)*(PY=PY6_)*(Filter1=Source2))</f>
        <v>0</v>
      </c>
      <c r="E151" s="80">
        <f t="array" ref="E151">SUM((IncLim&gt;0)*(Lit&gt;0)*(indType&gt;0)*(Months=months4)*(PY=PY5_)*(Filter1=Source2))</f>
        <v>0</v>
      </c>
      <c r="F151" s="89">
        <f t="array" ref="F151">SUM((IncLim&gt;0)*(Lit&gt;0)*(indType&gt;0)*(Months=months4)*(PY=PY4_)*(Filter1=Source2))</f>
        <v>0</v>
      </c>
      <c r="G151" s="76"/>
      <c r="H151" s="81" t="str">
        <f>IFERROR((F151-D151)/D151,"-")</f>
        <v>-</v>
      </c>
      <c r="I151" s="78" t="str">
        <f>IFERROR((F151-E151)/E151,"-")</f>
        <v>-</v>
      </c>
    </row>
    <row r="152" spans="2:14" x14ac:dyDescent="0.25">
      <c r="C152" s="25" t="s">
        <v>73</v>
      </c>
      <c r="D152" s="90" t="str">
        <f>IFERROR(D151/D144,"-")</f>
        <v>-</v>
      </c>
      <c r="E152" s="90" t="str">
        <f>IFERROR(E151/E144,"-")</f>
        <v>-</v>
      </c>
      <c r="F152" s="125" t="str">
        <f>IFERROR(F151/F144,"-")</f>
        <v>-</v>
      </c>
      <c r="G152" s="76"/>
      <c r="H152" s="93" t="str">
        <f>IFERROR(IF(((F152-D152)*100)&gt;0,"+"&amp;ROUND((F152-D152)*100,1),ROUND((F152-D152)*100,1)),"-")</f>
        <v>-</v>
      </c>
      <c r="I152" s="92" t="str">
        <f>IFERROR(IF(((F152-E152)*100)&gt;0,"+"&amp;ROUND((F152-E152)*100,1),ROUND((F152-E152)*100,1)),"-")</f>
        <v>-</v>
      </c>
    </row>
    <row r="153" spans="2:14" x14ac:dyDescent="0.25">
      <c r="B153" s="71"/>
      <c r="C153" s="25" t="s">
        <v>75</v>
      </c>
      <c r="D153" s="74">
        <f t="array" ref="D153">SUM((IncLim)*(Lit&gt;0)*(indType&gt;0)*(Months=months4)*(PY=PY6_)*(Filter1=Source2))</f>
        <v>0</v>
      </c>
      <c r="E153" s="74">
        <f t="array" ref="E153">SUM((IncLim)*(Lit&gt;0)*(indType&gt;0)*(Months=months4)*(PY=PY5_)*(Filter1=Source2))</f>
        <v>0</v>
      </c>
      <c r="F153" s="75">
        <f t="array" ref="F153">SUM((IncLim)*(Lit&gt;0)*(indType&gt;0)*(Months=months4)*(PY=PY4_)*(Filter1=Source2))</f>
        <v>0</v>
      </c>
      <c r="G153" s="76"/>
      <c r="H153" s="81" t="str">
        <f>IFERROR((F153-D153)/D153,"-")</f>
        <v>-</v>
      </c>
      <c r="I153" s="78" t="str">
        <f>IFERROR((F153-E153)/E153,"-")</f>
        <v>-</v>
      </c>
      <c r="L153" s="2"/>
      <c r="N153" s="2"/>
    </row>
    <row r="154" spans="2:14" x14ac:dyDescent="0.25">
      <c r="B154" s="71"/>
      <c r="C154" s="120" t="s">
        <v>100</v>
      </c>
      <c r="D154" s="122" t="str">
        <f>IFERROR(D153/D146,"-")</f>
        <v>-</v>
      </c>
      <c r="E154" s="122" t="str">
        <f>IFERROR(E153/E146,"-")</f>
        <v>-</v>
      </c>
      <c r="F154" s="122" t="str">
        <f>IFERROR(F153/F146,"-")</f>
        <v>-</v>
      </c>
      <c r="G154" s="121"/>
      <c r="H154" s="93" t="str">
        <f>IFERROR(IF(((F154-D154)*100)&gt;0,"+"&amp;ROUND((F154-D154)*100,1),ROUND((F154-D154)*100,1)),"-")</f>
        <v>-</v>
      </c>
      <c r="I154" s="92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1"/>
      <c r="C155" s="25" t="s">
        <v>91</v>
      </c>
      <c r="D155" s="80">
        <f t="array" ref="D155">SUM((IncLim&gt;0)*(Lit&gt;0)*(Months=months4)*(PY=PY6_)*(Filter1=Source2))</f>
        <v>0</v>
      </c>
      <c r="E155" s="80">
        <f t="array" ref="E155">SUM((IncLim&gt;0)*(Lit&gt;0)*(Months=months4)*(PY=PY5_)*(Filter1=Source2))</f>
        <v>0</v>
      </c>
      <c r="F155" s="89">
        <f t="array" ref="F155">SUM((IncLim&gt;0)*(Lit&gt;0)*(Months=months4)*(PY=PY4_)*(Filter1=Source2))</f>
        <v>0</v>
      </c>
      <c r="G155" s="76"/>
      <c r="H155" s="81" t="str">
        <f>IFERROR((F155-D155)/D155,"-")</f>
        <v>-</v>
      </c>
      <c r="I155" s="78" t="str">
        <f>IFERROR((F155-E155)/E155,"-")</f>
        <v>-</v>
      </c>
      <c r="L155" s="2"/>
      <c r="N155" s="2"/>
    </row>
    <row r="156" spans="2:14" x14ac:dyDescent="0.25">
      <c r="B156" s="71"/>
      <c r="C156" s="25" t="s">
        <v>74</v>
      </c>
      <c r="D156" s="74">
        <f t="array" ref="D156">SUM((IncLim)*(Lit&gt;0)*(Months=months4)*(PY=PY6_)*(Filter1=Source2))</f>
        <v>0</v>
      </c>
      <c r="E156" s="74">
        <f t="array" ref="E156">SUM((IncLim)*(Lit&gt;0)*(Months=months4)*(PY=PY5_)*(Filter1=Source2))</f>
        <v>0</v>
      </c>
      <c r="F156" s="75">
        <f t="array" ref="F156">SUM((IncLim)*(Lit&gt;0)*(Months=months4)*(PY=PY4_)*(Filter1=Source2))</f>
        <v>0</v>
      </c>
      <c r="G156" s="76"/>
      <c r="H156" s="81" t="str">
        <f>IFERROR((F156-D156)/D156,"-")</f>
        <v>-</v>
      </c>
      <c r="I156" s="78" t="str">
        <f>IFERROR((F156-E156)/E156,"-")</f>
        <v>-</v>
      </c>
      <c r="L156" s="2"/>
      <c r="N156" s="2"/>
    </row>
    <row r="157" spans="2:14" x14ac:dyDescent="0.25">
      <c r="B157" s="71"/>
      <c r="C157" s="25" t="s">
        <v>104</v>
      </c>
      <c r="D157" s="74"/>
      <c r="E157" s="74"/>
      <c r="F157" s="75"/>
      <c r="G157" s="76"/>
      <c r="H157" s="81" t="str">
        <f>IFERROR((F157-D157)/D157,"-")</f>
        <v>-</v>
      </c>
      <c r="I157" s="78" t="str">
        <f>IFERROR((F157-E157)/E157,"-")</f>
        <v>-</v>
      </c>
      <c r="L157" s="2"/>
      <c r="N157" s="2"/>
    </row>
    <row r="158" spans="2:14" x14ac:dyDescent="0.25">
      <c r="C158" s="26"/>
      <c r="D158" s="33"/>
      <c r="E158" s="33"/>
      <c r="F158" s="34"/>
      <c r="G158" s="29"/>
      <c r="H158" s="30"/>
      <c r="I158" s="31"/>
    </row>
    <row r="159" spans="2:14" x14ac:dyDescent="0.25">
      <c r="C159" s="25" t="s">
        <v>64</v>
      </c>
      <c r="D159" s="94">
        <f>SUMPRODUCT(LARGE((Months=months4)*(PY=PY6_)*(IncLim)*(Filter1=Source2),{1,2,3,4,5}))</f>
        <v>0</v>
      </c>
      <c r="E159" s="94">
        <f>SUMPRODUCT(LARGE((Months=months4)*(PY=PY5_)*(IncLim)*(Filter1=Source2),{1,2,3,4,5}))</f>
        <v>0</v>
      </c>
      <c r="F159" s="95">
        <f>SUMPRODUCT(LARGE((Months=months4)*(PY=PY4_)*(IncLim)*(Filter1=Source2),{1,2,3,4,5}))</f>
        <v>0</v>
      </c>
      <c r="G159" s="76"/>
      <c r="H159" s="81" t="str">
        <f>IFERROR((F159-D159)/D159,"-")</f>
        <v>-</v>
      </c>
      <c r="I159" s="78" t="str">
        <f>IFERROR((F159-E159)/E159,"-")</f>
        <v>-</v>
      </c>
    </row>
    <row r="160" spans="2:14" ht="15.75" thickBot="1" x14ac:dyDescent="0.3">
      <c r="C160" s="35" t="s">
        <v>65</v>
      </c>
      <c r="D160" s="126" t="str">
        <f>IFERROR(D159/D133,"-")</f>
        <v>-</v>
      </c>
      <c r="E160" s="126" t="str">
        <f>IFERROR(E159/E133,"-")</f>
        <v>-</v>
      </c>
      <c r="F160" s="126" t="str">
        <f>IFERROR(F159/F133,"-")</f>
        <v>-</v>
      </c>
      <c r="G160" s="96"/>
      <c r="H160" s="97" t="str">
        <f>IFERROR(IF(((F160-D160)*100)&gt;0,"+"&amp;ROUND((F160-D160)*100,1),ROUND((F160-D160)*100,1)),"-")</f>
        <v>-</v>
      </c>
      <c r="I160" s="98" t="str">
        <f>IFERROR(IF(((F160-E160)*100)&gt;0,"+"&amp;ROUND((F160-E160)*100,1),ROUND((F160-E160)*100,1)),"-")</f>
        <v>-</v>
      </c>
    </row>
    <row r="163" spans="8:9" x14ac:dyDescent="0.25">
      <c r="H163" s="2"/>
      <c r="I163" s="2"/>
    </row>
    <row r="164" spans="8:9" x14ac:dyDescent="0.25">
      <c r="H164" s="2"/>
      <c r="I164" s="2"/>
    </row>
    <row r="165" spans="8:9" x14ac:dyDescent="0.25">
      <c r="H165" s="2"/>
      <c r="I165" s="2"/>
    </row>
    <row r="166" spans="8:9" x14ac:dyDescent="0.25">
      <c r="H166" s="2"/>
      <c r="I166" s="2"/>
    </row>
    <row r="167" spans="8:9" x14ac:dyDescent="0.25">
      <c r="H167" s="2"/>
      <c r="I167" s="2"/>
    </row>
    <row r="168" spans="8:9" x14ac:dyDescent="0.25">
      <c r="H168" s="2"/>
      <c r="I168" s="2"/>
    </row>
    <row r="169" spans="8:9" x14ac:dyDescent="0.25">
      <c r="H169" s="2"/>
      <c r="I169" s="2"/>
    </row>
    <row r="170" spans="8:9" x14ac:dyDescent="0.25">
      <c r="H170" s="2"/>
      <c r="I170" s="2"/>
    </row>
    <row r="171" spans="8:9" x14ac:dyDescent="0.25">
      <c r="H171" s="2"/>
      <c r="I171" s="2"/>
    </row>
    <row r="172" spans="8:9" x14ac:dyDescent="0.25">
      <c r="H172" s="2"/>
      <c r="I172" s="2"/>
    </row>
    <row r="173" spans="8:9" x14ac:dyDescent="0.25">
      <c r="H173" s="2"/>
      <c r="I173" s="2"/>
    </row>
    <row r="174" spans="8:9" x14ac:dyDescent="0.25">
      <c r="H174" s="2"/>
      <c r="I174" s="2"/>
    </row>
    <row r="175" spans="8:9" x14ac:dyDescent="0.25">
      <c r="H175" s="2"/>
      <c r="I175" s="2"/>
    </row>
    <row r="176" spans="8:9" x14ac:dyDescent="0.25">
      <c r="H176" s="2"/>
      <c r="I176" s="2"/>
    </row>
    <row r="177" spans="2:9" x14ac:dyDescent="0.25">
      <c r="H177" s="2"/>
      <c r="I177" s="2"/>
    </row>
    <row r="178" spans="2:9" x14ac:dyDescent="0.25">
      <c r="H178" s="2"/>
      <c r="I178" s="2"/>
    </row>
    <row r="179" spans="2:9" x14ac:dyDescent="0.25">
      <c r="H179" s="2"/>
      <c r="I179" s="2"/>
    </row>
    <row r="180" spans="2:9" x14ac:dyDescent="0.25">
      <c r="H180" s="2"/>
      <c r="I180" s="2"/>
    </row>
    <row r="181" spans="2:9" x14ac:dyDescent="0.25">
      <c r="H181" s="2"/>
      <c r="I181" s="2"/>
    </row>
    <row r="182" spans="2:9" x14ac:dyDescent="0.25">
      <c r="H182" s="2"/>
      <c r="I182" s="2"/>
    </row>
    <row r="183" spans="2:9" x14ac:dyDescent="0.25">
      <c r="H183" s="2"/>
      <c r="I183" s="2"/>
    </row>
    <row r="184" spans="2:9" x14ac:dyDescent="0.25">
      <c r="H184" s="2"/>
      <c r="I184" s="2"/>
    </row>
    <row r="185" spans="2:9" x14ac:dyDescent="0.25">
      <c r="H185" s="2"/>
      <c r="I185" s="2"/>
    </row>
    <row r="186" spans="2:9" x14ac:dyDescent="0.25">
      <c r="H186" s="2"/>
      <c r="I186" s="2"/>
    </row>
    <row r="187" spans="2:9" x14ac:dyDescent="0.25">
      <c r="B187" s="2"/>
      <c r="H187" s="2"/>
      <c r="I187" s="2"/>
    </row>
    <row r="188" spans="2:9" x14ac:dyDescent="0.25">
      <c r="B188" s="2"/>
      <c r="H188" s="2"/>
      <c r="I188" s="2"/>
    </row>
    <row r="189" spans="2:9" x14ac:dyDescent="0.25">
      <c r="B189" s="2"/>
      <c r="H189" s="2"/>
      <c r="I189" s="2"/>
    </row>
    <row r="190" spans="2:9" x14ac:dyDescent="0.25">
      <c r="B190" s="2"/>
      <c r="H190" s="2"/>
      <c r="I190" s="2"/>
    </row>
    <row r="191" spans="2:9" x14ac:dyDescent="0.25">
      <c r="B191" s="2"/>
      <c r="H191" s="2"/>
      <c r="I191" s="2"/>
    </row>
    <row r="192" spans="2:9" x14ac:dyDescent="0.25">
      <c r="B192" s="2"/>
      <c r="H192" s="2"/>
      <c r="I192" s="2"/>
    </row>
    <row r="193" spans="2:14" x14ac:dyDescent="0.25">
      <c r="B193" s="2"/>
      <c r="H193" s="2"/>
      <c r="I193" s="2"/>
    </row>
    <row r="194" spans="2:14" x14ac:dyDescent="0.25">
      <c r="B194" s="2"/>
      <c r="H194" s="2"/>
      <c r="I194" s="2"/>
    </row>
    <row r="195" spans="2:14" x14ac:dyDescent="0.25">
      <c r="B195" s="2"/>
      <c r="H195" s="2"/>
      <c r="I195" s="2"/>
    </row>
    <row r="196" spans="2:14" x14ac:dyDescent="0.25">
      <c r="B196" s="2"/>
      <c r="H196" s="2"/>
      <c r="I196" s="2"/>
    </row>
    <row r="197" spans="2:14" x14ac:dyDescent="0.25">
      <c r="B197" s="71"/>
      <c r="C197" s="25" t="s">
        <v>104</v>
      </c>
      <c r="D197" s="74"/>
      <c r="E197" s="74"/>
      <c r="F197" s="75"/>
      <c r="G197" s="76"/>
      <c r="H197" s="81" t="str">
        <f>IFERROR((F197-D197)/D197,"-")</f>
        <v>-</v>
      </c>
      <c r="I197" s="78" t="str">
        <f>IFERROR((F197-E197)/E197,"-")</f>
        <v>-</v>
      </c>
      <c r="L197" s="2"/>
      <c r="N197" s="2"/>
    </row>
    <row r="198" spans="2:14" x14ac:dyDescent="0.25">
      <c r="B198" s="2"/>
      <c r="H198" s="2"/>
      <c r="I198" s="2"/>
    </row>
    <row r="199" spans="2:14" x14ac:dyDescent="0.25">
      <c r="B199" s="2"/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D124:F124"/>
    <mergeCell ref="C125:C128"/>
    <mergeCell ref="D125:F125"/>
    <mergeCell ref="G125:I127"/>
    <mergeCell ref="C45:C48"/>
    <mergeCell ref="D45:F45"/>
    <mergeCell ref="G45:I47"/>
    <mergeCell ref="D84:F84"/>
    <mergeCell ref="C85:C88"/>
    <mergeCell ref="D85:F85"/>
    <mergeCell ref="G85:I87"/>
    <mergeCell ref="D4:F4"/>
    <mergeCell ref="C5:C8"/>
    <mergeCell ref="D5:F5"/>
    <mergeCell ref="G5:I7"/>
    <mergeCell ref="D44:F44"/>
  </mergeCell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400-00009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2'!D197:F197</xm:f>
              <xm:sqref>G197</xm:sqref>
            </x14:sparkline>
          </x14:sparklines>
        </x14:sparklineGroup>
        <x14:sparklineGroup manualMax="0" manualMin="0" displayEmptyCellsAs="gap" last="1" xr2:uid="{00000000-0003-0000-0400-00009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2'!D157:F157</xm:f>
              <xm:sqref>G157</xm:sqref>
            </x14:sparkline>
          </x14:sparklines>
        </x14:sparklineGroup>
        <x14:sparklineGroup manualMax="0" manualMin="0" displayEmptyCellsAs="gap" last="1" xr2:uid="{00000000-0003-0000-0400-00009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2'!D117:F117</xm:f>
              <xm:sqref>G117</xm:sqref>
            </x14:sparkline>
          </x14:sparklines>
        </x14:sparklineGroup>
        <x14:sparklineGroup manualMax="0" manualMin="0" displayEmptyCellsAs="gap" last="1" xr2:uid="{00000000-0003-0000-0400-00009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2'!D77:F77</xm:f>
              <xm:sqref>G77</xm:sqref>
            </x14:sparkline>
          </x14:sparklines>
        </x14:sparklineGroup>
        <x14:sparklineGroup manualMax="0" manualMin="0" displayEmptyCellsAs="gap" last="1" xr2:uid="{00000000-0003-0000-0400-00009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2'!D37:F37</xm:f>
              <xm:sqref>G37</xm:sqref>
            </x14:sparkline>
          </x14:sparklines>
        </x14:sparklineGroup>
        <x14:sparklineGroup manualMax="0" manualMin="0" displayEmptyCellsAs="gap" last="1" xr2:uid="{00000000-0003-0000-0400-00009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2'!D156:F156</xm:f>
              <xm:sqref>G156</xm:sqref>
            </x14:sparkline>
          </x14:sparklines>
        </x14:sparklineGroup>
        <x14:sparklineGroup manualMax="0" manualMin="0" displayEmptyCellsAs="gap" last="1" xr2:uid="{00000000-0003-0000-0400-00009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2'!D153:F153</xm:f>
              <xm:sqref>G153</xm:sqref>
            </x14:sparkline>
            <x14:sparkline>
              <xm:f>'Filtered Scorecard 2'!D154:F154</xm:f>
              <xm:sqref>G154</xm:sqref>
            </x14:sparkline>
          </x14:sparklines>
        </x14:sparklineGroup>
        <x14:sparklineGroup manualMax="0" manualMin="0" displayEmptyCellsAs="gap" last="1" xr2:uid="{00000000-0003-0000-0400-00009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2'!D155:F155</xm:f>
              <xm:sqref>G155</xm:sqref>
            </x14:sparkline>
          </x14:sparklines>
        </x14:sparklineGroup>
        <x14:sparklineGroup manualMax="0" manualMin="0" displayEmptyCellsAs="gap" last="1" xr2:uid="{00000000-0003-0000-0400-00009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2'!D115:F115</xm:f>
              <xm:sqref>G115</xm:sqref>
            </x14:sparkline>
          </x14:sparklines>
        </x14:sparklineGroup>
        <x14:sparklineGroup manualMax="0" manualMin="0" displayEmptyCellsAs="gap" last="1" xr2:uid="{00000000-0003-0000-0400-00009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2'!D113:F113</xm:f>
              <xm:sqref>G113</xm:sqref>
            </x14:sparkline>
            <x14:sparkline>
              <xm:f>'Filtered Scorecard 2'!D114:F114</xm:f>
              <xm:sqref>G114</xm:sqref>
            </x14:sparkline>
          </x14:sparklines>
        </x14:sparklineGroup>
        <x14:sparklineGroup manualMax="0" manualMin="0" displayEmptyCellsAs="gap" last="1" xr2:uid="{00000000-0003-0000-0400-00009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2'!D116:F116</xm:f>
              <xm:sqref>G116</xm:sqref>
            </x14:sparkline>
          </x14:sparklines>
        </x14:sparklineGroup>
        <x14:sparklineGroup manualMax="0" manualMin="0" displayEmptyCellsAs="gap" last="1" xr2:uid="{00000000-0003-0000-0400-00008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2'!D158:F158</xm:f>
              <xm:sqref>G158</xm:sqref>
            </x14:sparkline>
          </x14:sparklines>
        </x14:sparklineGroup>
        <x14:sparklineGroup manualMax="0" manualMin="0" displayEmptyCellsAs="gap" last="1" xr2:uid="{00000000-0003-0000-0400-00008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2'!D118:F118</xm:f>
              <xm:sqref>G118</xm:sqref>
            </x14:sparkline>
          </x14:sparklines>
        </x14:sparklineGroup>
        <x14:sparklineGroup manualMax="0" manualMin="0" displayEmptyCellsAs="gap" last="1" xr2:uid="{00000000-0003-0000-0400-00008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2'!D76:F76</xm:f>
              <xm:sqref>G76</xm:sqref>
            </x14:sparkline>
          </x14:sparklines>
        </x14:sparklineGroup>
        <x14:sparklineGroup manualMax="0" manualMin="0" displayEmptyCellsAs="gap" last="1" xr2:uid="{00000000-0003-0000-0400-00008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2'!D73:F73</xm:f>
              <xm:sqref>G73</xm:sqref>
            </x14:sparkline>
            <x14:sparkline>
              <xm:f>'Filtered Scorecard 2'!D74:F74</xm:f>
              <xm:sqref>G74</xm:sqref>
            </x14:sparkline>
          </x14:sparklines>
        </x14:sparklineGroup>
        <x14:sparklineGroup manualMax="0" manualMin="0" displayEmptyCellsAs="gap" last="1" xr2:uid="{00000000-0003-0000-0400-00008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2'!D75:F75</xm:f>
              <xm:sqref>G75</xm:sqref>
            </x14:sparkline>
          </x14:sparklines>
        </x14:sparklineGroup>
        <x14:sparklineGroup manualMax="0" manualMin="0" displayEmptyCellsAs="gap" last="1" xr2:uid="{00000000-0003-0000-0400-00008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2'!D78:F78</xm:f>
              <xm:sqref>G78</xm:sqref>
            </x14:sparkline>
          </x14:sparklines>
        </x14:sparklineGroup>
        <x14:sparklineGroup manualMax="0" manualMin="0" displayEmptyCellsAs="gap" last="1" xr2:uid="{00000000-0003-0000-0400-00008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2'!D35:F35</xm:f>
              <xm:sqref>G35</xm:sqref>
            </x14:sparkline>
          </x14:sparklines>
        </x14:sparklineGroup>
        <x14:sparklineGroup manualMax="0" manualMin="0" displayEmptyCellsAs="gap" last="1" xr2:uid="{00000000-0003-0000-0400-00008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2'!D33:F33</xm:f>
              <xm:sqref>G33</xm:sqref>
            </x14:sparkline>
            <x14:sparkline>
              <xm:f>'Filtered Scorecard 2'!D34:F34</xm:f>
              <xm:sqref>G34</xm:sqref>
            </x14:sparkline>
          </x14:sparklines>
        </x14:sparklineGroup>
        <x14:sparklineGroup manualMax="0" manualMin="0" displayEmptyCellsAs="gap" last="1" xr2:uid="{00000000-0003-0000-0400-00008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2'!D36:F36</xm:f>
              <xm:sqref>G36</xm:sqref>
            </x14:sparkline>
          </x14:sparklines>
        </x14:sparklineGroup>
        <x14:sparklineGroup manualMax="0" manualMin="0" displayEmptyCellsAs="gap" last="1" xr2:uid="{00000000-0003-0000-0400-00008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2'!D11:F11</xm:f>
              <xm:sqref>G11</xm:sqref>
            </x14:sparkline>
            <x14:sparkline>
              <xm:f>'Filtered Scorecard 2'!D12:F12</xm:f>
              <xm:sqref>G12</xm:sqref>
            </x14:sparkline>
            <x14:sparkline>
              <xm:f>'Filtered Scorecard 2'!D13:F13</xm:f>
              <xm:sqref>G13</xm:sqref>
            </x14:sparkline>
            <x14:sparkline>
              <xm:f>'Filtered Scorecard 2'!D15:F15</xm:f>
              <xm:sqref>G15</xm:sqref>
            </x14:sparkline>
            <x14:sparkline>
              <xm:f>'Filtered Scorecard 2'!D16:F16</xm:f>
              <xm:sqref>G16</xm:sqref>
            </x14:sparkline>
            <x14:sparkline>
              <xm:f>'Filtered Scorecard 2'!D17:F17</xm:f>
              <xm:sqref>G17</xm:sqref>
            </x14:sparkline>
            <x14:sparkline>
              <xm:f>'Filtered Scorecard 2'!D18:F18</xm:f>
              <xm:sqref>G18</xm:sqref>
            </x14:sparkline>
            <x14:sparkline>
              <xm:f>'Filtered Scorecard 2'!D19:F19</xm:f>
              <xm:sqref>G19</xm:sqref>
            </x14:sparkline>
            <x14:sparkline>
              <xm:f>'Filtered Scorecard 2'!D20:F20</xm:f>
              <xm:sqref>G20</xm:sqref>
            </x14:sparkline>
            <x14:sparkline>
              <xm:f>'Filtered Scorecard 2'!D24:F24</xm:f>
              <xm:sqref>G24</xm:sqref>
            </x14:sparkline>
            <x14:sparkline>
              <xm:f>'Filtered Scorecard 2'!D25:F25</xm:f>
              <xm:sqref>G25</xm:sqref>
            </x14:sparkline>
            <x14:sparkline>
              <xm:f>'Filtered Scorecard 2'!D28:F28</xm:f>
              <xm:sqref>G28</xm:sqref>
            </x14:sparkline>
            <x14:sparkline>
              <xm:f>'Filtered Scorecard 2'!D29:F29</xm:f>
              <xm:sqref>G29</xm:sqref>
            </x14:sparkline>
            <x14:sparkline>
              <xm:f>'Filtered Scorecard 2'!D30:F30</xm:f>
              <xm:sqref>G30</xm:sqref>
            </x14:sparkline>
            <x14:sparkline>
              <xm:f>'Filtered Scorecard 2'!D39:F39</xm:f>
              <xm:sqref>G39</xm:sqref>
            </x14:sparkline>
            <x14:sparkline>
              <xm:f>'Filtered Scorecard 2'!D40:F40</xm:f>
              <xm:sqref>G40</xm:sqref>
            </x14:sparkline>
            <x14:sparkline>
              <xm:f>'Filtered Scorecard 2'!D32:F32</xm:f>
              <xm:sqref>G32</xm:sqref>
            </x14:sparkline>
            <x14:sparkline>
              <xm:f>'Filtered Scorecard 2'!D21:F21</xm:f>
              <xm:sqref>G21</xm:sqref>
            </x14:sparkline>
            <x14:sparkline>
              <xm:f>'Filtered Scorecard 2'!D22:F22</xm:f>
              <xm:sqref>G22</xm:sqref>
            </x14:sparkline>
          </x14:sparklines>
        </x14:sparklineGroup>
        <x14:sparklineGroup manualMax="0" manualMin="0" displayEmptyCellsAs="gap" last="1" xr2:uid="{00000000-0003-0000-0400-00008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2'!D50:F50</xm:f>
              <xm:sqref>G50</xm:sqref>
            </x14:sparkline>
          </x14:sparklines>
        </x14:sparklineGroup>
        <x14:sparklineGroup manualMax="0" manualMin="0" displayEmptyCellsAs="gap" last="1" xr2:uid="{00000000-0003-0000-0400-00008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2'!D14:F14</xm:f>
              <xm:sqref>G14</xm:sqref>
            </x14:sparkline>
          </x14:sparklines>
        </x14:sparklineGroup>
        <x14:sparklineGroup manualMax="0" manualMin="0" displayEmptyCellsAs="gap" last="1" negative="1" xr2:uid="{00000000-0003-0000-0400-000083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2'!D49:F49</xm:f>
              <xm:sqref>G49</xm:sqref>
            </x14:sparkline>
          </x14:sparklines>
        </x14:sparklineGroup>
        <x14:sparklineGroup manualMax="0" manualMin="0" displayEmptyCellsAs="gap" last="1" xr2:uid="{00000000-0003-0000-0400-00008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2'!D63:F63</xm:f>
              <xm:sqref>G63</xm:sqref>
            </x14:sparkline>
          </x14:sparklines>
        </x14:sparklineGroup>
        <x14:sparklineGroup manualMax="0" manualMin="0" displayEmptyCellsAs="gap" last="1" xr2:uid="{00000000-0003-0000-0400-00008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2'!D71:F71</xm:f>
              <xm:sqref>G71</xm:sqref>
            </x14:sparkline>
          </x14:sparklines>
        </x14:sparklineGroup>
        <x14:sparklineGroup manualMax="0" manualMin="0" displayEmptyCellsAs="gap" last="1" xr2:uid="{00000000-0003-0000-0400-00008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2'!D51:F51</xm:f>
              <xm:sqref>G51</xm:sqref>
            </x14:sparkline>
            <x14:sparkline>
              <xm:f>'Filtered Scorecard 2'!D52:F52</xm:f>
              <xm:sqref>G52</xm:sqref>
            </x14:sparkline>
            <x14:sparkline>
              <xm:f>'Filtered Scorecard 2'!D53:F53</xm:f>
              <xm:sqref>G53</xm:sqref>
            </x14:sparkline>
            <x14:sparkline>
              <xm:f>'Filtered Scorecard 2'!D55:F55</xm:f>
              <xm:sqref>G55</xm:sqref>
            </x14:sparkline>
            <x14:sparkline>
              <xm:f>'Filtered Scorecard 2'!D56:F56</xm:f>
              <xm:sqref>G56</xm:sqref>
            </x14:sparkline>
            <x14:sparkline>
              <xm:f>'Filtered Scorecard 2'!D57:F57</xm:f>
              <xm:sqref>G57</xm:sqref>
            </x14:sparkline>
            <x14:sparkline>
              <xm:f>'Filtered Scorecard 2'!D58:F58</xm:f>
              <xm:sqref>G58</xm:sqref>
            </x14:sparkline>
            <x14:sparkline>
              <xm:f>'Filtered Scorecard 2'!D59:F59</xm:f>
              <xm:sqref>G59</xm:sqref>
            </x14:sparkline>
            <x14:sparkline>
              <xm:f>'Filtered Scorecard 2'!D60:F60</xm:f>
              <xm:sqref>G60</xm:sqref>
            </x14:sparkline>
            <x14:sparkline>
              <xm:f>'Filtered Scorecard 2'!D64:F64</xm:f>
              <xm:sqref>G64</xm:sqref>
            </x14:sparkline>
            <x14:sparkline>
              <xm:f>'Filtered Scorecard 2'!D65:F65</xm:f>
              <xm:sqref>G65</xm:sqref>
            </x14:sparkline>
            <x14:sparkline>
              <xm:f>'Filtered Scorecard 2'!D68:F68</xm:f>
              <xm:sqref>G68</xm:sqref>
            </x14:sparkline>
            <x14:sparkline>
              <xm:f>'Filtered Scorecard 2'!D69:F69</xm:f>
              <xm:sqref>G69</xm:sqref>
            </x14:sparkline>
            <x14:sparkline>
              <xm:f>'Filtered Scorecard 2'!D70:F70</xm:f>
              <xm:sqref>G70</xm:sqref>
            </x14:sparkline>
            <x14:sparkline>
              <xm:f>'Filtered Scorecard 2'!D79:F79</xm:f>
              <xm:sqref>G79</xm:sqref>
            </x14:sparkline>
            <x14:sparkline>
              <xm:f>'Filtered Scorecard 2'!D80:F80</xm:f>
              <xm:sqref>G80</xm:sqref>
            </x14:sparkline>
            <x14:sparkline>
              <xm:f>'Filtered Scorecard 2'!D72:F72</xm:f>
              <xm:sqref>G72</xm:sqref>
            </x14:sparkline>
            <x14:sparkline>
              <xm:f>'Filtered Scorecard 2'!D61:F61</xm:f>
              <xm:sqref>G61</xm:sqref>
            </x14:sparkline>
            <x14:sparkline>
              <xm:f>'Filtered Scorecard 2'!D62:F62</xm:f>
              <xm:sqref>G62</xm:sqref>
            </x14:sparkline>
          </x14:sparklines>
        </x14:sparklineGroup>
        <x14:sparklineGroup manualMax="0" manualMin="0" displayEmptyCellsAs="gap" last="1" xr2:uid="{00000000-0003-0000-0400-00007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2'!D91:F91</xm:f>
              <xm:sqref>G91</xm:sqref>
            </x14:sparkline>
            <x14:sparkline>
              <xm:f>'Filtered Scorecard 2'!D92:F92</xm:f>
              <xm:sqref>G92</xm:sqref>
            </x14:sparkline>
            <x14:sparkline>
              <xm:f>'Filtered Scorecard 2'!D93:F93</xm:f>
              <xm:sqref>G93</xm:sqref>
            </x14:sparkline>
            <x14:sparkline>
              <xm:f>'Filtered Scorecard 2'!D95:F95</xm:f>
              <xm:sqref>G95</xm:sqref>
            </x14:sparkline>
            <x14:sparkline>
              <xm:f>'Filtered Scorecard 2'!D96:F96</xm:f>
              <xm:sqref>G96</xm:sqref>
            </x14:sparkline>
            <x14:sparkline>
              <xm:f>'Filtered Scorecard 2'!D97:F97</xm:f>
              <xm:sqref>G97</xm:sqref>
            </x14:sparkline>
            <x14:sparkline>
              <xm:f>'Filtered Scorecard 2'!D98:F98</xm:f>
              <xm:sqref>G98</xm:sqref>
            </x14:sparkline>
            <x14:sparkline>
              <xm:f>'Filtered Scorecard 2'!D99:F99</xm:f>
              <xm:sqref>G99</xm:sqref>
            </x14:sparkline>
            <x14:sparkline>
              <xm:f>'Filtered Scorecard 2'!D100:F100</xm:f>
              <xm:sqref>G100</xm:sqref>
            </x14:sparkline>
            <x14:sparkline>
              <xm:f>'Filtered Scorecard 2'!D104:F104</xm:f>
              <xm:sqref>G104</xm:sqref>
            </x14:sparkline>
            <x14:sparkline>
              <xm:f>'Filtered Scorecard 2'!D105:F105</xm:f>
              <xm:sqref>G105</xm:sqref>
            </x14:sparkline>
            <x14:sparkline>
              <xm:f>'Filtered Scorecard 2'!D108:F108</xm:f>
              <xm:sqref>G108</xm:sqref>
            </x14:sparkline>
            <x14:sparkline>
              <xm:f>'Filtered Scorecard 2'!D109:F109</xm:f>
              <xm:sqref>G109</xm:sqref>
            </x14:sparkline>
            <x14:sparkline>
              <xm:f>'Filtered Scorecard 2'!D110:F110</xm:f>
              <xm:sqref>G110</xm:sqref>
            </x14:sparkline>
            <x14:sparkline>
              <xm:f>'Filtered Scorecard 2'!D119:F119</xm:f>
              <xm:sqref>G119</xm:sqref>
            </x14:sparkline>
            <x14:sparkline>
              <xm:f>'Filtered Scorecard 2'!D120:F120</xm:f>
              <xm:sqref>G120</xm:sqref>
            </x14:sparkline>
            <x14:sparkline>
              <xm:f>'Filtered Scorecard 2'!D112:F112</xm:f>
              <xm:sqref>G112</xm:sqref>
            </x14:sparkline>
            <x14:sparkline>
              <xm:f>'Filtered Scorecard 2'!D101:F101</xm:f>
              <xm:sqref>G101</xm:sqref>
            </x14:sparkline>
            <x14:sparkline>
              <xm:f>'Filtered Scorecard 2'!D102:F102</xm:f>
              <xm:sqref>G102</xm:sqref>
            </x14:sparkline>
          </x14:sparklines>
        </x14:sparklineGroup>
        <x14:sparklineGroup manualMax="0" manualMin="0" displayEmptyCellsAs="gap" last="1" xr2:uid="{00000000-0003-0000-0400-00007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2'!D111:F111</xm:f>
              <xm:sqref>G111</xm:sqref>
            </x14:sparkline>
          </x14:sparklines>
        </x14:sparklineGroup>
        <x14:sparklineGroup manualMax="0" manualMin="0" displayEmptyCellsAs="gap" last="1" xr2:uid="{00000000-0003-0000-0400-00007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2'!D26:F26</xm:f>
              <xm:sqref>G26</xm:sqref>
            </x14:sparkline>
            <x14:sparkline>
              <xm:f>'Filtered Scorecard 2'!D27:F27</xm:f>
              <xm:sqref>G27</xm:sqref>
            </x14:sparkline>
          </x14:sparklines>
        </x14:sparklineGroup>
        <x14:sparklineGroup manualMax="0" manualMin="0" displayEmptyCellsAs="gap" last="1" xr2:uid="{00000000-0003-0000-0400-00007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400-00007B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2'!D89:F89</xm:f>
              <xm:sqref>G89</xm:sqref>
            </x14:sparkline>
          </x14:sparklines>
        </x14:sparklineGroup>
        <x14:sparklineGroup manualMax="0" manualMin="0" displayEmptyCellsAs="gap" last="1" xr2:uid="{00000000-0003-0000-0400-00007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2'!D90:F90</xm:f>
              <xm:sqref>G90</xm:sqref>
            </x14:sparkline>
          </x14:sparklines>
        </x14:sparklineGroup>
        <x14:sparklineGroup manualMax="0" manualMin="0" displayEmptyCellsAs="gap" last="1" xr2:uid="{00000000-0003-0000-0400-00007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400-000078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2'!D129:F129</xm:f>
              <xm:sqref>G129</xm:sqref>
            </x14:sparkline>
          </x14:sparklines>
        </x14:sparklineGroup>
        <x14:sparklineGroup manualMax="0" manualMin="0" displayEmptyCellsAs="gap" last="1" xr2:uid="{00000000-0003-0000-0400-00007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2'!D10:F10</xm:f>
              <xm:sqref>G10</xm:sqref>
            </x14:sparkline>
          </x14:sparklines>
        </x14:sparklineGroup>
        <x14:sparklineGroup manualMax="0" manualMin="0" displayEmptyCellsAs="gap" last="1" negative="1" xr2:uid="{00000000-0003-0000-0400-000076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2'!D9:F9</xm:f>
              <xm:sqref>G9</xm:sqref>
            </x14:sparkline>
          </x14:sparklines>
        </x14:sparklineGroup>
        <x14:sparklineGroup manualMax="0" manualMin="0" displayEmptyCellsAs="gap" last="1" xr2:uid="{00000000-0003-0000-0400-00007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2'!D143:F143</xm:f>
              <xm:sqref>G143</xm:sqref>
            </x14:sparkline>
          </x14:sparklines>
        </x14:sparklineGroup>
        <x14:sparklineGroup manualMax="0" manualMin="0" displayEmptyCellsAs="gap" last="1" xr2:uid="{00000000-0003-0000-0400-00007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2'!D151:F151</xm:f>
              <xm:sqref>G151</xm:sqref>
            </x14:sparkline>
          </x14:sparklines>
        </x14:sparklineGroup>
        <x14:sparklineGroup manualMax="0" manualMin="0" displayEmptyCellsAs="gap" last="1" xr2:uid="{00000000-0003-0000-0400-00007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2'!D131:F131</xm:f>
              <xm:sqref>G131</xm:sqref>
            </x14:sparkline>
            <x14:sparkline>
              <xm:f>'Filtered Scorecard 2'!D132:F132</xm:f>
              <xm:sqref>G132</xm:sqref>
            </x14:sparkline>
            <x14:sparkline>
              <xm:f>'Filtered Scorecard 2'!D133:F133</xm:f>
              <xm:sqref>G133</xm:sqref>
            </x14:sparkline>
            <x14:sparkline>
              <xm:f>'Filtered Scorecard 2'!D135:F135</xm:f>
              <xm:sqref>G135</xm:sqref>
            </x14:sparkline>
            <x14:sparkline>
              <xm:f>'Filtered Scorecard 2'!D136:F136</xm:f>
              <xm:sqref>G136</xm:sqref>
            </x14:sparkline>
            <x14:sparkline>
              <xm:f>'Filtered Scorecard 2'!D137:F137</xm:f>
              <xm:sqref>G137</xm:sqref>
            </x14:sparkline>
            <x14:sparkline>
              <xm:f>'Filtered Scorecard 2'!D138:F138</xm:f>
              <xm:sqref>G138</xm:sqref>
            </x14:sparkline>
            <x14:sparkline>
              <xm:f>'Filtered Scorecard 2'!D139:F139</xm:f>
              <xm:sqref>G139</xm:sqref>
            </x14:sparkline>
            <x14:sparkline>
              <xm:f>'Filtered Scorecard 2'!D140:F140</xm:f>
              <xm:sqref>G140</xm:sqref>
            </x14:sparkline>
            <x14:sparkline>
              <xm:f>'Filtered Scorecard 2'!D144:F144</xm:f>
              <xm:sqref>G144</xm:sqref>
            </x14:sparkline>
            <x14:sparkline>
              <xm:f>'Filtered Scorecard 2'!D145:F145</xm:f>
              <xm:sqref>G145</xm:sqref>
            </x14:sparkline>
            <x14:sparkline>
              <xm:f>'Filtered Scorecard 2'!D148:F148</xm:f>
              <xm:sqref>G148</xm:sqref>
            </x14:sparkline>
            <x14:sparkline>
              <xm:f>'Filtered Scorecard 2'!D149:F149</xm:f>
              <xm:sqref>G149</xm:sqref>
            </x14:sparkline>
            <x14:sparkline>
              <xm:f>'Filtered Scorecard 2'!D150:F150</xm:f>
              <xm:sqref>G150</xm:sqref>
            </x14:sparkline>
            <x14:sparkline>
              <xm:f>'Filtered Scorecard 2'!D159:F159</xm:f>
              <xm:sqref>G159</xm:sqref>
            </x14:sparkline>
            <x14:sparkline>
              <xm:f>'Filtered Scorecard 2'!D160:F160</xm:f>
              <xm:sqref>G160</xm:sqref>
            </x14:sparkline>
            <x14:sparkline>
              <xm:f>'Filtered Scorecard 2'!D152:F152</xm:f>
              <xm:sqref>G152</xm:sqref>
            </x14:sparkline>
            <x14:sparkline>
              <xm:f>'Filtered Scorecard 2'!D141:F141</xm:f>
              <xm:sqref>G141</xm:sqref>
            </x14:sparkline>
            <x14:sparkline>
              <xm:f>'Filtered Scorecard 2'!D142:F142</xm:f>
              <xm:sqref>G142</xm:sqref>
            </x14:sparkline>
          </x14:sparklines>
        </x14:sparklineGroup>
        <x14:sparklineGroup manualMax="0" manualMin="0" displayEmptyCellsAs="gap" last="1" xr2:uid="{00000000-0003-0000-0400-00007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2'!D66:F66</xm:f>
              <xm:sqref>G66</xm:sqref>
            </x14:sparkline>
            <x14:sparkline>
              <xm:f>'Filtered Scorecard 2'!D67:F67</xm:f>
              <xm:sqref>G67</xm:sqref>
            </x14:sparkline>
          </x14:sparklines>
        </x14:sparklineGroup>
        <x14:sparklineGroup manualMax="0" manualMin="0" displayEmptyCellsAs="gap" last="1" xr2:uid="{00000000-0003-0000-0400-00007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2'!D23:F23</xm:f>
              <xm:sqref>G23</xm:sqref>
            </x14:sparkline>
          </x14:sparklines>
        </x14:sparklineGroup>
        <x14:sparklineGroup manualMax="0" manualMin="0" displayEmptyCellsAs="gap" last="1" xr2:uid="{00000000-0003-0000-0400-00007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2'!D31:F31</xm:f>
              <xm:sqref>G31</xm:sqref>
            </x14:sparkline>
          </x14:sparklines>
        </x14:sparklineGroup>
        <x14:sparklineGroup manualMax="0" manualMin="0" displayEmptyCellsAs="gap" last="1" xr2:uid="{00000000-0003-0000-0400-00006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2'!D106:F106</xm:f>
              <xm:sqref>G106</xm:sqref>
            </x14:sparkline>
            <x14:sparkline>
              <xm:f>'Filtered Scorecard 2'!D107:F107</xm:f>
              <xm:sqref>G107</xm:sqref>
            </x14:sparkline>
          </x14:sparklines>
        </x14:sparklineGroup>
        <x14:sparklineGroup manualMax="0" manualMin="0" displayEmptyCellsAs="gap" last="1" xr2:uid="{00000000-0003-0000-0400-00006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2'!D146:F146</xm:f>
              <xm:sqref>G146</xm:sqref>
            </x14:sparkline>
            <x14:sparkline>
              <xm:f>'Filtered Scorecard 2'!D147:F147</xm:f>
              <xm:sqref>G147</xm:sqref>
            </x14:sparkline>
          </x14:sparklines>
        </x14:sparklineGroup>
        <x14:sparklineGroup manualMax="0" manualMin="0" displayEmptyCellsAs="gap" last="1" xr2:uid="{00000000-0003-0000-0400-00006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2'!D54:F54</xm:f>
              <xm:sqref>G54</xm:sqref>
            </x14:sparkline>
          </x14:sparklines>
        </x14:sparklineGroup>
        <x14:sparklineGroup manualMax="0" manualMin="0" displayEmptyCellsAs="gap" last="1" xr2:uid="{00000000-0003-0000-0400-00006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2'!D94:F94</xm:f>
              <xm:sqref>G94</xm:sqref>
            </x14:sparkline>
          </x14:sparklines>
        </x14:sparklineGroup>
        <x14:sparklineGroup manualMax="0" manualMin="0" displayEmptyCellsAs="gap" last="1" xr2:uid="{00000000-0003-0000-0400-00006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2'!D134:F134</xm:f>
              <xm:sqref>G134</xm:sqref>
            </x14:sparkline>
          </x14:sparklines>
        </x14:sparklineGroup>
        <x14:sparklineGroup manualMax="0" manualMin="0" displayEmptyCellsAs="gap" last="1" xr2:uid="{00000000-0003-0000-0400-00006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2'!D38:F38</xm:f>
              <xm:sqref>G38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Q205"/>
  <sheetViews>
    <sheetView showGridLines="0" zoomScale="85" zoomScaleNormal="85" workbookViewId="0">
      <selection activeCell="O43" sqref="O43"/>
    </sheetView>
  </sheetViews>
  <sheetFormatPr defaultRowHeight="15" x14ac:dyDescent="0.25"/>
  <cols>
    <col min="1" max="1" width="14.5703125" style="2" customWidth="1"/>
    <col min="2" max="2" width="4.140625" style="61" customWidth="1"/>
    <col min="3" max="3" width="24.28515625" style="2" customWidth="1"/>
    <col min="4" max="6" width="11.28515625" style="2" customWidth="1"/>
    <col min="7" max="7" width="6.140625" style="2" customWidth="1"/>
    <col min="8" max="9" width="8" style="6" customWidth="1"/>
    <col min="10" max="10" width="8.140625" style="2" customWidth="1"/>
    <col min="11" max="11" width="68.140625" style="2" customWidth="1"/>
    <col min="12" max="12" width="8.140625" style="55" customWidth="1"/>
    <col min="13" max="13" width="20.42578125" style="2" customWidth="1"/>
    <col min="14" max="14" width="10.28515625" style="55" bestFit="1" customWidth="1"/>
    <col min="15" max="15" width="17.5703125" style="2" bestFit="1" customWidth="1"/>
    <col min="16" max="16" width="21" style="2" bestFit="1" customWidth="1"/>
    <col min="17" max="17" width="15.140625" style="2" bestFit="1" customWidth="1"/>
    <col min="18" max="20" width="8.42578125" style="2" customWidth="1"/>
    <col min="21" max="16384" width="9.140625" style="2"/>
  </cols>
  <sheetData>
    <row r="1" spans="1:17" ht="22.5" customHeight="1" x14ac:dyDescent="0.35">
      <c r="A1" s="7">
        <f>Source3</f>
        <v>0</v>
      </c>
      <c r="K1" s="48"/>
    </row>
    <row r="2" spans="1:17" ht="22.5" customHeight="1" x14ac:dyDescent="0.35">
      <c r="A2" s="7" t="str">
        <f>MIN(Months)&amp;" Months"</f>
        <v>0 Months</v>
      </c>
      <c r="K2" s="39" t="str">
        <f>IF(ISBLANK('Total Scorecards'!C4),"-",'Total Scorecards'!C4)</f>
        <v>Notes</v>
      </c>
      <c r="M2" s="11" t="str">
        <f>A1&amp;" Exposures"</f>
        <v>0 Exposures</v>
      </c>
      <c r="O2" s="55"/>
      <c r="Q2" s="55"/>
    </row>
    <row r="3" spans="1:17" ht="18" customHeight="1" thickBot="1" x14ac:dyDescent="0.3">
      <c r="A3" s="11"/>
      <c r="K3" s="39" t="str">
        <f>IF(ISBLANK('Total Scorecards'!C5),"-",'Total Scorecards'!C5)</f>
        <v>$0 incurred claims excluded</v>
      </c>
      <c r="M3" s="11"/>
      <c r="O3" s="55"/>
      <c r="Q3" s="55"/>
    </row>
    <row r="4" spans="1:17" x14ac:dyDescent="0.25">
      <c r="B4" s="62" t="s">
        <v>41</v>
      </c>
      <c r="C4" s="14">
        <f>Source3</f>
        <v>0</v>
      </c>
      <c r="D4" s="148"/>
      <c r="E4" s="149"/>
      <c r="F4" s="149"/>
      <c r="G4" s="14"/>
      <c r="H4" s="15"/>
      <c r="I4" s="16"/>
      <c r="K4" s="39" t="str">
        <f>IF(ISBLANK('Total Scorecards'!C6),"-",'Total Scorecards'!C6)</f>
        <v>financials limited to retention</v>
      </c>
      <c r="M4" s="54" t="s">
        <v>16</v>
      </c>
      <c r="N4" s="56" t="s">
        <v>70</v>
      </c>
      <c r="O4" s="56" t="s">
        <v>17</v>
      </c>
      <c r="P4" s="53" t="s">
        <v>18</v>
      </c>
      <c r="Q4" s="56" t="s">
        <v>19</v>
      </c>
    </row>
    <row r="5" spans="1:17" x14ac:dyDescent="0.25">
      <c r="C5" s="150" t="str">
        <f>"PY"&amp;RIGHT(YEAR($F$6),2)&amp;" at "&amp;execute!D32&amp;" Months"</f>
        <v>PY21 at 0 Months</v>
      </c>
      <c r="D5" s="151" t="s">
        <v>43</v>
      </c>
      <c r="E5" s="152"/>
      <c r="F5" s="152"/>
      <c r="G5" s="150"/>
      <c r="H5" s="153"/>
      <c r="I5" s="154"/>
      <c r="K5" s="39" t="str">
        <f>IF(ISBLANK('Total Scorecards'!C7),"-",'Total Scorecards'!C7)</f>
        <v>indemnity status defined by indemnity incurred &gt;$0</v>
      </c>
      <c r="M5" s="13">
        <f t="array" ref="M5">PY1_</f>
        <v>44197</v>
      </c>
      <c r="N5" s="55">
        <v>500000</v>
      </c>
      <c r="O5" s="55">
        <v>7758404</v>
      </c>
      <c r="Q5" s="55">
        <v>10000111</v>
      </c>
    </row>
    <row r="6" spans="1:17" x14ac:dyDescent="0.25">
      <c r="C6" s="150"/>
      <c r="D6" s="43">
        <f t="array" ref="D6">PY3_</f>
        <v>43466</v>
      </c>
      <c r="E6" s="44">
        <f t="array" ref="E6">PY2_</f>
        <v>43831</v>
      </c>
      <c r="F6" s="44">
        <f t="array" ref="F6">PY1_</f>
        <v>44197</v>
      </c>
      <c r="G6" s="150"/>
      <c r="H6" s="153"/>
      <c r="I6" s="154"/>
      <c r="K6" s="39" t="str">
        <f>IF(ISBLANK('Total Scorecards'!C8),"-",'Total Scorecards'!C8)</f>
        <v>closure status defined by TPA</v>
      </c>
      <c r="M6" s="12">
        <f t="array" ref="M6">PY2_</f>
        <v>43831</v>
      </c>
      <c r="N6" s="55">
        <v>500000</v>
      </c>
      <c r="O6" s="55">
        <v>5378698</v>
      </c>
      <c r="P6" s="2">
        <v>207</v>
      </c>
      <c r="Q6" s="55">
        <v>10444000</v>
      </c>
    </row>
    <row r="7" spans="1:17" x14ac:dyDescent="0.25">
      <c r="C7" s="150"/>
      <c r="D7" s="17" t="s">
        <v>46</v>
      </c>
      <c r="E7" s="18" t="s">
        <v>46</v>
      </c>
      <c r="F7" s="18" t="s">
        <v>46</v>
      </c>
      <c r="G7" s="150"/>
      <c r="H7" s="153"/>
      <c r="I7" s="154"/>
      <c r="K7" s="39" t="str">
        <f>IF(ISBLANK('Total Scorecards'!C9),"-",'Total Scorecards'!C9)</f>
        <v>litigation defined as represented date before valuation</v>
      </c>
      <c r="M7" s="12">
        <f>PY3_</f>
        <v>43466</v>
      </c>
      <c r="N7" s="55">
        <v>500000</v>
      </c>
      <c r="O7" s="55">
        <v>8192021</v>
      </c>
      <c r="P7" s="2">
        <v>162</v>
      </c>
      <c r="Q7" s="55">
        <v>15500000</v>
      </c>
    </row>
    <row r="8" spans="1:17" ht="15.75" customHeight="1" x14ac:dyDescent="0.25">
      <c r="C8" s="150"/>
      <c r="D8" s="41" t="str">
        <f t="array" ref="D8">MONTH(Val_current)&amp;"/"&amp;DAY(Val_current)&amp;"/"&amp;YEAR(Val_current)-2</f>
        <v>1/0/1898</v>
      </c>
      <c r="E8" s="40" t="str">
        <f t="array" ref="E8">MONTH(Val_current)&amp;"/"&amp;DAY(Val_current)&amp;"/"&amp;YEAR(Val_current)-1</f>
        <v>1/0/1899</v>
      </c>
      <c r="F8" s="40">
        <f t="array" ref="F8">Val_current</f>
        <v>0</v>
      </c>
      <c r="G8" s="45" t="s">
        <v>47</v>
      </c>
      <c r="H8" s="46" t="str">
        <f t="array" ref="H8">IF(IncYr_yn="Y",RIGHT(YEAR($D$6),2)&amp;" vs "&amp;RIGHT(YEAR($F$6),2),RIGHT(YEAR($D$6),2)+1&amp;" vs "&amp;RIGHT(YEAR($F$6)+1,2))</f>
        <v>19 vs 21</v>
      </c>
      <c r="I8" s="47" t="str">
        <f t="array" ref="I8">IF(IncYr_yn="Y",RIGHT(YEAR($E$6),2)&amp;" vs "&amp;RIGHT(YEAR($F$6),2),RIGHT(YEAR($E$6),2)+1&amp;" vs "&amp;RIGHT(YEAR($F$6)+1,2))</f>
        <v>20 vs 21</v>
      </c>
      <c r="K8" s="39" t="str">
        <f>IF(ISBLANK('Total Scorecards'!C10),"-",'Total Scorecards'!C10)</f>
        <v>Actuarial: Milliman as of 3/31/19</v>
      </c>
      <c r="M8" s="12">
        <f>PY4_</f>
        <v>43101</v>
      </c>
      <c r="N8" s="55">
        <v>500000</v>
      </c>
      <c r="O8" s="55">
        <v>6444927</v>
      </c>
      <c r="P8" s="2">
        <v>155</v>
      </c>
      <c r="Q8" s="55">
        <v>10660000</v>
      </c>
    </row>
    <row r="9" spans="1:17" ht="15.75" customHeight="1" thickBot="1" x14ac:dyDescent="0.3">
      <c r="C9" s="19"/>
      <c r="D9" s="20"/>
      <c r="E9" s="20"/>
      <c r="F9" s="21"/>
      <c r="G9" s="22"/>
      <c r="H9" s="23"/>
      <c r="I9" s="24"/>
      <c r="K9" s="39" t="str">
        <f>IF(ISBLANK('Total Scorecards'!C11),"-",'Total Scorecards'!C11)</f>
        <v>PY 7/1/18 ultimates are prorated from actuarial report</v>
      </c>
      <c r="M9" s="12">
        <f>PY5_</f>
        <v>39083</v>
      </c>
      <c r="N9" s="55">
        <v>500000</v>
      </c>
      <c r="O9" s="55">
        <v>7260618</v>
      </c>
      <c r="P9" s="2">
        <v>154</v>
      </c>
      <c r="Q9" s="55">
        <v>10000000</v>
      </c>
    </row>
    <row r="10" spans="1:17" ht="15.75" customHeight="1" x14ac:dyDescent="0.25">
      <c r="C10" s="25" t="s">
        <v>50</v>
      </c>
      <c r="D10" s="74">
        <f t="array" ref="D10">IFERROR(VLOOKUP(PY3_,$M$4:$R$13,3,FALSE),"-")</f>
        <v>8192021</v>
      </c>
      <c r="E10" s="74">
        <f>IFERROR(VLOOKUP(PY2_,$M$4:$R$13,3,FALSE),"-")</f>
        <v>5378698</v>
      </c>
      <c r="F10" s="74">
        <f t="array" ref="F10">IFERROR(VLOOKUP(PY1_,$M$4:$R$13,3,FALSE),"-")</f>
        <v>7758404</v>
      </c>
      <c r="G10" s="76"/>
      <c r="H10" s="77">
        <f>IFERROR((F10-D10)/D10,"-")</f>
        <v>-5.2931627006327253E-2</v>
      </c>
      <c r="I10" s="78">
        <f>IFERROR((F10-E10)/E10,"-")</f>
        <v>0.44243160705434659</v>
      </c>
      <c r="K10" s="49"/>
      <c r="M10" s="12">
        <f>PY6_</f>
        <v>42370</v>
      </c>
      <c r="N10" s="55">
        <v>500000</v>
      </c>
      <c r="O10" s="55"/>
      <c r="Q10" s="55">
        <v>10000000</v>
      </c>
    </row>
    <row r="11" spans="1:17" ht="15.75" customHeight="1" x14ac:dyDescent="0.25">
      <c r="C11" s="25" t="s">
        <v>18</v>
      </c>
      <c r="D11" s="82">
        <f>IFERROR(VLOOKUP(PY3_,$M$4:$P$11,4,FALSE),"-")</f>
        <v>162</v>
      </c>
      <c r="E11" s="82">
        <f>IFERROR(VLOOKUP(PY2_,$M$4:$P$11,4,FALSE),"-")</f>
        <v>207</v>
      </c>
      <c r="F11" s="83">
        <f>IFERROR(VLOOKUP(PY1_,$M$4:$P$11,4,FALSE),"-")</f>
        <v>0</v>
      </c>
      <c r="G11" s="76"/>
      <c r="H11" s="81">
        <f>IFERROR((F11-D11)/D11,"-")</f>
        <v>-1</v>
      </c>
      <c r="I11" s="78">
        <f>IFERROR((F11-E11)/E11,"-")</f>
        <v>-1</v>
      </c>
      <c r="M11" s="12">
        <f>PY7_</f>
        <v>42005</v>
      </c>
      <c r="O11" s="55"/>
      <c r="Q11" s="55"/>
    </row>
    <row r="12" spans="1:17" ht="15.75" thickBot="1" x14ac:dyDescent="0.3">
      <c r="C12" s="19"/>
      <c r="D12" s="20"/>
      <c r="E12" s="20"/>
      <c r="F12" s="21"/>
      <c r="G12" s="22"/>
      <c r="H12" s="23"/>
      <c r="I12" s="24"/>
      <c r="L12" s="2"/>
      <c r="M12" s="12"/>
    </row>
    <row r="13" spans="1:17" x14ac:dyDescent="0.25">
      <c r="C13" s="25" t="s">
        <v>38</v>
      </c>
      <c r="D13" s="74">
        <f t="array" ref="D13">SUM((IncLim)*(Months=months1)*(PY=PY3_)*(Filter1=Source3))</f>
        <v>0</v>
      </c>
      <c r="E13" s="74">
        <f t="array" ref="E13">SUM((IncLim)*(Months=months1)*(PY=PY2_)*(Filter1=Source3))</f>
        <v>0</v>
      </c>
      <c r="F13" s="75">
        <f t="array" ref="F13">SUM((IncLim)*(Months=months1)*(PY=PY1_)*(Filter1=Source3)*(Filter1=Source3))</f>
        <v>0</v>
      </c>
      <c r="G13" s="76"/>
      <c r="H13" s="77" t="str">
        <f>IFERROR((F13-D13)/D13,"-")</f>
        <v>-</v>
      </c>
      <c r="I13" s="78" t="str">
        <f>IFERROR((F13-E13)/E13,"-")</f>
        <v>-</v>
      </c>
      <c r="L13" s="2"/>
    </row>
    <row r="14" spans="1:17" x14ac:dyDescent="0.25">
      <c r="B14" s="71"/>
      <c r="C14" s="25" t="s">
        <v>71</v>
      </c>
      <c r="D14" s="74">
        <f t="array" ref="D14">SUM((pdLim)*(Months=months1)*(PY=PY3_)*(Filter1=Source3))</f>
        <v>0</v>
      </c>
      <c r="E14" s="74">
        <f t="array" ref="E14">SUM((pdLim)*(Months=months1)*(PY=PY2_)*(Filter1=Source3))</f>
        <v>0</v>
      </c>
      <c r="F14" s="75">
        <f t="array" ref="F14">SUM((pdLim)*(Months=months1)*(PY=PY1_)*(Filter1=Source3))</f>
        <v>0</v>
      </c>
      <c r="G14" s="76"/>
      <c r="H14" s="81" t="str">
        <f>IFERROR((F14-D14)/D14,"-")</f>
        <v>-</v>
      </c>
      <c r="I14" s="78" t="str">
        <f>IFERROR((F14-E14)/E14,"-")</f>
        <v>-</v>
      </c>
      <c r="J14" s="5"/>
      <c r="L14" s="2"/>
      <c r="N14" s="2"/>
    </row>
    <row r="15" spans="1:17" x14ac:dyDescent="0.25">
      <c r="C15" s="25" t="s">
        <v>51</v>
      </c>
      <c r="D15" s="74">
        <f>D13-D14</f>
        <v>0</v>
      </c>
      <c r="E15" s="74">
        <f>E13-E14</f>
        <v>0</v>
      </c>
      <c r="F15" s="74">
        <f>F13-F14</f>
        <v>0</v>
      </c>
      <c r="G15" s="76"/>
      <c r="H15" s="81" t="str">
        <f>IFERROR((F15-D15)/D15,"-")</f>
        <v>-</v>
      </c>
      <c r="I15" s="78" t="str">
        <f>IFERROR((F15-E15)/E15,"-")</f>
        <v>-</v>
      </c>
      <c r="J15" s="5"/>
      <c r="L15" s="2"/>
    </row>
    <row r="16" spans="1:17" ht="15.75" thickBot="1" x14ac:dyDescent="0.3">
      <c r="C16" s="26"/>
      <c r="D16" s="27"/>
      <c r="E16" s="27"/>
      <c r="F16" s="28"/>
      <c r="G16" s="29"/>
      <c r="H16" s="30"/>
      <c r="I16" s="31"/>
      <c r="L16" s="2"/>
    </row>
    <row r="17" spans="2:14" x14ac:dyDescent="0.25">
      <c r="C17" s="25" t="s">
        <v>52</v>
      </c>
      <c r="D17" s="82">
        <f t="array" ref="D17">SUM((IncLim&gt;0)*(Months=months1)*(PY=PY3_)*(Filter1=Source3))</f>
        <v>0</v>
      </c>
      <c r="E17" s="82">
        <f t="array" ref="E17">SUM((IncLim&gt;0)*(Months=months1)*(PY=PY2_)*(Filter1=Source3))</f>
        <v>0</v>
      </c>
      <c r="F17" s="83">
        <f t="array" ref="F17">SUM((IncLim&gt;0)*(Months=months1)*(PY=PY1_)*(Filter1=Source3))</f>
        <v>0</v>
      </c>
      <c r="G17" s="76"/>
      <c r="H17" s="77" t="str">
        <f>IFERROR((F17-D17)/D17,"-")</f>
        <v>-</v>
      </c>
      <c r="I17" s="78" t="str">
        <f>IFERROR((F17-E17)/E17,"-")</f>
        <v>-</v>
      </c>
    </row>
    <row r="18" spans="2:14" x14ac:dyDescent="0.25">
      <c r="C18" s="25" t="s">
        <v>53</v>
      </c>
      <c r="D18" s="74" t="str">
        <f>IFERROR(D13/D17,"-")</f>
        <v>-</v>
      </c>
      <c r="E18" s="74" t="str">
        <f>IFERROR(E13/E17,"-")</f>
        <v>-</v>
      </c>
      <c r="F18" s="74" t="str">
        <f>IFERROR(F13/F17,"-")</f>
        <v>-</v>
      </c>
      <c r="G18" s="76"/>
      <c r="H18" s="84" t="str">
        <f>IFERROR((F18-D18)/D18,"-")</f>
        <v>-</v>
      </c>
      <c r="I18" s="78" t="str">
        <f>IFERROR((F18-E18)/E18,"-")</f>
        <v>-</v>
      </c>
    </row>
    <row r="19" spans="2:14" x14ac:dyDescent="0.25">
      <c r="C19" s="25" t="s">
        <v>54</v>
      </c>
      <c r="D19" s="74" t="str">
        <f t="array" ref="D19">IFERROR(MEDIAN(IF(IncLim&gt;0, IF(Months=months1,IF(PY=PY3_, IF(Filter1=Source3, IncLim))))),"-")</f>
        <v>-</v>
      </c>
      <c r="E19" s="74" t="str">
        <f t="array" ref="E19">IFERROR(MEDIAN(IF(IncLim&gt;0, IF(Months=months1,IF(PY=PY2_, IF(Filter1=Source3, IncLim))))),"-")</f>
        <v>-</v>
      </c>
      <c r="F19" s="74" t="str">
        <f t="array" ref="F19">IFERROR(MEDIAN(IF(IncLim&gt;0, IF(Months=months1,IF(PY=PY1_, IF(Filter1=Source3,IncLim))))),"-")</f>
        <v>-</v>
      </c>
      <c r="G19" s="76"/>
      <c r="H19" s="81" t="str">
        <f>IFERROR((F19-D19)/D19,"-")</f>
        <v>-</v>
      </c>
      <c r="I19" s="78" t="str">
        <f>IFERROR((F19-E19)/E19,"-")</f>
        <v>-</v>
      </c>
    </row>
    <row r="20" spans="2:14" x14ac:dyDescent="0.25">
      <c r="C20" s="26"/>
      <c r="D20" s="27"/>
      <c r="E20" s="27"/>
      <c r="F20" s="28"/>
      <c r="G20" s="29"/>
      <c r="H20" s="23"/>
      <c r="I20" s="24"/>
    </row>
    <row r="21" spans="2:14" x14ac:dyDescent="0.25">
      <c r="C21" s="25" t="s">
        <v>55</v>
      </c>
      <c r="D21" s="74">
        <f>IFERROR((VLOOKUP(PY3_,$M$4:$Q$10,5,FALSE)/100),"-")</f>
        <v>155000</v>
      </c>
      <c r="E21" s="74">
        <f>IFERROR((VLOOKUP(PY2_,$M$4:$Q$10,5,FALSE)/100),"-")</f>
        <v>104440</v>
      </c>
      <c r="F21" s="75">
        <f>IFERROR((VLOOKUP(PY1_,$M$4:$Q$10,5,FALSE)/100),"-")</f>
        <v>100001.11</v>
      </c>
      <c r="G21" s="76"/>
      <c r="H21" s="81">
        <f>IFERROR((F21-D21)/D21,"-")</f>
        <v>-0.3548315483870968</v>
      </c>
      <c r="I21" s="78">
        <f>IFERROR((F21-E21)/E21,"-")</f>
        <v>-4.2501819226350053E-2</v>
      </c>
      <c r="J21" s="2" t="s">
        <v>56</v>
      </c>
    </row>
    <row r="22" spans="2:14" ht="15.75" thickBot="1" x14ac:dyDescent="0.3">
      <c r="C22" s="32" t="s">
        <v>57</v>
      </c>
      <c r="D22" s="85">
        <f>IFERROR(D13/D21,"-")</f>
        <v>0</v>
      </c>
      <c r="E22" s="85">
        <f>IFERROR(E13/E21,"-")</f>
        <v>0</v>
      </c>
      <c r="F22" s="85">
        <f>IFERROR(F13/F21,"-")</f>
        <v>0</v>
      </c>
      <c r="G22" s="86"/>
      <c r="H22" s="87" t="str">
        <f>IFERROR((F22-D22)/D22,"-")</f>
        <v>-</v>
      </c>
      <c r="I22" s="88" t="str">
        <f>IFERROR((F22-E22)/E22,"-")</f>
        <v>-</v>
      </c>
    </row>
    <row r="23" spans="2:14" ht="15.75" thickBot="1" x14ac:dyDescent="0.3">
      <c r="C23" s="26"/>
      <c r="D23" s="27"/>
      <c r="E23" s="27"/>
      <c r="F23" s="28"/>
      <c r="G23" s="29"/>
      <c r="H23" s="30"/>
      <c r="I23" s="31"/>
    </row>
    <row r="24" spans="2:14" x14ac:dyDescent="0.25">
      <c r="C24" s="25" t="s">
        <v>58</v>
      </c>
      <c r="D24" s="80">
        <f t="array" ref="D24">SUM((IncLim&gt;0)*(indType&gt;0)*(Months=months1)*(PY=PY3_)*(Filter1=Source3))</f>
        <v>0</v>
      </c>
      <c r="E24" s="80">
        <f t="array" ref="E24">SUM((IncLim&gt;0)*(indType&gt;0)*(Months=months1)*(PY=PY2_)*(Filter1=Source3))</f>
        <v>0</v>
      </c>
      <c r="F24" s="89">
        <f t="array" ref="F24">SUM((IncLim&gt;0)*(indType&gt;0)*(Months=months1)*(PY=PY1_)*(Filter1=Source3))</f>
        <v>0</v>
      </c>
      <c r="G24" s="76"/>
      <c r="H24" s="77" t="str">
        <f>IFERROR((F24-D24)/D24,"-")</f>
        <v>-</v>
      </c>
      <c r="I24" s="78" t="str">
        <f>IFERROR((F24-E24)/E24,"-")</f>
        <v>-</v>
      </c>
    </row>
    <row r="25" spans="2:14" x14ac:dyDescent="0.25">
      <c r="B25" s="63"/>
      <c r="C25" s="25" t="s">
        <v>59</v>
      </c>
      <c r="D25" s="90" t="str">
        <f>IFERROR(D24/D17,"-")</f>
        <v>-</v>
      </c>
      <c r="E25" s="90" t="str">
        <f>IFERROR(E24/E17,"-")</f>
        <v>-</v>
      </c>
      <c r="F25" s="90" t="str">
        <f>IFERROR(F24/F17,"-")</f>
        <v>-</v>
      </c>
      <c r="G25" s="76"/>
      <c r="H25" s="91" t="str">
        <f>IFERROR(IF(((F25-D25)*100)&gt;0,"+"&amp;ROUND((F25-D25)*100,1),ROUND((F25-D25)*100,1)),"-")</f>
        <v>-</v>
      </c>
      <c r="I25" s="92" t="str">
        <f>IFERROR(IF(((F25-E25)*100)&gt;0,"+"&amp;ROUND((F25-E25)*100,1),ROUND((F25-E25)*100,1)),"-")</f>
        <v>-</v>
      </c>
    </row>
    <row r="26" spans="2:14" x14ac:dyDescent="0.25">
      <c r="B26" s="73"/>
      <c r="C26" s="25" t="s">
        <v>60</v>
      </c>
      <c r="D26" s="74">
        <f t="array" ref="D26">SUM((IncLim)*(indType&gt;0)*(Months=months1)*(PY=PY3_)*(Filter1=Source3))</f>
        <v>0</v>
      </c>
      <c r="E26" s="74">
        <f t="array" ref="E26">SUM((IncLim)*(indType&gt;0)*(Months=months1)*(PY=PY2_)*(Filter1=Source3))</f>
        <v>0</v>
      </c>
      <c r="F26" s="74">
        <f t="array" ref="F26">SUM((IncLim)*(indType&gt;0)*(Months=months1)*(PY=PY1_)*(Filter1=Source3))</f>
        <v>0</v>
      </c>
      <c r="G26" s="76"/>
      <c r="H26" s="81" t="str">
        <f t="shared" ref="H26:H27" si="0">IFERROR((F26-D26)/D26,"-")</f>
        <v>-</v>
      </c>
      <c r="I26" s="78" t="str">
        <f t="shared" ref="I26:I27" si="1">IFERROR((F26-E26)/E26,"-")</f>
        <v>-</v>
      </c>
      <c r="L26" s="2"/>
      <c r="N26" s="2"/>
    </row>
    <row r="27" spans="2:14" x14ac:dyDescent="0.25">
      <c r="B27" s="73"/>
      <c r="C27" s="25" t="s">
        <v>61</v>
      </c>
      <c r="D27" s="74" t="str">
        <f>IFERROR(D26/D24,"-")</f>
        <v>-</v>
      </c>
      <c r="E27" s="74" t="str">
        <f t="shared" ref="E27:F27" si="2">IFERROR(E26/E24,"-")</f>
        <v>-</v>
      </c>
      <c r="F27" s="74" t="str">
        <f t="shared" si="2"/>
        <v>-</v>
      </c>
      <c r="G27" s="76"/>
      <c r="H27" s="81" t="str">
        <f t="shared" si="0"/>
        <v>-</v>
      </c>
      <c r="I27" s="78" t="str">
        <f t="shared" si="1"/>
        <v>-</v>
      </c>
      <c r="L27" s="2"/>
      <c r="N27" s="2"/>
    </row>
    <row r="28" spans="2:14" x14ac:dyDescent="0.25">
      <c r="B28" s="63"/>
      <c r="C28" s="25" t="s">
        <v>62</v>
      </c>
      <c r="D28" s="90" t="str">
        <f>IFERROR(1-(D29/D24),"-")</f>
        <v>-</v>
      </c>
      <c r="E28" s="90" t="str">
        <f>IFERROR(1-(E29/E24),"-")</f>
        <v>-</v>
      </c>
      <c r="F28" s="90" t="str">
        <f>IFERROR(1-(F29/F24),"-")</f>
        <v>-</v>
      </c>
      <c r="G28" s="76"/>
      <c r="H28" s="93" t="str">
        <f>IFERROR(IF(((F28-D28)*100)&gt;0,"+"&amp;ROUND((F28-D28)*100,1),ROUND((F28-D28)*100,1)),"-")</f>
        <v>-</v>
      </c>
      <c r="I28" s="92" t="str">
        <f>IFERROR(IF(((F28-E28)*100)&gt;0,"+"&amp;ROUND((F28-E28)*100,1),ROUND((F28-E28)*100,1)),"-")</f>
        <v>-</v>
      </c>
    </row>
    <row r="29" spans="2:14" ht="15.75" thickBot="1" x14ac:dyDescent="0.3">
      <c r="B29" s="63"/>
      <c r="C29" s="32" t="s">
        <v>63</v>
      </c>
      <c r="D29" s="106">
        <f t="array" ref="D29">D24-SUM((IncLim&gt;0)*(indType&gt;0)*(Closed&gt;0)*(Months=months1)*(PY=PY3_)*(Filter1=Source3))</f>
        <v>0</v>
      </c>
      <c r="E29" s="106">
        <f t="array" ref="E29">E24-SUM((IncLim&gt;0)*(indType&gt;0)*(Closed&gt;0)*(Months=months1)*(PY=PY2_)*(Filter1=Source3))</f>
        <v>0</v>
      </c>
      <c r="F29" s="106">
        <f t="array" ref="F29">F24-SUM((IncLim&gt;0)*(indType&gt;0)*(Closed&gt;0)*(Months=months1)*(PY=PY1_)*(Filter1=Source3))</f>
        <v>0</v>
      </c>
      <c r="G29" s="86"/>
      <c r="H29" s="87" t="str">
        <f>IFERROR((F29-D29)/D29,"-")</f>
        <v>-</v>
      </c>
      <c r="I29" s="88" t="str">
        <f>IFERROR((F29-E29)/E29,"-")</f>
        <v>-</v>
      </c>
    </row>
    <row r="30" spans="2:14" x14ac:dyDescent="0.25">
      <c r="B30" s="63"/>
      <c r="C30" s="26"/>
      <c r="D30" s="33"/>
      <c r="E30" s="33"/>
      <c r="F30" s="34"/>
      <c r="G30" s="29"/>
      <c r="H30" s="30"/>
      <c r="I30" s="31"/>
    </row>
    <row r="31" spans="2:14" x14ac:dyDescent="0.25">
      <c r="C31" s="25" t="s">
        <v>72</v>
      </c>
      <c r="D31" s="80">
        <f t="array" ref="D31">SUM((IncLim&gt;0)*(Lit&gt;0)*(Months=months1)*(PY=PY3_)*(Filter1=Source3))</f>
        <v>0</v>
      </c>
      <c r="E31" s="80">
        <f t="array" ref="E31">SUM((IncLim&gt;0)*(Lit&gt;0)*(Months=months1)*(PY=PY2_)*(Filter1=Source3))</f>
        <v>0</v>
      </c>
      <c r="F31" s="89">
        <f t="array" ref="F31">SUM((IncLim&gt;0)*(Lit&gt;0)*(Months=months1)*(PY=PY1_)*(Filter1=Source3))</f>
        <v>0</v>
      </c>
      <c r="G31" s="76"/>
      <c r="H31" s="81" t="str">
        <f>IFERROR((F31-D31)/D31,"-")</f>
        <v>-</v>
      </c>
      <c r="I31" s="78" t="str">
        <f>IFERROR((F31-E31)/E31,"-")</f>
        <v>-</v>
      </c>
    </row>
    <row r="32" spans="2:14" x14ac:dyDescent="0.25">
      <c r="C32" s="25" t="s">
        <v>73</v>
      </c>
      <c r="D32" s="90" t="str">
        <f>IFERROR(D31/D24,"-")</f>
        <v>-</v>
      </c>
      <c r="E32" s="90" t="str">
        <f>IFERROR(E31/E24,"-")</f>
        <v>-</v>
      </c>
      <c r="F32" s="125" t="str">
        <f>IFERROR(F31/F24,"-")</f>
        <v>-</v>
      </c>
      <c r="G32" s="76"/>
      <c r="H32" s="93" t="str">
        <f>IFERROR(IF(((F32-D32)*100)&gt;0,"+"&amp;ROUND((F32-D32)*100,1),ROUND((F32-D32)*100,1)),"-")</f>
        <v>-</v>
      </c>
      <c r="I32" s="92" t="str">
        <f>IFERROR(IF(((F32-E32)*100)&gt;0,"+"&amp;ROUND((F32-E32)*100,1),ROUND((F32-E32)*100,1)),"-")</f>
        <v>-</v>
      </c>
    </row>
    <row r="33" spans="2:14" x14ac:dyDescent="0.25">
      <c r="B33" s="71"/>
      <c r="C33" s="25" t="s">
        <v>75</v>
      </c>
      <c r="D33" s="74">
        <f t="array" ref="D33">SUM((IncLim)*(Lit&gt;0)*(indType&gt;0)*(Months=months1)*(PY=PY3_)*(Filter1=Source3))</f>
        <v>0</v>
      </c>
      <c r="E33" s="74">
        <f t="array" ref="E33">SUM((IncLim)*(Lit&gt;0)*(indType&gt;0)*(Months=months1)*(PY=PY2_)*(Filter1=Source3))</f>
        <v>0</v>
      </c>
      <c r="F33" s="75">
        <f t="array" ref="F33">SUM((IncLim)*(Lit&gt;0)*(indType&gt;0)*(Months=months1)*(PY=PY1_)*(Filter1=Source3))</f>
        <v>0</v>
      </c>
      <c r="G33" s="76"/>
      <c r="H33" s="81" t="str">
        <f>IFERROR((F33-D33)/D33,"-")</f>
        <v>-</v>
      </c>
      <c r="I33" s="78" t="str">
        <f>IFERROR((F33-E33)/E33,"-")</f>
        <v>-</v>
      </c>
      <c r="L33" s="2"/>
      <c r="N33" s="2"/>
    </row>
    <row r="34" spans="2:14" x14ac:dyDescent="0.25">
      <c r="B34" s="71"/>
      <c r="C34" s="120" t="s">
        <v>100</v>
      </c>
      <c r="D34" s="122" t="str">
        <f>IFERROR(D33/D26,"-")</f>
        <v>-</v>
      </c>
      <c r="E34" s="122" t="str">
        <f>IFERROR(E33/E26,"-")</f>
        <v>-</v>
      </c>
      <c r="F34" s="122" t="str">
        <f>IFERROR(F33/F26,"-")</f>
        <v>-</v>
      </c>
      <c r="G34" s="121"/>
      <c r="H34" s="93" t="str">
        <f>IFERROR(IF(((F34-D34)*100)&gt;0,"+"&amp;ROUND((F34-D34)*100,1),ROUND((F34-D34)*100,1)),"-")</f>
        <v>-</v>
      </c>
      <c r="I34" s="92" t="str">
        <f>IFERROR(IF(((F34-E34)*100)&gt;0,"+"&amp;ROUND((F34-E34)*100,1),ROUND((F34-E34)*100,1)),"-")</f>
        <v>-</v>
      </c>
      <c r="L34" s="2"/>
      <c r="N34" s="2"/>
    </row>
    <row r="35" spans="2:14" x14ac:dyDescent="0.25">
      <c r="B35" s="71"/>
      <c r="C35" s="25" t="s">
        <v>91</v>
      </c>
      <c r="D35" s="80">
        <f t="array" ref="D35">SUM((IncLim&gt;0)*(Lit&gt;0)*(Months=months1)*(PY=PY3_)*(Filter1=Source3))</f>
        <v>0</v>
      </c>
      <c r="E35" s="80">
        <f t="array" ref="E35">SUM((IncLim&gt;0)*(Lit&gt;0)*(Months=months1)*(PY=PY2_)*(Filter1=Source3))</f>
        <v>0</v>
      </c>
      <c r="F35" s="89">
        <f t="array" ref="F35">SUM((IncLim&gt;0)*(Lit&gt;0)*(Months=months1)*(PY=PY1_)*(Filter1=Source3))</f>
        <v>0</v>
      </c>
      <c r="G35" s="76"/>
      <c r="H35" s="81" t="str">
        <f>IFERROR((F35-D35)/D35,"-")</f>
        <v>-</v>
      </c>
      <c r="I35" s="78" t="str">
        <f>IFERROR((F35-E35)/E35,"-")</f>
        <v>-</v>
      </c>
      <c r="L35" s="2"/>
      <c r="N35" s="2"/>
    </row>
    <row r="36" spans="2:14" x14ac:dyDescent="0.25">
      <c r="B36" s="71"/>
      <c r="C36" s="25" t="s">
        <v>74</v>
      </c>
      <c r="D36" s="74">
        <f t="array" ref="D36">SUM((IncLim)*(Lit&gt;0)*(Months=months1)*(PY=PY3_)*(Filter1=Source3))</f>
        <v>0</v>
      </c>
      <c r="E36" s="74">
        <f t="array" ref="E36">SUM((IncLim)*(Lit&gt;0)*(Months=months1)*(PY=PY2_)*(Filter1=Source3))</f>
        <v>0</v>
      </c>
      <c r="F36" s="75">
        <f t="array" ref="F36">SUM((IncLim)*(Lit&gt;0)*(Months=months1)*(PY=PY1_)*(Filter1=Source3))</f>
        <v>0</v>
      </c>
      <c r="G36" s="76"/>
      <c r="H36" s="81" t="str">
        <f>IFERROR((F36-D36)/D36,"-")</f>
        <v>-</v>
      </c>
      <c r="I36" s="78" t="str">
        <f>IFERROR((F36-E36)/E36,"-")</f>
        <v>-</v>
      </c>
      <c r="L36" s="2"/>
      <c r="N36" s="2"/>
    </row>
    <row r="37" spans="2:14" x14ac:dyDescent="0.25">
      <c r="B37" s="71"/>
      <c r="C37" s="25" t="s">
        <v>104</v>
      </c>
      <c r="D37" s="74"/>
      <c r="E37" s="74"/>
      <c r="F37" s="75"/>
      <c r="G37" s="76"/>
      <c r="H37" s="81" t="str">
        <f>IFERROR((F37-D37)/D37,"-")</f>
        <v>-</v>
      </c>
      <c r="I37" s="78" t="str">
        <f>IFERROR((F37-E37)/E37,"-")</f>
        <v>-</v>
      </c>
      <c r="L37" s="2"/>
      <c r="N37" s="2"/>
    </row>
    <row r="38" spans="2:14" x14ac:dyDescent="0.25">
      <c r="B38" s="63"/>
      <c r="C38" s="26"/>
      <c r="D38" s="33"/>
      <c r="E38" s="33"/>
      <c r="F38" s="34"/>
      <c r="G38" s="29"/>
      <c r="H38" s="30"/>
      <c r="I38" s="31"/>
    </row>
    <row r="39" spans="2:14" x14ac:dyDescent="0.25">
      <c r="C39" s="25" t="s">
        <v>64</v>
      </c>
      <c r="D39" s="94">
        <f>SUMPRODUCT(LARGE((Months=months1)*(PY=PY3_)*(IncLim)*(Filter1=Source3),{1,2,3,4,5}))</f>
        <v>0</v>
      </c>
      <c r="E39" s="94">
        <f>SUMPRODUCT(LARGE((Months=months1)*(PY=PY2_)*(IncLim)*(Filter1=Source3),{1,2,3,4,5}))</f>
        <v>0</v>
      </c>
      <c r="F39" s="95">
        <f>SUMPRODUCT(LARGE((Months=months1)*(PY=PY1_)*(IncLim)*(Filter1=Source3),{1,2,3,4,5}))</f>
        <v>0</v>
      </c>
      <c r="G39" s="76"/>
      <c r="H39" s="81" t="str">
        <f>IFERROR((F39-D39)/D39,"-")</f>
        <v>-</v>
      </c>
      <c r="I39" s="78" t="str">
        <f>IFERROR((F39-E39)/E39,"-")</f>
        <v>-</v>
      </c>
    </row>
    <row r="40" spans="2:14" ht="15.75" thickBot="1" x14ac:dyDescent="0.3">
      <c r="C40" s="35" t="s">
        <v>65</v>
      </c>
      <c r="D40" s="126" t="str">
        <f>IFERROR(D39/D13,"-")</f>
        <v>-</v>
      </c>
      <c r="E40" s="126" t="str">
        <f>IFERROR(E39/E13,"-")</f>
        <v>-</v>
      </c>
      <c r="F40" s="126" t="str">
        <f>IFERROR(F39/F13,"-")</f>
        <v>-</v>
      </c>
      <c r="G40" s="96"/>
      <c r="H40" s="97" t="str">
        <f>IFERROR(IF(((F40-D40)*100)&gt;0,"+"&amp;ROUND((F40-D40)*100,1),ROUND((F40-D40)*100,1)),"-")</f>
        <v>-</v>
      </c>
      <c r="I40" s="98" t="str">
        <f>IFERROR(IF(((F40-E40)*100)&gt;0,"+"&amp;ROUND((F40-E40)*100,1),ROUND((F40-E40)*100,1)),"-")</f>
        <v>-</v>
      </c>
    </row>
    <row r="41" spans="2:14" x14ac:dyDescent="0.25">
      <c r="C41" s="39"/>
      <c r="D41" s="39"/>
      <c r="E41" s="39"/>
      <c r="F41" s="39"/>
      <c r="G41" s="39"/>
      <c r="H41" s="36"/>
      <c r="I41" s="36"/>
    </row>
    <row r="43" spans="2:14" ht="15.75" thickBot="1" x14ac:dyDescent="0.3"/>
    <row r="44" spans="2:14" x14ac:dyDescent="0.25">
      <c r="B44" s="61" t="s">
        <v>66</v>
      </c>
      <c r="C44" s="14">
        <f>Source3</f>
        <v>0</v>
      </c>
      <c r="D44" s="148"/>
      <c r="E44" s="149"/>
      <c r="F44" s="149"/>
      <c r="G44" s="14"/>
      <c r="H44" s="15"/>
      <c r="I44" s="16"/>
    </row>
    <row r="45" spans="2:14" x14ac:dyDescent="0.25">
      <c r="C45" s="150" t="str">
        <f>"PY"&amp;RIGHT(YEAR($F$46),2)&amp;" at "&amp;execute!D33&amp;" Months"</f>
        <v>PY20 at 12 Months</v>
      </c>
      <c r="D45" s="151" t="s">
        <v>43</v>
      </c>
      <c r="E45" s="152"/>
      <c r="F45" s="152"/>
      <c r="G45" s="150"/>
      <c r="H45" s="153"/>
      <c r="I45" s="154"/>
    </row>
    <row r="46" spans="2:14" x14ac:dyDescent="0.25">
      <c r="C46" s="150"/>
      <c r="D46" s="43">
        <f t="array" ref="D46">PY4_</f>
        <v>43101</v>
      </c>
      <c r="E46" s="44">
        <f t="array" ref="E46">PY3_</f>
        <v>43466</v>
      </c>
      <c r="F46" s="44">
        <f t="array" ref="F46">PY2_</f>
        <v>43831</v>
      </c>
      <c r="G46" s="150"/>
      <c r="H46" s="153"/>
      <c r="I46" s="154"/>
    </row>
    <row r="47" spans="2:14" x14ac:dyDescent="0.25">
      <c r="C47" s="150"/>
      <c r="D47" s="17" t="s">
        <v>46</v>
      </c>
      <c r="E47" s="18" t="s">
        <v>46</v>
      </c>
      <c r="F47" s="18" t="s">
        <v>46</v>
      </c>
      <c r="G47" s="150"/>
      <c r="H47" s="153"/>
      <c r="I47" s="154"/>
    </row>
    <row r="48" spans="2:14" x14ac:dyDescent="0.25">
      <c r="C48" s="150"/>
      <c r="D48" s="41" t="str">
        <f t="array" ref="D48">MONTH(Val_current)&amp;"/"&amp;DAY(Val_current)&amp;"/"&amp;YEAR(Val_current)-2</f>
        <v>1/0/1898</v>
      </c>
      <c r="E48" s="40" t="str">
        <f t="array" ref="E48">MONTH(Val_current)&amp;"/"&amp;DAY(Val_current)&amp;"/"&amp;YEAR(Val_current)-1</f>
        <v>1/0/1899</v>
      </c>
      <c r="F48" s="42" t="str">
        <f t="array" ref="F48">MONTH(Val_current)&amp;"/"&amp;DAY(Val_current)&amp;"/"&amp;YEAR(Val_current)</f>
        <v>1/0/1900</v>
      </c>
      <c r="G48" s="45" t="s">
        <v>47</v>
      </c>
      <c r="H48" s="46" t="str">
        <f t="array" ref="H48">(IF(IncYr_yn="Y",RIGHT(YEAR($D$46),2)&amp;" vs "&amp;RIGHT(YEAR($F$46),2),RIGHT(YEAR($D$46),2)+1&amp;" vs "&amp;RIGHT(YEAR($F$46),2)+1))</f>
        <v>18 vs 20</v>
      </c>
      <c r="I48" s="47" t="str">
        <f t="array" ref="I48">(IF(IncYr_yn="Y",RIGHT(YEAR($E$46),2)&amp;" vs "&amp;RIGHT(YEAR($F$46),2),RIGHT(YEAR($E$46),2)+1&amp;" vs "&amp;RIGHT(YEAR($F$46)+1,2)))</f>
        <v>19 vs 20</v>
      </c>
    </row>
    <row r="49" spans="3:12" ht="15.75" thickBot="1" x14ac:dyDescent="0.3">
      <c r="C49" s="19"/>
      <c r="D49" s="20"/>
      <c r="E49" s="20"/>
      <c r="F49" s="21"/>
      <c r="G49" s="22"/>
      <c r="H49" s="23"/>
      <c r="I49" s="24"/>
    </row>
    <row r="50" spans="3:12" x14ac:dyDescent="0.25">
      <c r="C50" s="25" t="s">
        <v>50</v>
      </c>
      <c r="D50" s="74">
        <f t="array" ref="D50">IFERROR(VLOOKUP(PY4_,$M$4:$R$13,3,FALSE),"-")</f>
        <v>6444927</v>
      </c>
      <c r="E50" s="74">
        <f t="array" ref="E50">IFERROR(VLOOKUP(PY3_,$M$4:$R$13,3,FALSE),"-")</f>
        <v>8192021</v>
      </c>
      <c r="F50" s="74">
        <f t="array" ref="F50">IFERROR(VLOOKUP(PY2_,$M$4:$R$13,3,FALSE),"-")</f>
        <v>5378698</v>
      </c>
      <c r="G50" s="76"/>
      <c r="H50" s="77">
        <f>IFERROR((F50-D50)/D50,"-")</f>
        <v>-0.16543693978225044</v>
      </c>
      <c r="I50" s="78">
        <f>IFERROR((F50-E50)/E50,"-")</f>
        <v>-0.34342233741832451</v>
      </c>
    </row>
    <row r="51" spans="3:12" x14ac:dyDescent="0.25">
      <c r="C51" s="25" t="s">
        <v>18</v>
      </c>
      <c r="D51" s="80">
        <f t="array" ref="D51">IFERROR(VLOOKUP(PY4_,$M$4:$R$13,4,FALSE),"-")</f>
        <v>155</v>
      </c>
      <c r="E51" s="80">
        <f t="array" ref="E51">IFERROR(VLOOKUP(PY3_,$M$4:$R$13,4,FALSE),"-")</f>
        <v>162</v>
      </c>
      <c r="F51" s="80">
        <f t="array" ref="F51">IFERROR(VLOOKUP(PY2_,$M$4:$R$13,4,FALSE),"-")</f>
        <v>207</v>
      </c>
      <c r="G51" s="76"/>
      <c r="H51" s="81">
        <f>IFERROR((F51-D51)/D51,"-")</f>
        <v>0.33548387096774196</v>
      </c>
      <c r="I51" s="78">
        <f>IFERROR((F51-E51)/E51,"-")</f>
        <v>0.27777777777777779</v>
      </c>
    </row>
    <row r="52" spans="3:12" ht="15.75" thickBot="1" x14ac:dyDescent="0.3">
      <c r="C52" s="19"/>
      <c r="D52" s="20"/>
      <c r="E52" s="20"/>
      <c r="F52" s="21"/>
      <c r="G52" s="22"/>
      <c r="H52" s="23"/>
      <c r="I52" s="24"/>
    </row>
    <row r="53" spans="3:12" x14ac:dyDescent="0.25">
      <c r="C53" s="25" t="s">
        <v>38</v>
      </c>
      <c r="D53" s="74">
        <f t="array" ref="D53">SUM((IncLim)*(Months=months2)*(PY=PY4_)*(Filter1=Source3))</f>
        <v>0</v>
      </c>
      <c r="E53" s="74">
        <f t="array" ref="E53">SUM((IncLim)*(Months=months2)*(PY=PY3_)*(Filter1=Source3))</f>
        <v>0</v>
      </c>
      <c r="F53" s="75">
        <f t="array" ref="F53">SUM((IncLim)*(Months=months2)*(PY=PY2_)*(Filter1=Source3))</f>
        <v>0</v>
      </c>
      <c r="G53" s="76"/>
      <c r="H53" s="77" t="str">
        <f>IFERROR((F53-D53)/D53,"-")</f>
        <v>-</v>
      </c>
      <c r="I53" s="78" t="str">
        <f>IFERROR((F53-E53)/E53,"-")</f>
        <v>-</v>
      </c>
    </row>
    <row r="54" spans="3:12" x14ac:dyDescent="0.25">
      <c r="C54" s="25" t="s">
        <v>71</v>
      </c>
      <c r="D54" s="74">
        <f t="array" ref="D54">SUM((pdLim)*(Months=months2)*(PY=PY4_)*(Filter1=Source3))</f>
        <v>0</v>
      </c>
      <c r="E54" s="74">
        <f t="array" ref="E54">SUM((pdLim)*(Months=months2)*(PY=PY3_)*(Filter1=Source3))</f>
        <v>0</v>
      </c>
      <c r="F54" s="75">
        <f t="array" ref="F54">SUM((pdLim)*(Months=months2)*(PY=PY2_)*(Filter1=Source3))</f>
        <v>0</v>
      </c>
      <c r="G54" s="76"/>
      <c r="H54" s="81" t="str">
        <f>IFERROR((F54-D54)/D54,"-")</f>
        <v>-</v>
      </c>
      <c r="I54" s="78" t="str">
        <f>IFERROR((F54-E54)/E54,"-")</f>
        <v>-</v>
      </c>
      <c r="J54" s="5"/>
      <c r="L54" s="2"/>
    </row>
    <row r="55" spans="3:12" x14ac:dyDescent="0.25">
      <c r="C55" s="25" t="s">
        <v>51</v>
      </c>
      <c r="D55" s="74">
        <f>D53-D54</f>
        <v>0</v>
      </c>
      <c r="E55" s="74">
        <f>E53-E54</f>
        <v>0</v>
      </c>
      <c r="F55" s="74">
        <f>F53-F54</f>
        <v>0</v>
      </c>
      <c r="G55" s="76"/>
      <c r="H55" s="81" t="str">
        <f>IFERROR((F55-D55)/D55,"-")</f>
        <v>-</v>
      </c>
      <c r="I55" s="78" t="str">
        <f>IFERROR((F55-E55)/E55,"-")</f>
        <v>-</v>
      </c>
    </row>
    <row r="56" spans="3:12" ht="15.75" thickBot="1" x14ac:dyDescent="0.3">
      <c r="C56" s="26"/>
      <c r="D56" s="27"/>
      <c r="E56" s="27"/>
      <c r="F56" s="28"/>
      <c r="G56" s="29"/>
      <c r="H56" s="30"/>
      <c r="I56" s="31"/>
    </row>
    <row r="57" spans="3:12" x14ac:dyDescent="0.25">
      <c r="C57" s="25" t="s">
        <v>52</v>
      </c>
      <c r="D57" s="82">
        <f t="array" ref="D57">SUM((IncLim&gt;0)*(Months=months2)*(PY=PY4_)*(Filter1=Source3))</f>
        <v>0</v>
      </c>
      <c r="E57" s="82">
        <f t="array" ref="E57">SUM((IncLim&gt;0)*(Months=months2)*(PY=PY3_)*(Filter1=Source3))</f>
        <v>0</v>
      </c>
      <c r="F57" s="83">
        <f t="array" ref="F57">SUM((IncLim&gt;0)*(Months=months2)*(PY=PY2_)*(Filter1=Source3))</f>
        <v>0</v>
      </c>
      <c r="G57" s="76"/>
      <c r="H57" s="77" t="str">
        <f>IFERROR((F57-D57)/D57,"-")</f>
        <v>-</v>
      </c>
      <c r="I57" s="78" t="str">
        <f>IFERROR((F57-E57)/E57,"-")</f>
        <v>-</v>
      </c>
    </row>
    <row r="58" spans="3:12" x14ac:dyDescent="0.25">
      <c r="C58" s="25" t="s">
        <v>53</v>
      </c>
      <c r="D58" s="74" t="str">
        <f>IFERROR(D53/D57,"-")</f>
        <v>-</v>
      </c>
      <c r="E58" s="74" t="str">
        <f>IFERROR(E53/E57,"-")</f>
        <v>-</v>
      </c>
      <c r="F58" s="74" t="str">
        <f>IFERROR(F53/F57,"-")</f>
        <v>-</v>
      </c>
      <c r="G58" s="76"/>
      <c r="H58" s="84" t="str">
        <f>IFERROR((F58-D58)/D58,"-")</f>
        <v>-</v>
      </c>
      <c r="I58" s="78" t="str">
        <f>IFERROR((F58-E58)/E58,"-")</f>
        <v>-</v>
      </c>
    </row>
    <row r="59" spans="3:12" x14ac:dyDescent="0.25">
      <c r="C59" s="25" t="s">
        <v>54</v>
      </c>
      <c r="D59" s="74" t="str">
        <f t="array" ref="D59">IFERROR(MEDIAN(IF(IncLim&gt;0, IF(Months=months2,IF(PY=PY4_,IF(Filter1=Source3,IncLim))))),"-")</f>
        <v>-</v>
      </c>
      <c r="E59" s="74" t="str">
        <f t="array" ref="E59">IFERROR(MEDIAN(IF(IncLim&gt;0, IF(Months=months2,IF(PY=PY3_, IF(Filter1=Source3, IncLim))))),"-")</f>
        <v>-</v>
      </c>
      <c r="F59" s="74" t="str">
        <f t="array" ref="F59">IFERROR(MEDIAN(IF(IncLim&gt;0, IF(Months=months2,IF(PY=PY2_, IF(Filter1=Source3, IncLim))))),"-")</f>
        <v>-</v>
      </c>
      <c r="G59" s="76"/>
      <c r="H59" s="81" t="str">
        <f>IFERROR((F59-D59)/D59,"-")</f>
        <v>-</v>
      </c>
      <c r="I59" s="78" t="str">
        <f>IFERROR((F59-E59)/E59,"-")</f>
        <v>-</v>
      </c>
    </row>
    <row r="60" spans="3:12" x14ac:dyDescent="0.25">
      <c r="C60" s="26"/>
      <c r="D60" s="27"/>
      <c r="E60" s="27"/>
      <c r="F60" s="28"/>
      <c r="G60" s="29"/>
      <c r="H60" s="23"/>
      <c r="I60" s="24"/>
    </row>
    <row r="61" spans="3:12" x14ac:dyDescent="0.25">
      <c r="C61" s="25" t="s">
        <v>55</v>
      </c>
      <c r="D61" s="74">
        <f>IFERROR((VLOOKUP(PY4_,$M$4:$Q$10,5,FALSE)/100),"-")</f>
        <v>106600</v>
      </c>
      <c r="E61" s="74">
        <f>IFERROR((VLOOKUP(PY3_,$M$4:$Q$10,5,FALSE)/100),"-")</f>
        <v>155000</v>
      </c>
      <c r="F61" s="75">
        <f>IFERROR((VLOOKUP(PY2_,$M$4:$Q$10,5,FALSE)/100),"-")</f>
        <v>104440</v>
      </c>
      <c r="G61" s="76"/>
      <c r="H61" s="81">
        <f>IFERROR((F61-D61)/D61,"-")</f>
        <v>-2.0262664165103191E-2</v>
      </c>
      <c r="I61" s="78">
        <f>IFERROR((F61-E61)/E61,"-")</f>
        <v>-0.3261935483870968</v>
      </c>
    </row>
    <row r="62" spans="3:12" ht="15.75" thickBot="1" x14ac:dyDescent="0.3">
      <c r="C62" s="32" t="s">
        <v>57</v>
      </c>
      <c r="D62" s="85">
        <f>IFERROR(D53/D61,"-")</f>
        <v>0</v>
      </c>
      <c r="E62" s="85">
        <f>IFERROR(E53/E61,"-")</f>
        <v>0</v>
      </c>
      <c r="F62" s="85">
        <f>IFERROR(F53/F61,"-")</f>
        <v>0</v>
      </c>
      <c r="G62" s="86"/>
      <c r="H62" s="87" t="str">
        <f>IFERROR((F62-D62)/D62,"-")</f>
        <v>-</v>
      </c>
      <c r="I62" s="88" t="str">
        <f>IFERROR((F62-E62)/E62,"-")</f>
        <v>-</v>
      </c>
    </row>
    <row r="63" spans="3:12" ht="15.75" thickBot="1" x14ac:dyDescent="0.3">
      <c r="C63" s="26"/>
      <c r="D63" s="27"/>
      <c r="E63" s="27"/>
      <c r="F63" s="28"/>
      <c r="G63" s="29"/>
      <c r="H63" s="30"/>
      <c r="I63" s="31"/>
    </row>
    <row r="64" spans="3:12" x14ac:dyDescent="0.25">
      <c r="C64" s="25" t="s">
        <v>58</v>
      </c>
      <c r="D64" s="80">
        <f t="array" ref="D64">SUM((IncLim&gt;0)*(indType&gt;0)*(Months=months2)*(PY=PY4_)*(Filter1=Source3))</f>
        <v>0</v>
      </c>
      <c r="E64" s="80">
        <f t="array" ref="E64">SUM((IncLim&gt;0)*(indType&gt;0)*(Months=months2)*(PY=PY3_)*(Filter1=Source3))</f>
        <v>0</v>
      </c>
      <c r="F64" s="89">
        <f t="array" ref="F64">SUM((IncLim&gt;0)*(indType&gt;0)*(Months=months2)*(PY=PY2_)*(Filter1=Source3))</f>
        <v>0</v>
      </c>
      <c r="G64" s="76"/>
      <c r="H64" s="77" t="str">
        <f>IFERROR((F64-D64)/D64,"-")</f>
        <v>-</v>
      </c>
      <c r="I64" s="78" t="str">
        <f>IFERROR((F64-E64)/E64,"-")</f>
        <v>-</v>
      </c>
    </row>
    <row r="65" spans="2:14" x14ac:dyDescent="0.25">
      <c r="C65" s="25" t="s">
        <v>59</v>
      </c>
      <c r="D65" s="90" t="str">
        <f>IFERROR(D64/D57,"-")</f>
        <v>-</v>
      </c>
      <c r="E65" s="90" t="str">
        <f t="shared" ref="E65:F65" si="3">IFERROR(E64/E57,"-")</f>
        <v>-</v>
      </c>
      <c r="F65" s="90" t="str">
        <f t="shared" si="3"/>
        <v>-</v>
      </c>
      <c r="G65" s="76"/>
      <c r="H65" s="93" t="str">
        <f>IFERROR(IF(((F65-D65)*100)&gt;0,"+"&amp;ROUND((F65-D65)*100,1),ROUND((F65-D65)*100,1)),"-")</f>
        <v>-</v>
      </c>
      <c r="I65" s="92" t="str">
        <f>IFERROR(IF(((F65-E65)*100)&gt;0,"+"&amp;ROUND((F65-E65)*100,1),ROUND((F65-E65)*100,1)),"-")</f>
        <v>-</v>
      </c>
    </row>
    <row r="66" spans="2:14" x14ac:dyDescent="0.25">
      <c r="B66" s="73"/>
      <c r="C66" s="25" t="s">
        <v>60</v>
      </c>
      <c r="D66" s="74">
        <f t="array" ref="D66">SUM((IncLim)*(indType&gt;0)*(Months=months2)*(PY=PY4_)*(Filter1=Source3))</f>
        <v>0</v>
      </c>
      <c r="E66" s="74">
        <f t="array" ref="E66">SUM((IncLim)*(indType&gt;0)*(Months=months2)*(PY=PY3_)*(Filter1=Source3))</f>
        <v>0</v>
      </c>
      <c r="F66" s="74">
        <f t="array" ref="F66">SUM((IncLim)*(indType&gt;0)*(Months=months2)*(PY=PY2_)*(Filter1=Source3))</f>
        <v>0</v>
      </c>
      <c r="G66" s="76"/>
      <c r="H66" s="81" t="str">
        <f t="shared" ref="H66:H67" si="4">IFERROR((F66-D66)/D66,"-")</f>
        <v>-</v>
      </c>
      <c r="I66" s="78" t="str">
        <f t="shared" ref="I66:I67" si="5">IFERROR((F66-E66)/E66,"-")</f>
        <v>-</v>
      </c>
      <c r="L66" s="2"/>
      <c r="N66" s="2"/>
    </row>
    <row r="67" spans="2:14" x14ac:dyDescent="0.25">
      <c r="B67" s="73"/>
      <c r="C67" s="25" t="s">
        <v>61</v>
      </c>
      <c r="D67" s="74" t="str">
        <f>IFERROR(D66/D64,"-")</f>
        <v>-</v>
      </c>
      <c r="E67" s="74" t="str">
        <f t="shared" ref="E67" si="6">IFERROR(E66/E64,"-")</f>
        <v>-</v>
      </c>
      <c r="F67" s="74" t="str">
        <f t="shared" ref="F67" si="7">IFERROR(F66/F64,"-")</f>
        <v>-</v>
      </c>
      <c r="G67" s="76"/>
      <c r="H67" s="81" t="str">
        <f t="shared" si="4"/>
        <v>-</v>
      </c>
      <c r="I67" s="78" t="str">
        <f t="shared" si="5"/>
        <v>-</v>
      </c>
      <c r="L67" s="2"/>
      <c r="N67" s="2"/>
    </row>
    <row r="68" spans="2:14" x14ac:dyDescent="0.25">
      <c r="C68" s="25" t="s">
        <v>62</v>
      </c>
      <c r="D68" s="90" t="str">
        <f>IFERROR(1-(D69/D64),"-")</f>
        <v>-</v>
      </c>
      <c r="E68" s="90" t="str">
        <f>IFERROR(1-(E69/E64),"-")</f>
        <v>-</v>
      </c>
      <c r="F68" s="90" t="str">
        <f>IFERROR(1-(F69/F64),"-")</f>
        <v>-</v>
      </c>
      <c r="G68" s="76"/>
      <c r="H68" s="124" t="str">
        <f>IFERROR(IF(((F68-D68)*100)&gt;0,"+"&amp;ROUND((F68-D68)*100,1),ROUND((F68-D68)*100,1)),"-")</f>
        <v>-</v>
      </c>
      <c r="I68" s="92" t="str">
        <f>IFERROR(IF(((F68-E68)*100)&gt;0,"+"&amp;ROUND((F68-E68)*100,1),ROUND((F68-E68)*100,1)),"-")</f>
        <v>-</v>
      </c>
    </row>
    <row r="69" spans="2:14" ht="15.75" thickBot="1" x14ac:dyDescent="0.3">
      <c r="C69" s="32" t="s">
        <v>63</v>
      </c>
      <c r="D69" s="106">
        <f t="array" ref="D69">D64-SUM((IncLim&gt;0)*(indType&gt;0)*(Closed&gt;0)*(Months=months2)*(PY=PY4_)*(Filter1=Source3))</f>
        <v>0</v>
      </c>
      <c r="E69" s="106">
        <f t="array" ref="E69">E64-SUM((IncLim&gt;0)*(indType&gt;0)*(Closed&gt;0)*(Months=months2)*(PY=PY3_)*(Filter1=Source3))</f>
        <v>0</v>
      </c>
      <c r="F69" s="106">
        <f t="array" ref="F69">F64-SUM((IncLim&gt;0)*(indType&gt;0)*(Closed&gt;0)*(Months=months2)*(PY=PY2_)*(Filter1=Source3))</f>
        <v>0</v>
      </c>
      <c r="G69" s="86"/>
      <c r="H69" s="87" t="str">
        <f>IFERROR((F69-D69)/D69,"-")</f>
        <v>-</v>
      </c>
      <c r="I69" s="88" t="str">
        <f>IFERROR((F69-E69)/E69,"-")</f>
        <v>-</v>
      </c>
    </row>
    <row r="70" spans="2:14" x14ac:dyDescent="0.25">
      <c r="C70" s="26"/>
      <c r="D70" s="33"/>
      <c r="E70" s="33"/>
      <c r="F70" s="34"/>
      <c r="G70" s="29"/>
      <c r="H70" s="30"/>
      <c r="I70" s="31"/>
    </row>
    <row r="71" spans="2:14" x14ac:dyDescent="0.25">
      <c r="C71" s="25" t="s">
        <v>72</v>
      </c>
      <c r="D71" s="80">
        <f t="array" ref="D71">SUM((IncLim&gt;0)*(Lit&gt;0)*(Months=months2)*(PY=PY4_)*(Filter1=Source3))</f>
        <v>0</v>
      </c>
      <c r="E71" s="80">
        <f t="array" ref="E71">SUM((IncLim&gt;0)*(Lit&gt;0)*(Months=months2)*(PY=PY3_)*(Filter1=Source3))</f>
        <v>0</v>
      </c>
      <c r="F71" s="89">
        <f t="array" ref="F71">SUM((IncLim&gt;0)*(Lit&gt;0)*(Months=months2)*(PY=PY2_)*(Filter1=Source3))</f>
        <v>0</v>
      </c>
      <c r="G71" s="76"/>
      <c r="H71" s="81" t="str">
        <f>IFERROR((F71-D71)/D71,"-")</f>
        <v>-</v>
      </c>
      <c r="I71" s="78" t="str">
        <f>IFERROR((F71-E71)/E71,"-")</f>
        <v>-</v>
      </c>
    </row>
    <row r="72" spans="2:14" x14ac:dyDescent="0.25">
      <c r="C72" s="25" t="s">
        <v>73</v>
      </c>
      <c r="D72" s="90" t="str">
        <f>IFERROR(D71/D64,"-")</f>
        <v>-</v>
      </c>
      <c r="E72" s="90" t="str">
        <f>IFERROR(E71/E64,"-")</f>
        <v>-</v>
      </c>
      <c r="F72" s="125" t="str">
        <f>IFERROR(F71/F64,"-")</f>
        <v>-</v>
      </c>
      <c r="G72" s="76"/>
      <c r="H72" s="93" t="str">
        <f>IFERROR(IF(((F72-D72)*100)&gt;0,"+"&amp;ROUND((F72-D72)*100,1),ROUND((F72-D72)*100,1)),"-")</f>
        <v>-</v>
      </c>
      <c r="I72" s="92" t="str">
        <f>IFERROR(IF(((F72-E72)*100)&gt;0,"+"&amp;ROUND((F72-E72)*100,1),ROUND((F72-E72)*100,1)),"-")</f>
        <v>-</v>
      </c>
    </row>
    <row r="73" spans="2:14" x14ac:dyDescent="0.25">
      <c r="B73" s="71"/>
      <c r="C73" s="25" t="s">
        <v>75</v>
      </c>
      <c r="D73" s="74">
        <f t="array" ref="D73">SUM((IncLim)*(Lit&gt;0)*(indType&gt;0)*(Months=months2)*(PY=PY4_)*(Filter1=Source3))</f>
        <v>0</v>
      </c>
      <c r="E73" s="74">
        <f t="array" ref="E73">SUM((IncLim)*(Lit&gt;0)*(indType&gt;0)*(Months=months2)*(PY=PY3_)*(Filter1=Source3))</f>
        <v>0</v>
      </c>
      <c r="F73" s="75">
        <f t="array" ref="F73">SUM((IncLim)*(Lit&gt;0)*(indType&gt;0)*(Months=months2)*(PY=PY2_)*(Filter1=Source3))</f>
        <v>0</v>
      </c>
      <c r="G73" s="76"/>
      <c r="H73" s="81" t="str">
        <f>IFERROR((F73-D73)/D73,"-")</f>
        <v>-</v>
      </c>
      <c r="I73" s="78" t="str">
        <f>IFERROR((F73-E73)/E73,"-")</f>
        <v>-</v>
      </c>
      <c r="L73" s="2"/>
      <c r="N73" s="2"/>
    </row>
    <row r="74" spans="2:14" x14ac:dyDescent="0.25">
      <c r="B74" s="71"/>
      <c r="C74" s="120" t="s">
        <v>100</v>
      </c>
      <c r="D74" s="122" t="str">
        <f>IFERROR(D73/D66,"-")</f>
        <v>-</v>
      </c>
      <c r="E74" s="122" t="str">
        <f>IFERROR(E73/E66,"-")</f>
        <v>-</v>
      </c>
      <c r="F74" s="122" t="str">
        <f>IFERROR(F73/F66,"-")</f>
        <v>-</v>
      </c>
      <c r="G74" s="121"/>
      <c r="H74" s="93" t="str">
        <f>IFERROR(IF(((F74-D74)*100)&gt;0,"+"&amp;ROUND((F74-D74)*100,1),ROUND((F74-D74)*100,1)),"-")</f>
        <v>-</v>
      </c>
      <c r="I74" s="92" t="str">
        <f>IFERROR(IF(((F74-E74)*100)&gt;0,"+"&amp;ROUND((F74-E74)*100,1),ROUND((F74-E74)*100,1)),"-")</f>
        <v>-</v>
      </c>
      <c r="L74" s="2"/>
      <c r="N74" s="2"/>
    </row>
    <row r="75" spans="2:14" x14ac:dyDescent="0.25">
      <c r="B75" s="71"/>
      <c r="C75" s="25" t="s">
        <v>91</v>
      </c>
      <c r="D75" s="80">
        <f t="array" ref="D75">SUM((IncLim&gt;0)*(Lit&gt;0)*(Months=months2)*(PY=PY4_)*(Filter1=Source3))</f>
        <v>0</v>
      </c>
      <c r="E75" s="80">
        <f t="array" ref="E75">SUM((IncLim&gt;0)*(Lit&gt;0)*(Months=months2)*(PY=PY3_)*(Filter1=Source3))</f>
        <v>0</v>
      </c>
      <c r="F75" s="89">
        <f t="array" ref="F75">SUM((IncLim&gt;0)*(Lit&gt;0)*(Months=months2)*(PY=PY2_)*(Filter1=Source3))</f>
        <v>0</v>
      </c>
      <c r="G75" s="76"/>
      <c r="H75" s="81" t="str">
        <f>IFERROR((F75-D75)/D75,"-")</f>
        <v>-</v>
      </c>
      <c r="I75" s="78" t="str">
        <f>IFERROR((F75-E75)/E75,"-")</f>
        <v>-</v>
      </c>
      <c r="L75" s="2"/>
      <c r="N75" s="2"/>
    </row>
    <row r="76" spans="2:14" x14ac:dyDescent="0.25">
      <c r="B76" s="71"/>
      <c r="C76" s="25" t="s">
        <v>74</v>
      </c>
      <c r="D76" s="74">
        <f t="array" ref="D76">SUM((IncLim)*(Lit&gt;0)*(Months=months2)*(PY=PY4_)*(Filter1=Source3))</f>
        <v>0</v>
      </c>
      <c r="E76" s="74">
        <f t="array" ref="E76">SUM((IncLim)*(Lit&gt;0)*(Months=months2)*(PY=PY3_)*(Filter1=Source3))</f>
        <v>0</v>
      </c>
      <c r="F76" s="75">
        <f t="array" ref="F76">SUM((IncLim)*(Lit&gt;0)*(Months=months2)*(PY=PY2_)*(Filter1=Source3))</f>
        <v>0</v>
      </c>
      <c r="G76" s="76"/>
      <c r="H76" s="81" t="str">
        <f>IFERROR((F76-D76)/D76,"-")</f>
        <v>-</v>
      </c>
      <c r="I76" s="78" t="str">
        <f>IFERROR((F76-E76)/E76,"-")</f>
        <v>-</v>
      </c>
      <c r="L76" s="2"/>
      <c r="N76" s="2"/>
    </row>
    <row r="77" spans="2:14" x14ac:dyDescent="0.25">
      <c r="B77" s="71"/>
      <c r="C77" s="25" t="s">
        <v>104</v>
      </c>
      <c r="D77" s="74"/>
      <c r="E77" s="74"/>
      <c r="F77" s="75"/>
      <c r="G77" s="76"/>
      <c r="H77" s="81" t="str">
        <f>IFERROR((F77-D77)/D77,"-")</f>
        <v>-</v>
      </c>
      <c r="I77" s="78" t="str">
        <f>IFERROR((F77-E77)/E77,"-")</f>
        <v>-</v>
      </c>
      <c r="L77" s="2"/>
      <c r="N77" s="2"/>
    </row>
    <row r="78" spans="2:14" x14ac:dyDescent="0.25">
      <c r="C78" s="26"/>
      <c r="D78" s="33"/>
      <c r="E78" s="33"/>
      <c r="F78" s="34"/>
      <c r="G78" s="29"/>
      <c r="H78" s="30"/>
      <c r="I78" s="31"/>
    </row>
    <row r="79" spans="2:14" x14ac:dyDescent="0.25">
      <c r="C79" s="25" t="s">
        <v>64</v>
      </c>
      <c r="D79" s="94">
        <f>SUMPRODUCT(LARGE((Months=months2)*(PY=PY4_)*(IncLim)*(Filter1=Source3),{1,2,3,4,5}))</f>
        <v>0</v>
      </c>
      <c r="E79" s="94">
        <f t="array" ref="E79">SUMPRODUCT(LARGE((Months=months2)*(PY=PY3_)*(IncLim)*(Filter1=Source3),{1,2,3,4,5}))</f>
        <v>0</v>
      </c>
      <c r="F79" s="95">
        <f t="array" ref="F79">SUMPRODUCT(LARGE((Months=months2)*(PY=PY2_)*(IncLim)*(Filter1=Source3),{1,2,3,4,5}))</f>
        <v>0</v>
      </c>
      <c r="G79" s="76"/>
      <c r="H79" s="81" t="str">
        <f>IFERROR((F79-D79)/D79,"-")</f>
        <v>-</v>
      </c>
      <c r="I79" s="78" t="str">
        <f>IFERROR((F79-E79)/E79,"-")</f>
        <v>-</v>
      </c>
    </row>
    <row r="80" spans="2:14" ht="15.75" thickBot="1" x14ac:dyDescent="0.3">
      <c r="C80" s="35" t="s">
        <v>65</v>
      </c>
      <c r="D80" s="126" t="str">
        <f>IFERROR(D79/D53,"-")</f>
        <v>-</v>
      </c>
      <c r="E80" s="126" t="str">
        <f>IFERROR(E79/E53,"-")</f>
        <v>-</v>
      </c>
      <c r="F80" s="126" t="str">
        <f>IFERROR(F79/F53,"-")</f>
        <v>-</v>
      </c>
      <c r="G80" s="96"/>
      <c r="H80" s="97" t="str">
        <f>IFERROR(IF(((F80-D80)*100)&gt;0,"+"&amp;ROUND((F80-D80)*100,1),ROUND((F80-D80)*100,1)),"-")</f>
        <v>-</v>
      </c>
      <c r="I80" s="98" t="str">
        <f>IFERROR(IF(((F80-E80)*100)&gt;0,"+"&amp;ROUND((F80-E80)*100,1),ROUND((F80-E80)*100,1)),"-")</f>
        <v>-</v>
      </c>
    </row>
    <row r="81" spans="2:12" x14ac:dyDescent="0.25">
      <c r="C81" s="39"/>
      <c r="D81" s="39"/>
      <c r="E81" s="39"/>
      <c r="F81" s="39"/>
      <c r="G81" s="39"/>
      <c r="H81" s="123"/>
      <c r="I81" s="123"/>
    </row>
    <row r="83" spans="2:12" ht="15.75" thickBot="1" x14ac:dyDescent="0.3"/>
    <row r="84" spans="2:12" x14ac:dyDescent="0.25">
      <c r="B84" s="61" t="s">
        <v>67</v>
      </c>
      <c r="C84" s="14">
        <f>Source3</f>
        <v>0</v>
      </c>
      <c r="D84" s="148"/>
      <c r="E84" s="149"/>
      <c r="F84" s="149"/>
      <c r="G84" s="14"/>
      <c r="H84" s="15"/>
      <c r="I84" s="16"/>
    </row>
    <row r="85" spans="2:12" x14ac:dyDescent="0.25">
      <c r="C85" s="150" t="str">
        <f>"PY"&amp;RIGHT(YEAR($F$86),2)&amp;" at "&amp;execute!D34&amp;" Months"</f>
        <v>PY19 at 24 Months</v>
      </c>
      <c r="D85" s="151" t="s">
        <v>43</v>
      </c>
      <c r="E85" s="152"/>
      <c r="F85" s="152"/>
      <c r="G85" s="150"/>
      <c r="H85" s="153"/>
      <c r="I85" s="154"/>
    </row>
    <row r="86" spans="2:12" x14ac:dyDescent="0.25">
      <c r="C86" s="150"/>
      <c r="D86" s="43">
        <f t="array" ref="D86">PY5_</f>
        <v>39083</v>
      </c>
      <c r="E86" s="44">
        <f t="array" ref="E86">PY4_</f>
        <v>43101</v>
      </c>
      <c r="F86" s="44">
        <f t="array" ref="F86">PY3_</f>
        <v>43466</v>
      </c>
      <c r="G86" s="150"/>
      <c r="H86" s="153"/>
      <c r="I86" s="154"/>
    </row>
    <row r="87" spans="2:12" x14ac:dyDescent="0.25">
      <c r="C87" s="150"/>
      <c r="D87" s="17" t="s">
        <v>46</v>
      </c>
      <c r="E87" s="18" t="s">
        <v>46</v>
      </c>
      <c r="F87" s="18" t="s">
        <v>46</v>
      </c>
      <c r="G87" s="150"/>
      <c r="H87" s="153"/>
      <c r="I87" s="154"/>
    </row>
    <row r="88" spans="2:12" x14ac:dyDescent="0.25">
      <c r="C88" s="150"/>
      <c r="D88" s="41" t="str">
        <f t="array" ref="D88">MONTH(Val_current)&amp;"/"&amp;DAY(Val_current)&amp;"/"&amp;YEAR(Val_current)-2</f>
        <v>1/0/1898</v>
      </c>
      <c r="E88" s="40" t="str">
        <f t="array" ref="E88">MONTH(Val_current)&amp;"/"&amp;DAY(Val_current)&amp;"/"&amp;YEAR(Val_current)-1</f>
        <v>1/0/1899</v>
      </c>
      <c r="F88" s="42" t="str">
        <f t="array" ref="F88">MONTH(Val_current)&amp;"/"&amp;DAY(Val_current)&amp;"/"&amp;YEAR(Val_current)</f>
        <v>1/0/1900</v>
      </c>
      <c r="G88" s="45" t="s">
        <v>47</v>
      </c>
      <c r="H88" s="46" t="str">
        <f t="array" ref="H88">IF(IncYr_yn="Y",RIGHT(YEAR($D$86),2)&amp;" vs "&amp;RIGHT(YEAR($F$86),2),RIGHT(YEAR($D$86),2)+1&amp;" vs "&amp;RIGHT(YEAR($F$86),2)+1)</f>
        <v>07 vs 19</v>
      </c>
      <c r="I88" s="47" t="str">
        <f t="array" ref="I88">IF(IncYr_yn="Y",RIGHT(YEAR($E$86),2)&amp;" vs "&amp;RIGHT(YEAR($F$86),2),RIGHT(YEAR($E$86),2)+1&amp;" vs "&amp;RIGHT(YEAR($F$86),2)+1)</f>
        <v>18 vs 19</v>
      </c>
    </row>
    <row r="89" spans="2:12" ht="15.75" thickBot="1" x14ac:dyDescent="0.3">
      <c r="C89" s="19"/>
      <c r="D89" s="20"/>
      <c r="E89" s="20"/>
      <c r="F89" s="21"/>
      <c r="G89" s="22"/>
      <c r="H89" s="23"/>
      <c r="I89" s="24"/>
    </row>
    <row r="90" spans="2:12" x14ac:dyDescent="0.25">
      <c r="C90" s="25" t="s">
        <v>50</v>
      </c>
      <c r="D90" s="74">
        <f t="array" ref="D90">IFERROR(VLOOKUP(PY5_,$M$4:$R$13,3,FALSE),"-")</f>
        <v>7260618</v>
      </c>
      <c r="E90" s="74">
        <f t="array" ref="E90">IFERROR(VLOOKUP(PY4_,$M$4:$R$13,3,FALSE),"-")</f>
        <v>6444927</v>
      </c>
      <c r="F90" s="74">
        <f t="array" ref="F90">IFERROR(VLOOKUP(PY3_,$M$4:$R$13,3,FALSE),"-")</f>
        <v>8192021</v>
      </c>
      <c r="G90" s="76"/>
      <c r="H90" s="77">
        <f>IFERROR((F90-D90)/D90,"-")</f>
        <v>0.12828150441188341</v>
      </c>
      <c r="I90" s="78">
        <f>IFERROR((F90-E90)/E90,"-")</f>
        <v>0.27108049478295099</v>
      </c>
    </row>
    <row r="91" spans="2:12" x14ac:dyDescent="0.25">
      <c r="C91" s="25" t="s">
        <v>18</v>
      </c>
      <c r="D91" s="80">
        <f t="array" ref="D91">IFERROR(VLOOKUP(PY5_,$M$4:$P$11,4,FALSE),"-")</f>
        <v>154</v>
      </c>
      <c r="E91" s="80">
        <f t="array" ref="E91">IFERROR(VLOOKUP(PY4_,$M$4:$P$11,4,FALSE),"-")</f>
        <v>155</v>
      </c>
      <c r="F91" s="80">
        <f t="array" ref="F91">IFERROR(VLOOKUP(PY3_,$M$4:$P$11,4,FALSE),"-")</f>
        <v>162</v>
      </c>
      <c r="G91" s="76"/>
      <c r="H91" s="81">
        <f>IFERROR((F91-D91)/D91,"-")</f>
        <v>5.1948051948051951E-2</v>
      </c>
      <c r="I91" s="78">
        <f>IFERROR((F91-E91)/E91,"-")</f>
        <v>4.5161290322580643E-2</v>
      </c>
    </row>
    <row r="92" spans="2:12" ht="15.75" thickBot="1" x14ac:dyDescent="0.3">
      <c r="C92" s="19"/>
      <c r="D92" s="20"/>
      <c r="E92" s="20"/>
      <c r="F92" s="21"/>
      <c r="G92" s="22"/>
      <c r="H92" s="23"/>
      <c r="I92" s="24"/>
    </row>
    <row r="93" spans="2:12" x14ac:dyDescent="0.25">
      <c r="C93" s="25" t="s">
        <v>38</v>
      </c>
      <c r="D93" s="74">
        <f t="array" ref="D93">SUM((IncLim)*(Months=months3)*(PY=PY5_)*(Filter1=Source3))</f>
        <v>0</v>
      </c>
      <c r="E93" s="74">
        <f t="array" ref="E93">SUM((IncLim)*(Months=months3)*(PY=PY4_)*(Filter1=Source3))</f>
        <v>0</v>
      </c>
      <c r="F93" s="75">
        <f t="array" ref="F93">SUM((IncLim)*(Months=months3)*(PY=PY3_)*(Filter1=Source3))</f>
        <v>0</v>
      </c>
      <c r="G93" s="76"/>
      <c r="H93" s="77" t="str">
        <f>IFERROR((F93-D93)/D93,"-")</f>
        <v>-</v>
      </c>
      <c r="I93" s="78" t="str">
        <f>IFERROR((F93-E93)/E93,"-")</f>
        <v>-</v>
      </c>
    </row>
    <row r="94" spans="2:12" x14ac:dyDescent="0.25">
      <c r="C94" s="25" t="s">
        <v>71</v>
      </c>
      <c r="D94" s="74">
        <f t="array" ref="D94">SUM((pdLim)*(Months=months3)*(PY=PY5_)*(Filter1=Source3))</f>
        <v>0</v>
      </c>
      <c r="E94" s="74">
        <f t="array" ref="E94">SUM((pdLim)*(Months=months3)*(PY=PY4_)*(Filter1=Source3))</f>
        <v>0</v>
      </c>
      <c r="F94" s="75">
        <f t="array" ref="F94">SUM((pdLim)*(Months=months3)*(PY=PY3_)*(Filter1=Source3))</f>
        <v>0</v>
      </c>
      <c r="G94" s="76"/>
      <c r="H94" s="81" t="str">
        <f>IFERROR((F94-D94)/D94,"-")</f>
        <v>-</v>
      </c>
      <c r="I94" s="78" t="str">
        <f>IFERROR((F94-E94)/E94,"-")</f>
        <v>-</v>
      </c>
      <c r="J94" s="5"/>
      <c r="L94" s="2"/>
    </row>
    <row r="95" spans="2:12" x14ac:dyDescent="0.25">
      <c r="C95" s="25" t="s">
        <v>51</v>
      </c>
      <c r="D95" s="74">
        <f>D93-D94</f>
        <v>0</v>
      </c>
      <c r="E95" s="74">
        <f>E93-E94</f>
        <v>0</v>
      </c>
      <c r="F95" s="74">
        <f>F93-F94</f>
        <v>0</v>
      </c>
      <c r="G95" s="76"/>
      <c r="H95" s="81" t="str">
        <f>IFERROR((F95-D95)/D95,"-")</f>
        <v>-</v>
      </c>
      <c r="I95" s="78" t="str">
        <f>IFERROR((F95-E95)/E95,"-")</f>
        <v>-</v>
      </c>
    </row>
    <row r="96" spans="2:12" ht="15.75" thickBot="1" x14ac:dyDescent="0.3">
      <c r="C96" s="26"/>
      <c r="D96" s="27"/>
      <c r="E96" s="27"/>
      <c r="F96" s="28"/>
      <c r="G96" s="29"/>
      <c r="H96" s="30"/>
      <c r="I96" s="31"/>
    </row>
    <row r="97" spans="2:14" x14ac:dyDescent="0.25">
      <c r="C97" s="25" t="s">
        <v>52</v>
      </c>
      <c r="D97" s="82">
        <f t="array" ref="D97">SUM((IncLim&gt;0)*(Months=months3)*(PY=PY5_)*(Filter1=Source3))</f>
        <v>0</v>
      </c>
      <c r="E97" s="82">
        <f t="array" ref="E97">SUM((IncLim&gt;0)*(Months=months3)*(PY=PY4_)*(Filter1=Source3))</f>
        <v>0</v>
      </c>
      <c r="F97" s="83">
        <f t="array" ref="F97">SUM((IncLim&gt;0)*(Months=months3)*(PY=PY3_)*(Filter1=Source3))</f>
        <v>0</v>
      </c>
      <c r="G97" s="76"/>
      <c r="H97" s="77" t="str">
        <f>IFERROR((F97-D97)/D97,"-")</f>
        <v>-</v>
      </c>
      <c r="I97" s="78" t="str">
        <f>IFERROR((F97-E97)/E97,"-")</f>
        <v>-</v>
      </c>
    </row>
    <row r="98" spans="2:14" x14ac:dyDescent="0.25">
      <c r="C98" s="25" t="s">
        <v>53</v>
      </c>
      <c r="D98" s="74" t="str">
        <f>IFERROR(D93/D97,"-")</f>
        <v>-</v>
      </c>
      <c r="E98" s="74" t="str">
        <f>IFERROR(E93/E97,"-")</f>
        <v>-</v>
      </c>
      <c r="F98" s="74" t="str">
        <f>IFERROR(F93/F97,"-")</f>
        <v>-</v>
      </c>
      <c r="G98" s="76"/>
      <c r="H98" s="84" t="str">
        <f>IFERROR((F98-D98)/D98,"-")</f>
        <v>-</v>
      </c>
      <c r="I98" s="78" t="str">
        <f>IFERROR((F98-E98)/E98,"-")</f>
        <v>-</v>
      </c>
    </row>
    <row r="99" spans="2:14" x14ac:dyDescent="0.25">
      <c r="C99" s="25" t="s">
        <v>54</v>
      </c>
      <c r="D99" s="74" t="str">
        <f t="array" ref="D99">IFERROR(MEDIAN(IF(IncLim&gt;0, IF(Months=months3,IF(PY=PY5_,IF(Filter1=Source3,IncLim))))),"-")</f>
        <v>-</v>
      </c>
      <c r="E99" s="74" t="str">
        <f t="array" ref="E99">IFERROR(MEDIAN(IF(IncLim&gt;0, IF(Months=months3,IF(PY=PY4_, IF(Filter1=Source3, IncLim))))),"-")</f>
        <v>-</v>
      </c>
      <c r="F99" s="74" t="str">
        <f t="array" ref="F99">IFERROR(MEDIAN(IF(IncLim&gt;0, IF(Months=months3,IF(PY=PY3_, IF(Filter1=Source3, IncLim))))),"-")</f>
        <v>-</v>
      </c>
      <c r="G99" s="76"/>
      <c r="H99" s="81" t="str">
        <f>IFERROR((F99-D99)/D99,"-")</f>
        <v>-</v>
      </c>
      <c r="I99" s="78" t="str">
        <f>IFERROR((F99-E99)/E99,"-")</f>
        <v>-</v>
      </c>
    </row>
    <row r="100" spans="2:14" x14ac:dyDescent="0.25">
      <c r="C100" s="26"/>
      <c r="D100" s="27"/>
      <c r="E100" s="27"/>
      <c r="F100" s="28"/>
      <c r="G100" s="29"/>
      <c r="H100" s="23"/>
      <c r="I100" s="24"/>
    </row>
    <row r="101" spans="2:14" x14ac:dyDescent="0.25">
      <c r="C101" s="25" t="s">
        <v>55</v>
      </c>
      <c r="D101" s="74">
        <f>IFERROR((VLOOKUP(PY5_,$M$4:$Q$10,5,FALSE)/100),"-")</f>
        <v>100000</v>
      </c>
      <c r="E101" s="74">
        <f>IFERROR((VLOOKUP(PY4_,$M$4:$Q$10,5,FALSE)/100),"-")</f>
        <v>106600</v>
      </c>
      <c r="F101" s="75">
        <f>IFERROR((VLOOKUP(PY3_,$M$4:$Q$10,5,FALSE)/100),"-")</f>
        <v>155000</v>
      </c>
      <c r="G101" s="76"/>
      <c r="H101" s="81">
        <f>IFERROR((F101-D101)/D101,"-")</f>
        <v>0.55000000000000004</v>
      </c>
      <c r="I101" s="78">
        <f>IFERROR((F101-E101)/E101,"-")</f>
        <v>0.45403377110694182</v>
      </c>
    </row>
    <row r="102" spans="2:14" ht="15.75" thickBot="1" x14ac:dyDescent="0.3">
      <c r="C102" s="32" t="s">
        <v>57</v>
      </c>
      <c r="D102" s="85">
        <f>IFERROR(D93/D101,"-")</f>
        <v>0</v>
      </c>
      <c r="E102" s="85">
        <f>IFERROR(E93/E101,"-")</f>
        <v>0</v>
      </c>
      <c r="F102" s="85">
        <f>IFERROR(F93/F101,"-")</f>
        <v>0</v>
      </c>
      <c r="G102" s="86"/>
      <c r="H102" s="87" t="str">
        <f>IFERROR((F102-D102)/D102,"-")</f>
        <v>-</v>
      </c>
      <c r="I102" s="88" t="str">
        <f>IFERROR((F102-E102)/E102,"-")</f>
        <v>-</v>
      </c>
    </row>
    <row r="103" spans="2:14" ht="15.75" thickBot="1" x14ac:dyDescent="0.3">
      <c r="C103" s="26"/>
      <c r="D103" s="27"/>
      <c r="E103" s="27"/>
      <c r="F103" s="28"/>
      <c r="G103" s="29"/>
      <c r="H103" s="30"/>
      <c r="I103" s="31"/>
    </row>
    <row r="104" spans="2:14" x14ac:dyDescent="0.25">
      <c r="C104" s="25" t="s">
        <v>58</v>
      </c>
      <c r="D104" s="80">
        <f t="array" ref="D104">SUM((IncLim&gt;0)*(indType&gt;0)*(Months=months3)*(PY=PY5_)*(Filter1=Source3))</f>
        <v>0</v>
      </c>
      <c r="E104" s="80">
        <f t="array" ref="E104">SUM((IncLim&gt;0)*(indType&gt;0)*(Months=months3)*(PY=PY4_)*(Filter1=Source3))</f>
        <v>0</v>
      </c>
      <c r="F104" s="89">
        <f t="array" ref="F104">SUM((IncLim&gt;0)*(indType&gt;0)*(Months=months3)*(PY=PY3_)*(Filter1=Source3))</f>
        <v>0</v>
      </c>
      <c r="G104" s="76"/>
      <c r="H104" s="77" t="str">
        <f>IFERROR((F104-D104)/D104,"-")</f>
        <v>-</v>
      </c>
      <c r="I104" s="78" t="str">
        <f>IFERROR((F104-E104)/E104,"-")</f>
        <v>-</v>
      </c>
    </row>
    <row r="105" spans="2:14" x14ac:dyDescent="0.25">
      <c r="C105" s="25" t="s">
        <v>59</v>
      </c>
      <c r="D105" s="90" t="str">
        <f>IFERROR(D104/D97,"-")</f>
        <v>-</v>
      </c>
      <c r="E105" s="90" t="str">
        <f>IFERROR(E104/E97,"-")</f>
        <v>-</v>
      </c>
      <c r="F105" s="90" t="str">
        <f>IFERROR(F104/F97,"-")</f>
        <v>-</v>
      </c>
      <c r="G105" s="76"/>
      <c r="H105" s="93" t="str">
        <f>IFERROR(IF(((F105-D105)*100)&gt;0,"+"&amp;ROUND((F105-D105)*100,1),ROUND((F105-D105)*100,1)),"-")</f>
        <v>-</v>
      </c>
      <c r="I105" s="92" t="str">
        <f>IFERROR(IF(((F105-E105)*100)&gt;0,"+"&amp;ROUND((F105-E105)*100,1),ROUND((F105-E105)*100,1)),"-")</f>
        <v>-</v>
      </c>
    </row>
    <row r="106" spans="2:14" x14ac:dyDescent="0.25">
      <c r="B106" s="73"/>
      <c r="C106" s="25" t="s">
        <v>60</v>
      </c>
      <c r="D106" s="74">
        <f t="array" ref="D106">SUM((IncLim)*(indType&gt;0)*(Months=months3)*(PY=PY5_)*(Filter1=Source3))</f>
        <v>0</v>
      </c>
      <c r="E106" s="74">
        <f t="array" ref="E106">SUM((IncLim)*(indType&gt;0)*(Months=months3)*(PY=PY4_)*(Filter1=Source3))</f>
        <v>0</v>
      </c>
      <c r="F106" s="74">
        <f t="array" ref="F106">SUM((IncLim)*(indType&gt;0)*(Months=months3)*(PY=PY3_)*(Filter1=Source3))</f>
        <v>0</v>
      </c>
      <c r="G106" s="76"/>
      <c r="H106" s="81" t="str">
        <f t="shared" ref="H106:H107" si="8">IFERROR((F106-D106)/D106,"-")</f>
        <v>-</v>
      </c>
      <c r="I106" s="78" t="str">
        <f t="shared" ref="I106:I107" si="9">IFERROR((F106-E106)/E106,"-")</f>
        <v>-</v>
      </c>
      <c r="L106" s="2"/>
      <c r="N106" s="2"/>
    </row>
    <row r="107" spans="2:14" x14ac:dyDescent="0.25">
      <c r="B107" s="73"/>
      <c r="C107" s="25" t="s">
        <v>61</v>
      </c>
      <c r="D107" s="74" t="str">
        <f>IFERROR(D106/D104,"-")</f>
        <v>-</v>
      </c>
      <c r="E107" s="74" t="str">
        <f t="shared" ref="E107" si="10">IFERROR(E106/E104,"-")</f>
        <v>-</v>
      </c>
      <c r="F107" s="74" t="str">
        <f t="shared" ref="F107" si="11">IFERROR(F106/F104,"-")</f>
        <v>-</v>
      </c>
      <c r="G107" s="76"/>
      <c r="H107" s="81" t="str">
        <f t="shared" si="8"/>
        <v>-</v>
      </c>
      <c r="I107" s="78" t="str">
        <f t="shared" si="9"/>
        <v>-</v>
      </c>
      <c r="L107" s="2"/>
      <c r="N107" s="2"/>
    </row>
    <row r="108" spans="2:14" x14ac:dyDescent="0.25">
      <c r="C108" s="25" t="s">
        <v>62</v>
      </c>
      <c r="D108" s="90" t="str">
        <f>IFERROR(1-(D109/D104),"-")</f>
        <v>-</v>
      </c>
      <c r="E108" s="90" t="str">
        <f>IFERROR(1-(E109/E104),"-")</f>
        <v>-</v>
      </c>
      <c r="F108" s="90" t="str">
        <f>IFERROR(1-(F109/F104),"-")</f>
        <v>-</v>
      </c>
      <c r="G108" s="76"/>
      <c r="H108" s="93" t="str">
        <f>IFERROR(IF(((F108-D108)*100)&gt;0,"+"&amp;ROUND((F108-D108)*100,1),ROUND((F108-D108)*100,1)),"-")</f>
        <v>-</v>
      </c>
      <c r="I108" s="92" t="str">
        <f>IFERROR(IF(((F108-E108)*100)&gt;0,"+"&amp;ROUND((F108-E108)*100,1),ROUND((F108-E108)*100,1)),"-")</f>
        <v>-</v>
      </c>
    </row>
    <row r="109" spans="2:14" ht="15.75" thickBot="1" x14ac:dyDescent="0.3">
      <c r="C109" s="32" t="s">
        <v>63</v>
      </c>
      <c r="D109" s="106">
        <f t="array" ref="D109">D104-SUM((IncLim&gt;0)*(indType&gt;0)*(Closed&gt;0)*(Months=months3)*(PY=PY5_)*(Filter1=Source3))</f>
        <v>0</v>
      </c>
      <c r="E109" s="106">
        <f t="array" ref="E109">E104-SUM((IncLim&gt;0)*(indType&gt;0)*(Closed&gt;0)*(Months=months3)*(PY=PY4_)*(Filter1=Source3))</f>
        <v>0</v>
      </c>
      <c r="F109" s="106">
        <f t="array" ref="F109">F104-SUM((IncLim&gt;0)*(indType&gt;0)*(Closed&gt;0)*(Months=months3)*(PY=PY3_)*(Filter1=Source3))</f>
        <v>0</v>
      </c>
      <c r="G109" s="86"/>
      <c r="H109" s="87" t="str">
        <f>IFERROR((F109-D109)/D109,"-")</f>
        <v>-</v>
      </c>
      <c r="I109" s="88" t="str">
        <f>IFERROR((F109-E109)/E109,"-")</f>
        <v>-</v>
      </c>
    </row>
    <row r="110" spans="2:14" x14ac:dyDescent="0.25">
      <c r="C110" s="26"/>
      <c r="D110" s="33"/>
      <c r="E110" s="33"/>
      <c r="F110" s="34"/>
      <c r="G110" s="29"/>
      <c r="H110" s="30"/>
      <c r="I110" s="31"/>
    </row>
    <row r="111" spans="2:14" x14ac:dyDescent="0.25">
      <c r="C111" s="25" t="s">
        <v>72</v>
      </c>
      <c r="D111" s="80">
        <f t="array" ref="D111">SUM((IncLim&gt;0)*(Lit&gt;0)*(Months=months3)*(PY=PY5_)*(Filter1=Source3))</f>
        <v>0</v>
      </c>
      <c r="E111" s="80">
        <f t="array" ref="E111">SUM((IncLim&gt;0)*(Lit&gt;0)*(Months=months3)*(PY=PY4_)*(Filter1=Source3))</f>
        <v>0</v>
      </c>
      <c r="F111" s="89">
        <f t="array" ref="F111">SUM((IncLim&gt;0)*(Lit&gt;0)*(Months=months3)*(PY=PY3_)*(Filter1=Source3))</f>
        <v>0</v>
      </c>
      <c r="G111" s="76"/>
      <c r="H111" s="81" t="str">
        <f>IFERROR((F111-D111)/D111,"-")</f>
        <v>-</v>
      </c>
      <c r="I111" s="78" t="str">
        <f>IFERROR((F111-E111)/E111,"-")</f>
        <v>-</v>
      </c>
    </row>
    <row r="112" spans="2:14" x14ac:dyDescent="0.25">
      <c r="C112" s="25" t="s">
        <v>73</v>
      </c>
      <c r="D112" s="90" t="str">
        <f>IFERROR(D111/D104,"-")</f>
        <v>-</v>
      </c>
      <c r="E112" s="90" t="str">
        <f>IFERROR(E111/E104,"-")</f>
        <v>-</v>
      </c>
      <c r="F112" s="125" t="str">
        <f>IFERROR(F111/F104,"-")</f>
        <v>-</v>
      </c>
      <c r="G112" s="76"/>
      <c r="H112" s="93" t="str">
        <f>IFERROR(IF(((F112-D112)*100)&gt;0,"+"&amp;ROUND((F112-D112)*100,1),ROUND((F112-D112)*100,1)),"-")</f>
        <v>-</v>
      </c>
      <c r="I112" s="92" t="str">
        <f>IFERROR(IF(((F112-E112)*100)&gt;0,"+"&amp;ROUND((F112-E112)*100,1),ROUND((F112-E112)*100,1)),"-")</f>
        <v>-</v>
      </c>
    </row>
    <row r="113" spans="2:14" x14ac:dyDescent="0.25">
      <c r="B113" s="71"/>
      <c r="C113" s="25" t="s">
        <v>75</v>
      </c>
      <c r="D113" s="74">
        <f t="array" ref="D113">SUM((IncLim)*(Lit&gt;0)*(indType&gt;0)*(Months=months3)*(PY=PY5_)*(Filter1=Source3))</f>
        <v>0</v>
      </c>
      <c r="E113" s="74">
        <f t="array" ref="E113">SUM((IncLim)*(Lit&gt;0)*(indType&gt;0)*(Months=months3)*(PY=PY4_)*(Filter1=Source3))</f>
        <v>0</v>
      </c>
      <c r="F113" s="75">
        <f t="array" ref="F113">SUM((IncLim)*(Lit&gt;0)*(indType&gt;0)*(Months=months3)*(PY=PY3_)*(Filter1=Source3))</f>
        <v>0</v>
      </c>
      <c r="G113" s="76"/>
      <c r="H113" s="81" t="str">
        <f>IFERROR((F113-D113)/D113,"-")</f>
        <v>-</v>
      </c>
      <c r="I113" s="78" t="str">
        <f>IFERROR((F113-E113)/E113,"-")</f>
        <v>-</v>
      </c>
      <c r="L113" s="2"/>
      <c r="N113" s="2"/>
    </row>
    <row r="114" spans="2:14" x14ac:dyDescent="0.25">
      <c r="B114" s="71"/>
      <c r="C114" s="120" t="s">
        <v>100</v>
      </c>
      <c r="D114" s="122" t="str">
        <f>IFERROR(D113/D106,"-")</f>
        <v>-</v>
      </c>
      <c r="E114" s="122" t="str">
        <f>IFERROR(E113/E106,"-")</f>
        <v>-</v>
      </c>
      <c r="F114" s="122" t="str">
        <f>IFERROR(F113/F106,"-")</f>
        <v>-</v>
      </c>
      <c r="G114" s="121"/>
      <c r="H114" s="93" t="str">
        <f>IFERROR(IF(((F114-D114)*100)&gt;0,"+"&amp;ROUND((F114-D114)*100,1),ROUND((F114-D114)*100,1)),"-")</f>
        <v>-</v>
      </c>
      <c r="I114" s="92" t="str">
        <f>IFERROR(IF(((F114-E114)*100)&gt;0,"+"&amp;ROUND((F114-E114)*100,1),ROUND((F114-E114)*100,1)),"-")</f>
        <v>-</v>
      </c>
      <c r="L114" s="2"/>
      <c r="N114" s="2"/>
    </row>
    <row r="115" spans="2:14" x14ac:dyDescent="0.25">
      <c r="B115" s="71"/>
      <c r="C115" s="25" t="s">
        <v>91</v>
      </c>
      <c r="D115" s="80">
        <f t="array" ref="D115">SUM((IncLim&gt;0)*(Lit&gt;0)*(Months=months3)*(PY=PY5_)*(Filter1=Source3))</f>
        <v>0</v>
      </c>
      <c r="E115" s="80">
        <f t="array" ref="E115">SUM((IncLim&gt;0)*(Lit&gt;0)*(Months=months3)*(PY=PY4_)*(Filter1=Source3))</f>
        <v>0</v>
      </c>
      <c r="F115" s="89">
        <f t="array" ref="F115">SUM((IncLim&gt;0)*(Lit&gt;0)*(Months=months3)*(PY=PY3_)*(Filter1=Source3))</f>
        <v>0</v>
      </c>
      <c r="G115" s="76"/>
      <c r="H115" s="81" t="str">
        <f>IFERROR((F115-D115)/D115,"-")</f>
        <v>-</v>
      </c>
      <c r="I115" s="78" t="str">
        <f>IFERROR((F115-E115)/E115,"-")</f>
        <v>-</v>
      </c>
      <c r="L115" s="2"/>
      <c r="N115" s="2"/>
    </row>
    <row r="116" spans="2:14" x14ac:dyDescent="0.25">
      <c r="B116" s="71"/>
      <c r="C116" s="25" t="s">
        <v>74</v>
      </c>
      <c r="D116" s="74">
        <f t="array" ref="D116">SUM((IncLim)*(Lit&gt;0)*(Months=months3)*(PY=PY5_)*(Filter1=Source3))</f>
        <v>0</v>
      </c>
      <c r="E116" s="74">
        <f t="array" ref="E116">SUM((IncLim)*(Lit&gt;0)*(Months=months3)*(PY=PY4_)*(Filter1=Source3))</f>
        <v>0</v>
      </c>
      <c r="F116" s="75">
        <f t="array" ref="F116">SUM((IncLim)*(Lit&gt;0)*(Months=months3)*(PY=PY3_)*(Filter1=Source3))</f>
        <v>0</v>
      </c>
      <c r="G116" s="76"/>
      <c r="H116" s="81" t="str">
        <f>IFERROR((F116-D116)/D116,"-")</f>
        <v>-</v>
      </c>
      <c r="I116" s="78" t="str">
        <f>IFERROR((F116-E116)/E116,"-")</f>
        <v>-</v>
      </c>
      <c r="L116" s="2"/>
      <c r="N116" s="2"/>
    </row>
    <row r="117" spans="2:14" x14ac:dyDescent="0.25">
      <c r="B117" s="71"/>
      <c r="C117" s="25" t="s">
        <v>104</v>
      </c>
      <c r="D117" s="74"/>
      <c r="E117" s="74"/>
      <c r="F117" s="75"/>
      <c r="G117" s="76"/>
      <c r="H117" s="81" t="str">
        <f>IFERROR((F117-D117)/D117,"-")</f>
        <v>-</v>
      </c>
      <c r="I117" s="78" t="str">
        <f>IFERROR((F117-E117)/E117,"-")</f>
        <v>-</v>
      </c>
      <c r="L117" s="2"/>
      <c r="N117" s="2"/>
    </row>
    <row r="118" spans="2:14" x14ac:dyDescent="0.25">
      <c r="C118" s="26"/>
      <c r="D118" s="33"/>
      <c r="E118" s="33"/>
      <c r="F118" s="34"/>
      <c r="G118" s="29"/>
      <c r="H118" s="30"/>
      <c r="I118" s="31"/>
    </row>
    <row r="119" spans="2:14" x14ac:dyDescent="0.25">
      <c r="C119" s="25" t="s">
        <v>64</v>
      </c>
      <c r="D119" s="94">
        <f>SUMPRODUCT(LARGE((Months=months3)*(PY=PY5_)*(IncLim)*(Filter1=Source3),{1,2,3,4,5}))</f>
        <v>0</v>
      </c>
      <c r="E119" s="94">
        <f>SUMPRODUCT(LARGE((Months=months3)*(PY=PY4_)*(IncLim)*(Filter1=Source3),{1,2,3,4,5}))</f>
        <v>0</v>
      </c>
      <c r="F119" s="95">
        <f>SUMPRODUCT(LARGE((Months=months3)*(PY=PY3_)*(IncLim)*(Filter1=Source3),{1,2,3,4,5}))</f>
        <v>0</v>
      </c>
      <c r="G119" s="76"/>
      <c r="H119" s="81" t="str">
        <f>IFERROR((F119-D119)/D119,"-")</f>
        <v>-</v>
      </c>
      <c r="I119" s="78" t="str">
        <f>IFERROR((F119-E119)/E119,"-")</f>
        <v>-</v>
      </c>
    </row>
    <row r="120" spans="2:14" ht="15.75" thickBot="1" x14ac:dyDescent="0.3">
      <c r="C120" s="35" t="s">
        <v>65</v>
      </c>
      <c r="D120" s="126" t="str">
        <f>IFERROR(D119/D93,"-")</f>
        <v>-</v>
      </c>
      <c r="E120" s="126" t="str">
        <f>IFERROR(E119/E93,"-")</f>
        <v>-</v>
      </c>
      <c r="F120" s="126" t="str">
        <f>IFERROR(F119/F93,"-")</f>
        <v>-</v>
      </c>
      <c r="G120" s="96"/>
      <c r="H120" s="97" t="str">
        <f>IFERROR(IF(((F120-D120)*100)&gt;0,"+"&amp;ROUND((F120-D120)*100,1),ROUND((F120-D120)*100,1)),"-")</f>
        <v>-</v>
      </c>
      <c r="I120" s="98" t="str">
        <f>IFERROR(IF(((F120-E120)*100)&gt;0,"+"&amp;ROUND((F120-E120)*100,1),ROUND((F120-E120)*100,1)),"-")</f>
        <v>-</v>
      </c>
    </row>
    <row r="123" spans="2:14" ht="15.75" thickBot="1" x14ac:dyDescent="0.3"/>
    <row r="124" spans="2:14" x14ac:dyDescent="0.25">
      <c r="B124" s="61" t="s">
        <v>68</v>
      </c>
      <c r="C124" s="14">
        <f>Source3</f>
        <v>0</v>
      </c>
      <c r="D124" s="148"/>
      <c r="E124" s="149"/>
      <c r="F124" s="149"/>
      <c r="G124" s="14"/>
      <c r="H124" s="15"/>
      <c r="I124" s="16"/>
    </row>
    <row r="125" spans="2:14" x14ac:dyDescent="0.25">
      <c r="C125" s="150" t="str">
        <f>"PY"&amp;RIGHT(YEAR($F$126),2)&amp;" at "&amp;execute!D35&amp;" Months"</f>
        <v>PY18 at 36 Months</v>
      </c>
      <c r="D125" s="151" t="s">
        <v>43</v>
      </c>
      <c r="E125" s="152"/>
      <c r="F125" s="152"/>
      <c r="G125" s="150"/>
      <c r="H125" s="153"/>
      <c r="I125" s="154"/>
    </row>
    <row r="126" spans="2:14" x14ac:dyDescent="0.25">
      <c r="C126" s="150"/>
      <c r="D126" s="43">
        <f t="array" ref="D126">PY6_</f>
        <v>42370</v>
      </c>
      <c r="E126" s="44">
        <f t="array" ref="E126">PY5_</f>
        <v>39083</v>
      </c>
      <c r="F126" s="44">
        <f t="array" ref="F126">PY4_</f>
        <v>43101</v>
      </c>
      <c r="G126" s="150"/>
      <c r="H126" s="153"/>
      <c r="I126" s="154"/>
    </row>
    <row r="127" spans="2:14" x14ac:dyDescent="0.25">
      <c r="C127" s="150"/>
      <c r="D127" s="17" t="s">
        <v>46</v>
      </c>
      <c r="E127" s="18" t="s">
        <v>46</v>
      </c>
      <c r="F127" s="18" t="s">
        <v>46</v>
      </c>
      <c r="G127" s="150"/>
      <c r="H127" s="153"/>
      <c r="I127" s="154"/>
    </row>
    <row r="128" spans="2:14" x14ac:dyDescent="0.25">
      <c r="C128" s="150"/>
      <c r="D128" s="41" t="str">
        <f t="array" ref="D128">MONTH(Val_current)&amp;"/"&amp;DAY(Val_current)&amp;"/"&amp;YEAR(Val_current)-2</f>
        <v>1/0/1898</v>
      </c>
      <c r="E128" s="40" t="str">
        <f t="array" ref="E128">MONTH(Val_current)&amp;"/"&amp;DAY(Val_current)&amp;"/"&amp;YEAR(Val_current)-1</f>
        <v>1/0/1899</v>
      </c>
      <c r="F128" s="42" t="str">
        <f t="array" ref="F128">MONTH(Val_current)&amp;"/"&amp;DAY(Val_current)&amp;"/"&amp;YEAR(Val_current)</f>
        <v>1/0/1900</v>
      </c>
      <c r="G128" s="45" t="s">
        <v>47</v>
      </c>
      <c r="H128" s="46" t="str">
        <f t="array" ref="H128">IF(IncYr_yn="Y",RIGHT(YEAR($D$126),2)&amp;" vs "&amp;RIGHT(YEAR($F$126),2),RIGHT(YEAR($D$126),2)+1&amp;" vs "&amp;RIGHT(YEAR($F$126),2)+1)</f>
        <v>16 vs 18</v>
      </c>
      <c r="I128" s="47" t="str">
        <f t="array" ref="I128">IF(IncYr_yn="Y",RIGHT(YEAR($E$126),2)&amp;" vs "&amp;RIGHT(YEAR($F$126),2),RIGHT(YEAR($E$126),2)+1&amp;" vs "&amp;RIGHT(YEAR($F$126),2)+1)</f>
        <v>07 vs 18</v>
      </c>
    </row>
    <row r="129" spans="3:12" ht="15.75" thickBot="1" x14ac:dyDescent="0.3">
      <c r="C129" s="19"/>
      <c r="D129" s="20"/>
      <c r="E129" s="20"/>
      <c r="F129" s="21"/>
      <c r="G129" s="22"/>
      <c r="H129" s="23"/>
      <c r="I129" s="24"/>
    </row>
    <row r="130" spans="3:12" x14ac:dyDescent="0.25">
      <c r="C130" s="25" t="s">
        <v>50</v>
      </c>
      <c r="D130" s="74">
        <f t="array" ref="D130">IFERROR(VLOOKUP(PY6_,$M$4:$R$13,3,FALSE),"-")</f>
        <v>0</v>
      </c>
      <c r="E130" s="74">
        <f t="array" ref="E130">IFERROR(VLOOKUP(PY5_,$M$4:$R$13,3,FALSE),"-")</f>
        <v>7260618</v>
      </c>
      <c r="F130" s="74">
        <f>IFERROR(VLOOKUP(PY4_,$M$4:$R$13,3,FALSE),"-")</f>
        <v>6444927</v>
      </c>
      <c r="G130" s="76"/>
      <c r="H130" s="77" t="str">
        <f>IFERROR((F130-D130)/D130,"-")</f>
        <v>-</v>
      </c>
      <c r="I130" s="78">
        <f>IFERROR((F130-E130)/E130,"-")</f>
        <v>-0.11234456901602591</v>
      </c>
    </row>
    <row r="131" spans="3:12" x14ac:dyDescent="0.25">
      <c r="C131" s="25" t="s">
        <v>18</v>
      </c>
      <c r="D131" s="80">
        <f t="array" ref="D131">IFERROR(VLOOKUP(PY6_,$M$4:$P$11,4,FALSE),"-")</f>
        <v>0</v>
      </c>
      <c r="E131" s="80">
        <f t="array" ref="E131">IFERROR(VLOOKUP(PY5_,$M$4:$P$11,4,FALSE),"-")</f>
        <v>154</v>
      </c>
      <c r="F131" s="80">
        <f t="array" ref="F131">IFERROR(VLOOKUP(PY4_,$M$4:$P$11,4,FALSE),"-")</f>
        <v>155</v>
      </c>
      <c r="G131" s="76"/>
      <c r="H131" s="81" t="str">
        <f>IFERROR((F131-D131)/D131,"-")</f>
        <v>-</v>
      </c>
      <c r="I131" s="78">
        <f>IFERROR((F131-E131)/E131,"-")</f>
        <v>6.4935064935064939E-3</v>
      </c>
    </row>
    <row r="132" spans="3:12" ht="15.75" thickBot="1" x14ac:dyDescent="0.3">
      <c r="C132" s="19"/>
      <c r="D132" s="20"/>
      <c r="E132" s="20"/>
      <c r="F132" s="21"/>
      <c r="G132" s="22"/>
      <c r="H132" s="23"/>
      <c r="I132" s="24"/>
    </row>
    <row r="133" spans="3:12" x14ac:dyDescent="0.25">
      <c r="C133" s="25" t="s">
        <v>38</v>
      </c>
      <c r="D133" s="74">
        <f t="array" ref="D133">SUM((IncLim)*(Months=months4)*(PY=PY6_)*(Filter1=Source3))</f>
        <v>0</v>
      </c>
      <c r="E133" s="74">
        <f t="array" ref="E133">SUM((IncLim)*(Months=months4)*(PY=PY5_)*(Filter1=Source3))</f>
        <v>0</v>
      </c>
      <c r="F133" s="75">
        <f t="array" ref="F133">SUM((IncLim)*(Months=months4)*(PY=PY4_)*(Filter1=Source3))</f>
        <v>0</v>
      </c>
      <c r="G133" s="76"/>
      <c r="H133" s="77" t="str">
        <f>IFERROR((F133-D133)/D133,"-")</f>
        <v>-</v>
      </c>
      <c r="I133" s="78" t="str">
        <f>IFERROR((F133-E133)/E133,"-")</f>
        <v>-</v>
      </c>
    </row>
    <row r="134" spans="3:12" x14ac:dyDescent="0.25">
      <c r="C134" s="25" t="s">
        <v>71</v>
      </c>
      <c r="D134" s="74">
        <f t="array" ref="D134">SUM((pdLim)*(Months=months4)*(PY=PY6_)*(Filter1=Source3))</f>
        <v>0</v>
      </c>
      <c r="E134" s="74">
        <f t="array" ref="E134">SUM((pdLim)*(Months=months4)*(PY=PY5_)*(Filter1=Source3))</f>
        <v>0</v>
      </c>
      <c r="F134" s="75">
        <f t="array" ref="F134">SUM((pdLim)*(Months=months4)*(PY=PY4_)*(Filter1=Source3))</f>
        <v>0</v>
      </c>
      <c r="G134" s="76"/>
      <c r="H134" s="81" t="str">
        <f>IFERROR((F134-D134)/D134,"-")</f>
        <v>-</v>
      </c>
      <c r="I134" s="78" t="str">
        <f>IFERROR((F134-E134)/E134,"-")</f>
        <v>-</v>
      </c>
      <c r="J134" s="5"/>
      <c r="L134" s="2"/>
    </row>
    <row r="135" spans="3:12" x14ac:dyDescent="0.25">
      <c r="C135" s="25" t="s">
        <v>51</v>
      </c>
      <c r="D135" s="74">
        <f>D133-D134</f>
        <v>0</v>
      </c>
      <c r="E135" s="74">
        <f>E133-E134</f>
        <v>0</v>
      </c>
      <c r="F135" s="74">
        <f>F133-F134</f>
        <v>0</v>
      </c>
      <c r="G135" s="76"/>
      <c r="H135" s="81" t="str">
        <f>IFERROR((F135-D135)/D135,"-")</f>
        <v>-</v>
      </c>
      <c r="I135" s="78" t="str">
        <f>IFERROR((F135-E135)/E135,"-")</f>
        <v>-</v>
      </c>
    </row>
    <row r="136" spans="3:12" ht="15.75" thickBot="1" x14ac:dyDescent="0.3">
      <c r="C136" s="26"/>
      <c r="D136" s="27"/>
      <c r="E136" s="27"/>
      <c r="F136" s="28"/>
      <c r="G136" s="29"/>
      <c r="H136" s="30"/>
      <c r="I136" s="31"/>
    </row>
    <row r="137" spans="3:12" x14ac:dyDescent="0.25">
      <c r="C137" s="25" t="s">
        <v>52</v>
      </c>
      <c r="D137" s="82">
        <f t="array" ref="D137">SUM((IncLim&gt;0)*(Months=months4)*(PY=PY6_)*(Filter1=Source3))</f>
        <v>0</v>
      </c>
      <c r="E137" s="82">
        <f t="array" ref="E137">SUM((IncLim&gt;0)*(Months=months4)*(PY=PY5_)*(Filter1=Source3))</f>
        <v>0</v>
      </c>
      <c r="F137" s="83">
        <f t="array" ref="F137">SUM((IncLim&gt;0)*(Months=months4)*(PY=PY4_)*(Filter1=Source3))</f>
        <v>0</v>
      </c>
      <c r="G137" s="76"/>
      <c r="H137" s="77" t="str">
        <f>IFERROR((F137-D137)/D137,"-")</f>
        <v>-</v>
      </c>
      <c r="I137" s="78" t="str">
        <f>IFERROR((F137-E137)/E137,"-")</f>
        <v>-</v>
      </c>
    </row>
    <row r="138" spans="3:12" x14ac:dyDescent="0.25">
      <c r="C138" s="25" t="s">
        <v>53</v>
      </c>
      <c r="D138" s="74" t="str">
        <f>IFERROR(D133/D137,"-")</f>
        <v>-</v>
      </c>
      <c r="E138" s="74" t="str">
        <f>IFERROR(E133/E137,"-")</f>
        <v>-</v>
      </c>
      <c r="F138" s="74" t="str">
        <f>IFERROR(F133/F137,"-")</f>
        <v>-</v>
      </c>
      <c r="G138" s="76"/>
      <c r="H138" s="84" t="str">
        <f>IFERROR((F138-D138)/D138,"-")</f>
        <v>-</v>
      </c>
      <c r="I138" s="78" t="str">
        <f>IFERROR((F138-E138)/E138,"-")</f>
        <v>-</v>
      </c>
    </row>
    <row r="139" spans="3:12" x14ac:dyDescent="0.25">
      <c r="C139" s="25" t="s">
        <v>54</v>
      </c>
      <c r="D139" s="74" t="str">
        <f t="array" ref="D139">IFERROR(MEDIAN(IF(IncLim&gt;0, IF(Months=months4,IF(PY=PY6_,IF(Filter1=Source3,IncLim))))),"-")</f>
        <v>-</v>
      </c>
      <c r="E139" s="74" t="str">
        <f t="array" ref="E139">IFERROR(MEDIAN(IF(IncLim&gt;0, IF(Months=months4,IF(PY=PY5_, IF(Filter1=Source3, IncLim))))),"-")</f>
        <v>-</v>
      </c>
      <c r="F139" s="74" t="str">
        <f t="array" ref="F139">IFERROR(MEDIAN(IF(IncLim&gt;0, IF(Months=months4,IF(PY=PY4_, IF(Filter1=Source3, IncLim))))),"-")</f>
        <v>-</v>
      </c>
      <c r="G139" s="76"/>
      <c r="H139" s="81" t="str">
        <f>IFERROR((F139-D139)/D139,"-")</f>
        <v>-</v>
      </c>
      <c r="I139" s="78" t="str">
        <f>IFERROR((F139-E139)/E139,"-")</f>
        <v>-</v>
      </c>
    </row>
    <row r="140" spans="3:12" x14ac:dyDescent="0.25">
      <c r="C140" s="26"/>
      <c r="D140" s="27"/>
      <c r="E140" s="27"/>
      <c r="F140" s="28"/>
      <c r="G140" s="29"/>
      <c r="H140" s="23"/>
      <c r="I140" s="24"/>
    </row>
    <row r="141" spans="3:12" x14ac:dyDescent="0.25">
      <c r="C141" s="25" t="s">
        <v>55</v>
      </c>
      <c r="D141" s="74">
        <f>IFERROR((VLOOKUP(PY6_,$M$4:$Q$10,5,FALSE)/100),"-")</f>
        <v>100000</v>
      </c>
      <c r="E141" s="74">
        <f>IFERROR((VLOOKUP(PY5_,$M$4:$Q$10,5,FALSE)/100),"-")</f>
        <v>100000</v>
      </c>
      <c r="F141" s="75">
        <f>IFERROR((VLOOKUP(PY4_,$M$4:$Q$10,5,FALSE)/100),"-")</f>
        <v>106600</v>
      </c>
      <c r="G141" s="76"/>
      <c r="H141" s="81">
        <f>IFERROR((F141-D141)/D141,"-")</f>
        <v>6.6000000000000003E-2</v>
      </c>
      <c r="I141" s="78">
        <f>IFERROR((F141-E141)/E141,"-")</f>
        <v>6.6000000000000003E-2</v>
      </c>
    </row>
    <row r="142" spans="3:12" ht="15.75" thickBot="1" x14ac:dyDescent="0.3">
      <c r="C142" s="32" t="s">
        <v>57</v>
      </c>
      <c r="D142" s="85">
        <f>IFERROR(D133/D141,"-")</f>
        <v>0</v>
      </c>
      <c r="E142" s="85">
        <f>IFERROR(E133/E141,"-")</f>
        <v>0</v>
      </c>
      <c r="F142" s="85">
        <f>IFERROR(F133/F141,"-")</f>
        <v>0</v>
      </c>
      <c r="G142" s="86"/>
      <c r="H142" s="87" t="str">
        <f>IFERROR((F142-D142)/D142,"-")</f>
        <v>-</v>
      </c>
      <c r="I142" s="88" t="str">
        <f>IFERROR((F142-E142)/E142,"-")</f>
        <v>-</v>
      </c>
    </row>
    <row r="143" spans="3:12" ht="15.75" thickBot="1" x14ac:dyDescent="0.3">
      <c r="C143" s="26"/>
      <c r="D143" s="27"/>
      <c r="E143" s="27"/>
      <c r="F143" s="28"/>
      <c r="G143" s="29"/>
      <c r="H143" s="30"/>
      <c r="I143" s="31"/>
    </row>
    <row r="144" spans="3:12" x14ac:dyDescent="0.25">
      <c r="C144" s="25" t="s">
        <v>58</v>
      </c>
      <c r="D144" s="80">
        <f t="array" ref="D144">SUM((IncLim&gt;0)*(indType&gt;0)*(Months=months4)*(PY=PY6_)*(Filter1=Source3))</f>
        <v>0</v>
      </c>
      <c r="E144" s="80">
        <f t="array" ref="E144">SUM((IncLim&gt;0)*(indType&gt;0)*(Months=months4)*(PY=PY5_)*(Filter1=Source3))</f>
        <v>0</v>
      </c>
      <c r="F144" s="89">
        <f t="array" ref="F144">SUM((IncLim&gt;0)*(indType&gt;0)*(Months=months4)*(PY=PY4_)*(Filter1=Source3))</f>
        <v>0</v>
      </c>
      <c r="G144" s="76"/>
      <c r="H144" s="77" t="str">
        <f>IFERROR((F144-D144)/D144,"-")</f>
        <v>-</v>
      </c>
      <c r="I144" s="78" t="str">
        <f>IFERROR((F144-E144)/E144,"-")</f>
        <v>-</v>
      </c>
    </row>
    <row r="145" spans="2:14" x14ac:dyDescent="0.25">
      <c r="C145" s="25" t="s">
        <v>59</v>
      </c>
      <c r="D145" s="90" t="str">
        <f>IFERROR(D144/D137,"-")</f>
        <v>-</v>
      </c>
      <c r="E145" s="90" t="str">
        <f>IFERROR(E144/E137,"-")</f>
        <v>-</v>
      </c>
      <c r="F145" s="90" t="str">
        <f>IFERROR(F144/F137,"-")</f>
        <v>-</v>
      </c>
      <c r="G145" s="76"/>
      <c r="H145" s="93" t="str">
        <f>IFERROR(IF(((F145-D145)*100)&gt;0,"+"&amp;ROUND((F145-D145)*100,1),ROUND((F145-D145)*100,1)),"-")</f>
        <v>-</v>
      </c>
      <c r="I145" s="92" t="str">
        <f>IFERROR(IF(((F145-E145)*100)&gt;0,"+"&amp;ROUND((F145-E145)*100,1),ROUND((F145-E145)*100,1)),"-")</f>
        <v>-</v>
      </c>
    </row>
    <row r="146" spans="2:14" x14ac:dyDescent="0.25">
      <c r="B146" s="73"/>
      <c r="C146" s="25" t="s">
        <v>60</v>
      </c>
      <c r="D146" s="74">
        <f t="array" ref="D146">SUM((IncLim)*(indType&gt;0)*(Months=months4)*(PY=PY6_)*(Filter1=Source3))</f>
        <v>0</v>
      </c>
      <c r="E146" s="74">
        <f t="array" ref="E146">SUM((IncLim)*(indType&gt;0)*(Months=months4)*(PY=PY5_)*(Filter1=Source3))</f>
        <v>0</v>
      </c>
      <c r="F146" s="74">
        <f t="array" ref="F146">SUM((IncLim)*(indType&gt;0)*(Months=months4)*(PY=PY4_)*(Filter1=Source3))</f>
        <v>0</v>
      </c>
      <c r="G146" s="76"/>
      <c r="H146" s="81" t="str">
        <f t="shared" ref="H146:H147" si="12">IFERROR((F146-D146)/D146,"-")</f>
        <v>-</v>
      </c>
      <c r="I146" s="78" t="str">
        <f t="shared" ref="I146:I147" si="13">IFERROR((F146-E146)/E146,"-")</f>
        <v>-</v>
      </c>
      <c r="L146" s="2"/>
      <c r="N146" s="2"/>
    </row>
    <row r="147" spans="2:14" x14ac:dyDescent="0.25">
      <c r="B147" s="73"/>
      <c r="C147" s="25" t="s">
        <v>61</v>
      </c>
      <c r="D147" s="74" t="str">
        <f>IFERROR(D146/D144,"-")</f>
        <v>-</v>
      </c>
      <c r="E147" s="74" t="str">
        <f t="shared" ref="E147" si="14">IFERROR(E146/E144,"-")</f>
        <v>-</v>
      </c>
      <c r="F147" s="74" t="str">
        <f t="shared" ref="F147" si="15">IFERROR(F146/F144,"-")</f>
        <v>-</v>
      </c>
      <c r="G147" s="76"/>
      <c r="H147" s="81" t="str">
        <f t="shared" si="12"/>
        <v>-</v>
      </c>
      <c r="I147" s="78" t="str">
        <f t="shared" si="13"/>
        <v>-</v>
      </c>
      <c r="L147" s="2"/>
      <c r="N147" s="2"/>
    </row>
    <row r="148" spans="2:14" x14ac:dyDescent="0.25">
      <c r="C148" s="25" t="s">
        <v>62</v>
      </c>
      <c r="D148" s="90" t="str">
        <f>IFERROR(1-(D149/D144),"-")</f>
        <v>-</v>
      </c>
      <c r="E148" s="90" t="str">
        <f>IFERROR(1-(E149/E144),"-")</f>
        <v>-</v>
      </c>
      <c r="F148" s="90" t="str">
        <f>IFERROR(1-(F149/F144),"-")</f>
        <v>-</v>
      </c>
      <c r="G148" s="76"/>
      <c r="H148" s="93" t="str">
        <f>IFERROR(IF(((F148-D148)*100)&gt;0,"+"&amp;ROUND((F148-D148)*100,1),ROUND((F148-D148)*100,1)),"-")</f>
        <v>-</v>
      </c>
      <c r="I148" s="92" t="str">
        <f>IFERROR(IF(((F148-E148)*100)&gt;0,"+"&amp;ROUND((F148-E148)*100,1),ROUND((F148-E148)*100,1)),"-")</f>
        <v>-</v>
      </c>
    </row>
    <row r="149" spans="2:14" ht="15.75" thickBot="1" x14ac:dyDescent="0.3">
      <c r="C149" s="32" t="s">
        <v>63</v>
      </c>
      <c r="D149" s="106">
        <f t="array" ref="D149">D144-SUM((IncLim&gt;0)*(indType&gt;0)*(Closed&gt;0)*(Months=months4)*(PY=PY6_)*(Filter1=Source3))</f>
        <v>0</v>
      </c>
      <c r="E149" s="106">
        <f t="array" ref="E149">E144-SUM((IncLim&gt;0)*(indType&gt;0)*(Closed&gt;0)*(Months=months4)*(PY=PY5_)*(Filter1=Source3))</f>
        <v>0</v>
      </c>
      <c r="F149" s="106">
        <f t="array" ref="F149">F144-SUM((IncLim&gt;0)*(indType&gt;0)*(Closed&gt;0)*(Months=months4)*(PY=PY4_)*(Filter1=Source3))</f>
        <v>0</v>
      </c>
      <c r="G149" s="86"/>
      <c r="H149" s="87" t="str">
        <f>IFERROR((F149-D149)/D149,"-")</f>
        <v>-</v>
      </c>
      <c r="I149" s="88" t="str">
        <f>IFERROR((F149-E149)/E149,"-")</f>
        <v>-</v>
      </c>
    </row>
    <row r="150" spans="2:14" x14ac:dyDescent="0.25">
      <c r="C150" s="26"/>
      <c r="D150" s="33"/>
      <c r="E150" s="33"/>
      <c r="F150" s="34"/>
      <c r="G150" s="29"/>
      <c r="H150" s="30"/>
      <c r="I150" s="31"/>
    </row>
    <row r="151" spans="2:14" x14ac:dyDescent="0.25">
      <c r="C151" s="25" t="s">
        <v>72</v>
      </c>
      <c r="D151" s="80">
        <f t="array" ref="D151">SUM((IncLim&gt;0)*(Lit&gt;0)*(Months=months4)*(PY=PY6_)*(Filter1=Source3))</f>
        <v>0</v>
      </c>
      <c r="E151" s="80">
        <f t="array" ref="E151">SUM((IncLim&gt;0)*(Lit&gt;0)*(Months=months4)*(PY=PY5_)*(Filter1=Source3))</f>
        <v>0</v>
      </c>
      <c r="F151" s="89">
        <f t="array" ref="F151">SUM((IncLim&gt;0)*(Lit&gt;0)*(Months=months4)*(PY=PY4_)*(Filter1=Source3))</f>
        <v>0</v>
      </c>
      <c r="G151" s="76"/>
      <c r="H151" s="81" t="str">
        <f>IFERROR((F151-D151)/D151,"-")</f>
        <v>-</v>
      </c>
      <c r="I151" s="78" t="str">
        <f>IFERROR((F151-E151)/E151,"-")</f>
        <v>-</v>
      </c>
    </row>
    <row r="152" spans="2:14" x14ac:dyDescent="0.25">
      <c r="C152" s="25" t="s">
        <v>73</v>
      </c>
      <c r="D152" s="90" t="str">
        <f>IFERROR(D151/D144,"-")</f>
        <v>-</v>
      </c>
      <c r="E152" s="90" t="str">
        <f>IFERROR(E151/E144,"-")</f>
        <v>-</v>
      </c>
      <c r="F152" s="125" t="str">
        <f>IFERROR(F151/F144,"-")</f>
        <v>-</v>
      </c>
      <c r="G152" s="76"/>
      <c r="H152" s="93" t="str">
        <f>IFERROR(IF(((F152-D152)*100)&gt;0,"+"&amp;ROUND((F152-D152)*100,1),ROUND((F152-D152)*100,1)),"-")</f>
        <v>-</v>
      </c>
      <c r="I152" s="92" t="str">
        <f>IFERROR(IF(((F152-E152)*100)&gt;0,"+"&amp;ROUND((F152-E152)*100,1),ROUND((F152-E152)*100,1)),"-")</f>
        <v>-</v>
      </c>
    </row>
    <row r="153" spans="2:14" x14ac:dyDescent="0.25">
      <c r="B153" s="71"/>
      <c r="C153" s="25" t="s">
        <v>75</v>
      </c>
      <c r="D153" s="74">
        <f t="array" ref="D153">SUM((IncLim)*(Lit&gt;0)*(indType&gt;0)*(Months=months4)*(PY=PY6_)*(Filter1=Source3))</f>
        <v>0</v>
      </c>
      <c r="E153" s="74">
        <f t="array" ref="E153">SUM((IncLim)*(Lit&gt;0)*(indType&gt;0)*(Months=months4)*(PY=PY5_)*(Filter1=Source3))</f>
        <v>0</v>
      </c>
      <c r="F153" s="75">
        <f t="array" ref="F153">SUM((IncLim)*(Lit&gt;0)*(indType&gt;0)*(Months=months4)*(PY=PY4_)*(Filter1=Source3))</f>
        <v>0</v>
      </c>
      <c r="G153" s="76"/>
      <c r="H153" s="81" t="str">
        <f>IFERROR((F153-D153)/D153,"-")</f>
        <v>-</v>
      </c>
      <c r="I153" s="78" t="str">
        <f>IFERROR((F153-E153)/E153,"-")</f>
        <v>-</v>
      </c>
      <c r="L153" s="2"/>
      <c r="N153" s="2"/>
    </row>
    <row r="154" spans="2:14" x14ac:dyDescent="0.25">
      <c r="B154" s="71"/>
      <c r="C154" s="120" t="s">
        <v>100</v>
      </c>
      <c r="D154" s="122" t="str">
        <f>IFERROR(D153/D146,"-")</f>
        <v>-</v>
      </c>
      <c r="E154" s="122" t="str">
        <f>IFERROR(E153/E146,"-")</f>
        <v>-</v>
      </c>
      <c r="F154" s="122" t="str">
        <f>IFERROR(F153/F146,"-")</f>
        <v>-</v>
      </c>
      <c r="G154" s="121"/>
      <c r="H154" s="93" t="str">
        <f>IFERROR(IF(((F154-D154)*100)&gt;0,"+"&amp;ROUND((F154-D154)*100,1),ROUND((F154-D154)*100,1)),"-")</f>
        <v>-</v>
      </c>
      <c r="I154" s="92" t="str">
        <f>IFERROR(IF(((F154-E154)*100)&gt;0,"+"&amp;ROUND((F154-E154)*100,1),ROUND((F154-E154)*100,1)),"-")</f>
        <v>-</v>
      </c>
      <c r="L154" s="2"/>
      <c r="N154" s="2"/>
    </row>
    <row r="155" spans="2:14" x14ac:dyDescent="0.25">
      <c r="B155" s="71"/>
      <c r="C155" s="25" t="s">
        <v>91</v>
      </c>
      <c r="D155" s="80">
        <f t="array" ref="D155">SUM((IncLim&gt;0)*(Lit&gt;0)*(Months=months4)*(PY=PY6_)*(Filter1=Source3))</f>
        <v>0</v>
      </c>
      <c r="E155" s="80">
        <f t="array" ref="E155">SUM((IncLim&gt;0)*(Lit&gt;0)*(Months=months4)*(PY=PY5_)*(Filter1=Source3))</f>
        <v>0</v>
      </c>
      <c r="F155" s="89">
        <f t="array" ref="F155">SUM((IncLim&gt;0)*(Lit&gt;0)*(Months=months4)*(PY=PY4_)*(Filter1=Source3))</f>
        <v>0</v>
      </c>
      <c r="G155" s="76"/>
      <c r="H155" s="81" t="str">
        <f>IFERROR((F155-D155)/D155,"-")</f>
        <v>-</v>
      </c>
      <c r="I155" s="78" t="str">
        <f>IFERROR((F155-E155)/E155,"-")</f>
        <v>-</v>
      </c>
      <c r="L155" s="2"/>
      <c r="N155" s="2"/>
    </row>
    <row r="156" spans="2:14" x14ac:dyDescent="0.25">
      <c r="B156" s="71"/>
      <c r="C156" s="25" t="s">
        <v>74</v>
      </c>
      <c r="D156" s="74">
        <f t="array" ref="D156">SUM((IncLim)*(Lit&gt;0)*(Months=months4)*(PY=PY6_)*(Filter1=Source3))</f>
        <v>0</v>
      </c>
      <c r="E156" s="74">
        <f t="array" ref="E156">SUM((IncLim)*(Lit&gt;0)*(Months=months4)*(PY=PY5_)*(Filter1=Source3))</f>
        <v>0</v>
      </c>
      <c r="F156" s="75">
        <f t="array" ref="F156">SUM((IncLim)*(Lit&gt;0)*(Months=months4)*(PY=PY4_)*(Filter1=Source3))</f>
        <v>0</v>
      </c>
      <c r="G156" s="76"/>
      <c r="H156" s="81" t="str">
        <f>IFERROR((F156-D156)/D156,"-")</f>
        <v>-</v>
      </c>
      <c r="I156" s="78" t="str">
        <f>IFERROR((F156-E156)/E156,"-")</f>
        <v>-</v>
      </c>
      <c r="L156" s="2"/>
      <c r="N156" s="2"/>
    </row>
    <row r="157" spans="2:14" x14ac:dyDescent="0.25">
      <c r="B157" s="71"/>
      <c r="C157" s="25" t="s">
        <v>104</v>
      </c>
      <c r="D157" s="74"/>
      <c r="E157" s="74"/>
      <c r="F157" s="75"/>
      <c r="G157" s="76"/>
      <c r="H157" s="81" t="str">
        <f>IFERROR((F157-D157)/D157,"-")</f>
        <v>-</v>
      </c>
      <c r="I157" s="78" t="str">
        <f>IFERROR((F157-E157)/E157,"-")</f>
        <v>-</v>
      </c>
      <c r="L157" s="2"/>
      <c r="N157" s="2"/>
    </row>
    <row r="158" spans="2:14" x14ac:dyDescent="0.25">
      <c r="C158" s="26"/>
      <c r="D158" s="33"/>
      <c r="E158" s="33"/>
      <c r="F158" s="34"/>
      <c r="G158" s="29"/>
      <c r="H158" s="30"/>
      <c r="I158" s="31"/>
    </row>
    <row r="159" spans="2:14" x14ac:dyDescent="0.25">
      <c r="C159" s="25" t="s">
        <v>64</v>
      </c>
      <c r="D159" s="94">
        <f>SUMPRODUCT(LARGE((Months=months4)*(PY=PY6_)*(IncLim)*(Filter1=Source3),{1,2,3,4,5}))</f>
        <v>0</v>
      </c>
      <c r="E159" s="94">
        <f>SUMPRODUCT(LARGE((Months=months4)*(PY=PY5_)*(IncLim)*(Filter1=Source3),{1,2,3,4,5}))</f>
        <v>0</v>
      </c>
      <c r="F159" s="95">
        <f>SUMPRODUCT(LARGE((Months=months4)*(PY=PY4_)*(IncLim)*(Filter1=Source3),{1,2,3,4,5}))</f>
        <v>0</v>
      </c>
      <c r="G159" s="76"/>
      <c r="H159" s="81" t="str">
        <f>IFERROR((F159-D159)/D159,"-")</f>
        <v>-</v>
      </c>
      <c r="I159" s="78" t="str">
        <f>IFERROR((F159-E159)/E159,"-")</f>
        <v>-</v>
      </c>
    </row>
    <row r="160" spans="2:14" ht="15.75" thickBot="1" x14ac:dyDescent="0.3">
      <c r="C160" s="35" t="s">
        <v>65</v>
      </c>
      <c r="D160" s="126" t="str">
        <f>IFERROR(D159/D133,"-")</f>
        <v>-</v>
      </c>
      <c r="E160" s="126" t="str">
        <f>IFERROR(E159/E133,"-")</f>
        <v>-</v>
      </c>
      <c r="F160" s="126" t="str">
        <f>IFERROR(F159/F133,"-")</f>
        <v>-</v>
      </c>
      <c r="G160" s="96"/>
      <c r="H160" s="97" t="str">
        <f>IFERROR(IF(((F160-D160)*100)&gt;0,"+"&amp;ROUND((F160-D160)*100,1),ROUND((F160-D160)*100,1)),"-")</f>
        <v>-</v>
      </c>
      <c r="I160" s="98" t="str">
        <f>IFERROR(IF(((F160-E160)*100)&gt;0,"+"&amp;ROUND((F160-E160)*100,1),ROUND((F160-E160)*100,1)),"-")</f>
        <v>-</v>
      </c>
    </row>
    <row r="163" spans="2:9" x14ac:dyDescent="0.25">
      <c r="H163" s="2"/>
      <c r="I163" s="2"/>
    </row>
    <row r="164" spans="2:9" x14ac:dyDescent="0.25">
      <c r="H164" s="2"/>
      <c r="I164" s="2"/>
    </row>
    <row r="165" spans="2:9" x14ac:dyDescent="0.25">
      <c r="H165" s="2"/>
      <c r="I165" s="2"/>
    </row>
    <row r="166" spans="2:9" x14ac:dyDescent="0.25">
      <c r="H166" s="2"/>
      <c r="I166" s="2"/>
    </row>
    <row r="167" spans="2:9" x14ac:dyDescent="0.25">
      <c r="H167" s="2"/>
      <c r="I167" s="2"/>
    </row>
    <row r="168" spans="2:9" x14ac:dyDescent="0.25">
      <c r="H168" s="2"/>
      <c r="I168" s="2"/>
    </row>
    <row r="169" spans="2:9" x14ac:dyDescent="0.25">
      <c r="H169" s="2"/>
      <c r="I169" s="2"/>
    </row>
    <row r="170" spans="2:9" x14ac:dyDescent="0.25">
      <c r="H170" s="2"/>
      <c r="I170" s="2"/>
    </row>
    <row r="171" spans="2:9" x14ac:dyDescent="0.25">
      <c r="H171" s="2"/>
      <c r="I171" s="2"/>
    </row>
    <row r="172" spans="2:9" x14ac:dyDescent="0.25">
      <c r="B172" s="2"/>
      <c r="H172" s="2"/>
      <c r="I172" s="2"/>
    </row>
    <row r="173" spans="2:9" x14ac:dyDescent="0.25">
      <c r="B173" s="2"/>
      <c r="H173" s="2"/>
      <c r="I173" s="2"/>
    </row>
    <row r="174" spans="2:9" x14ac:dyDescent="0.25">
      <c r="B174" s="2"/>
      <c r="H174" s="2"/>
      <c r="I174" s="2"/>
    </row>
    <row r="175" spans="2:9" x14ac:dyDescent="0.25">
      <c r="B175" s="2"/>
      <c r="H175" s="2"/>
      <c r="I175" s="2"/>
    </row>
    <row r="176" spans="2:9" x14ac:dyDescent="0.25">
      <c r="B176" s="2"/>
      <c r="H176" s="2"/>
      <c r="I176" s="2"/>
    </row>
    <row r="177" spans="2:9" x14ac:dyDescent="0.25">
      <c r="B177" s="2"/>
      <c r="H177" s="2"/>
      <c r="I177" s="2"/>
    </row>
    <row r="178" spans="2:9" x14ac:dyDescent="0.25">
      <c r="B178" s="2"/>
      <c r="H178" s="2"/>
      <c r="I178" s="2"/>
    </row>
    <row r="179" spans="2:9" x14ac:dyDescent="0.25">
      <c r="B179" s="2"/>
      <c r="H179" s="2"/>
      <c r="I179" s="2"/>
    </row>
    <row r="180" spans="2:9" x14ac:dyDescent="0.25">
      <c r="B180" s="2"/>
      <c r="H180" s="2"/>
      <c r="I180" s="2"/>
    </row>
    <row r="181" spans="2:9" x14ac:dyDescent="0.25">
      <c r="B181" s="2"/>
      <c r="H181" s="2"/>
      <c r="I181" s="2"/>
    </row>
    <row r="182" spans="2:9" x14ac:dyDescent="0.25">
      <c r="B182" s="2"/>
      <c r="H182" s="2"/>
      <c r="I182" s="2"/>
    </row>
    <row r="183" spans="2:9" x14ac:dyDescent="0.25">
      <c r="B183" s="2"/>
      <c r="H183" s="2"/>
      <c r="I183" s="2"/>
    </row>
    <row r="184" spans="2:9" x14ac:dyDescent="0.25">
      <c r="B184" s="2"/>
      <c r="H184" s="2"/>
      <c r="I184" s="2"/>
    </row>
    <row r="185" spans="2:9" x14ac:dyDescent="0.25">
      <c r="B185" s="2"/>
      <c r="H185" s="2"/>
      <c r="I185" s="2"/>
    </row>
    <row r="186" spans="2:9" x14ac:dyDescent="0.25">
      <c r="B186" s="2"/>
      <c r="H186" s="2"/>
      <c r="I186" s="2"/>
    </row>
    <row r="187" spans="2:9" x14ac:dyDescent="0.25">
      <c r="B187" s="2"/>
      <c r="H187" s="2"/>
      <c r="I187" s="2"/>
    </row>
    <row r="188" spans="2:9" x14ac:dyDescent="0.25">
      <c r="B188" s="2"/>
      <c r="H188" s="2"/>
      <c r="I188" s="2"/>
    </row>
    <row r="189" spans="2:9" x14ac:dyDescent="0.25">
      <c r="B189" s="2"/>
      <c r="H189" s="2"/>
      <c r="I189" s="2"/>
    </row>
    <row r="190" spans="2:9" x14ac:dyDescent="0.25">
      <c r="B190" s="2"/>
      <c r="H190" s="2"/>
      <c r="I190" s="2"/>
    </row>
    <row r="191" spans="2:9" x14ac:dyDescent="0.25">
      <c r="B191" s="2"/>
      <c r="H191" s="2"/>
      <c r="I191" s="2"/>
    </row>
    <row r="192" spans="2:9" x14ac:dyDescent="0.25">
      <c r="B192" s="2"/>
      <c r="H192" s="2"/>
      <c r="I192" s="2"/>
    </row>
    <row r="193" spans="2:14" x14ac:dyDescent="0.25">
      <c r="B193" s="2"/>
      <c r="H193" s="2"/>
      <c r="I193" s="2"/>
    </row>
    <row r="194" spans="2:14" x14ac:dyDescent="0.25">
      <c r="B194" s="2"/>
      <c r="H194" s="2"/>
      <c r="I194" s="2"/>
    </row>
    <row r="195" spans="2:14" x14ac:dyDescent="0.25">
      <c r="H195" s="2"/>
      <c r="I195" s="2"/>
    </row>
    <row r="196" spans="2:14" x14ac:dyDescent="0.25">
      <c r="H196" s="2"/>
      <c r="I196" s="2"/>
    </row>
    <row r="197" spans="2:14" x14ac:dyDescent="0.25">
      <c r="B197" s="71"/>
      <c r="C197" s="25" t="s">
        <v>104</v>
      </c>
      <c r="D197" s="74"/>
      <c r="E197" s="74"/>
      <c r="F197" s="75"/>
      <c r="G197" s="76"/>
      <c r="H197" s="81" t="str">
        <f>IFERROR((F197-D197)/D197,"-")</f>
        <v>-</v>
      </c>
      <c r="I197" s="78" t="str">
        <f>IFERROR((F197-E197)/E197,"-")</f>
        <v>-</v>
      </c>
      <c r="L197" s="2"/>
      <c r="N197" s="2"/>
    </row>
    <row r="198" spans="2:14" x14ac:dyDescent="0.25">
      <c r="H198" s="2"/>
      <c r="I198" s="2"/>
    </row>
    <row r="199" spans="2:14" x14ac:dyDescent="0.25">
      <c r="H199" s="2"/>
      <c r="I199" s="2"/>
    </row>
    <row r="200" spans="2:14" x14ac:dyDescent="0.25">
      <c r="H200" s="2"/>
      <c r="I200" s="2"/>
    </row>
    <row r="201" spans="2:14" x14ac:dyDescent="0.25">
      <c r="H201" s="2"/>
      <c r="I201" s="2"/>
    </row>
    <row r="202" spans="2:14" x14ac:dyDescent="0.25">
      <c r="H202" s="2"/>
      <c r="I202" s="2"/>
    </row>
    <row r="203" spans="2:14" x14ac:dyDescent="0.25">
      <c r="H203" s="2"/>
      <c r="I203" s="2"/>
    </row>
    <row r="204" spans="2:14" x14ac:dyDescent="0.25">
      <c r="H204" s="2"/>
      <c r="I204" s="2"/>
    </row>
    <row r="205" spans="2:14" x14ac:dyDescent="0.25">
      <c r="H205" s="2"/>
      <c r="I205" s="2"/>
    </row>
  </sheetData>
  <mergeCells count="16">
    <mergeCell ref="C125:C128"/>
    <mergeCell ref="D125:F125"/>
    <mergeCell ref="G125:I127"/>
    <mergeCell ref="D4:F4"/>
    <mergeCell ref="C5:C8"/>
    <mergeCell ref="D5:F5"/>
    <mergeCell ref="G5:I7"/>
    <mergeCell ref="D44:F44"/>
    <mergeCell ref="C45:C48"/>
    <mergeCell ref="D45:F45"/>
    <mergeCell ref="G45:I47"/>
    <mergeCell ref="D84:F84"/>
    <mergeCell ref="C85:C88"/>
    <mergeCell ref="D85:F85"/>
    <mergeCell ref="G85:I87"/>
    <mergeCell ref="D124:F124"/>
  </mergeCell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last="1" xr2:uid="{00000000-0003-0000-0500-0000C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3'!D197:F197</xm:f>
              <xm:sqref>G197</xm:sqref>
            </x14:sparkline>
          </x14:sparklines>
        </x14:sparklineGroup>
        <x14:sparklineGroup manualMax="0" manualMin="0" displayEmptyCellsAs="gap" last="1" xr2:uid="{00000000-0003-0000-0500-0000C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3'!D157:F157</xm:f>
              <xm:sqref>G157</xm:sqref>
            </x14:sparkline>
          </x14:sparklines>
        </x14:sparklineGroup>
        <x14:sparklineGroup manualMax="0" manualMin="0" displayEmptyCellsAs="gap" last="1" xr2:uid="{00000000-0003-0000-0500-0000C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3'!D117:F117</xm:f>
              <xm:sqref>G117</xm:sqref>
            </x14:sparkline>
          </x14:sparklines>
        </x14:sparklineGroup>
        <x14:sparklineGroup manualMax="0" manualMin="0" displayEmptyCellsAs="gap" last="1" xr2:uid="{00000000-0003-0000-0500-0000C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3'!D77:F77</xm:f>
              <xm:sqref>G77</xm:sqref>
            </x14:sparkline>
          </x14:sparklines>
        </x14:sparklineGroup>
        <x14:sparklineGroup manualMax="0" manualMin="0" displayEmptyCellsAs="gap" last="1" xr2:uid="{00000000-0003-0000-0500-0000C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3'!D37:F37</xm:f>
              <xm:sqref>G37</xm:sqref>
            </x14:sparkline>
          </x14:sparklines>
        </x14:sparklineGroup>
        <x14:sparklineGroup manualMax="0" manualMin="0" displayEmptyCellsAs="gap" last="1" xr2:uid="{00000000-0003-0000-0500-0000C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3'!D155:F155</xm:f>
              <xm:sqref>G155</xm:sqref>
            </x14:sparkline>
          </x14:sparklines>
        </x14:sparklineGroup>
        <x14:sparklineGroup manualMax="0" manualMin="0" displayEmptyCellsAs="gap" last="1" xr2:uid="{00000000-0003-0000-0500-0000C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3'!D153:F153</xm:f>
              <xm:sqref>G153</xm:sqref>
            </x14:sparkline>
            <x14:sparkline>
              <xm:f>'Filtered Scorecard 3'!D154:F154</xm:f>
              <xm:sqref>G154</xm:sqref>
            </x14:sparkline>
          </x14:sparklines>
        </x14:sparklineGroup>
        <x14:sparklineGroup manualMax="0" manualMin="0" displayEmptyCellsAs="gap" last="1" xr2:uid="{00000000-0003-0000-0500-0000C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3'!D156:F156</xm:f>
              <xm:sqref>G156</xm:sqref>
            </x14:sparkline>
          </x14:sparklines>
        </x14:sparklineGroup>
        <x14:sparklineGroup manualMax="0" manualMin="0" displayEmptyCellsAs="gap" last="1" xr2:uid="{00000000-0003-0000-0500-0000C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3'!D158:F158</xm:f>
              <xm:sqref>G158</xm:sqref>
            </x14:sparkline>
          </x14:sparklines>
        </x14:sparklineGroup>
        <x14:sparklineGroup manualMax="0" manualMin="0" displayEmptyCellsAs="gap" last="1" xr2:uid="{00000000-0003-0000-0500-0000C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3'!D116:F116</xm:f>
              <xm:sqref>G116</xm:sqref>
            </x14:sparkline>
          </x14:sparklines>
        </x14:sparklineGroup>
        <x14:sparklineGroup manualMax="0" manualMin="0" displayEmptyCellsAs="gap" last="1" xr2:uid="{00000000-0003-0000-0500-0000C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3'!D113:F113</xm:f>
              <xm:sqref>G113</xm:sqref>
            </x14:sparkline>
            <x14:sparkline>
              <xm:f>'Filtered Scorecard 3'!D114:F114</xm:f>
              <xm:sqref>G114</xm:sqref>
            </x14:sparkline>
          </x14:sparklines>
        </x14:sparklineGroup>
        <x14:sparklineGroup manualMax="0" manualMin="0" displayEmptyCellsAs="gap" last="1" xr2:uid="{00000000-0003-0000-0500-0000C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3'!D115:F115</xm:f>
              <xm:sqref>G115</xm:sqref>
            </x14:sparkline>
          </x14:sparklines>
        </x14:sparklineGroup>
        <x14:sparklineGroup manualMax="0" manualMin="0" displayEmptyCellsAs="gap" last="1" xr2:uid="{00000000-0003-0000-0500-0000B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3'!D118:F118</xm:f>
              <xm:sqref>G118</xm:sqref>
            </x14:sparkline>
          </x14:sparklines>
        </x14:sparklineGroup>
        <x14:sparklineGroup manualMax="0" manualMin="0" displayEmptyCellsAs="gap" last="1" xr2:uid="{00000000-0003-0000-0500-0000B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3'!D75:F75</xm:f>
              <xm:sqref>G75</xm:sqref>
            </x14:sparkline>
          </x14:sparklines>
        </x14:sparklineGroup>
        <x14:sparklineGroup manualMax="0" manualMin="0" displayEmptyCellsAs="gap" last="1" xr2:uid="{00000000-0003-0000-0500-0000B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3'!D73:F73</xm:f>
              <xm:sqref>G73</xm:sqref>
            </x14:sparkline>
            <x14:sparkline>
              <xm:f>'Filtered Scorecard 3'!D74:F74</xm:f>
              <xm:sqref>G74</xm:sqref>
            </x14:sparkline>
          </x14:sparklines>
        </x14:sparklineGroup>
        <x14:sparklineGroup manualMax="0" manualMin="0" displayEmptyCellsAs="gap" last="1" xr2:uid="{00000000-0003-0000-0500-0000B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3'!D76:F76</xm:f>
              <xm:sqref>G76</xm:sqref>
            </x14:sparkline>
          </x14:sparklines>
        </x14:sparklineGroup>
        <x14:sparklineGroup manualMax="0" manualMin="0" displayEmptyCellsAs="gap" last="1" xr2:uid="{00000000-0003-0000-0500-0000B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3'!D78:F78</xm:f>
              <xm:sqref>G78</xm:sqref>
            </x14:sparkline>
          </x14:sparklines>
        </x14:sparklineGroup>
        <x14:sparklineGroup manualMax="0" manualMin="0" displayEmptyCellsAs="gap" last="1" xr2:uid="{00000000-0003-0000-0500-0000B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3'!D35:F35</xm:f>
              <xm:sqref>G35</xm:sqref>
            </x14:sparkline>
          </x14:sparklines>
        </x14:sparklineGroup>
        <x14:sparklineGroup manualMax="0" manualMin="0" displayEmptyCellsAs="gap" last="1" xr2:uid="{00000000-0003-0000-0500-0000B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3'!D33:F33</xm:f>
              <xm:sqref>G33</xm:sqref>
            </x14:sparkline>
            <x14:sparkline>
              <xm:f>'Filtered Scorecard 3'!D34:F34</xm:f>
              <xm:sqref>G34</xm:sqref>
            </x14:sparkline>
          </x14:sparklines>
        </x14:sparklineGroup>
        <x14:sparklineGroup manualMax="0" manualMin="0" displayEmptyCellsAs="gap" last="1" xr2:uid="{00000000-0003-0000-0500-0000B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3'!D36:F36</xm:f>
              <xm:sqref>G36</xm:sqref>
            </x14:sparkline>
          </x14:sparklines>
        </x14:sparklineGroup>
        <x14:sparklineGroup manualMax="0" manualMin="0" displayEmptyCellsAs="gap" last="1" xr2:uid="{00000000-0003-0000-0500-0000B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3'!D38:F38</xm:f>
              <xm:sqref>G38</xm:sqref>
            </x14:sparkline>
          </x14:sparklines>
        </x14:sparklineGroup>
        <x14:sparklineGroup manualMax="0" manualMin="0" displayEmptyCellsAs="gap" last="1" xr2:uid="{00000000-0003-0000-0500-0000B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3'!D14:F14</xm:f>
              <xm:sqref>G14</xm:sqref>
            </x14:sparkline>
          </x14:sparklines>
        </x14:sparklineGroup>
        <x14:sparklineGroup manualMax="0" manualMin="0" displayEmptyCellsAs="gap" last="1" xr2:uid="{00000000-0003-0000-0500-0000B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3'!D134:F134</xm:f>
              <xm:sqref>G134</xm:sqref>
            </x14:sparkline>
          </x14:sparklines>
        </x14:sparklineGroup>
        <x14:sparklineGroup manualMax="0" manualMin="0" displayEmptyCellsAs="gap" last="1" xr2:uid="{00000000-0003-0000-0500-0000B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3'!D94:F94</xm:f>
              <xm:sqref>G94</xm:sqref>
            </x14:sparkline>
          </x14:sparklines>
        </x14:sparklineGroup>
        <x14:sparklineGroup manualMax="0" manualMin="0" displayEmptyCellsAs="gap" last="1" xr2:uid="{00000000-0003-0000-0500-0000B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3'!D54:F54</xm:f>
              <xm:sqref>G54</xm:sqref>
            </x14:sparkline>
          </x14:sparklines>
        </x14:sparklineGroup>
        <x14:sparklineGroup manualMax="0" manualMin="0" displayEmptyCellsAs="gap" last="1" xr2:uid="{00000000-0003-0000-0500-0000B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3'!D146:F146</xm:f>
              <xm:sqref>G146</xm:sqref>
            </x14:sparkline>
            <x14:sparkline>
              <xm:f>'Filtered Scorecard 3'!D147:F147</xm:f>
              <xm:sqref>G147</xm:sqref>
            </x14:sparkline>
          </x14:sparklines>
        </x14:sparklineGroup>
        <x14:sparklineGroup manualMax="0" manualMin="0" displayEmptyCellsAs="gap" last="1" xr2:uid="{00000000-0003-0000-0500-0000B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3'!D106:F106</xm:f>
              <xm:sqref>G106</xm:sqref>
            </x14:sparkline>
            <x14:sparkline>
              <xm:f>'Filtered Scorecard 3'!D107:F107</xm:f>
              <xm:sqref>G107</xm:sqref>
            </x14:sparkline>
          </x14:sparklines>
        </x14:sparklineGroup>
        <x14:sparklineGroup manualMax="0" manualMin="0" displayEmptyCellsAs="gap" last="1" xr2:uid="{00000000-0003-0000-0500-0000B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3'!D66:F66</xm:f>
              <xm:sqref>G66</xm:sqref>
            </x14:sparkline>
            <x14:sparkline>
              <xm:f>'Filtered Scorecard 3'!D67:F67</xm:f>
              <xm:sqref>G67</xm:sqref>
            </x14:sparkline>
          </x14:sparklines>
        </x14:sparklineGroup>
        <x14:sparklineGroup manualMax="0" manualMin="0" displayEmptyCellsAs="gap" last="1" xr2:uid="{00000000-0003-0000-0500-0000A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3'!D26:F26</xm:f>
              <xm:sqref>G26</xm:sqref>
            </x14:sparkline>
            <x14:sparkline>
              <xm:f>'Filtered Scorecard 3'!D27:F27</xm:f>
              <xm:sqref>G27</xm:sqref>
            </x14:sparkline>
          </x14:sparklines>
        </x14:sparklineGroup>
        <x14:sparklineGroup manualMax="0" manualMin="0" displayEmptyCellsAs="gap" last="1" xr2:uid="{00000000-0003-0000-0500-0000A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3'!D130:F130</xm:f>
              <xm:sqref>G130</xm:sqref>
            </x14:sparkline>
          </x14:sparklines>
        </x14:sparklineGroup>
        <x14:sparklineGroup manualMax="0" manualMin="0" displayEmptyCellsAs="gap" last="1" negative="1" xr2:uid="{00000000-0003-0000-0500-0000AD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3'!D129:F129</xm:f>
              <xm:sqref>G129</xm:sqref>
            </x14:sparkline>
          </x14:sparklines>
        </x14:sparklineGroup>
        <x14:sparklineGroup manualMax="0" manualMin="0" displayEmptyCellsAs="gap" last="1" xr2:uid="{00000000-0003-0000-0500-0000A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3'!D143:F143</xm:f>
              <xm:sqref>G143</xm:sqref>
            </x14:sparkline>
          </x14:sparklines>
        </x14:sparklineGroup>
        <x14:sparklineGroup manualMax="0" manualMin="0" displayEmptyCellsAs="gap" last="1" xr2:uid="{00000000-0003-0000-0500-0000A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3'!D151:F151</xm:f>
              <xm:sqref>G151</xm:sqref>
            </x14:sparkline>
          </x14:sparklines>
        </x14:sparklineGroup>
        <x14:sparklineGroup manualMax="0" manualMin="0" displayEmptyCellsAs="gap" last="1" xr2:uid="{00000000-0003-0000-0500-0000A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3'!D131:F131</xm:f>
              <xm:sqref>G131</xm:sqref>
            </x14:sparkline>
            <x14:sparkline>
              <xm:f>'Filtered Scorecard 3'!D132:F132</xm:f>
              <xm:sqref>G132</xm:sqref>
            </x14:sparkline>
            <x14:sparkline>
              <xm:f>'Filtered Scorecard 3'!D133:F133</xm:f>
              <xm:sqref>G133</xm:sqref>
            </x14:sparkline>
            <x14:sparkline>
              <xm:f>'Filtered Scorecard 3'!D135:F135</xm:f>
              <xm:sqref>G135</xm:sqref>
            </x14:sparkline>
            <x14:sparkline>
              <xm:f>'Filtered Scorecard 3'!D136:F136</xm:f>
              <xm:sqref>G136</xm:sqref>
            </x14:sparkline>
            <x14:sparkline>
              <xm:f>'Filtered Scorecard 3'!D137:F137</xm:f>
              <xm:sqref>G137</xm:sqref>
            </x14:sparkline>
            <x14:sparkline>
              <xm:f>'Filtered Scorecard 3'!D138:F138</xm:f>
              <xm:sqref>G138</xm:sqref>
            </x14:sparkline>
            <x14:sparkline>
              <xm:f>'Filtered Scorecard 3'!D139:F139</xm:f>
              <xm:sqref>G139</xm:sqref>
            </x14:sparkline>
            <x14:sparkline>
              <xm:f>'Filtered Scorecard 3'!D140:F140</xm:f>
              <xm:sqref>G140</xm:sqref>
            </x14:sparkline>
            <x14:sparkline>
              <xm:f>'Filtered Scorecard 3'!D144:F144</xm:f>
              <xm:sqref>G144</xm:sqref>
            </x14:sparkline>
            <x14:sparkline>
              <xm:f>'Filtered Scorecard 3'!D145:F145</xm:f>
              <xm:sqref>G145</xm:sqref>
            </x14:sparkline>
            <x14:sparkline>
              <xm:f>'Filtered Scorecard 3'!D148:F148</xm:f>
              <xm:sqref>G148</xm:sqref>
            </x14:sparkline>
            <x14:sparkline>
              <xm:f>'Filtered Scorecard 3'!D149:F149</xm:f>
              <xm:sqref>G149</xm:sqref>
            </x14:sparkline>
            <x14:sparkline>
              <xm:f>'Filtered Scorecard 3'!D150:F150</xm:f>
              <xm:sqref>G150</xm:sqref>
            </x14:sparkline>
            <x14:sparkline>
              <xm:f>'Filtered Scorecard 3'!D159:F159</xm:f>
              <xm:sqref>G159</xm:sqref>
            </x14:sparkline>
            <x14:sparkline>
              <xm:f>'Filtered Scorecard 3'!D160:F160</xm:f>
              <xm:sqref>G160</xm:sqref>
            </x14:sparkline>
            <x14:sparkline>
              <xm:f>'Filtered Scorecard 3'!D152:F152</xm:f>
              <xm:sqref>G152</xm:sqref>
            </x14:sparkline>
            <x14:sparkline>
              <xm:f>'Filtered Scorecard 3'!D141:F141</xm:f>
              <xm:sqref>G141</xm:sqref>
            </x14:sparkline>
            <x14:sparkline>
              <xm:f>'Filtered Scorecard 3'!D142:F142</xm:f>
              <xm:sqref>G142</xm:sqref>
            </x14:sparkline>
          </x14:sparklines>
        </x14:sparklineGroup>
        <x14:sparklineGroup manualMax="0" manualMin="0" displayEmptyCellsAs="gap" last="1" xr2:uid="{00000000-0003-0000-0500-0000A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3'!D11:F11</xm:f>
              <xm:sqref>G11</xm:sqref>
            </x14:sparkline>
            <x14:sparkline>
              <xm:f>'Filtered Scorecard 3'!D12:F12</xm:f>
              <xm:sqref>G12</xm:sqref>
            </x14:sparkline>
            <x14:sparkline>
              <xm:f>'Filtered Scorecard 3'!D13:F13</xm:f>
              <xm:sqref>G13</xm:sqref>
            </x14:sparkline>
            <x14:sparkline>
              <xm:f>'Filtered Scorecard 3'!D15:F15</xm:f>
              <xm:sqref>G15</xm:sqref>
            </x14:sparkline>
            <x14:sparkline>
              <xm:f>'Filtered Scorecard 3'!D16:F16</xm:f>
              <xm:sqref>G16</xm:sqref>
            </x14:sparkline>
            <x14:sparkline>
              <xm:f>'Filtered Scorecard 3'!D17:F17</xm:f>
              <xm:sqref>G17</xm:sqref>
            </x14:sparkline>
            <x14:sparkline>
              <xm:f>'Filtered Scorecard 3'!D18:F18</xm:f>
              <xm:sqref>G18</xm:sqref>
            </x14:sparkline>
            <x14:sparkline>
              <xm:f>'Filtered Scorecard 3'!D19:F19</xm:f>
              <xm:sqref>G19</xm:sqref>
            </x14:sparkline>
            <x14:sparkline>
              <xm:f>'Filtered Scorecard 3'!D20:F20</xm:f>
              <xm:sqref>G20</xm:sqref>
            </x14:sparkline>
            <x14:sparkline>
              <xm:f>'Filtered Scorecard 3'!D24:F24</xm:f>
              <xm:sqref>G24</xm:sqref>
            </x14:sparkline>
            <x14:sparkline>
              <xm:f>'Filtered Scorecard 3'!D25:F25</xm:f>
              <xm:sqref>G25</xm:sqref>
            </x14:sparkline>
            <x14:sparkline>
              <xm:f>'Filtered Scorecard 3'!D28:F28</xm:f>
              <xm:sqref>G28</xm:sqref>
            </x14:sparkline>
            <x14:sparkline>
              <xm:f>'Filtered Scorecard 3'!D29:F29</xm:f>
              <xm:sqref>G29</xm:sqref>
            </x14:sparkline>
            <x14:sparkline>
              <xm:f>'Filtered Scorecard 3'!D30:F30</xm:f>
              <xm:sqref>G30</xm:sqref>
            </x14:sparkline>
            <x14:sparkline>
              <xm:f>'Filtered Scorecard 3'!D39:F39</xm:f>
              <xm:sqref>G39</xm:sqref>
            </x14:sparkline>
            <x14:sparkline>
              <xm:f>'Filtered Scorecard 3'!D40:F40</xm:f>
              <xm:sqref>G40</xm:sqref>
            </x14:sparkline>
            <x14:sparkline>
              <xm:f>'Filtered Scorecard 3'!D32:F32</xm:f>
              <xm:sqref>G32</xm:sqref>
            </x14:sparkline>
            <x14:sparkline>
              <xm:f>'Filtered Scorecard 3'!D21:F21</xm:f>
              <xm:sqref>G21</xm:sqref>
            </x14:sparkline>
            <x14:sparkline>
              <xm:f>'Filtered Scorecard 3'!D22:F22</xm:f>
              <xm:sqref>G22</xm:sqref>
            </x14:sparkline>
          </x14:sparklines>
        </x14:sparklineGroup>
        <x14:sparklineGroup manualMax="0" manualMin="0" displayEmptyCellsAs="gap" last="1" xr2:uid="{00000000-0003-0000-0500-0000A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3'!D50:F50</xm:f>
              <xm:sqref>G50</xm:sqref>
            </x14:sparkline>
          </x14:sparklines>
        </x14:sparklineGroup>
        <x14:sparklineGroup manualMax="0" manualMin="0" displayEmptyCellsAs="gap" last="1" negative="1" xr2:uid="{00000000-0003-0000-0500-0000A7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3'!D49:F49</xm:f>
              <xm:sqref>G49</xm:sqref>
            </x14:sparkline>
          </x14:sparklines>
        </x14:sparklineGroup>
        <x14:sparklineGroup manualMax="0" manualMin="0" displayEmptyCellsAs="gap" last="1" xr2:uid="{00000000-0003-0000-0500-0000A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3'!D63:F63</xm:f>
              <xm:sqref>G63</xm:sqref>
            </x14:sparkline>
          </x14:sparklines>
        </x14:sparklineGroup>
        <x14:sparklineGroup manualMax="0" manualMin="0" displayEmptyCellsAs="gap" last="1" xr2:uid="{00000000-0003-0000-0500-0000A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3'!D71:F71</xm:f>
              <xm:sqref>G71</xm:sqref>
            </x14:sparkline>
          </x14:sparklines>
        </x14:sparklineGroup>
        <x14:sparklineGroup manualMax="0" manualMin="0" displayEmptyCellsAs="gap" last="1" xr2:uid="{00000000-0003-0000-0500-0000A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3'!D51:F51</xm:f>
              <xm:sqref>G51</xm:sqref>
            </x14:sparkline>
            <x14:sparkline>
              <xm:f>'Filtered Scorecard 3'!D52:F52</xm:f>
              <xm:sqref>G52</xm:sqref>
            </x14:sparkline>
            <x14:sparkline>
              <xm:f>'Filtered Scorecard 3'!D53:F53</xm:f>
              <xm:sqref>G53</xm:sqref>
            </x14:sparkline>
            <x14:sparkline>
              <xm:f>'Filtered Scorecard 3'!D55:F55</xm:f>
              <xm:sqref>G55</xm:sqref>
            </x14:sparkline>
            <x14:sparkline>
              <xm:f>'Filtered Scorecard 3'!D56:F56</xm:f>
              <xm:sqref>G56</xm:sqref>
            </x14:sparkline>
            <x14:sparkline>
              <xm:f>'Filtered Scorecard 3'!D57:F57</xm:f>
              <xm:sqref>G57</xm:sqref>
            </x14:sparkline>
            <x14:sparkline>
              <xm:f>'Filtered Scorecard 3'!D58:F58</xm:f>
              <xm:sqref>G58</xm:sqref>
            </x14:sparkline>
            <x14:sparkline>
              <xm:f>'Filtered Scorecard 3'!D59:F59</xm:f>
              <xm:sqref>G59</xm:sqref>
            </x14:sparkline>
            <x14:sparkline>
              <xm:f>'Filtered Scorecard 3'!D60:F60</xm:f>
              <xm:sqref>G60</xm:sqref>
            </x14:sparkline>
            <x14:sparkline>
              <xm:f>'Filtered Scorecard 3'!D64:F64</xm:f>
              <xm:sqref>G64</xm:sqref>
            </x14:sparkline>
            <x14:sparkline>
              <xm:f>'Filtered Scorecard 3'!D65:F65</xm:f>
              <xm:sqref>G65</xm:sqref>
            </x14:sparkline>
            <x14:sparkline>
              <xm:f>'Filtered Scorecard 3'!D68:F68</xm:f>
              <xm:sqref>G68</xm:sqref>
            </x14:sparkline>
            <x14:sparkline>
              <xm:f>'Filtered Scorecard 3'!D69:F69</xm:f>
              <xm:sqref>G69</xm:sqref>
            </x14:sparkline>
            <x14:sparkline>
              <xm:f>'Filtered Scorecard 3'!D70:F70</xm:f>
              <xm:sqref>G70</xm:sqref>
            </x14:sparkline>
            <x14:sparkline>
              <xm:f>'Filtered Scorecard 3'!D79:F79</xm:f>
              <xm:sqref>G79</xm:sqref>
            </x14:sparkline>
            <x14:sparkline>
              <xm:f>'Filtered Scorecard 3'!D80:F80</xm:f>
              <xm:sqref>G80</xm:sqref>
            </x14:sparkline>
            <x14:sparkline>
              <xm:f>'Filtered Scorecard 3'!D72:F72</xm:f>
              <xm:sqref>G72</xm:sqref>
            </x14:sparkline>
            <x14:sparkline>
              <xm:f>'Filtered Scorecard 3'!D61:F61</xm:f>
              <xm:sqref>G61</xm:sqref>
            </x14:sparkline>
            <x14:sparkline>
              <xm:f>'Filtered Scorecard 3'!D62:F62</xm:f>
              <xm:sqref>G62</xm:sqref>
            </x14:sparkline>
          </x14:sparklines>
        </x14:sparklineGroup>
        <x14:sparklineGroup manualMax="0" manualMin="0" displayEmptyCellsAs="gap" last="1" xr2:uid="{00000000-0003-0000-0500-0000A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3'!D91:F91</xm:f>
              <xm:sqref>G91</xm:sqref>
            </x14:sparkline>
            <x14:sparkline>
              <xm:f>'Filtered Scorecard 3'!D92:F92</xm:f>
              <xm:sqref>G92</xm:sqref>
            </x14:sparkline>
            <x14:sparkline>
              <xm:f>'Filtered Scorecard 3'!D93:F93</xm:f>
              <xm:sqref>G93</xm:sqref>
            </x14:sparkline>
            <x14:sparkline>
              <xm:f>'Filtered Scorecard 3'!D95:F95</xm:f>
              <xm:sqref>G95</xm:sqref>
            </x14:sparkline>
            <x14:sparkline>
              <xm:f>'Filtered Scorecard 3'!D96:F96</xm:f>
              <xm:sqref>G96</xm:sqref>
            </x14:sparkline>
            <x14:sparkline>
              <xm:f>'Filtered Scorecard 3'!D97:F97</xm:f>
              <xm:sqref>G97</xm:sqref>
            </x14:sparkline>
            <x14:sparkline>
              <xm:f>'Filtered Scorecard 3'!D98:F98</xm:f>
              <xm:sqref>G98</xm:sqref>
            </x14:sparkline>
            <x14:sparkline>
              <xm:f>'Filtered Scorecard 3'!D99:F99</xm:f>
              <xm:sqref>G99</xm:sqref>
            </x14:sparkline>
            <x14:sparkline>
              <xm:f>'Filtered Scorecard 3'!D100:F100</xm:f>
              <xm:sqref>G100</xm:sqref>
            </x14:sparkline>
            <x14:sparkline>
              <xm:f>'Filtered Scorecard 3'!D104:F104</xm:f>
              <xm:sqref>G104</xm:sqref>
            </x14:sparkline>
            <x14:sparkline>
              <xm:f>'Filtered Scorecard 3'!D105:F105</xm:f>
              <xm:sqref>G105</xm:sqref>
            </x14:sparkline>
            <x14:sparkline>
              <xm:f>'Filtered Scorecard 3'!D108:F108</xm:f>
              <xm:sqref>G108</xm:sqref>
            </x14:sparkline>
            <x14:sparkline>
              <xm:f>'Filtered Scorecard 3'!D109:F109</xm:f>
              <xm:sqref>G109</xm:sqref>
            </x14:sparkline>
            <x14:sparkline>
              <xm:f>'Filtered Scorecard 3'!D110:F110</xm:f>
              <xm:sqref>G110</xm:sqref>
            </x14:sparkline>
            <x14:sparkline>
              <xm:f>'Filtered Scorecard 3'!D119:F119</xm:f>
              <xm:sqref>G119</xm:sqref>
            </x14:sparkline>
            <x14:sparkline>
              <xm:f>'Filtered Scorecard 3'!D120:F120</xm:f>
              <xm:sqref>G120</xm:sqref>
            </x14:sparkline>
            <x14:sparkline>
              <xm:f>'Filtered Scorecard 3'!D112:F112</xm:f>
              <xm:sqref>G112</xm:sqref>
            </x14:sparkline>
            <x14:sparkline>
              <xm:f>'Filtered Scorecard 3'!D101:F101</xm:f>
              <xm:sqref>G101</xm:sqref>
            </x14:sparkline>
            <x14:sparkline>
              <xm:f>'Filtered Scorecard 3'!D102:F102</xm:f>
              <xm:sqref>G102</xm:sqref>
            </x14:sparkline>
          </x14:sparklines>
        </x14:sparklineGroup>
        <x14:sparklineGroup manualMax="0" manualMin="0" displayEmptyCellsAs="gap" last="1" xr2:uid="{00000000-0003-0000-0500-0000A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3'!D31:F31</xm:f>
              <xm:sqref>G31</xm:sqref>
            </x14:sparkline>
          </x14:sparklines>
        </x14:sparklineGroup>
        <x14:sparklineGroup manualMax="0" manualMin="0" displayEmptyCellsAs="gap" last="1" xr2:uid="{00000000-0003-0000-0500-0000A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3'!D23:F23</xm:f>
              <xm:sqref>G23</xm:sqref>
            </x14:sparkline>
          </x14:sparklines>
        </x14:sparklineGroup>
        <x14:sparklineGroup manualMax="0" manualMin="0" displayEmptyCellsAs="gap" last="1" xr2:uid="{00000000-0003-0000-0500-0000A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3'!D111:F111</xm:f>
              <xm:sqref>G111</xm:sqref>
            </x14:sparkline>
          </x14:sparklines>
        </x14:sparklineGroup>
        <x14:sparklineGroup manualMax="0" manualMin="0" displayEmptyCellsAs="gap" last="1" xr2:uid="{00000000-0003-0000-0500-00009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3'!D103:F103</xm:f>
              <xm:sqref>G103</xm:sqref>
            </x14:sparkline>
          </x14:sparklines>
        </x14:sparklineGroup>
        <x14:sparklineGroup manualMax="0" manualMin="0" displayEmptyCellsAs="gap" last="1" negative="1" xr2:uid="{00000000-0003-0000-0500-00009E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3'!D89:F89</xm:f>
              <xm:sqref>G89</xm:sqref>
            </x14:sparkline>
          </x14:sparklines>
        </x14:sparklineGroup>
        <x14:sparklineGroup manualMax="0" manualMin="0" displayEmptyCellsAs="gap" last="1" xr2:uid="{00000000-0003-0000-0500-00009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3'!D90:F90</xm:f>
              <xm:sqref>G90</xm:sqref>
            </x14:sparkline>
          </x14:sparklines>
        </x14:sparklineGroup>
        <x14:sparklineGroup manualMax="0" manualMin="0" displayEmptyCellsAs="gap" last="1" negative="1" xr2:uid="{00000000-0003-0000-0500-00009C000000}">
          <x14:colorSeries theme="7"/>
          <x14:colorNegative theme="1"/>
          <x14:colorAxis rgb="FF000000"/>
          <x14:colorMarkers rgb="FFD00000"/>
          <x14:colorFirst rgb="FFD00000"/>
          <x14:colorLast theme="8"/>
          <x14:colorHigh theme="5"/>
          <x14:colorLow theme="6"/>
          <x14:sparklines>
            <x14:sparkline>
              <xm:f>'Filtered Scorecard 3'!D9:F9</xm:f>
              <xm:sqref>G9</xm:sqref>
            </x14:sparkline>
          </x14:sparklines>
        </x14:sparklineGroup>
        <x14:sparklineGroup manualMax="0" manualMin="0" displayEmptyCellsAs="gap" last="1" xr2:uid="{00000000-0003-0000-0500-00009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'Filtered Scorecard 3'!D10:F10</xm:f>
              <xm:sqref>G10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B3:E15"/>
  <sheetViews>
    <sheetView showGridLines="0" workbookViewId="0">
      <selection activeCell="E27" sqref="E27"/>
    </sheetView>
  </sheetViews>
  <sheetFormatPr defaultRowHeight="15" x14ac:dyDescent="0.25"/>
  <cols>
    <col min="1" max="1" width="6.140625" customWidth="1"/>
    <col min="2" max="2" width="15.42578125" customWidth="1"/>
    <col min="3" max="3" width="11.140625" customWidth="1"/>
    <col min="4" max="4" width="15.140625" customWidth="1"/>
    <col min="5" max="5" width="13.140625" customWidth="1"/>
  </cols>
  <sheetData>
    <row r="3" spans="2:5" ht="15.75" thickBot="1" x14ac:dyDescent="0.3"/>
    <row r="4" spans="2:5" ht="30.75" thickBot="1" x14ac:dyDescent="0.3">
      <c r="B4" s="107" t="s">
        <v>101</v>
      </c>
      <c r="C4" s="108" t="s">
        <v>76</v>
      </c>
      <c r="D4" s="108" t="s">
        <v>58</v>
      </c>
      <c r="E4" s="108" t="s">
        <v>59</v>
      </c>
    </row>
    <row r="5" spans="2:5" ht="16.5" thickTop="1" thickBot="1" x14ac:dyDescent="0.3">
      <c r="B5" s="128">
        <f>PY7_</f>
        <v>42005</v>
      </c>
      <c r="C5" s="113">
        <f t="array" ref="C5">SUM((IncLim&gt;0)*(Valuation=Val_current)*(PY=PY7_))</f>
        <v>0</v>
      </c>
      <c r="D5" s="113">
        <f t="array" ref="D5">SUM((IncLim&gt;0)*(Valuation=Val_current)*(indType&gt;0)*(PY=PY7_))</f>
        <v>0</v>
      </c>
      <c r="E5" s="115" t="str">
        <f t="shared" ref="E5:E10" si="0">IFERROR(D5/C5,"-")</f>
        <v>-</v>
      </c>
    </row>
    <row r="6" spans="2:5" ht="15.75" thickBot="1" x14ac:dyDescent="0.3">
      <c r="B6" s="128">
        <f>PY6_</f>
        <v>42370</v>
      </c>
      <c r="C6" s="113">
        <f t="array" ref="C6">SUM((IncLim&gt;0)*(Valuation=Val_current)*(PY=PY6_))</f>
        <v>0</v>
      </c>
      <c r="D6" s="113">
        <f t="array" ref="D6">SUM((IncLim&gt;0)*(Valuation=Val_current)*(indType&gt;0)*(PY=PY6_))</f>
        <v>0</v>
      </c>
      <c r="E6" s="115" t="str">
        <f t="shared" si="0"/>
        <v>-</v>
      </c>
    </row>
    <row r="7" spans="2:5" ht="15.75" thickBot="1" x14ac:dyDescent="0.3">
      <c r="B7" s="128">
        <f>PY5_</f>
        <v>39083</v>
      </c>
      <c r="C7" s="113">
        <f t="array" ref="C7">SUM((IncLim&gt;0)*(Valuation=Val_current)*(PY=PY5_))</f>
        <v>0</v>
      </c>
      <c r="D7" s="113">
        <f t="array" ref="D7">SUM((IncLim&gt;0)*(Valuation=Val_current)*(indType&gt;0)*(PY=PY5_))</f>
        <v>0</v>
      </c>
      <c r="E7" s="115" t="str">
        <f t="shared" si="0"/>
        <v>-</v>
      </c>
    </row>
    <row r="8" spans="2:5" ht="15.75" thickBot="1" x14ac:dyDescent="0.3">
      <c r="B8" s="128">
        <f>PY4_</f>
        <v>43101</v>
      </c>
      <c r="C8" s="113">
        <f t="array" ref="C8">SUM((IncLim&gt;0)*(Valuation=Val_current)*(PY=PY4_))</f>
        <v>0</v>
      </c>
      <c r="D8" s="113">
        <f t="array" ref="D8">SUM((IncLim&gt;0)*(Valuation=Val_current)*(indType&gt;0)*(PY=PY4_))</f>
        <v>0</v>
      </c>
      <c r="E8" s="115" t="str">
        <f t="shared" si="0"/>
        <v>-</v>
      </c>
    </row>
    <row r="9" spans="2:5" ht="15.75" thickBot="1" x14ac:dyDescent="0.3">
      <c r="B9" s="128">
        <f>PY3_</f>
        <v>43466</v>
      </c>
      <c r="C9" s="113">
        <f t="array" ref="C9">SUM((IncLim&gt;0)*(Valuation=Val_current)*(PY=PY3_))</f>
        <v>0</v>
      </c>
      <c r="D9" s="113">
        <f t="array" ref="D9">SUM((IncLim&gt;0)*(Valuation=Val_current)*(indType&gt;0)*(PY=PY3_))</f>
        <v>0</v>
      </c>
      <c r="E9" s="115" t="str">
        <f t="shared" si="0"/>
        <v>-</v>
      </c>
    </row>
    <row r="10" spans="2:5" ht="15.75" thickBot="1" x14ac:dyDescent="0.3">
      <c r="B10" s="128">
        <f>PY2_</f>
        <v>43831</v>
      </c>
      <c r="C10" s="113">
        <f t="array" ref="C10">SUM((IncLim&gt;0)*(Valuation=Val_current)*(PY=PY2_))</f>
        <v>0</v>
      </c>
      <c r="D10" s="113">
        <f t="array" ref="D10">SUM((IncLim&gt;0)*(Valuation=Val_current)*(indType&gt;0)*(PY=PY2_))</f>
        <v>0</v>
      </c>
      <c r="E10" s="115" t="str">
        <f t="shared" si="0"/>
        <v>-</v>
      </c>
    </row>
    <row r="11" spans="2:5" ht="15.75" thickBot="1" x14ac:dyDescent="0.3">
      <c r="B11" s="128">
        <f>PY1_</f>
        <v>44197</v>
      </c>
      <c r="C11" s="113">
        <f t="array" ref="C11">SUM((IncLim&gt;0)*(Valuation=Val_current)*(PY=PY1_))</f>
        <v>0</v>
      </c>
      <c r="D11" s="113">
        <f t="array" ref="D11">SUM((IncLim&gt;0)*(Valuation=Val_current)*(indType&gt;0)*(PY=PY1_))</f>
        <v>0</v>
      </c>
      <c r="E11" s="115" t="str">
        <f>IFERROR(D11/C11,"-")</f>
        <v>-</v>
      </c>
    </row>
    <row r="12" spans="2:5" ht="15.75" thickBot="1" x14ac:dyDescent="0.3">
      <c r="B12" s="107" t="s">
        <v>37</v>
      </c>
      <c r="C12" s="129">
        <f>SUM(C6:C11)</f>
        <v>0</v>
      </c>
      <c r="D12" s="129">
        <f>SUM(D6:D11)</f>
        <v>0</v>
      </c>
      <c r="E12" s="130" t="e">
        <f t="shared" ref="E12" si="1">D12/C12</f>
        <v>#DIV/0!</v>
      </c>
    </row>
    <row r="13" spans="2:5" ht="15.75" thickTop="1" x14ac:dyDescent="0.25"/>
    <row r="14" spans="2:5" x14ac:dyDescent="0.25">
      <c r="B14" t="s">
        <v>92</v>
      </c>
    </row>
    <row r="15" spans="2:5" x14ac:dyDescent="0.25">
      <c r="B15" t="s">
        <v>93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B4:E12"/>
  <sheetViews>
    <sheetView showGridLines="0" topLeftCell="A4" workbookViewId="0">
      <selection activeCell="E31" sqref="E31"/>
    </sheetView>
  </sheetViews>
  <sheetFormatPr defaultRowHeight="15" x14ac:dyDescent="0.25"/>
  <cols>
    <col min="2" max="2" width="12" bestFit="1" customWidth="1"/>
    <col min="3" max="4" width="14.140625" bestFit="1" customWidth="1"/>
    <col min="5" max="5" width="16.7109375" bestFit="1" customWidth="1"/>
  </cols>
  <sheetData>
    <row r="4" spans="2:5" ht="15.75" thickBot="1" x14ac:dyDescent="0.3"/>
    <row r="5" spans="2:5" ht="45.75" thickBot="1" x14ac:dyDescent="0.3">
      <c r="B5" s="107" t="s">
        <v>101</v>
      </c>
      <c r="C5" s="108" t="s">
        <v>89</v>
      </c>
      <c r="D5" s="108" t="s">
        <v>87</v>
      </c>
      <c r="E5" s="108" t="s">
        <v>88</v>
      </c>
    </row>
    <row r="6" spans="2:5" ht="16.5" thickTop="1" thickBot="1" x14ac:dyDescent="0.3">
      <c r="B6" s="128">
        <f>PY7_</f>
        <v>42005</v>
      </c>
      <c r="C6" s="113">
        <f t="array" ref="C6">PY7_ultCT</f>
        <v>0</v>
      </c>
      <c r="D6" s="114">
        <f t="array" ref="D6">PY7_ult</f>
        <v>0</v>
      </c>
      <c r="E6" s="114" t="str">
        <f t="shared" ref="E6:E12" si="0">IFERROR(D6/C6,"-")</f>
        <v>-</v>
      </c>
    </row>
    <row r="7" spans="2:5" ht="15.75" thickBot="1" x14ac:dyDescent="0.3">
      <c r="B7" s="128">
        <f>PY6_</f>
        <v>42370</v>
      </c>
      <c r="C7" s="113">
        <f t="array" ref="C7">PY6_ultCt</f>
        <v>0</v>
      </c>
      <c r="D7" s="114">
        <f t="array" ref="D7">PY6_ult</f>
        <v>0</v>
      </c>
      <c r="E7" s="114" t="str">
        <f t="shared" si="0"/>
        <v>-</v>
      </c>
    </row>
    <row r="8" spans="2:5" ht="15.75" thickBot="1" x14ac:dyDescent="0.3">
      <c r="B8" s="128">
        <f>PY5_</f>
        <v>39083</v>
      </c>
      <c r="C8" s="113">
        <f t="array" ref="C8">PY5_ultCt</f>
        <v>0</v>
      </c>
      <c r="D8" s="114">
        <f t="array" ref="D8">PY5_ult</f>
        <v>0</v>
      </c>
      <c r="E8" s="114" t="str">
        <f t="shared" si="0"/>
        <v>-</v>
      </c>
    </row>
    <row r="9" spans="2:5" ht="15.75" thickBot="1" x14ac:dyDescent="0.3">
      <c r="B9" s="128">
        <f>PY4_</f>
        <v>43101</v>
      </c>
      <c r="C9" s="113">
        <f t="array" ref="C9">PY4_ultCt</f>
        <v>0</v>
      </c>
      <c r="D9" s="114">
        <f t="array" ref="D9">PY4_ult</f>
        <v>0</v>
      </c>
      <c r="E9" s="114" t="str">
        <f t="shared" si="0"/>
        <v>-</v>
      </c>
    </row>
    <row r="10" spans="2:5" ht="15.75" thickBot="1" x14ac:dyDescent="0.3">
      <c r="B10" s="128">
        <f>PY3_</f>
        <v>43466</v>
      </c>
      <c r="C10" s="113">
        <f t="array" ref="C10">PY3_ultCt</f>
        <v>0</v>
      </c>
      <c r="D10" s="114">
        <f t="array" ref="D10">PY3_ult</f>
        <v>0</v>
      </c>
      <c r="E10" s="114" t="str">
        <f t="shared" si="0"/>
        <v>-</v>
      </c>
    </row>
    <row r="11" spans="2:5" ht="15.75" thickBot="1" x14ac:dyDescent="0.3">
      <c r="B11" s="128">
        <f>PY2_</f>
        <v>43831</v>
      </c>
      <c r="C11" s="113">
        <f t="array" ref="C11">PY2_ultCt</f>
        <v>0</v>
      </c>
      <c r="D11" s="114">
        <f t="array" ref="D11">PY2_ult</f>
        <v>0</v>
      </c>
      <c r="E11" s="114" t="str">
        <f t="shared" si="0"/>
        <v>-</v>
      </c>
    </row>
    <row r="12" spans="2:5" ht="15.75" thickBot="1" x14ac:dyDescent="0.3">
      <c r="B12" s="128">
        <f>PY1_</f>
        <v>44197</v>
      </c>
      <c r="C12" s="113">
        <f t="array" ref="C12">PY1_ultCt</f>
        <v>0</v>
      </c>
      <c r="D12" s="114">
        <f t="array" ref="D12">PY1_ult</f>
        <v>0</v>
      </c>
      <c r="E12" s="114" t="str">
        <f t="shared" si="0"/>
        <v>-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B2:H32"/>
  <sheetViews>
    <sheetView showGridLines="0" workbookViewId="0">
      <selection activeCell="C6" sqref="C6"/>
    </sheetView>
  </sheetViews>
  <sheetFormatPr defaultRowHeight="15" x14ac:dyDescent="0.25"/>
  <cols>
    <col min="1" max="1" width="9.140625" style="2"/>
    <col min="2" max="2" width="35.85546875" style="2" customWidth="1"/>
    <col min="3" max="3" width="15.85546875" style="2" customWidth="1"/>
    <col min="4" max="4" width="14.140625" style="2" bestFit="1" customWidth="1"/>
    <col min="5" max="5" width="24.5703125" style="2" customWidth="1"/>
    <col min="6" max="6" width="15.140625" style="2" customWidth="1"/>
    <col min="7" max="8" width="16.7109375" style="2" customWidth="1"/>
    <col min="9" max="9" width="23.5703125" style="2" customWidth="1"/>
    <col min="10" max="16384" width="9.140625" style="2"/>
  </cols>
  <sheetData>
    <row r="2" spans="2:5" ht="21" x14ac:dyDescent="0.35">
      <c r="B2" s="119"/>
    </row>
    <row r="4" spans="2:5" ht="15.75" thickBot="1" x14ac:dyDescent="0.3"/>
    <row r="5" spans="2:5" ht="15.75" thickBot="1" x14ac:dyDescent="0.3">
      <c r="B5" s="107" t="s">
        <v>77</v>
      </c>
      <c r="C5" s="108" t="s">
        <v>78</v>
      </c>
      <c r="D5" s="108" t="s">
        <v>79</v>
      </c>
      <c r="E5" s="108" t="s">
        <v>80</v>
      </c>
    </row>
    <row r="6" spans="2:5" ht="16.5" thickTop="1" thickBot="1" x14ac:dyDescent="0.3">
      <c r="B6" s="109" t="s">
        <v>81</v>
      </c>
      <c r="C6" s="131" t="e">
        <f>COUNTIFS(execute!$T:$T,Val_current,execute!$Q:$Q,"1",execute!$K:$K,"&gt;"&amp;0,execute!$I:$I,"&gt;="&amp;42005)/COUNTIFS(execute!$T:$T,Val_current,execute!$K:$K,"&gt;"&amp;0,execute!$I:$I,"&gt;="&amp;42005)</f>
        <v>#DIV/0!</v>
      </c>
      <c r="D6" s="131" t="e">
        <f>SUMIFS(execute!$K:$K,execute!$T:$T,Val_current,execute!$Q:$Q,"1",execute!$K:$K,"&gt;"&amp;0,execute!$I:$I,"&gt;="&amp;42005)/SUMIFS(execute!$K:$K,execute!$T:$T,Val_current,execute!$K:$K,"&gt;"&amp;0,execute!$I:$I,"&gt;="&amp;42005)</f>
        <v>#DIV/0!</v>
      </c>
      <c r="E6" s="131" t="e">
        <f>SUMIFS(execute!$M:$M,execute!$T:$T,Val_current,execute!$Q:$Q,"1",execute!$K:$K,"&gt;"&amp;0,execute!$I:$I,"&gt;="&amp;42005)/SUMIFS(execute!$M:$M,execute!$T:$T,Val_current,execute!$K:$K,"&gt;"&amp;0,execute!$I:$I,"&gt;="&amp;42005)</f>
        <v>#DIV/0!</v>
      </c>
    </row>
    <row r="7" spans="2:5" ht="15.75" thickBot="1" x14ac:dyDescent="0.3">
      <c r="B7" s="109" t="s">
        <v>83</v>
      </c>
      <c r="C7" s="131" t="e">
        <f>COUNTIFS(execute!$T:$T,Val_current,execute!$Q:$Q,"1",execute!#REF!,"1",execute!$K:$K,"&gt;"&amp;0,execute!$I:$I,"&gt;="&amp;42005)/COUNTIFS(execute!$T:$T,Val_current,execute!#REF!,"1",execute!$K:$K,"&gt;"&amp;0,execute!$I:$I,"&gt;="&amp;42005)</f>
        <v>#REF!</v>
      </c>
      <c r="D7" s="131" t="e">
        <f>SUMIFS(execute!$K:$K,execute!$T:$T,Val_current,execute!$Q:$Q,"1",execute!#REF!,"1",execute!$K:$K,"&gt;"&amp;0,execute!$I:$I,"&gt;="&amp;42005)/SUMIFS(execute!$K:$K,execute!$T:$T,Val_current,execute!#REF!,"1",execute!$K:$K,"&gt;"&amp;0,execute!$I:$I,"&gt;="&amp;42005)</f>
        <v>#REF!</v>
      </c>
      <c r="E7" s="131" t="e">
        <f>SUMIFS(execute!$M:$M,execute!$T:$T,Val_current,execute!$Q:$Q,"1",execute!#REF!,"1",execute!$K:$K,"&gt;"&amp;0,execute!$I:$I,"&gt;="&amp;42005)/SUMIFS(execute!$M:$M,execute!$T:$T,Val_current,execute!#REF!,"1",execute!$K:$K,"&gt;"&amp;0,execute!$I:$I,"&gt;="&amp;42005)</f>
        <v>#REF!</v>
      </c>
    </row>
    <row r="8" spans="2:5" ht="15.75" thickBot="1" x14ac:dyDescent="0.3">
      <c r="B8" s="110" t="s">
        <v>102</v>
      </c>
      <c r="C8" s="132"/>
      <c r="D8" s="132"/>
      <c r="E8" s="132"/>
    </row>
    <row r="9" spans="2:5" x14ac:dyDescent="0.25">
      <c r="B9" s="137" t="s">
        <v>103</v>
      </c>
    </row>
    <row r="11" spans="2:5" x14ac:dyDescent="0.25">
      <c r="B11" s="2" t="s">
        <v>84</v>
      </c>
    </row>
    <row r="12" spans="2:5" x14ac:dyDescent="0.25">
      <c r="B12" s="111"/>
      <c r="C12" s="111" t="s">
        <v>76</v>
      </c>
      <c r="D12" s="111" t="s">
        <v>36</v>
      </c>
    </row>
    <row r="13" spans="2:5" x14ac:dyDescent="0.25">
      <c r="B13" s="111" t="s">
        <v>85</v>
      </c>
      <c r="C13" s="112" t="e">
        <f>1-C14</f>
        <v>#REF!</v>
      </c>
      <c r="D13" s="112" t="e">
        <f>1-D14</f>
        <v>#REF!</v>
      </c>
    </row>
    <row r="14" spans="2:5" x14ac:dyDescent="0.25">
      <c r="B14" s="111" t="s">
        <v>77</v>
      </c>
      <c r="C14" s="112" t="e">
        <f>C7</f>
        <v>#REF!</v>
      </c>
      <c r="D14" s="112" t="e">
        <f>D7</f>
        <v>#REF!</v>
      </c>
    </row>
    <row r="20" spans="2:8" ht="15.75" thickBot="1" x14ac:dyDescent="0.3">
      <c r="B20" s="138" t="s">
        <v>108</v>
      </c>
      <c r="C20" s="138"/>
    </row>
    <row r="21" spans="2:8" ht="30.75" thickBot="1" x14ac:dyDescent="0.3">
      <c r="B21" s="107" t="s">
        <v>109</v>
      </c>
      <c r="C21" s="108" t="s">
        <v>112</v>
      </c>
    </row>
    <row r="22" spans="2:8" ht="16.5" thickTop="1" thickBot="1" x14ac:dyDescent="0.3">
      <c r="B22" s="109" t="s">
        <v>110</v>
      </c>
      <c r="C22" s="131"/>
    </row>
    <row r="23" spans="2:8" ht="15.75" thickBot="1" x14ac:dyDescent="0.3">
      <c r="B23" s="109" t="s">
        <v>111</v>
      </c>
      <c r="C23" s="131"/>
    </row>
    <row r="28" spans="2:8" ht="15.75" thickBot="1" x14ac:dyDescent="0.3"/>
    <row r="29" spans="2:8" ht="30.75" thickBot="1" x14ac:dyDescent="0.3">
      <c r="B29" s="107" t="s">
        <v>77</v>
      </c>
      <c r="C29" s="108" t="s">
        <v>96</v>
      </c>
      <c r="D29" s="108" t="s">
        <v>97</v>
      </c>
      <c r="E29" s="108" t="s">
        <v>98</v>
      </c>
      <c r="F29" s="108" t="s">
        <v>94</v>
      </c>
      <c r="G29" s="108" t="s">
        <v>99</v>
      </c>
      <c r="H29" s="108" t="s">
        <v>95</v>
      </c>
    </row>
    <row r="30" spans="2:8" ht="16.5" thickTop="1" thickBot="1" x14ac:dyDescent="0.3">
      <c r="B30" s="109" t="s">
        <v>81</v>
      </c>
      <c r="C30" s="133">
        <f>COUNTIFS(execute!$T:$T,Val_current,execute!$Q:$Q,"1",execute!$K:$K,"&gt;"&amp;0,execute!$I:$I,"&gt;="&amp;42005)</f>
        <v>0</v>
      </c>
      <c r="D30" s="133">
        <f>COUNTIFS(execute!$T:$T,Val_current,execute!$K:$K,"&gt;"&amp;0,execute!$I:$I,"&gt;="&amp;42005)</f>
        <v>0</v>
      </c>
      <c r="E30" s="134">
        <f>SUMIFS(execute!$K:$K,execute!$T:$T,Val_current,execute!$Q:$Q,"1",execute!$K:$K,"&gt;"&amp;0,execute!$I:$I,"&gt;="&amp;42005)</f>
        <v>0</v>
      </c>
      <c r="F30" s="134">
        <f>SUMIFS(execute!$K:$K,execute!$T:$T,Val_current,execute!$K:$K,"&gt;"&amp;0,execute!$I:$I,"&gt;="&amp;42005)</f>
        <v>0</v>
      </c>
      <c r="G30" s="134">
        <f>SUMIFS(execute!$M:$M,execute!$T:$T,Val_current,execute!$Q:$Q,"1",execute!$K:$K,"&gt;"&amp;0,execute!$I:$I,"&gt;="&amp;42005)</f>
        <v>0</v>
      </c>
      <c r="H30" s="134">
        <f>SUMIFS(execute!$M:$M,execute!$T:$T,Val_current,execute!$K:$K,"&gt;"&amp;0,execute!$I:$I,"&gt;="&amp;42005)</f>
        <v>0</v>
      </c>
    </row>
    <row r="31" spans="2:8" ht="15.75" thickBot="1" x14ac:dyDescent="0.3">
      <c r="B31" s="109" t="s">
        <v>83</v>
      </c>
      <c r="C31" s="133" t="e">
        <f>COUNTIFS(execute!$T:$T,Val_current,execute!$Q:$Q,"1",execute!#REF!,"1",execute!$K:$K,"&gt;"&amp;0,execute!$I:$I,"&gt;="&amp;42005)</f>
        <v>#REF!</v>
      </c>
      <c r="D31" s="133" t="e">
        <f>COUNTIFS(execute!$T:$T,Val_current,execute!#REF!,"1",execute!$K:$K,"&gt;"&amp;0,execute!$I:$I,"&gt;="&amp;42005)</f>
        <v>#REF!</v>
      </c>
      <c r="E31" s="134" t="e">
        <f>SUMIFS(execute!$K:$K,execute!$T:$T,Val_current,execute!$Q:$Q,"1",execute!#REF!,"1",execute!$K:$K,"&gt;"&amp;0,execute!$I:$I,"&gt;="&amp;42005)</f>
        <v>#REF!</v>
      </c>
      <c r="F31" s="134" t="e">
        <f>SUMIFS(execute!$K:$K,execute!$T:$T,Val_current,execute!#REF!,"1",execute!$K:$K,"&gt;"&amp;0,execute!$I:$I,"&gt;="&amp;42005)</f>
        <v>#REF!</v>
      </c>
      <c r="G31" s="134" t="e">
        <f>SUMIFS(execute!$M:$M,execute!$T:$T,Val_current,execute!$Q:$Q,"1",execute!#REF!,"1",execute!$K:$K,"&gt;"&amp;0,execute!$I:$I,"&gt;="&amp;42005)</f>
        <v>#REF!</v>
      </c>
      <c r="H31" s="134" t="e">
        <f>SUMIFS(execute!$M:$M,execute!$T:$T,Val_current,execute!#REF!,"1",execute!$K:$K,"&gt;"&amp;0,execute!$I:$I,"&gt;="&amp;42005)</f>
        <v>#REF!</v>
      </c>
    </row>
    <row r="32" spans="2:8" ht="15.75" thickBot="1" x14ac:dyDescent="0.3">
      <c r="B32" s="110" t="s">
        <v>82</v>
      </c>
      <c r="C32" s="135">
        <f>COUNTIFS(execute!$T:$T,Val_current,execute!$Q:$Q,"1",execute!$K:$K,"&gt;"&amp;0,execute!$O:$O,"0")</f>
        <v>0</v>
      </c>
      <c r="D32" s="135">
        <f>COUNTIFS(execute!$T:$T,Val_current,execute!$K:$K,"&gt;"&amp;0,execute!$O:$O,"0")</f>
        <v>0</v>
      </c>
      <c r="E32" s="136">
        <f>SUMIFS(execute!$K:$K,execute!$T:$T,Val_current,execute!$Q:$Q,"1",execute!$K:$K,"&gt;"&amp;0,execute!$O:$O,"0")</f>
        <v>0</v>
      </c>
      <c r="F32" s="136">
        <f>SUMIFS(execute!$K:$K,execute!$T:$T,Val_current,execute!$K:$K,"&gt;"&amp;0,execute!$O:$O,"0")</f>
        <v>0</v>
      </c>
      <c r="G32" s="136">
        <f>SUMIFS(execute!$M:$M,execute!$T:$T,Val_current,execute!$Q:$Q,"1",execute!$K:$K,"&gt;"&amp;0,execute!$O:$O,"0")</f>
        <v>0</v>
      </c>
      <c r="H32" s="136">
        <f>SUMIFS(execute!$M:$M,execute!$T:$T,Val_current,execute!$K:$K,"&gt;"&amp;0,execute!$O:$O,"0")</f>
        <v>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59E7-D3DB-44FE-ABD8-AF4BCB8EECBE}">
  <dimension ref="A1"/>
  <sheetViews>
    <sheetView workbookViewId="0">
      <selection activeCell="Q33" sqref="Q3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B72801DF7AA49A821A4C3A555C86C" ma:contentTypeVersion="8" ma:contentTypeDescription="Create a new document." ma:contentTypeScope="" ma:versionID="647f4d8a5db746c0df84d7114234d229">
  <xsd:schema xmlns:xsd="http://www.w3.org/2001/XMLSchema" xmlns:xs="http://www.w3.org/2001/XMLSchema" xmlns:p="http://schemas.microsoft.com/office/2006/metadata/properties" xmlns:ns2="47459466-ed6b-4e72-a6f3-3480ef95271b" targetNamespace="http://schemas.microsoft.com/office/2006/metadata/properties" ma:root="true" ma:fieldsID="f377aab322bd57a07cbc7720d4263814" ns2:_="">
    <xsd:import namespace="47459466-ed6b-4e72-a6f3-3480ef952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59466-ed6b-4e72-a6f3-3480ef95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15E7A-D18C-4AA1-B43D-BEE63677CE70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47459466-ed6b-4e72-a6f3-3480ef95271b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D0F4374-CACF-4165-A373-F1C8BB3597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F60B7-B201-4AB6-B21C-AC782800C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59466-ed6b-4e72-a6f3-3480ef952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51</vt:i4>
      </vt:variant>
    </vt:vector>
  </HeadingPairs>
  <TitlesOfParts>
    <vt:vector size="65" baseType="lpstr">
      <vt:lpstr>Instructions</vt:lpstr>
      <vt:lpstr>execute</vt:lpstr>
      <vt:lpstr>Analysis</vt:lpstr>
      <vt:lpstr>Loss Run 1</vt:lpstr>
      <vt:lpstr>Loss Run 2</vt:lpstr>
      <vt:lpstr>Loss Run 3</vt:lpstr>
      <vt:lpstr>Total Scorecards</vt:lpstr>
      <vt:lpstr>Filtered Scorecard 1</vt:lpstr>
      <vt:lpstr>Filtered Scorecard 2</vt:lpstr>
      <vt:lpstr>Filtered Scorecard 3</vt:lpstr>
      <vt:lpstr>Indemnity Rate</vt:lpstr>
      <vt:lpstr>Ultimate Severity</vt:lpstr>
      <vt:lpstr>Litigation Analysis</vt:lpstr>
      <vt:lpstr>Runoff Schedule</vt:lpstr>
      <vt:lpstr>Closed</vt:lpstr>
      <vt:lpstr>DOL</vt:lpstr>
      <vt:lpstr>Filter1</vt:lpstr>
      <vt:lpstr>IncLim</vt:lpstr>
      <vt:lpstr>IncYr_yn</vt:lpstr>
      <vt:lpstr>indType</vt:lpstr>
      <vt:lpstr>Lit</vt:lpstr>
      <vt:lpstr>Months</vt:lpstr>
      <vt:lpstr>months1</vt:lpstr>
      <vt:lpstr>months2</vt:lpstr>
      <vt:lpstr>months3</vt:lpstr>
      <vt:lpstr>months4</vt:lpstr>
      <vt:lpstr>months5</vt:lpstr>
      <vt:lpstr>osLim</vt:lpstr>
      <vt:lpstr>pdLim</vt:lpstr>
      <vt:lpstr>PY</vt:lpstr>
      <vt:lpstr>PY1_</vt:lpstr>
      <vt:lpstr>PY1_ret</vt:lpstr>
      <vt:lpstr>PY1_ult</vt:lpstr>
      <vt:lpstr>PY1_ultCt</vt:lpstr>
      <vt:lpstr>PY2_</vt:lpstr>
      <vt:lpstr>PY2_ret</vt:lpstr>
      <vt:lpstr>PY2_ult</vt:lpstr>
      <vt:lpstr>PY2_ultCt</vt:lpstr>
      <vt:lpstr>PY3_</vt:lpstr>
      <vt:lpstr>PY3_ret</vt:lpstr>
      <vt:lpstr>PY3_ult</vt:lpstr>
      <vt:lpstr>PY3_ultCt</vt:lpstr>
      <vt:lpstr>PY4_</vt:lpstr>
      <vt:lpstr>PY4_ret</vt:lpstr>
      <vt:lpstr>PY4_ult</vt:lpstr>
      <vt:lpstr>PY4_ultCt</vt:lpstr>
      <vt:lpstr>PY5_</vt:lpstr>
      <vt:lpstr>PY5_ret</vt:lpstr>
      <vt:lpstr>PY5_ult</vt:lpstr>
      <vt:lpstr>PY5_ultCt</vt:lpstr>
      <vt:lpstr>PY6_</vt:lpstr>
      <vt:lpstr>PY6_ret</vt:lpstr>
      <vt:lpstr>PY6_ult</vt:lpstr>
      <vt:lpstr>PY6_ultCt</vt:lpstr>
      <vt:lpstr>PY7_</vt:lpstr>
      <vt:lpstr>PY7_ult</vt:lpstr>
      <vt:lpstr>PY7_ultCT</vt:lpstr>
      <vt:lpstr>PY8_</vt:lpstr>
      <vt:lpstr>PY8_ult</vt:lpstr>
      <vt:lpstr>PY8_ultCt</vt:lpstr>
      <vt:lpstr>Source1</vt:lpstr>
      <vt:lpstr>Source2</vt:lpstr>
      <vt:lpstr>Source3</vt:lpstr>
      <vt:lpstr>Val_current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Chris.Knight@epicbrokers.com</dc:creator>
  <cp:keywords/>
  <dc:description/>
  <cp:lastModifiedBy>Chris Knight</cp:lastModifiedBy>
  <cp:revision/>
  <dcterms:created xsi:type="dcterms:W3CDTF">2018-10-01T16:15:58Z</dcterms:created>
  <dcterms:modified xsi:type="dcterms:W3CDTF">2023-01-04T20:30:21Z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0x010100A5DB72801DF7AA49A821A4C3A555C86C</vt:lpwstr>
  </property>
</Properties>
</file>