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I:\Templates\"/>
    </mc:Choice>
  </mc:AlternateContent>
  <xr:revisionPtr revIDLastSave="0" documentId="13_ncr:1_{173879C0-EB4B-4F15-A3AB-53F453B06EE3}" xr6:coauthVersionLast="47" xr6:coauthVersionMax="47" xr10:uidLastSave="{00000000-0000-0000-0000-000000000000}"/>
  <bookViews>
    <workbookView xWindow="28680" yWindow="-120" windowWidth="29040" windowHeight="15840" tabRatio="909" xr2:uid="{00000000-000D-0000-FFFF-FFFF00000000}"/>
  </bookViews>
  <sheets>
    <sheet name="Indemnity Rate" sheetId="33" r:id="rId1"/>
    <sheet name="Litigation Analysis" sheetId="34" r:id="rId2"/>
    <sheet name="WC auto impact" sheetId="37" r:id="rId3"/>
    <sheet name="CA impact" sheetId="36" r:id="rId4"/>
  </sheets>
  <definedNames>
    <definedName name="Closed">#REF!</definedName>
    <definedName name="DOL">#REF!</definedName>
    <definedName name="Filter1">#REF!</definedName>
    <definedName name="IncLim">#REF!</definedName>
    <definedName name="IncYr_yn">#REF!</definedName>
    <definedName name="indType">#REF!</definedName>
    <definedName name="Lit">#REF!</definedName>
    <definedName name="Months">#REF!</definedName>
    <definedName name="months1">#REF!</definedName>
    <definedName name="months2">#REF!</definedName>
    <definedName name="months3">#REF!</definedName>
    <definedName name="months4">#REF!</definedName>
    <definedName name="months5">#REF!</definedName>
    <definedName name="osLim">#REF!</definedName>
    <definedName name="pdLim">#REF!</definedName>
    <definedName name="PY">#REF!</definedName>
    <definedName name="PY1_">#REF!</definedName>
    <definedName name="PY1_ret">#REF!</definedName>
    <definedName name="PY1_ult">#REF!</definedName>
    <definedName name="PY1_ultCt">#REF!</definedName>
    <definedName name="PY2_">#REF!</definedName>
    <definedName name="PY2_ret">#REF!</definedName>
    <definedName name="PY2_ult">#REF!</definedName>
    <definedName name="PY2_ultCt">#REF!</definedName>
    <definedName name="PY3_">#REF!</definedName>
    <definedName name="PY3_ret">#REF!</definedName>
    <definedName name="PY3_ult">#REF!</definedName>
    <definedName name="PY3_ultCt">#REF!</definedName>
    <definedName name="PY4_">#REF!</definedName>
    <definedName name="PY4_ret">#REF!</definedName>
    <definedName name="PY4_ult">#REF!</definedName>
    <definedName name="PY4_ultCt">#REF!</definedName>
    <definedName name="PY5_">#REF!</definedName>
    <definedName name="PY5_ret">#REF!</definedName>
    <definedName name="PY5_ult">#REF!</definedName>
    <definedName name="PY5_ultCt">#REF!</definedName>
    <definedName name="PY6_">#REF!</definedName>
    <definedName name="PY6_ret">#REF!</definedName>
    <definedName name="PY6_ult">#REF!</definedName>
    <definedName name="PY6_ultCt">#REF!</definedName>
    <definedName name="PY7_">#REF!</definedName>
    <definedName name="PY7_ult">#REF!</definedName>
    <definedName name="PY7_ultCT">#REF!</definedName>
    <definedName name="PY8_">#REF!</definedName>
    <definedName name="PY8_ult">#REF!</definedName>
    <definedName name="PY8_ultCt">#REF!</definedName>
    <definedName name="Source1">#REF!</definedName>
    <definedName name="Source2">#REF!</definedName>
    <definedName name="Source3">#REF!</definedName>
    <definedName name="Val_current">#REF!</definedName>
    <definedName name="Valua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8" i="37" l="1"/>
  <c r="G7" i="37"/>
  <c r="E8" i="37"/>
  <c r="E7" i="37"/>
  <c r="D12" i="33"/>
  <c r="F32" i="34" l="1"/>
  <c r="F30" i="34"/>
  <c r="E32" i="34"/>
  <c r="E30" i="34"/>
  <c r="D32" i="34"/>
  <c r="D30" i="34"/>
  <c r="C32" i="34"/>
  <c r="C30" i="34"/>
  <c r="E8" i="33" l="1"/>
  <c r="E11" i="33"/>
  <c r="E9" i="33"/>
  <c r="C12" i="33"/>
  <c r="E10" i="33"/>
  <c r="E6" i="33"/>
  <c r="E7" i="33"/>
  <c r="E5" i="33"/>
  <c r="E12" i="33" l="1"/>
  <c r="H30" i="34" l="1"/>
  <c r="H32" i="34" l="1"/>
  <c r="G32" i="34"/>
  <c r="G30" i="34"/>
  <c r="H31" i="34" l="1"/>
  <c r="D31" i="34"/>
  <c r="F31" i="34"/>
  <c r="E31" i="34"/>
  <c r="D14" i="34"/>
  <c r="D13" i="34" s="1"/>
  <c r="C14" i="34"/>
  <c r="C13" i="34" s="1"/>
  <c r="C31" i="34"/>
  <c r="G31" i="34"/>
</calcChain>
</file>

<file path=xl/sharedStrings.xml><?xml version="1.0" encoding="utf-8"?>
<sst xmlns="http://schemas.openxmlformats.org/spreadsheetml/2006/main" count="66" uniqueCount="58">
  <si>
    <t>Incurred</t>
  </si>
  <si>
    <t>Grand Total</t>
  </si>
  <si>
    <t>Indemnity Claims</t>
  </si>
  <si>
    <t>Indemnity Rate</t>
  </si>
  <si>
    <t>Claims</t>
  </si>
  <si>
    <t>Litigated</t>
  </si>
  <si>
    <t>% of claims</t>
  </si>
  <si>
    <t>% of incurred</t>
  </si>
  <si>
    <t>% of outstanding</t>
  </si>
  <si>
    <t>All claims open &amp; closed since 2015</t>
  </si>
  <si>
    <t>All claims currently open*</t>
  </si>
  <si>
    <t>Indemnity claims since 2015</t>
  </si>
  <si>
    <t>table used for graphic</t>
  </si>
  <si>
    <t>Not litigated</t>
  </si>
  <si>
    <t>Excludes $0 claims</t>
  </si>
  <si>
    <t>Current valuation</t>
  </si>
  <si>
    <t>total incurred</t>
  </si>
  <si>
    <t>total outstanding</t>
  </si>
  <si>
    <t># of litigated claims</t>
  </si>
  <si>
    <t># of total claims</t>
  </si>
  <si>
    <t>litigated total incurred</t>
  </si>
  <si>
    <t>litigated total outstanding</t>
  </si>
  <si>
    <t>Policy Effective Date</t>
  </si>
  <si>
    <t>All claims currently open</t>
  </si>
  <si>
    <t>USE OPEN INVENTORY LOSS RUN TO CALCULATE METRICS FOR All claims currently open</t>
  </si>
  <si>
    <t>Calculate average and median days to litigation</t>
  </si>
  <si>
    <t>Litigation Lag (days from open to litigated)</t>
  </si>
  <si>
    <t>Mean</t>
  </si>
  <si>
    <t>Median</t>
  </si>
  <si>
    <t>#  Days</t>
  </si>
  <si>
    <t>Using data received from RFP process; data valuation not known</t>
  </si>
  <si>
    <t>ALL CLAIMS</t>
  </si>
  <si>
    <t>16% of claims, 17% of total incurred</t>
  </si>
  <si>
    <t>INDEMNITY CLAIMS</t>
  </si>
  <si>
    <t>19% of indemnity claims, 18% of incurred for indemnity claims</t>
  </si>
  <si>
    <t>Since 9/1/2015</t>
  </si>
  <si>
    <t>Valuation unknown</t>
  </si>
  <si>
    <t>Count of CLAIM_NUM</t>
  </si>
  <si>
    <t>Vehicle-related</t>
  </si>
  <si>
    <t>Other</t>
  </si>
  <si>
    <t>Inc</t>
  </si>
  <si>
    <t>Since 9/1/15</t>
  </si>
  <si>
    <t>Vehicle Accident</t>
  </si>
  <si>
    <t>Vehicle - truck, straight, pick-up</t>
  </si>
  <si>
    <t>Vehicle - passenger car</t>
  </si>
  <si>
    <t>Vehicle collision/sideswipe</t>
  </si>
  <si>
    <t>Vehicle - Van</t>
  </si>
  <si>
    <t>Slip,trip or fall-entering/leaving vehicle</t>
  </si>
  <si>
    <t>Industrial Vehicle Accident</t>
  </si>
  <si>
    <t>Multiple vehicle collision</t>
  </si>
  <si>
    <t>Vehicle miscellaneous</t>
  </si>
  <si>
    <t>Vehicle - tractor, for semi trailer</t>
  </si>
  <si>
    <t>Vehicle - trailer, semi</t>
  </si>
  <si>
    <t>TYPE_DESC</t>
  </si>
  <si>
    <t>Vehicle-related descriptions</t>
  </si>
  <si>
    <t>Workers' Comp claim- impact of auto-related injuries</t>
  </si>
  <si>
    <t>Injury Type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</si>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</sst>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_(* #,##0_);_(* \(#,##0\);_(* &quot;-&quot;??_);_(@_)"/>
    <numFmt numFmtId="166" formatCode="0.0%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1F497D"/>
      <name val="Calibri"/>
      <family val="2"/>
    </font>
    <font>
      <b/>
      <sz val="16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3F5E"/>
        <bgColor indexed="64"/>
      </patternFill>
    </fill>
    <fill>
      <patternFill patternType="solid">
        <fgColor rgb="FFCBCED2"/>
        <bgColor indexed="64"/>
      </patternFill>
    </fill>
    <fill>
      <patternFill patternType="solid">
        <fgColor rgb="FFE7E8EA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1">
    <xf numFmtId="0" fontId="1" fillId="0" borderId="0" xfId="0" applyFont="1" applyFill="1" applyBorder="1"/>
    <xf numFmtId="0" fontId="0" fillId="0" borderId="0" xfId="0"/>
    <xf numFmtId="0" fontId="1" fillId="0" borderId="0" xfId="0" applyFont="1" applyFill="1" applyBorder="1"/>
    <xf numFmtId="165" fontId="0" fillId="0" borderId="0" xfId="0" applyNumberFormat="1"/>
    <xf numFmtId="9" fontId="0" fillId="0" borderId="0" xfId="1" applyFont="1"/>
    <xf numFmtId="0" fontId="3" fillId="3" borderId="1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0" fontId="4" fillId="4" borderId="3" xfId="0" applyFont="1" applyFill="1" applyBorder="1" applyAlignment="1">
      <alignment horizontal="left" vertical="center" wrapText="1" indent="1"/>
    </xf>
    <xf numFmtId="0" fontId="4" fillId="5" borderId="3" xfId="0" applyFont="1" applyFill="1" applyBorder="1" applyAlignment="1">
      <alignment horizontal="left" vertical="center" wrapText="1" indent="1"/>
    </xf>
    <xf numFmtId="0" fontId="0" fillId="0" borderId="5" xfId="0" applyBorder="1"/>
    <xf numFmtId="9" fontId="0" fillId="0" borderId="5" xfId="0" applyNumberFormat="1" applyBorder="1"/>
    <xf numFmtId="0" fontId="4" fillId="4" borderId="4" xfId="0" applyNumberFormat="1" applyFont="1" applyFill="1" applyBorder="1" applyAlignment="1">
      <alignment horizontal="right" vertical="center" wrapText="1" indent="1"/>
    </xf>
    <xf numFmtId="9" fontId="4" fillId="4" borderId="4" xfId="0" applyNumberFormat="1" applyFont="1" applyFill="1" applyBorder="1" applyAlignment="1">
      <alignment horizontal="right" vertical="center" wrapText="1" indent="1"/>
    </xf>
    <xf numFmtId="0" fontId="5" fillId="0" borderId="0" xfId="0" applyFont="1"/>
    <xf numFmtId="14" fontId="4" fillId="4" borderId="3" xfId="0" applyNumberFormat="1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right" vertical="center" wrapText="1" indent="1"/>
    </xf>
    <xf numFmtId="9" fontId="3" fillId="3" borderId="2" xfId="1" applyFont="1" applyFill="1" applyBorder="1" applyAlignment="1">
      <alignment horizontal="right" vertical="center" wrapText="1" indent="1"/>
    </xf>
    <xf numFmtId="166" fontId="4" fillId="4" borderId="4" xfId="0" applyNumberFormat="1" applyFont="1" applyFill="1" applyBorder="1" applyAlignment="1">
      <alignment horizontal="center" vertical="center" wrapText="1"/>
    </xf>
    <xf numFmtId="166" fontId="4" fillId="5" borderId="4" xfId="0" applyNumberFormat="1" applyFont="1" applyFill="1" applyBorder="1" applyAlignment="1">
      <alignment horizontal="center" vertical="center" wrapText="1"/>
    </xf>
    <xf numFmtId="1" fontId="4" fillId="4" borderId="4" xfId="0" applyNumberFormat="1" applyFont="1" applyFill="1" applyBorder="1" applyAlignment="1">
      <alignment horizontal="center" vertical="center" wrapText="1"/>
    </xf>
    <xf numFmtId="164" fontId="4" fillId="4" borderId="4" xfId="0" applyNumberFormat="1" applyFont="1" applyFill="1" applyBorder="1" applyAlignment="1">
      <alignment horizontal="center" vertical="center" wrapText="1"/>
    </xf>
    <xf numFmtId="1" fontId="4" fillId="5" borderId="4" xfId="0" applyNumberFormat="1" applyFont="1" applyFill="1" applyBorder="1" applyAlignment="1">
      <alignment horizontal="center" vertical="center" wrapText="1"/>
    </xf>
    <xf numFmtId="164" fontId="4" fillId="5" borderId="4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0" fillId="2" borderId="0" xfId="0" applyFill="1"/>
    <xf numFmtId="0" fontId="7" fillId="6" borderId="6" xfId="0" applyFont="1" applyFill="1" applyBorder="1"/>
    <xf numFmtId="0" fontId="0" fillId="0" borderId="0" xfId="0" applyAlignment="1">
      <alignment horizontal="left"/>
    </xf>
    <xf numFmtId="0" fontId="7" fillId="6" borderId="7" xfId="0" applyFont="1" applyFill="1" applyBorder="1" applyAlignment="1">
      <alignment horizontal="left"/>
    </xf>
    <xf numFmtId="165" fontId="7" fillId="6" borderId="7" xfId="0" applyNumberFormat="1" applyFont="1" applyFill="1" applyBorder="1"/>
    <xf numFmtId="0" fontId="7" fillId="6" borderId="0" xfId="0" applyFont="1" applyFill="1" applyBorder="1"/>
    <xf numFmtId="165" fontId="7" fillId="6" borderId="0" xfId="0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333B8C"/>
      <rgbColor rgb="00F5F5F5"/>
      <rgbColor rgb="00FF0000"/>
      <rgbColor rgb="00D3D3D3"/>
      <rgbColor rgb="00DEDEDE"/>
      <rgbColor rgb="00FFFFFF"/>
      <rgbColor rgb="00EDEDED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Indemnity Rate</a:t>
            </a:r>
            <a:endParaRPr lang="en-US" b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'Indemnity Rate'!$D$4</c:f>
              <c:strCache>
                <c:ptCount val="1"/>
                <c:pt idx="0">
                  <c:v>Indemnity Claims</c:v>
                </c:pt>
              </c:strCache>
            </c:strRef>
          </c:tx>
          <c:spPr>
            <a:solidFill>
              <a:srgbClr val="003F5E"/>
            </a:soli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'Indemnity Rate'!$B$5:$B$11</c:f>
              <c:numCache>
                <c:formatCode>m/d/yyyy</c:formatCode>
                <c:ptCount val="7"/>
                <c:pt idx="0">
                  <c:v>41518</c:v>
                </c:pt>
                <c:pt idx="1">
                  <c:v>41883</c:v>
                </c:pt>
                <c:pt idx="2">
                  <c:v>42248</c:v>
                </c:pt>
                <c:pt idx="3">
                  <c:v>42614</c:v>
                </c:pt>
                <c:pt idx="4">
                  <c:v>42979</c:v>
                </c:pt>
                <c:pt idx="5">
                  <c:v>43344</c:v>
                </c:pt>
                <c:pt idx="6">
                  <c:v>43709</c:v>
                </c:pt>
              </c:numCache>
            </c:numRef>
          </c:cat>
          <c:val>
            <c:numRef>
              <c:f>'Indemnity Rate'!$D$5:$D$11</c:f>
              <c:numCache>
                <c:formatCode>General</c:formatCode>
                <c:ptCount val="7"/>
                <c:pt idx="0">
                  <c:v>476</c:v>
                </c:pt>
                <c:pt idx="1">
                  <c:v>515</c:v>
                </c:pt>
                <c:pt idx="2">
                  <c:v>489</c:v>
                </c:pt>
                <c:pt idx="3">
                  <c:v>514</c:v>
                </c:pt>
                <c:pt idx="4">
                  <c:v>522</c:v>
                </c:pt>
                <c:pt idx="5">
                  <c:v>541</c:v>
                </c:pt>
                <c:pt idx="6">
                  <c:v>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3-4F12-8A6C-E6F5D3B1CDC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738396848"/>
        <c:axId val="738397240"/>
      </c:barChart>
      <c:lineChart>
        <c:grouping val="standard"/>
        <c:varyColors val="0"/>
        <c:ser>
          <c:idx val="1"/>
          <c:order val="1"/>
          <c:tx>
            <c:strRef>
              <c:f>'Indemnity Rate'!$E$4</c:f>
              <c:strCache>
                <c:ptCount val="1"/>
                <c:pt idx="0">
                  <c:v>Indemnity Rate</c:v>
                </c:pt>
              </c:strCache>
            </c:strRef>
          </c:tx>
          <c:spPr>
            <a:ln w="28575" cap="rnd">
              <a:solidFill>
                <a:srgbClr val="F1B43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rgbClr val="F1B434"/>
                </a:solidFill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513-4F12-8A6C-E6F5D3B1CD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'Indemnity Rate'!$B$5:$B$11</c:f>
              <c:numCache>
                <c:formatCode>m/d/yyyy</c:formatCode>
                <c:ptCount val="7"/>
                <c:pt idx="0">
                  <c:v>41518</c:v>
                </c:pt>
                <c:pt idx="1">
                  <c:v>41883</c:v>
                </c:pt>
                <c:pt idx="2">
                  <c:v>42248</c:v>
                </c:pt>
                <c:pt idx="3">
                  <c:v>42614</c:v>
                </c:pt>
                <c:pt idx="4">
                  <c:v>42979</c:v>
                </c:pt>
                <c:pt idx="5">
                  <c:v>43344</c:v>
                </c:pt>
                <c:pt idx="6">
                  <c:v>43709</c:v>
                </c:pt>
              </c:numCache>
            </c:numRef>
          </c:cat>
          <c:val>
            <c:numRef>
              <c:f>'Indemnity Rate'!$E$5:$E$11</c:f>
              <c:numCache>
                <c:formatCode>0%</c:formatCode>
                <c:ptCount val="7"/>
                <c:pt idx="0">
                  <c:v>0.22201492537313433</c:v>
                </c:pt>
                <c:pt idx="1">
                  <c:v>0.23125280646609789</c:v>
                </c:pt>
                <c:pt idx="2">
                  <c:v>0.21714031971580816</c:v>
                </c:pt>
                <c:pt idx="3">
                  <c:v>0.23697556477639464</c:v>
                </c:pt>
                <c:pt idx="4">
                  <c:v>0.2358788974243109</c:v>
                </c:pt>
                <c:pt idx="5">
                  <c:v>0.23440207972270363</c:v>
                </c:pt>
                <c:pt idx="6">
                  <c:v>0.21286231884057971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13-4F12-8A6C-E6F5D3B1C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8398808"/>
        <c:axId val="738395672"/>
      </c:lineChart>
      <c:catAx>
        <c:axId val="738396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Policy Year Effective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397240"/>
        <c:crosses val="autoZero"/>
        <c:auto val="0"/>
        <c:lblAlgn val="ctr"/>
        <c:lblOffset val="100"/>
        <c:noMultiLvlLbl val="0"/>
      </c:catAx>
      <c:valAx>
        <c:axId val="738397240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396848"/>
        <c:crosses val="autoZero"/>
        <c:crossBetween val="between"/>
      </c:valAx>
      <c:valAx>
        <c:axId val="738395672"/>
        <c:scaling>
          <c:orientation val="minMax"/>
          <c:max val="0.4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398808"/>
        <c:crosses val="max"/>
        <c:crossBetween val="between"/>
      </c:valAx>
      <c:catAx>
        <c:axId val="73839880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738395672"/>
        <c:crosses val="autoZero"/>
        <c:auto val="0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Litigated</a:t>
            </a:r>
            <a:r>
              <a:rPr lang="en-US" baseline="0"/>
              <a:t> Indemnity Claim Impact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i="1" baseline="0"/>
              <a:t>Indemnity Claims Since 2015</a:t>
            </a:r>
            <a:endParaRPr lang="en-US" sz="120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'Litigation Analysis'!$B$13</c:f>
              <c:strCache>
                <c:ptCount val="1"/>
                <c:pt idx="0">
                  <c:v>Not litigated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'Litigation Analysis'!$C$12:$D$12</c:f>
              <c:strCache>
                <c:ptCount val="2"/>
                <c:pt idx="0">
                  <c:v>Claims</c:v>
                </c:pt>
                <c:pt idx="1">
                  <c:v>Incurred</c:v>
                </c:pt>
              </c:strCache>
            </c:strRef>
          </c:cat>
          <c:val>
            <c:numRef>
              <c:f>'Litigation Analysis'!$C$13:$D$13</c:f>
              <c:numCache>
                <c:formatCode>0%</c:formatCode>
                <c:ptCount val="2"/>
                <c:pt idx="0">
                  <c:v>0.64389999999999992</c:v>
                </c:pt>
                <c:pt idx="1">
                  <c:v>0.376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C-4AC6-B6C2-07551D48DE92}"/>
            </c:ext>
          </c:extLst>
        </c:ser>
        <c:ser>
          <c:idx val="1"/>
          <c:order val="1"/>
          <c:tx>
            <c:strRef>
              <c:f>'Litigation Analysis'!$B$14</c:f>
              <c:strCache>
                <c:ptCount val="1"/>
                <c:pt idx="0">
                  <c:v>Litigated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930724A-76CB-4EFD-8AFB-D3AA56D534A6}" type="VALUE">
                      <a:rPr lang="en-US"/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[VALUE]</a:t>
                    </a:fld>
                    <a:r>
                      <a:rPr lang="en-US"/>
                      <a:t>,</a:t>
                    </a:r>
                  </a:p>
                  <a:p>
                    <a:pPr>
                      <a:defRPr sz="16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903 claims</a:t>
                    </a:r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67214236824093"/>
                      <c:h val="0.1828953229398663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D1C-4AC6-B6C2-07551D48DE92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56E10BC-02ED-4A8E-B0A1-DC3CF5BAE559}" type="VALUE">
                      <a:rPr lang="en-US"/>
                      <a:pPr>
                        <a:defRPr sz="16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[VALUE]</a:t>
                    </a:fld>
                    <a:r>
                      <a:rPr lang="en-US"/>
                      <a:t>,</a:t>
                    </a:r>
                  </a:p>
                  <a:p>
                    <a:pPr>
                      <a:defRPr sz="16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$74M</a:t>
                    </a:r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D1C-4AC6-B6C2-07551D48DE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'Litigation Analysis'!$C$12:$D$12</c:f>
              <c:strCache>
                <c:ptCount val="2"/>
                <c:pt idx="0">
                  <c:v>Claims</c:v>
                </c:pt>
                <c:pt idx="1">
                  <c:v>Incurred</c:v>
                </c:pt>
              </c:strCache>
            </c:strRef>
          </c:cat>
          <c:val>
            <c:numRef>
              <c:f>'Litigation Analysis'!$C$14:$D$14</c:f>
              <c:numCache>
                <c:formatCode>0%</c:formatCode>
                <c:ptCount val="2"/>
                <c:pt idx="0">
                  <c:v>0.35610000000000003</c:v>
                </c:pt>
                <c:pt idx="1">
                  <c:v>0.624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1C-4AC6-B6C2-07551D48D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3923176"/>
        <c:axId val="783922000"/>
      </c:barChart>
      <c:catAx>
        <c:axId val="783923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922000"/>
        <c:crosses val="autoZero"/>
        <c:auto val="1"/>
        <c:lblAlgn val="ctr"/>
        <c:lblOffset val="100"/>
        <c:noMultiLvlLbl val="0"/>
      </c:catAx>
      <c:valAx>
        <c:axId val="78392200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8392317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2</xdr:row>
      <xdr:rowOff>190500</xdr:rowOff>
    </xdr:from>
    <xdr:to>
      <xdr:col>15</xdr:col>
      <xdr:colOff>400050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333375</xdr:colOff>
      <xdr:row>3</xdr:row>
      <xdr:rowOff>180975</xdr:rowOff>
    </xdr:from>
    <xdr:to>
      <xdr:col>20</xdr:col>
      <xdr:colOff>19050</xdr:colOff>
      <xdr:row>10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106150" y="762000"/>
          <a:ext cx="2124075" cy="15525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The data received did not have a valuation date. Dates</a:t>
          </a:r>
          <a:r>
            <a:rPr lang="en-US" sz="1100" baseline="0"/>
            <a:t> of loss went to August 2020.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4</xdr:row>
      <xdr:rowOff>28575</xdr:rowOff>
    </xdr:from>
    <xdr:to>
      <xdr:col>9</xdr:col>
      <xdr:colOff>9525</xdr:colOff>
      <xdr:row>25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79998168889431442"/>
  </sheetPr>
  <dimension ref="A1:E15"/>
  <sheetViews>
    <sheetView showGridLines="0" tabSelected="1" workbookViewId="0">
      <selection activeCell="K27" sqref="K27"/>
    </sheetView>
  </sheetViews>
  <sheetFormatPr defaultRowHeight="15" x14ac:dyDescent="0.25"/>
  <cols>
    <col min="1" max="1" width="6.140625" customWidth="1"/>
    <col min="2" max="2" width="15.42578125" customWidth="1"/>
    <col min="3" max="3" width="11.140625" customWidth="1"/>
    <col min="4" max="4" width="15.140625" customWidth="1"/>
    <col min="5" max="5" width="13.140625" customWidth="1"/>
  </cols>
  <sheetData>
    <row r="1" spans="1:5" x14ac:dyDescent="0.25">
      <c r="A1" t="s">
        <v>30</v>
      </c>
    </row>
    <row r="3" spans="1:5" ht="15.75" thickBot="1" x14ac:dyDescent="0.3"/>
    <row r="4" spans="1:5" ht="30.75" thickBot="1" x14ac:dyDescent="0.3">
      <c r="B4" s="5" t="s">
        <v>22</v>
      </c>
      <c r="C4" s="6" t="s">
        <v>4</v>
      </c>
      <c r="D4" s="6" t="s">
        <v>2</v>
      </c>
      <c r="E4" s="6" t="s">
        <v>3</v>
      </c>
    </row>
    <row r="5" spans="1:5" s="2" customFormat="1" ht="16.5" thickTop="1" thickBot="1" x14ac:dyDescent="0.3">
      <c r="B5" s="14">
        <v>41518</v>
      </c>
      <c r="C5" s="11">
        <v>2144</v>
      </c>
      <c r="D5" s="11">
        <v>476</v>
      </c>
      <c r="E5" s="12">
        <f t="shared" ref="E5:E11" si="0">IFERROR(D5/C5,"-")</f>
        <v>0.22201492537313433</v>
      </c>
    </row>
    <row r="6" spans="1:5" s="2" customFormat="1" ht="15.75" thickBot="1" x14ac:dyDescent="0.3">
      <c r="B6" s="14">
        <v>41883</v>
      </c>
      <c r="C6" s="11">
        <v>2227</v>
      </c>
      <c r="D6" s="11">
        <v>515</v>
      </c>
      <c r="E6" s="12">
        <f t="shared" si="0"/>
        <v>0.23125280646609789</v>
      </c>
    </row>
    <row r="7" spans="1:5" ht="15.75" thickBot="1" x14ac:dyDescent="0.3">
      <c r="B7" s="14">
        <v>42248</v>
      </c>
      <c r="C7" s="11">
        <v>2252</v>
      </c>
      <c r="D7" s="11">
        <v>489</v>
      </c>
      <c r="E7" s="12">
        <f t="shared" si="0"/>
        <v>0.21714031971580816</v>
      </c>
    </row>
    <row r="8" spans="1:5" ht="15.75" thickBot="1" x14ac:dyDescent="0.3">
      <c r="B8" s="14">
        <v>42614</v>
      </c>
      <c r="C8" s="11">
        <v>2169</v>
      </c>
      <c r="D8" s="11">
        <v>514</v>
      </c>
      <c r="E8" s="12">
        <f t="shared" si="0"/>
        <v>0.23697556477639464</v>
      </c>
    </row>
    <row r="9" spans="1:5" ht="15.75" thickBot="1" x14ac:dyDescent="0.3">
      <c r="B9" s="14">
        <v>42979</v>
      </c>
      <c r="C9" s="11">
        <v>2213</v>
      </c>
      <c r="D9" s="11">
        <v>522</v>
      </c>
      <c r="E9" s="12">
        <f t="shared" si="0"/>
        <v>0.2358788974243109</v>
      </c>
    </row>
    <row r="10" spans="1:5" ht="15.75" thickBot="1" x14ac:dyDescent="0.3">
      <c r="B10" s="14">
        <v>43344</v>
      </c>
      <c r="C10" s="11">
        <v>2308</v>
      </c>
      <c r="D10" s="11">
        <v>541</v>
      </c>
      <c r="E10" s="12">
        <f t="shared" si="0"/>
        <v>0.23440207972270363</v>
      </c>
    </row>
    <row r="11" spans="1:5" ht="15.75" thickBot="1" x14ac:dyDescent="0.3">
      <c r="B11" s="14">
        <v>43709</v>
      </c>
      <c r="C11" s="11">
        <v>2208</v>
      </c>
      <c r="D11" s="11">
        <v>470</v>
      </c>
      <c r="E11" s="12">
        <f t="shared" si="0"/>
        <v>0.21286231884057971</v>
      </c>
    </row>
    <row r="12" spans="1:5" s="2" customFormat="1" ht="15.75" thickBot="1" x14ac:dyDescent="0.3">
      <c r="B12" s="5" t="s">
        <v>1</v>
      </c>
      <c r="C12" s="15">
        <f>SUM(C7:C11)</f>
        <v>11150</v>
      </c>
      <c r="D12" s="15">
        <f>SUM(D7:D11)</f>
        <v>2536</v>
      </c>
      <c r="E12" s="16">
        <f t="shared" ref="E12" si="1">D12/C12</f>
        <v>0.2274439461883408</v>
      </c>
    </row>
    <row r="13" spans="1:5" ht="15.75" thickTop="1" x14ac:dyDescent="0.25"/>
    <row r="14" spans="1:5" x14ac:dyDescent="0.25">
      <c r="B14" t="s">
        <v>14</v>
      </c>
    </row>
    <row r="15" spans="1:5" x14ac:dyDescent="0.25">
      <c r="B15" t="s">
        <v>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79998168889431442"/>
  </sheetPr>
  <dimension ref="B2:H33"/>
  <sheetViews>
    <sheetView showGridLines="0" workbookViewId="0">
      <selection activeCell="C34" sqref="C34"/>
    </sheetView>
  </sheetViews>
  <sheetFormatPr defaultRowHeight="15" x14ac:dyDescent="0.25"/>
  <cols>
    <col min="1" max="1" width="9.140625" style="1"/>
    <col min="2" max="2" width="35.85546875" style="1" customWidth="1"/>
    <col min="3" max="3" width="15.85546875" style="1" customWidth="1"/>
    <col min="4" max="4" width="14.140625" style="1" bestFit="1" customWidth="1"/>
    <col min="5" max="5" width="24.5703125" style="1" customWidth="1"/>
    <col min="6" max="6" width="15.140625" style="1" customWidth="1"/>
    <col min="7" max="8" width="16.7109375" style="1" customWidth="1"/>
    <col min="9" max="9" width="23.5703125" style="1" customWidth="1"/>
    <col min="10" max="16384" width="9.140625" style="1"/>
  </cols>
  <sheetData>
    <row r="2" spans="2:5" ht="21" x14ac:dyDescent="0.35">
      <c r="B2" s="13"/>
    </row>
    <row r="4" spans="2:5" ht="15.75" thickBot="1" x14ac:dyDescent="0.3"/>
    <row r="5" spans="2:5" ht="15.75" thickBot="1" x14ac:dyDescent="0.3">
      <c r="B5" s="5" t="s">
        <v>5</v>
      </c>
      <c r="C5" s="6" t="s">
        <v>6</v>
      </c>
      <c r="D5" s="6" t="s">
        <v>7</v>
      </c>
      <c r="E5" s="6" t="s">
        <v>8</v>
      </c>
    </row>
    <row r="6" spans="2:5" ht="16.5" thickTop="1" thickBot="1" x14ac:dyDescent="0.3">
      <c r="B6" s="7" t="s">
        <v>9</v>
      </c>
      <c r="C6" s="17">
        <v>9.3799999999999994E-2</v>
      </c>
      <c r="D6" s="17">
        <v>0.56999999999999995</v>
      </c>
      <c r="E6" s="17">
        <v>0.64600000000000002</v>
      </c>
    </row>
    <row r="7" spans="2:5" ht="15.75" thickBot="1" x14ac:dyDescent="0.3">
      <c r="B7" s="7" t="s">
        <v>11</v>
      </c>
      <c r="C7" s="17">
        <v>0.35610000000000003</v>
      </c>
      <c r="D7" s="17">
        <v>0.624</v>
      </c>
      <c r="E7" s="17">
        <v>0.66700000000000004</v>
      </c>
    </row>
    <row r="8" spans="2:5" ht="15.75" thickBot="1" x14ac:dyDescent="0.3">
      <c r="B8" s="8" t="s">
        <v>23</v>
      </c>
      <c r="C8" s="18"/>
      <c r="D8" s="18"/>
      <c r="E8" s="18"/>
    </row>
    <row r="9" spans="2:5" x14ac:dyDescent="0.25">
      <c r="B9" s="23" t="s">
        <v>24</v>
      </c>
    </row>
    <row r="11" spans="2:5" x14ac:dyDescent="0.25">
      <c r="B11" s="1" t="s">
        <v>12</v>
      </c>
    </row>
    <row r="12" spans="2:5" x14ac:dyDescent="0.25">
      <c r="B12" s="9"/>
      <c r="C12" s="9" t="s">
        <v>4</v>
      </c>
      <c r="D12" s="9" t="s">
        <v>0</v>
      </c>
    </row>
    <row r="13" spans="2:5" x14ac:dyDescent="0.25">
      <c r="B13" s="9" t="s">
        <v>13</v>
      </c>
      <c r="C13" s="10">
        <f>1-C14</f>
        <v>0.64389999999999992</v>
      </c>
      <c r="D13" s="10">
        <f>1-D14</f>
        <v>0.376</v>
      </c>
    </row>
    <row r="14" spans="2:5" x14ac:dyDescent="0.25">
      <c r="B14" s="9" t="s">
        <v>5</v>
      </c>
      <c r="C14" s="10">
        <f>C7</f>
        <v>0.35610000000000003</v>
      </c>
      <c r="D14" s="10">
        <f>D7</f>
        <v>0.624</v>
      </c>
    </row>
    <row r="20" spans="2:8" ht="15.75" thickBot="1" x14ac:dyDescent="0.3">
      <c r="B20" s="24" t="s">
        <v>25</v>
      </c>
      <c r="C20" s="24"/>
    </row>
    <row r="21" spans="2:8" ht="30.75" thickBot="1" x14ac:dyDescent="0.3">
      <c r="B21" s="5" t="s">
        <v>26</v>
      </c>
      <c r="C21" s="6" t="s">
        <v>29</v>
      </c>
    </row>
    <row r="22" spans="2:8" ht="16.5" thickTop="1" thickBot="1" x14ac:dyDescent="0.3">
      <c r="B22" s="7" t="s">
        <v>27</v>
      </c>
      <c r="C22" s="17"/>
    </row>
    <row r="23" spans="2:8" ht="15.75" thickBot="1" x14ac:dyDescent="0.3">
      <c r="B23" s="7" t="s">
        <v>28</v>
      </c>
      <c r="C23" s="17"/>
    </row>
    <row r="29" spans="2:8" ht="30.75" hidden="1" thickBot="1" x14ac:dyDescent="0.3">
      <c r="B29" s="5" t="s">
        <v>5</v>
      </c>
      <c r="C29" s="6" t="s">
        <v>18</v>
      </c>
      <c r="D29" s="6" t="s">
        <v>19</v>
      </c>
      <c r="E29" s="6" t="s">
        <v>20</v>
      </c>
      <c r="F29" s="6" t="s">
        <v>16</v>
      </c>
      <c r="G29" s="6" t="s">
        <v>21</v>
      </c>
      <c r="H29" s="6" t="s">
        <v>17</v>
      </c>
    </row>
    <row r="30" spans="2:8" ht="16.5" hidden="1" thickTop="1" thickBot="1" x14ac:dyDescent="0.3">
      <c r="B30" s="7" t="s">
        <v>9</v>
      </c>
      <c r="C30" s="19" t="e">
        <f>COUNTIFS(#REF!,Val_current,#REF!,"1",#REF!,"&gt;"&amp;0,#REF!,"&gt;="&amp;42005)</f>
        <v>#REF!</v>
      </c>
      <c r="D30" s="19" t="e">
        <f>COUNTIFS(#REF!,Val_current,#REF!,"&gt;"&amp;0,#REF!,"&gt;="&amp;42005)</f>
        <v>#REF!</v>
      </c>
      <c r="E30" s="20" t="e">
        <f>SUMIFS(#REF!,#REF!,Val_current,#REF!,"1",#REF!,"&gt;"&amp;0,#REF!,"&gt;="&amp;42005)</f>
        <v>#REF!</v>
      </c>
      <c r="F30" s="20" t="e">
        <f>SUMIFS(#REF!,#REF!,Val_current,#REF!,"&gt;"&amp;0,#REF!,"&gt;="&amp;42005)</f>
        <v>#REF!</v>
      </c>
      <c r="G30" s="20" t="e">
        <f>SUMIFS(#REF!,#REF!,Val_current,#REF!,"1",#REF!,"&gt;"&amp;0,#REF!,"&gt;="&amp;42005)</f>
        <v>#REF!</v>
      </c>
      <c r="H30" s="20" t="e">
        <f>SUMIFS(#REF!,#REF!,Val_current,#REF!,"&gt;"&amp;0,#REF!,"&gt;="&amp;42005)</f>
        <v>#REF!</v>
      </c>
    </row>
    <row r="31" spans="2:8" ht="15.75" hidden="1" thickBot="1" x14ac:dyDescent="0.3">
      <c r="B31" s="7" t="s">
        <v>11</v>
      </c>
      <c r="C31" s="19" t="e">
        <f>COUNTIFS(#REF!,Val_current,#REF!,"1",#REF!,"1",#REF!,"&gt;"&amp;0,#REF!,"&gt;="&amp;42005)</f>
        <v>#REF!</v>
      </c>
      <c r="D31" s="19" t="e">
        <f>COUNTIFS(#REF!,Val_current,#REF!,"1",#REF!,"&gt;"&amp;0,#REF!,"&gt;="&amp;42005)</f>
        <v>#REF!</v>
      </c>
      <c r="E31" s="20" t="e">
        <f>SUMIFS(#REF!,#REF!,Val_current,#REF!,"1",#REF!,"1",#REF!,"&gt;"&amp;0,#REF!,"&gt;="&amp;42005)</f>
        <v>#REF!</v>
      </c>
      <c r="F31" s="20" t="e">
        <f>SUMIFS(#REF!,#REF!,Val_current,#REF!,"1",#REF!,"&gt;"&amp;0,#REF!,"&gt;="&amp;42005)</f>
        <v>#REF!</v>
      </c>
      <c r="G31" s="20" t="e">
        <f>SUMIFS(#REF!,#REF!,Val_current,#REF!,"1",#REF!,"1",#REF!,"&gt;"&amp;0,#REF!,"&gt;="&amp;42005)</f>
        <v>#REF!</v>
      </c>
      <c r="H31" s="20" t="e">
        <f>SUMIFS(#REF!,#REF!,Val_current,#REF!,"1",#REF!,"&gt;"&amp;0,#REF!,"&gt;="&amp;42005)</f>
        <v>#REF!</v>
      </c>
    </row>
    <row r="32" spans="2:8" ht="15.75" hidden="1" thickBot="1" x14ac:dyDescent="0.3">
      <c r="B32" s="8" t="s">
        <v>10</v>
      </c>
      <c r="C32" s="21" t="e">
        <f>COUNTIFS(#REF!,Val_current,#REF!,"1",#REF!,"&gt;"&amp;0,#REF!,"0")</f>
        <v>#REF!</v>
      </c>
      <c r="D32" s="21" t="e">
        <f>COUNTIFS(#REF!,Val_current,#REF!,"&gt;"&amp;0,#REF!,"0")</f>
        <v>#REF!</v>
      </c>
      <c r="E32" s="22" t="e">
        <f>SUMIFS(#REF!,#REF!,Val_current,#REF!,"1",#REF!,"&gt;"&amp;0,#REF!,"0")</f>
        <v>#REF!</v>
      </c>
      <c r="F32" s="22" t="e">
        <f>SUMIFS(#REF!,#REF!,Val_current,#REF!,"&gt;"&amp;0,#REF!,"0")</f>
        <v>#REF!</v>
      </c>
      <c r="G32" s="22" t="e">
        <f>SUMIFS(#REF!,#REF!,Val_current,#REF!,"1",#REF!,"&gt;"&amp;0,#REF!,"0")</f>
        <v>#REF!</v>
      </c>
      <c r="H32" s="22" t="e">
        <f>SUMIFS(#REF!,#REF!,Val_current,#REF!,"&gt;"&amp;0,#REF!,"0")</f>
        <v>#REF!</v>
      </c>
    </row>
    <row r="33" hidden="1" x14ac:dyDescent="0.25"/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79998168889431442"/>
  </sheetPr>
  <dimension ref="C2:H26"/>
  <sheetViews>
    <sheetView workbookViewId="0">
      <selection activeCell="R12" sqref="R12"/>
    </sheetView>
  </sheetViews>
  <sheetFormatPr defaultRowHeight="15" x14ac:dyDescent="0.25"/>
  <cols>
    <col min="3" max="3" width="36.85546875" bestFit="1" customWidth="1"/>
    <col min="4" max="4" width="16.5703125" bestFit="1" customWidth="1"/>
    <col min="5" max="5" width="16.5703125" style="2" customWidth="1"/>
    <col min="6" max="6" width="12.5703125" bestFit="1" customWidth="1"/>
    <col min="7" max="7" width="12.5703125" style="2" customWidth="1"/>
    <col min="8" max="8" width="11.5703125" bestFit="1" customWidth="1"/>
  </cols>
  <sheetData>
    <row r="2" spans="3:8" x14ac:dyDescent="0.25">
      <c r="C2" t="s">
        <v>55</v>
      </c>
    </row>
    <row r="3" spans="3:8" x14ac:dyDescent="0.25">
      <c r="C3" t="s">
        <v>41</v>
      </c>
    </row>
    <row r="6" spans="3:8" x14ac:dyDescent="0.25">
      <c r="C6" s="25" t="s">
        <v>56</v>
      </c>
      <c r="D6" s="25" t="s">
        <v>2</v>
      </c>
      <c r="E6" s="25"/>
      <c r="F6" s="25" t="s">
        <v>40</v>
      </c>
      <c r="G6" s="25"/>
      <c r="H6" s="25" t="s">
        <v>57</v>
      </c>
    </row>
    <row r="7" spans="3:8" x14ac:dyDescent="0.25">
      <c r="C7" s="26" t="s">
        <v>38</v>
      </c>
      <c r="D7" s="3">
        <v>466</v>
      </c>
      <c r="E7" s="4">
        <f>D7/D9</f>
        <v>0.18375394321766561</v>
      </c>
      <c r="F7" s="3">
        <v>26381766.959999997</v>
      </c>
      <c r="G7" s="4">
        <f>F7/F9</f>
        <v>0.2218043394655273</v>
      </c>
      <c r="H7" s="3">
        <v>8167934.3499999987</v>
      </c>
    </row>
    <row r="8" spans="3:8" x14ac:dyDescent="0.25">
      <c r="C8" s="26" t="s">
        <v>39</v>
      </c>
      <c r="D8" s="3">
        <v>2070</v>
      </c>
      <c r="E8" s="4">
        <f>D8/D9</f>
        <v>0.81624605678233442</v>
      </c>
      <c r="F8" s="3">
        <v>92559850.789999977</v>
      </c>
      <c r="G8" s="4">
        <f>F8/F9</f>
        <v>0.77819566053447209</v>
      </c>
      <c r="H8" s="3">
        <v>20747707.760000002</v>
      </c>
    </row>
    <row r="9" spans="3:8" x14ac:dyDescent="0.25">
      <c r="C9" s="27" t="s">
        <v>1</v>
      </c>
      <c r="D9" s="28">
        <v>2536</v>
      </c>
      <c r="E9" s="28"/>
      <c r="F9" s="28">
        <v>118941617.75000004</v>
      </c>
      <c r="G9" s="28"/>
      <c r="H9" s="28">
        <v>28915642.109999985</v>
      </c>
    </row>
    <row r="13" spans="3:8" x14ac:dyDescent="0.25">
      <c r="C13" t="s">
        <v>54</v>
      </c>
    </row>
    <row r="14" spans="3:8" x14ac:dyDescent="0.25">
      <c r="C14" s="25" t="s">
        <v>53</v>
      </c>
      <c r="D14" s="25" t="s">
        <v>37</v>
      </c>
      <c r="E14" s="29"/>
    </row>
    <row r="15" spans="3:8" x14ac:dyDescent="0.25">
      <c r="C15" s="26" t="s">
        <v>42</v>
      </c>
      <c r="D15" s="3">
        <v>332</v>
      </c>
      <c r="E15" s="3"/>
    </row>
    <row r="16" spans="3:8" x14ac:dyDescent="0.25">
      <c r="C16" s="26" t="s">
        <v>43</v>
      </c>
      <c r="D16" s="3">
        <v>41</v>
      </c>
      <c r="E16" s="3"/>
    </row>
    <row r="17" spans="3:5" x14ac:dyDescent="0.25">
      <c r="C17" s="26" t="s">
        <v>44</v>
      </c>
      <c r="D17" s="3">
        <v>33</v>
      </c>
      <c r="E17" s="3"/>
    </row>
    <row r="18" spans="3:5" x14ac:dyDescent="0.25">
      <c r="C18" s="26" t="s">
        <v>45</v>
      </c>
      <c r="D18" s="3">
        <v>19</v>
      </c>
      <c r="E18" s="3"/>
    </row>
    <row r="19" spans="3:5" x14ac:dyDescent="0.25">
      <c r="C19" s="26" t="s">
        <v>46</v>
      </c>
      <c r="D19" s="3">
        <v>13</v>
      </c>
      <c r="E19" s="3"/>
    </row>
    <row r="20" spans="3:5" x14ac:dyDescent="0.25">
      <c r="C20" s="26" t="s">
        <v>47</v>
      </c>
      <c r="D20" s="3">
        <v>12</v>
      </c>
      <c r="E20" s="3"/>
    </row>
    <row r="21" spans="3:5" x14ac:dyDescent="0.25">
      <c r="C21" s="26" t="s">
        <v>48</v>
      </c>
      <c r="D21" s="3">
        <v>8</v>
      </c>
      <c r="E21" s="3"/>
    </row>
    <row r="22" spans="3:5" x14ac:dyDescent="0.25">
      <c r="C22" s="26" t="s">
        <v>49</v>
      </c>
      <c r="D22" s="3">
        <v>5</v>
      </c>
      <c r="E22" s="3"/>
    </row>
    <row r="23" spans="3:5" x14ac:dyDescent="0.25">
      <c r="C23" s="26" t="s">
        <v>50</v>
      </c>
      <c r="D23" s="3">
        <v>1</v>
      </c>
      <c r="E23" s="3"/>
    </row>
    <row r="24" spans="3:5" x14ac:dyDescent="0.25">
      <c r="C24" s="26" t="s">
        <v>51</v>
      </c>
      <c r="D24" s="3">
        <v>1</v>
      </c>
      <c r="E24" s="3"/>
    </row>
    <row r="25" spans="3:5" x14ac:dyDescent="0.25">
      <c r="C25" s="26" t="s">
        <v>52</v>
      </c>
      <c r="D25" s="3">
        <v>1</v>
      </c>
      <c r="E25" s="3"/>
    </row>
    <row r="26" spans="3:5" x14ac:dyDescent="0.25">
      <c r="C26" s="27" t="s">
        <v>1</v>
      </c>
      <c r="D26" s="28">
        <v>466</v>
      </c>
      <c r="E26" s="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79998168889431442"/>
  </sheetPr>
  <dimension ref="A1:C8"/>
  <sheetViews>
    <sheetView workbookViewId="0">
      <selection activeCell="A3" sqref="A3"/>
    </sheetView>
  </sheetViews>
  <sheetFormatPr defaultRowHeight="15" x14ac:dyDescent="0.25"/>
  <sheetData>
    <row r="1" spans="1:3" x14ac:dyDescent="0.25">
      <c r="A1" t="s">
        <v>35</v>
      </c>
    </row>
    <row r="2" spans="1:3" x14ac:dyDescent="0.25">
      <c r="A2" t="s">
        <v>36</v>
      </c>
    </row>
    <row r="4" spans="1:3" x14ac:dyDescent="0.25">
      <c r="B4" t="s">
        <v>31</v>
      </c>
    </row>
    <row r="5" spans="1:3" x14ac:dyDescent="0.25">
      <c r="C5" t="s">
        <v>32</v>
      </c>
    </row>
    <row r="7" spans="1:3" x14ac:dyDescent="0.25">
      <c r="B7" t="s">
        <v>33</v>
      </c>
    </row>
    <row r="8" spans="1:3" x14ac:dyDescent="0.25">
      <c r="C8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DB72801DF7AA49A821A4C3A555C86C" ma:contentTypeVersion="8" ma:contentTypeDescription="Create a new document." ma:contentTypeScope="" ma:versionID="647f4d8a5db746c0df84d7114234d229">
  <xsd:schema xmlns:xsd="http://www.w3.org/2001/XMLSchema" xmlns:xs="http://www.w3.org/2001/XMLSchema" xmlns:p="http://schemas.microsoft.com/office/2006/metadata/properties" xmlns:ns2="47459466-ed6b-4e72-a6f3-3480ef95271b" targetNamespace="http://schemas.microsoft.com/office/2006/metadata/properties" ma:root="true" ma:fieldsID="f377aab322bd57a07cbc7720d4263814" ns2:_="">
    <xsd:import namespace="47459466-ed6b-4e72-a6f3-3480ef9527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459466-ed6b-4e72-a6f3-3480ef9527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0F4374-CACF-4165-A373-F1C8BB3597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315E7A-D18C-4AA1-B43D-BEE63677CE70}">
  <ds:schemaRefs>
    <ds:schemaRef ds:uri="http://schemas.openxmlformats.org/package/2006/metadata/core-properties"/>
    <ds:schemaRef ds:uri="http://purl.org/dc/elements/1.1/"/>
    <ds:schemaRef ds:uri="47459466-ed6b-4e72-a6f3-3480ef95271b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1EF60B7-B201-4AB6-B21C-AC782800C9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459466-ed6b-4e72-a6f3-3480ef9527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Indemnity Rate</vt:lpstr>
      <vt:lpstr>Litigation Analysis</vt:lpstr>
      <vt:lpstr>WC auto impact</vt:lpstr>
      <vt:lpstr>CA impact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Chris.Knight@epicbrokers.com</dc:creator>
  <cp:keywords/>
  <dc:description/>
  <cp:lastModifiedBy>Chris Knight</cp:lastModifiedBy>
  <cp:revision/>
  <dcterms:created xsi:type="dcterms:W3CDTF">2018-10-01T16:15:58Z</dcterms:created>
  <dcterms:modified xsi:type="dcterms:W3CDTF">2022-05-19T19:53:30Z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0x010100A5DB72801DF7AA49A821A4C3A555C86C</vt:lpwstr>
  </property>
</Properties>
</file>