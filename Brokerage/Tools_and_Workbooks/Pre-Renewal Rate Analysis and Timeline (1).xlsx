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lients\T5 Data Centers\2023 to 2024\2 - Meetings\1 - Pre Renewal Strategy Mtg - Add Date\"/>
    </mc:Choice>
  </mc:AlternateContent>
  <xr:revisionPtr revIDLastSave="0" documentId="13_ncr:1_{6A8678ED-96DB-4BB5-BE62-8C0837586A8D}" xr6:coauthVersionLast="47" xr6:coauthVersionMax="47" xr10:uidLastSave="{00000000-0000-0000-0000-000000000000}"/>
  <bookViews>
    <workbookView xWindow="-180" yWindow="1650" windowWidth="28800" windowHeight="13050" activeTab="4" xr2:uid="{00000000-000D-0000-FFFF-FFFF00000000}"/>
  </bookViews>
  <sheets>
    <sheet name="Exposure Info" sheetId="4" r:id="rId1"/>
    <sheet name="PL Rate" sheetId="1" r:id="rId2"/>
    <sheet name="GL Rate" sheetId="2" r:id="rId3"/>
    <sheet name="Named Insured Analysis" sheetId="6" r:id="rId4"/>
    <sheet name="Timeline" sheetId="3" r:id="rId5"/>
  </sheets>
  <calcPr calcId="191029" iterateDelta="4.1486142249243762E-27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6" i="1" l="1"/>
  <c r="D6" i="1"/>
  <c r="I5" i="1"/>
  <c r="D5" i="1"/>
  <c r="I4" i="1"/>
  <c r="J4" i="1" s="1"/>
  <c r="D4" i="1"/>
  <c r="I3" i="1"/>
  <c r="D3" i="1"/>
  <c r="I2" i="1"/>
  <c r="J3" i="1" l="1"/>
  <c r="J6" i="1"/>
  <c r="J5" i="1"/>
  <c r="K8" i="3"/>
  <c r="K11" i="3"/>
  <c r="B14" i="3" l="1"/>
  <c r="B12" i="3"/>
  <c r="B11" i="3"/>
  <c r="B10" i="3"/>
  <c r="B8" i="3"/>
  <c r="B5" i="3"/>
  <c r="K14" i="3"/>
  <c r="B13" i="3" s="1"/>
  <c r="K10" i="3"/>
  <c r="B6" i="3" s="1"/>
  <c r="B9" i="3"/>
  <c r="K12" i="3"/>
  <c r="B7" i="3" s="1"/>
  <c r="C14" i="3" l="1"/>
  <c r="C13" i="3"/>
  <c r="C12" i="3"/>
  <c r="C11" i="3"/>
  <c r="C10" i="3"/>
  <c r="C9" i="3"/>
  <c r="C8" i="3"/>
  <c r="C7" i="3"/>
  <c r="C6" i="3"/>
  <c r="C5" i="3"/>
  <c r="I6" i="2"/>
  <c r="D6" i="2"/>
  <c r="I5" i="2"/>
  <c r="D5" i="2"/>
  <c r="I4" i="2"/>
  <c r="D4" i="2"/>
  <c r="I3" i="2"/>
  <c r="D3" i="2"/>
  <c r="I2" i="2"/>
  <c r="J4" i="2" l="1"/>
  <c r="J5" i="2"/>
  <c r="J6" i="2"/>
  <c r="J3" i="2"/>
</calcChain>
</file>

<file path=xl/sharedStrings.xml><?xml version="1.0" encoding="utf-8"?>
<sst xmlns="http://schemas.openxmlformats.org/spreadsheetml/2006/main" count="169" uniqueCount="109">
  <si>
    <t>Insurer</t>
  </si>
  <si>
    <t>Year</t>
  </si>
  <si>
    <t>Premium</t>
  </si>
  <si>
    <t>Premium % Change</t>
  </si>
  <si>
    <t>Limits</t>
  </si>
  <si>
    <t>Rate</t>
  </si>
  <si>
    <t>N/A</t>
  </si>
  <si>
    <t>Deductible</t>
  </si>
  <si>
    <t>TBD</t>
  </si>
  <si>
    <t>Gross Revenue</t>
  </si>
  <si>
    <t>Exposure</t>
  </si>
  <si>
    <t>$1M/$2M</t>
  </si>
  <si>
    <t>Insured:</t>
  </si>
  <si>
    <t>Renewal date:</t>
  </si>
  <si>
    <t>Coverage(s) renewing:</t>
  </si>
  <si>
    <t>Activity</t>
  </si>
  <si>
    <t>Who</t>
  </si>
  <si>
    <t>Due Date</t>
  </si>
  <si>
    <t>Request updated renewal information and applications</t>
  </si>
  <si>
    <t>Greyling</t>
  </si>
  <si>
    <t>Pre-renewal strategy meeting</t>
  </si>
  <si>
    <t xml:space="preserve">Provide updated renewal information </t>
  </si>
  <si>
    <t>Prepare renewal submission/send to underwriters</t>
  </si>
  <si>
    <t xml:space="preserve">Meet with underwriters </t>
  </si>
  <si>
    <t>Deadline for renewal quotations</t>
  </si>
  <si>
    <t>Insurers</t>
  </si>
  <si>
    <t>Complete coverage and program design negotiations</t>
  </si>
  <si>
    <t>Present final renewal options</t>
  </si>
  <si>
    <t>Select insurer and bind coverage</t>
  </si>
  <si>
    <t>Notes - not for showing to client</t>
  </si>
  <si>
    <t>Renewal process starts at least 120 days before effective date.</t>
  </si>
  <si>
    <t>Pre-Renewal and requesting applications can be interchangeable.</t>
  </si>
  <si>
    <t>Apps are typically due back 1 month after they are sent.</t>
  </si>
  <si>
    <t>After apps are sent back, we usually have a week to review before sending to insurers.</t>
  </si>
  <si>
    <t>Quotes are typically due back 1 month after the submission is sent.</t>
  </si>
  <si>
    <t>Brokers should get two weeks after the quotes are due back to negotiate.</t>
  </si>
  <si>
    <t>The insurer should get a week to make up their minds after the meeting.</t>
  </si>
  <si>
    <t>We need a week to bind coverage.  Target is for certs to be issued 30 days prior to renewal.</t>
  </si>
  <si>
    <t>Estimated Issuance of Issue certificates of insurance</t>
  </si>
  <si>
    <t>List items</t>
  </si>
  <si>
    <t>CoC</t>
  </si>
  <si>
    <t>Most Recent Application (get as many years as you can from most recent app)</t>
  </si>
  <si>
    <t>Policy Type</t>
  </si>
  <si>
    <t>Description</t>
  </si>
  <si>
    <t>Expiring</t>
  </si>
  <si>
    <t>Professional Liability:</t>
  </si>
  <si>
    <t>3-Year Average Revenue</t>
  </si>
  <si>
    <t>General Liability:</t>
  </si>
  <si>
    <t>Payroll or Revenue</t>
  </si>
  <si>
    <t>Workers Compensation:</t>
  </si>
  <si>
    <t>Payroll</t>
  </si>
  <si>
    <t>Number of Vehicles</t>
  </si>
  <si>
    <t>Annual Cost of Hire</t>
  </si>
  <si>
    <t>Trailers</t>
  </si>
  <si>
    <t>Property:</t>
  </si>
  <si>
    <t>Number of Locations</t>
  </si>
  <si>
    <t>Building Values</t>
  </si>
  <si>
    <t>Business Personal Property Values</t>
  </si>
  <si>
    <t>Business Income Values</t>
  </si>
  <si>
    <t>Computer Hardware &amp; Software</t>
  </si>
  <si>
    <t>Valuable Papers</t>
  </si>
  <si>
    <t>Contractors Equipment:</t>
  </si>
  <si>
    <t>Equipment Values</t>
  </si>
  <si>
    <t>Employment Practices Liability:</t>
  </si>
  <si>
    <t>Employee Count</t>
  </si>
  <si>
    <t>Fiduciary:</t>
  </si>
  <si>
    <t>Plan Assets</t>
  </si>
  <si>
    <t>Directors and Officers:</t>
  </si>
  <si>
    <t>Total Assets</t>
  </si>
  <si>
    <t>Foreign General Liability:</t>
  </si>
  <si>
    <t>Foreign Revenue</t>
  </si>
  <si>
    <t>Foreign Locations</t>
  </si>
  <si>
    <t>Foreign Auto:</t>
  </si>
  <si>
    <t>Number of Rentals</t>
  </si>
  <si>
    <t>Number of Owned Autos</t>
  </si>
  <si>
    <t>Foreign Voluntary Compensation and Employers' Liability:</t>
  </si>
  <si>
    <t>Foreign Payroll</t>
  </si>
  <si>
    <t>Foreign Accidental Death or Dismemberment:</t>
  </si>
  <si>
    <t>Number of Foreign Trips</t>
  </si>
  <si>
    <t>Foreign Property:</t>
  </si>
  <si>
    <t>Foreign Property Values</t>
  </si>
  <si>
    <t>Automobile:</t>
  </si>
  <si>
    <t>Deductible / SIR</t>
  </si>
  <si>
    <t>Rate 
Change %</t>
  </si>
  <si>
    <t>Where to gather the info:</t>
  </si>
  <si>
    <t>Key</t>
  </si>
  <si>
    <t>Included for coverage</t>
  </si>
  <si>
    <t>Not applicable</t>
  </si>
  <si>
    <t>Not included for coverage</t>
  </si>
  <si>
    <t>First Named Insured</t>
  </si>
  <si>
    <t>FNI</t>
  </si>
  <si>
    <t>Broad Form Named Insured Wording</t>
  </si>
  <si>
    <t>Named Insured</t>
  </si>
  <si>
    <t>Professional Liability</t>
  </si>
  <si>
    <t>Property</t>
  </si>
  <si>
    <t>Workers Compensation</t>
  </si>
  <si>
    <t>General Liability</t>
  </si>
  <si>
    <t>Business Auto</t>
  </si>
  <si>
    <t>Foreign Package</t>
  </si>
  <si>
    <t>Executive Risk</t>
  </si>
  <si>
    <t>Cyber</t>
  </si>
  <si>
    <t>Travel Accident</t>
  </si>
  <si>
    <t>No</t>
  </si>
  <si>
    <t>Yes</t>
  </si>
  <si>
    <t>No. of Days Prior to Renewal</t>
  </si>
  <si>
    <t>Exposure*</t>
  </si>
  <si>
    <t xml:space="preserve"> </t>
  </si>
  <si>
    <t>All Lines of Coverage</t>
  </si>
  <si>
    <t>T5 Data Centers,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</si>
</sst>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mmmm\ d\,\ yyyy\ \(dddd\)"/>
    <numFmt numFmtId="166" formatCode="&quot;$&quot;#,##0"/>
    <numFmt numFmtId="167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thin">
        <color theme="0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 style="medium">
        <color rgb="FFFFFFFF"/>
      </left>
      <right style="thin">
        <color theme="0" tint="-0.34998626667073579"/>
      </right>
      <top style="medium">
        <color rgb="FFFFFFFF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FFFF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rgb="FFFFFFFF"/>
      </top>
      <bottom style="thin">
        <color theme="0" tint="-0.34998626667073579"/>
      </bottom>
      <diagonal/>
    </border>
    <border>
      <left style="medium">
        <color rgb="FFFFFFF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FFFFFF"/>
      </left>
      <right style="thin">
        <color theme="0" tint="-0.34998626667073579"/>
      </right>
      <top style="thin">
        <color theme="0" tint="-0.34998626667073579"/>
      </top>
      <bottom style="medium">
        <color rgb="FFFFFFF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FFFFFF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rgb="FFFFFFFF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medium">
        <color indexed="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9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9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4" fillId="0" borderId="0" xfId="0" applyFont="1"/>
    <xf numFmtId="0" fontId="2" fillId="0" borderId="12" xfId="0" applyFont="1" applyBorder="1" applyAlignment="1">
      <alignment horizontal="right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right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  <xf numFmtId="0" fontId="0" fillId="0" borderId="19" xfId="0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64" fontId="0" fillId="0" borderId="20" xfId="2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10" fontId="0" fillId="0" borderId="22" xfId="0" applyNumberFormat="1" applyBorder="1" applyAlignment="1">
      <alignment horizontal="center"/>
    </xf>
    <xf numFmtId="164" fontId="0" fillId="0" borderId="23" xfId="2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10" fontId="0" fillId="0" borderId="25" xfId="0" applyNumberFormat="1" applyBorder="1" applyAlignment="1">
      <alignment horizontal="center"/>
    </xf>
    <xf numFmtId="164" fontId="0" fillId="0" borderId="26" xfId="2" applyNumberFormat="1" applyFont="1" applyBorder="1" applyAlignment="1">
      <alignment horizontal="center"/>
    </xf>
    <xf numFmtId="0" fontId="0" fillId="2" borderId="18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6" fontId="0" fillId="2" borderId="19" xfId="0" applyNumberFormat="1" applyFill="1" applyBorder="1" applyAlignment="1">
      <alignment horizontal="center"/>
    </xf>
    <xf numFmtId="6" fontId="0" fillId="2" borderId="22" xfId="0" applyNumberFormat="1" applyFill="1" applyBorder="1" applyAlignment="1">
      <alignment horizontal="center"/>
    </xf>
    <xf numFmtId="6" fontId="0" fillId="2" borderId="25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7" fontId="0" fillId="0" borderId="19" xfId="1" applyNumberFormat="1" applyFont="1" applyBorder="1" applyAlignment="1">
      <alignment horizontal="center"/>
    </xf>
    <xf numFmtId="167" fontId="0" fillId="0" borderId="22" xfId="1" applyNumberFormat="1" applyFont="1" applyBorder="1" applyAlignment="1">
      <alignment horizontal="center"/>
    </xf>
    <xf numFmtId="167" fontId="0" fillId="0" borderId="25" xfId="1" applyNumberFormat="1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4" borderId="0" xfId="0" applyFont="1" applyFill="1" applyAlignment="1">
      <alignment horizontal="left"/>
    </xf>
    <xf numFmtId="0" fontId="0" fillId="5" borderId="30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2" borderId="32" xfId="0" applyFill="1" applyBorder="1"/>
    <xf numFmtId="0" fontId="0" fillId="2" borderId="18" xfId="0" applyFill="1" applyBorder="1"/>
    <xf numFmtId="0" fontId="0" fillId="2" borderId="21" xfId="0" applyFill="1" applyBorder="1"/>
    <xf numFmtId="0" fontId="0" fillId="2" borderId="24" xfId="0" applyFill="1" applyBorder="1"/>
    <xf numFmtId="0" fontId="6" fillId="3" borderId="35" xfId="0" applyFont="1" applyFill="1" applyBorder="1" applyAlignment="1">
      <alignment horizontal="center" wrapText="1"/>
    </xf>
    <xf numFmtId="0" fontId="6" fillId="7" borderId="30" xfId="0" applyFont="1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6" fillId="7" borderId="19" xfId="0" applyFont="1" applyFill="1" applyBorder="1"/>
    <xf numFmtId="0" fontId="6" fillId="7" borderId="20" xfId="0" applyFont="1" applyFill="1" applyBorder="1"/>
    <xf numFmtId="0" fontId="6" fillId="7" borderId="22" xfId="0" applyFont="1" applyFill="1" applyBorder="1"/>
    <xf numFmtId="0" fontId="6" fillId="7" borderId="23" xfId="0" applyFont="1" applyFill="1" applyBorder="1"/>
    <xf numFmtId="0" fontId="6" fillId="5" borderId="22" xfId="0" applyFont="1" applyFill="1" applyBorder="1"/>
    <xf numFmtId="0" fontId="6" fillId="5" borderId="23" xfId="0" applyFont="1" applyFill="1" applyBorder="1"/>
    <xf numFmtId="0" fontId="6" fillId="6" borderId="25" xfId="0" applyFont="1" applyFill="1" applyBorder="1"/>
    <xf numFmtId="0" fontId="6" fillId="6" borderId="26" xfId="0" applyFont="1" applyFill="1" applyBorder="1"/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6" fillId="5" borderId="25" xfId="0" applyFont="1" applyFill="1" applyBorder="1"/>
    <xf numFmtId="0" fontId="6" fillId="5" borderId="26" xfId="0" applyFont="1" applyFill="1" applyBorder="1"/>
    <xf numFmtId="0" fontId="6" fillId="7" borderId="25" xfId="0" applyFont="1" applyFill="1" applyBorder="1"/>
    <xf numFmtId="0" fontId="8" fillId="3" borderId="1" xfId="0" applyFont="1" applyFill="1" applyBorder="1" applyAlignment="1">
      <alignment horizontal="righ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center" vertical="center" wrapText="1"/>
    </xf>
    <xf numFmtId="165" fontId="3" fillId="0" borderId="38" xfId="0" applyNumberFormat="1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165" fontId="3" fillId="0" borderId="26" xfId="0" applyNumberFormat="1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2" fillId="0" borderId="12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8" fillId="3" borderId="2" xfId="0" applyFont="1" applyFill="1" applyBorder="1" applyAlignment="1">
      <alignment horizontal="left" vertical="center" wrapText="1"/>
    </xf>
    <xf numFmtId="165" fontId="8" fillId="3" borderId="0" xfId="0" applyNumberFormat="1" applyFont="1" applyFill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zoomScaleNormal="100" workbookViewId="0"/>
  </sheetViews>
  <sheetFormatPr defaultRowHeight="15" x14ac:dyDescent="0.25"/>
  <cols>
    <col min="1" max="2" width="28.28515625" customWidth="1"/>
    <col min="3" max="3" width="16.85546875" customWidth="1"/>
  </cols>
  <sheetData>
    <row r="1" spans="1:3" ht="30" customHeight="1" x14ac:dyDescent="0.25">
      <c r="A1" s="10" t="s">
        <v>42</v>
      </c>
      <c r="B1" s="11" t="s">
        <v>43</v>
      </c>
      <c r="C1" s="9" t="s">
        <v>44</v>
      </c>
    </row>
    <row r="2" spans="1:3" ht="15" customHeight="1" x14ac:dyDescent="0.25">
      <c r="A2" s="2" t="s">
        <v>45</v>
      </c>
      <c r="B2" s="7" t="s">
        <v>46</v>
      </c>
      <c r="C2" s="3"/>
    </row>
    <row r="3" spans="1:3" ht="15" customHeight="1" x14ac:dyDescent="0.25">
      <c r="A3" s="2" t="s">
        <v>47</v>
      </c>
      <c r="B3" s="7" t="s">
        <v>48</v>
      </c>
      <c r="C3" s="3"/>
    </row>
    <row r="4" spans="1:3" ht="15" customHeight="1" x14ac:dyDescent="0.25">
      <c r="A4" s="2" t="s">
        <v>49</v>
      </c>
      <c r="B4" s="7" t="s">
        <v>50</v>
      </c>
      <c r="C4" s="3"/>
    </row>
    <row r="5" spans="1:3" ht="15" customHeight="1" x14ac:dyDescent="0.25">
      <c r="A5" s="82" t="s">
        <v>81</v>
      </c>
      <c r="B5" s="7" t="s">
        <v>51</v>
      </c>
      <c r="C5" s="4"/>
    </row>
    <row r="6" spans="1:3" ht="15" customHeight="1" x14ac:dyDescent="0.25">
      <c r="A6" s="82"/>
      <c r="B6" s="7" t="s">
        <v>52</v>
      </c>
      <c r="C6" s="3"/>
    </row>
    <row r="7" spans="1:3" ht="15" customHeight="1" x14ac:dyDescent="0.25">
      <c r="A7" s="82"/>
      <c r="B7" s="7" t="s">
        <v>53</v>
      </c>
      <c r="C7" s="4"/>
    </row>
    <row r="8" spans="1:3" ht="15" customHeight="1" x14ac:dyDescent="0.25">
      <c r="A8" s="82" t="s">
        <v>54</v>
      </c>
      <c r="B8" s="7" t="s">
        <v>55</v>
      </c>
      <c r="C8" s="4"/>
    </row>
    <row r="9" spans="1:3" ht="15" customHeight="1" x14ac:dyDescent="0.25">
      <c r="A9" s="82"/>
      <c r="B9" s="7" t="s">
        <v>56</v>
      </c>
      <c r="C9" s="3"/>
    </row>
    <row r="10" spans="1:3" ht="15" customHeight="1" x14ac:dyDescent="0.25">
      <c r="A10" s="82"/>
      <c r="B10" s="7" t="s">
        <v>57</v>
      </c>
      <c r="C10" s="3"/>
    </row>
    <row r="11" spans="1:3" ht="15" customHeight="1" x14ac:dyDescent="0.25">
      <c r="A11" s="82"/>
      <c r="B11" s="7" t="s">
        <v>58</v>
      </c>
      <c r="C11" s="3"/>
    </row>
    <row r="12" spans="1:3" ht="15" customHeight="1" x14ac:dyDescent="0.25">
      <c r="A12" s="82"/>
      <c r="B12" s="7" t="s">
        <v>59</v>
      </c>
      <c r="C12" s="3"/>
    </row>
    <row r="13" spans="1:3" ht="15" customHeight="1" x14ac:dyDescent="0.25">
      <c r="A13" s="82"/>
      <c r="B13" s="7" t="s">
        <v>60</v>
      </c>
      <c r="C13" s="3"/>
    </row>
    <row r="14" spans="1:3" ht="15" customHeight="1" x14ac:dyDescent="0.25">
      <c r="A14" s="2" t="s">
        <v>61</v>
      </c>
      <c r="B14" s="7" t="s">
        <v>62</v>
      </c>
      <c r="C14" s="3"/>
    </row>
    <row r="15" spans="1:3" ht="15" customHeight="1" x14ac:dyDescent="0.25">
      <c r="A15" s="2" t="s">
        <v>63</v>
      </c>
      <c r="B15" s="7" t="s">
        <v>64</v>
      </c>
      <c r="C15" s="4"/>
    </row>
    <row r="16" spans="1:3" ht="15" customHeight="1" x14ac:dyDescent="0.25">
      <c r="A16" s="2" t="s">
        <v>65</v>
      </c>
      <c r="B16" s="7" t="s">
        <v>66</v>
      </c>
      <c r="C16" s="3"/>
    </row>
    <row r="17" spans="1:3" ht="15" customHeight="1" x14ac:dyDescent="0.25">
      <c r="A17" s="2" t="s">
        <v>67</v>
      </c>
      <c r="B17" s="7" t="s">
        <v>68</v>
      </c>
      <c r="C17" s="3"/>
    </row>
    <row r="18" spans="1:3" ht="15" customHeight="1" x14ac:dyDescent="0.25">
      <c r="A18" s="82" t="s">
        <v>69</v>
      </c>
      <c r="B18" s="7" t="s">
        <v>70</v>
      </c>
      <c r="C18" s="3"/>
    </row>
    <row r="19" spans="1:3" ht="15" customHeight="1" x14ac:dyDescent="0.25">
      <c r="A19" s="83"/>
      <c r="B19" s="7" t="s">
        <v>71</v>
      </c>
      <c r="C19" s="4"/>
    </row>
    <row r="20" spans="1:3" ht="15" customHeight="1" x14ac:dyDescent="0.25">
      <c r="A20" s="82" t="s">
        <v>72</v>
      </c>
      <c r="B20" s="7" t="s">
        <v>73</v>
      </c>
      <c r="C20" s="4"/>
    </row>
    <row r="21" spans="1:3" ht="15" customHeight="1" x14ac:dyDescent="0.25">
      <c r="A21" s="83"/>
      <c r="B21" s="7" t="s">
        <v>74</v>
      </c>
      <c r="C21" s="4"/>
    </row>
    <row r="22" spans="1:3" ht="30" customHeight="1" x14ac:dyDescent="0.25">
      <c r="A22" s="2" t="s">
        <v>75</v>
      </c>
      <c r="B22" s="7" t="s">
        <v>76</v>
      </c>
      <c r="C22" s="3"/>
    </row>
    <row r="23" spans="1:3" ht="30" customHeight="1" x14ac:dyDescent="0.25">
      <c r="A23" s="2" t="s">
        <v>77</v>
      </c>
      <c r="B23" s="7" t="s">
        <v>78</v>
      </c>
      <c r="C23" s="4"/>
    </row>
    <row r="24" spans="1:3" ht="15" customHeight="1" thickBot="1" x14ac:dyDescent="0.3">
      <c r="A24" s="5" t="s">
        <v>79</v>
      </c>
      <c r="B24" s="8" t="s">
        <v>80</v>
      </c>
      <c r="C24" s="6"/>
    </row>
  </sheetData>
  <mergeCells count="4">
    <mergeCell ref="A5:A7"/>
    <mergeCell ref="A8:A13"/>
    <mergeCell ref="A18:A19"/>
    <mergeCell ref="A20:A21"/>
  </mergeCells>
  <dataValidations count="1">
    <dataValidation allowBlank="1" showInputMessage="1" sqref="A1:A6 A14:A16 A18 A20 A22:A24 B1:C24" xr:uid="{00000000-0002-0000-0000-000000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showGridLines="0" zoomScaleNormal="100" workbookViewId="0">
      <selection activeCell="G16" sqref="G16"/>
    </sheetView>
  </sheetViews>
  <sheetFormatPr defaultColWidth="9.140625" defaultRowHeight="15" x14ac:dyDescent="0.25"/>
  <cols>
    <col min="1" max="1" width="15.7109375" customWidth="1"/>
    <col min="2" max="2" width="10.7109375" customWidth="1"/>
    <col min="3" max="3" width="13.28515625" customWidth="1"/>
    <col min="4" max="4" width="15.7109375" customWidth="1"/>
    <col min="5" max="6" width="13.28515625" customWidth="1"/>
    <col min="7" max="8" width="15.7109375" customWidth="1"/>
    <col min="9" max="9" width="10.7109375" customWidth="1"/>
    <col min="10" max="10" width="13.28515625" customWidth="1"/>
  </cols>
  <sheetData>
    <row r="1" spans="1:10" ht="30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82</v>
      </c>
      <c r="G1" s="12" t="s">
        <v>9</v>
      </c>
      <c r="H1" s="12" t="s">
        <v>105</v>
      </c>
      <c r="I1" s="12" t="s">
        <v>5</v>
      </c>
      <c r="J1" s="12" t="s">
        <v>83</v>
      </c>
    </row>
    <row r="2" spans="1:10" x14ac:dyDescent="0.25">
      <c r="A2" s="22" t="s">
        <v>8</v>
      </c>
      <c r="B2" s="13">
        <v>2013</v>
      </c>
      <c r="C2" s="25">
        <v>999</v>
      </c>
      <c r="D2" s="14" t="s">
        <v>6</v>
      </c>
      <c r="E2" s="28" t="s">
        <v>11</v>
      </c>
      <c r="F2" s="25">
        <v>0</v>
      </c>
      <c r="G2" s="25">
        <v>999</v>
      </c>
      <c r="H2" s="25">
        <v>999</v>
      </c>
      <c r="I2" s="31">
        <f>C2/H2*100</f>
        <v>100</v>
      </c>
      <c r="J2" s="15" t="s">
        <v>6</v>
      </c>
    </row>
    <row r="3" spans="1:10" x14ac:dyDescent="0.25">
      <c r="A3" s="23" t="s">
        <v>8</v>
      </c>
      <c r="B3" s="16">
        <v>2014</v>
      </c>
      <c r="C3" s="26">
        <v>999</v>
      </c>
      <c r="D3" s="17">
        <f>C3/C2-1</f>
        <v>0</v>
      </c>
      <c r="E3" s="29" t="s">
        <v>11</v>
      </c>
      <c r="F3" s="26">
        <v>0</v>
      </c>
      <c r="G3" s="26">
        <v>999</v>
      </c>
      <c r="H3" s="26">
        <v>999</v>
      </c>
      <c r="I3" s="32">
        <f>C3/H3*100</f>
        <v>100</v>
      </c>
      <c r="J3" s="18">
        <f>I3/I2-1</f>
        <v>0</v>
      </c>
    </row>
    <row r="4" spans="1:10" x14ac:dyDescent="0.25">
      <c r="A4" s="23" t="s">
        <v>8</v>
      </c>
      <c r="B4" s="16">
        <v>2015</v>
      </c>
      <c r="C4" s="26">
        <v>999</v>
      </c>
      <c r="D4" s="17">
        <f>C4/C3-1</f>
        <v>0</v>
      </c>
      <c r="E4" s="29" t="s">
        <v>11</v>
      </c>
      <c r="F4" s="26">
        <v>0</v>
      </c>
      <c r="G4" s="26">
        <v>999</v>
      </c>
      <c r="H4" s="26">
        <v>999</v>
      </c>
      <c r="I4" s="32">
        <f>C4/H4*100</f>
        <v>100</v>
      </c>
      <c r="J4" s="18">
        <f>I4/I3-1</f>
        <v>0</v>
      </c>
    </row>
    <row r="5" spans="1:10" x14ac:dyDescent="0.25">
      <c r="A5" s="23" t="s">
        <v>8</v>
      </c>
      <c r="B5" s="16">
        <v>2016</v>
      </c>
      <c r="C5" s="26">
        <v>999</v>
      </c>
      <c r="D5" s="17">
        <f>C5/C4-1</f>
        <v>0</v>
      </c>
      <c r="E5" s="29" t="s">
        <v>11</v>
      </c>
      <c r="F5" s="26">
        <v>0</v>
      </c>
      <c r="G5" s="26">
        <v>999</v>
      </c>
      <c r="H5" s="26">
        <v>999</v>
      </c>
      <c r="I5" s="32">
        <f>C5/H5*100</f>
        <v>100</v>
      </c>
      <c r="J5" s="18">
        <f>I5/I4-1</f>
        <v>0</v>
      </c>
    </row>
    <row r="6" spans="1:10" x14ac:dyDescent="0.25">
      <c r="A6" s="24" t="s">
        <v>8</v>
      </c>
      <c r="B6" s="19">
        <v>2017</v>
      </c>
      <c r="C6" s="27">
        <v>999</v>
      </c>
      <c r="D6" s="20">
        <f>C6/C5-1</f>
        <v>0</v>
      </c>
      <c r="E6" s="30" t="s">
        <v>11</v>
      </c>
      <c r="F6" s="27">
        <v>0</v>
      </c>
      <c r="G6" s="27">
        <v>999</v>
      </c>
      <c r="H6" s="27">
        <v>999</v>
      </c>
      <c r="I6" s="33">
        <f>C6/H6*100</f>
        <v>100</v>
      </c>
      <c r="J6" s="21">
        <f>I6/I5-1</f>
        <v>0</v>
      </c>
    </row>
    <row r="8" spans="1:10" x14ac:dyDescent="0.25">
      <c r="A8" s="36" t="s">
        <v>84</v>
      </c>
    </row>
    <row r="9" spans="1:10" ht="90" x14ac:dyDescent="0.25">
      <c r="A9" s="34" t="s">
        <v>40</v>
      </c>
      <c r="B9" s="34"/>
      <c r="C9" s="34" t="s">
        <v>40</v>
      </c>
      <c r="D9" s="34" t="s">
        <v>106</v>
      </c>
      <c r="E9" s="34" t="s">
        <v>40</v>
      </c>
      <c r="F9" s="34" t="s">
        <v>40</v>
      </c>
      <c r="G9" s="35" t="s">
        <v>41</v>
      </c>
      <c r="H9" s="34" t="s">
        <v>40</v>
      </c>
      <c r="I9" s="34"/>
      <c r="J9" s="34"/>
    </row>
  </sheetData>
  <sortState xmlns:xlrd2="http://schemas.microsoft.com/office/spreadsheetml/2017/richdata2" ref="B2:B6">
    <sortCondition ref="B2"/>
  </sortState>
  <pageMargins left="0.4" right="0.4" top="0.5" bottom="0.5" header="0.3" footer="0.3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zoomScaleNormal="100" workbookViewId="0">
      <selection activeCell="A2" sqref="A2:J6"/>
    </sheetView>
  </sheetViews>
  <sheetFormatPr defaultColWidth="9.140625" defaultRowHeight="15" x14ac:dyDescent="0.25"/>
  <cols>
    <col min="1" max="1" width="15.7109375" customWidth="1"/>
    <col min="2" max="2" width="10.7109375" customWidth="1"/>
    <col min="3" max="3" width="13.28515625" customWidth="1"/>
    <col min="4" max="4" width="15.7109375" customWidth="1"/>
    <col min="5" max="6" width="13.28515625" customWidth="1"/>
    <col min="7" max="8" width="15.7109375" customWidth="1"/>
    <col min="9" max="9" width="10.7109375" customWidth="1"/>
    <col min="10" max="10" width="13.28515625" customWidth="1"/>
  </cols>
  <sheetData>
    <row r="1" spans="1:10" ht="30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7</v>
      </c>
      <c r="G1" s="12" t="s">
        <v>9</v>
      </c>
      <c r="H1" s="12" t="s">
        <v>10</v>
      </c>
      <c r="I1" s="12" t="s">
        <v>5</v>
      </c>
      <c r="J1" s="12" t="s">
        <v>83</v>
      </c>
    </row>
    <row r="2" spans="1:10" x14ac:dyDescent="0.25">
      <c r="A2" s="22" t="s">
        <v>8</v>
      </c>
      <c r="B2" s="13">
        <v>2013</v>
      </c>
      <c r="C2" s="25">
        <v>999</v>
      </c>
      <c r="D2" s="14" t="s">
        <v>6</v>
      </c>
      <c r="E2" s="28" t="s">
        <v>11</v>
      </c>
      <c r="F2" s="25">
        <v>0</v>
      </c>
      <c r="G2" s="25">
        <v>999</v>
      </c>
      <c r="H2" s="25">
        <v>999</v>
      </c>
      <c r="I2" s="31">
        <f>C2/H2*100</f>
        <v>100</v>
      </c>
      <c r="J2" s="15" t="s">
        <v>6</v>
      </c>
    </row>
    <row r="3" spans="1:10" x14ac:dyDescent="0.25">
      <c r="A3" s="23" t="s">
        <v>8</v>
      </c>
      <c r="B3" s="16">
        <v>2014</v>
      </c>
      <c r="C3" s="26">
        <v>999</v>
      </c>
      <c r="D3" s="17">
        <f>C3/C2-1</f>
        <v>0</v>
      </c>
      <c r="E3" s="29" t="s">
        <v>11</v>
      </c>
      <c r="F3" s="26">
        <v>0</v>
      </c>
      <c r="G3" s="26">
        <v>999</v>
      </c>
      <c r="H3" s="26">
        <v>999</v>
      </c>
      <c r="I3" s="32">
        <f>C3/H3*100</f>
        <v>100</v>
      </c>
      <c r="J3" s="18">
        <f>I3/I2-1</f>
        <v>0</v>
      </c>
    </row>
    <row r="4" spans="1:10" x14ac:dyDescent="0.25">
      <c r="A4" s="23" t="s">
        <v>8</v>
      </c>
      <c r="B4" s="16">
        <v>2015</v>
      </c>
      <c r="C4" s="26">
        <v>999</v>
      </c>
      <c r="D4" s="17">
        <f>C4/C3-1</f>
        <v>0</v>
      </c>
      <c r="E4" s="29" t="s">
        <v>11</v>
      </c>
      <c r="F4" s="26">
        <v>0</v>
      </c>
      <c r="G4" s="26">
        <v>999</v>
      </c>
      <c r="H4" s="26">
        <v>999</v>
      </c>
      <c r="I4" s="32">
        <f>C4/H4*100</f>
        <v>100</v>
      </c>
      <c r="J4" s="18">
        <f>I4/I3-1</f>
        <v>0</v>
      </c>
    </row>
    <row r="5" spans="1:10" x14ac:dyDescent="0.25">
      <c r="A5" s="23" t="s">
        <v>8</v>
      </c>
      <c r="B5" s="16">
        <v>2016</v>
      </c>
      <c r="C5" s="26">
        <v>999</v>
      </c>
      <c r="D5" s="17">
        <f>C5/C4-1</f>
        <v>0</v>
      </c>
      <c r="E5" s="29" t="s">
        <v>11</v>
      </c>
      <c r="F5" s="26">
        <v>0</v>
      </c>
      <c r="G5" s="26">
        <v>999</v>
      </c>
      <c r="H5" s="26">
        <v>999</v>
      </c>
      <c r="I5" s="32">
        <f>C5/H5*100</f>
        <v>100</v>
      </c>
      <c r="J5" s="18">
        <f>I5/I4-1</f>
        <v>0</v>
      </c>
    </row>
    <row r="6" spans="1:10" x14ac:dyDescent="0.25">
      <c r="A6" s="24" t="s">
        <v>8</v>
      </c>
      <c r="B6" s="19">
        <v>2017</v>
      </c>
      <c r="C6" s="27">
        <v>999</v>
      </c>
      <c r="D6" s="20">
        <f>C6/C5-1</f>
        <v>0</v>
      </c>
      <c r="E6" s="30" t="s">
        <v>11</v>
      </c>
      <c r="F6" s="27">
        <v>0</v>
      </c>
      <c r="G6" s="27">
        <v>999</v>
      </c>
      <c r="H6" s="27">
        <v>999</v>
      </c>
      <c r="I6" s="33">
        <f>C6/H6*100</f>
        <v>100</v>
      </c>
      <c r="J6" s="21">
        <f>I6/I5-1</f>
        <v>0</v>
      </c>
    </row>
    <row r="8" spans="1:10" x14ac:dyDescent="0.25">
      <c r="A8" s="36" t="s">
        <v>84</v>
      </c>
    </row>
    <row r="9" spans="1:10" ht="90" x14ac:dyDescent="0.25">
      <c r="A9" s="34" t="s">
        <v>40</v>
      </c>
      <c r="B9" s="34"/>
      <c r="C9" s="34" t="s">
        <v>40</v>
      </c>
      <c r="D9" s="34"/>
      <c r="E9" s="34" t="s">
        <v>40</v>
      </c>
      <c r="F9" s="34" t="s">
        <v>40</v>
      </c>
      <c r="G9" s="35" t="s">
        <v>41</v>
      </c>
      <c r="H9" s="34" t="s">
        <v>40</v>
      </c>
    </row>
  </sheetData>
  <pageMargins left="0.4" right="0.4" top="0.5" bottom="0.5" header="0.3" footer="0.3"/>
  <pageSetup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zoomScaleNormal="100" workbookViewId="0">
      <selection activeCell="D34" sqref="D34"/>
    </sheetView>
  </sheetViews>
  <sheetFormatPr defaultRowHeight="15" x14ac:dyDescent="0.25"/>
  <cols>
    <col min="1" max="1" width="34" bestFit="1" customWidth="1"/>
    <col min="2" max="2" width="13.28515625" customWidth="1"/>
    <col min="3" max="3" width="10.7109375" customWidth="1"/>
    <col min="4" max="4" width="15.7109375" customWidth="1"/>
    <col min="5" max="10" width="10.7109375" customWidth="1"/>
    <col min="12" max="12" width="33" customWidth="1"/>
    <col min="13" max="13" width="4.28515625" customWidth="1"/>
  </cols>
  <sheetData>
    <row r="1" spans="1:10" ht="15" customHeight="1" x14ac:dyDescent="0.25">
      <c r="A1" s="43" t="s">
        <v>91</v>
      </c>
      <c r="B1" s="58" t="s">
        <v>102</v>
      </c>
      <c r="C1" s="58" t="s">
        <v>102</v>
      </c>
      <c r="D1" s="58" t="s">
        <v>102</v>
      </c>
      <c r="E1" s="58" t="s">
        <v>102</v>
      </c>
      <c r="F1" s="58" t="s">
        <v>102</v>
      </c>
      <c r="G1" s="58" t="s">
        <v>103</v>
      </c>
      <c r="H1" s="58" t="s">
        <v>103</v>
      </c>
      <c r="I1" s="58" t="s">
        <v>103</v>
      </c>
      <c r="J1" s="59" t="s">
        <v>102</v>
      </c>
    </row>
    <row r="2" spans="1:10" ht="30" x14ac:dyDescent="0.25">
      <c r="A2" s="47" t="s">
        <v>92</v>
      </c>
      <c r="B2" s="47" t="s">
        <v>93</v>
      </c>
      <c r="C2" s="47" t="s">
        <v>94</v>
      </c>
      <c r="D2" s="47" t="s">
        <v>95</v>
      </c>
      <c r="E2" s="47" t="s">
        <v>96</v>
      </c>
      <c r="F2" s="47" t="s">
        <v>97</v>
      </c>
      <c r="G2" s="47" t="s">
        <v>98</v>
      </c>
      <c r="H2" s="47" t="s">
        <v>99</v>
      </c>
      <c r="I2" s="47" t="s">
        <v>100</v>
      </c>
      <c r="J2" s="47" t="s">
        <v>101</v>
      </c>
    </row>
    <row r="3" spans="1:10" ht="15" customHeight="1" x14ac:dyDescent="0.25">
      <c r="A3" s="44"/>
      <c r="B3" s="50"/>
      <c r="C3" s="50"/>
      <c r="D3" s="50"/>
      <c r="E3" s="50"/>
      <c r="F3" s="50"/>
      <c r="G3" s="50"/>
      <c r="H3" s="50"/>
      <c r="I3" s="50"/>
      <c r="J3" s="51"/>
    </row>
    <row r="4" spans="1:10" ht="15" customHeight="1" x14ac:dyDescent="0.25">
      <c r="A4" s="45"/>
      <c r="B4" s="52"/>
      <c r="C4" s="52"/>
      <c r="D4" s="54"/>
      <c r="E4" s="52"/>
      <c r="F4" s="52"/>
      <c r="G4" s="52"/>
      <c r="H4" s="52"/>
      <c r="I4" s="52"/>
      <c r="J4" s="53"/>
    </row>
    <row r="5" spans="1:10" ht="15" customHeight="1" x14ac:dyDescent="0.25">
      <c r="A5" s="45"/>
      <c r="B5" s="52"/>
      <c r="C5" s="52"/>
      <c r="D5" s="54"/>
      <c r="E5" s="52"/>
      <c r="F5" s="52"/>
      <c r="G5" s="52"/>
      <c r="H5" s="52"/>
      <c r="I5" s="52"/>
      <c r="J5" s="53"/>
    </row>
    <row r="6" spans="1:10" x14ac:dyDescent="0.25">
      <c r="A6" s="45"/>
      <c r="B6" s="52"/>
      <c r="C6" s="52"/>
      <c r="D6" s="54"/>
      <c r="E6" s="52"/>
      <c r="F6" s="52"/>
      <c r="G6" s="52"/>
      <c r="H6" s="52"/>
      <c r="I6" s="52"/>
      <c r="J6" s="53"/>
    </row>
    <row r="7" spans="1:10" x14ac:dyDescent="0.25">
      <c r="A7" s="45"/>
      <c r="B7" s="52"/>
      <c r="C7" s="52"/>
      <c r="D7" s="54"/>
      <c r="E7" s="52"/>
      <c r="F7" s="52"/>
      <c r="G7" s="52"/>
      <c r="H7" s="52"/>
      <c r="I7" s="52"/>
      <c r="J7" s="53"/>
    </row>
    <row r="8" spans="1:10" x14ac:dyDescent="0.25">
      <c r="A8" s="45"/>
      <c r="B8" s="52"/>
      <c r="C8" s="52"/>
      <c r="D8" s="54"/>
      <c r="E8" s="52"/>
      <c r="F8" s="52"/>
      <c r="G8" s="52"/>
      <c r="H8" s="52"/>
      <c r="I8" s="52"/>
      <c r="J8" s="53"/>
    </row>
    <row r="9" spans="1:10" x14ac:dyDescent="0.25">
      <c r="A9" s="45"/>
      <c r="B9" s="52"/>
      <c r="C9" s="52"/>
      <c r="D9" s="54"/>
      <c r="E9" s="52"/>
      <c r="F9" s="52"/>
      <c r="G9" s="52"/>
      <c r="H9" s="52"/>
      <c r="I9" s="52"/>
      <c r="J9" s="53"/>
    </row>
    <row r="10" spans="1:10" x14ac:dyDescent="0.25">
      <c r="A10" s="45"/>
      <c r="B10" s="52"/>
      <c r="C10" s="52"/>
      <c r="D10" s="54"/>
      <c r="E10" s="52"/>
      <c r="F10" s="52"/>
      <c r="G10" s="52"/>
      <c r="H10" s="52"/>
      <c r="I10" s="52"/>
      <c r="J10" s="53"/>
    </row>
    <row r="11" spans="1:10" x14ac:dyDescent="0.25">
      <c r="A11" s="45"/>
      <c r="B11" s="54"/>
      <c r="C11" s="54"/>
      <c r="D11" s="54"/>
      <c r="E11" s="54"/>
      <c r="F11" s="54"/>
      <c r="G11" s="52"/>
      <c r="H11" s="52"/>
      <c r="I11" s="52"/>
      <c r="J11" s="55"/>
    </row>
    <row r="12" spans="1:10" x14ac:dyDescent="0.25">
      <c r="A12" s="45"/>
      <c r="B12" s="54"/>
      <c r="C12" s="54"/>
      <c r="D12" s="54"/>
      <c r="E12" s="54"/>
      <c r="F12" s="54"/>
      <c r="G12" s="52"/>
      <c r="H12" s="52"/>
      <c r="I12" s="52"/>
      <c r="J12" s="55"/>
    </row>
    <row r="13" spans="1:10" x14ac:dyDescent="0.25">
      <c r="A13" s="45"/>
      <c r="B13" s="54"/>
      <c r="C13" s="54"/>
      <c r="D13" s="54"/>
      <c r="E13" s="54"/>
      <c r="F13" s="54"/>
      <c r="G13" s="52"/>
      <c r="H13" s="52"/>
      <c r="I13" s="52"/>
      <c r="J13" s="55"/>
    </row>
    <row r="14" spans="1:10" x14ac:dyDescent="0.25">
      <c r="A14" s="45"/>
      <c r="B14" s="54"/>
      <c r="C14" s="54"/>
      <c r="D14" s="54"/>
      <c r="E14" s="54"/>
      <c r="F14" s="54"/>
      <c r="G14" s="52"/>
      <c r="H14" s="52"/>
      <c r="I14" s="52"/>
      <c r="J14" s="55"/>
    </row>
    <row r="15" spans="1:10" x14ac:dyDescent="0.25">
      <c r="A15" s="45"/>
      <c r="B15" s="54"/>
      <c r="C15" s="54"/>
      <c r="D15" s="54"/>
      <c r="E15" s="54"/>
      <c r="F15" s="54"/>
      <c r="G15" s="52"/>
      <c r="H15" s="52"/>
      <c r="I15" s="52"/>
      <c r="J15" s="55"/>
    </row>
    <row r="16" spans="1:10" x14ac:dyDescent="0.25">
      <c r="A16" s="45"/>
      <c r="B16" s="54"/>
      <c r="C16" s="54"/>
      <c r="D16" s="54"/>
      <c r="E16" s="54"/>
      <c r="F16" s="54"/>
      <c r="G16" s="52"/>
      <c r="H16" s="52"/>
      <c r="I16" s="52"/>
      <c r="J16" s="55"/>
    </row>
    <row r="17" spans="1:10" x14ac:dyDescent="0.25">
      <c r="A17" s="46"/>
      <c r="B17" s="60"/>
      <c r="C17" s="60"/>
      <c r="D17" s="60"/>
      <c r="E17" s="60"/>
      <c r="F17" s="60"/>
      <c r="G17" s="62"/>
      <c r="H17" s="62"/>
      <c r="I17" s="62"/>
      <c r="J17" s="61"/>
    </row>
    <row r="18" spans="1:10" x14ac:dyDescent="0.25">
      <c r="A18" s="46"/>
      <c r="B18" s="56"/>
      <c r="C18" s="56"/>
      <c r="D18" s="56"/>
      <c r="E18" s="56"/>
      <c r="F18" s="56"/>
      <c r="G18" s="62"/>
      <c r="H18" s="62"/>
      <c r="I18" s="62"/>
      <c r="J18" s="57"/>
    </row>
    <row r="19" spans="1:10" x14ac:dyDescent="0.25">
      <c r="A19" s="46"/>
      <c r="B19" s="56"/>
      <c r="C19" s="56"/>
      <c r="D19" s="56"/>
      <c r="E19" s="56"/>
      <c r="F19" s="56"/>
      <c r="G19" s="62"/>
      <c r="H19" s="62"/>
      <c r="I19" s="62"/>
      <c r="J19" s="57"/>
    </row>
    <row r="21" spans="1:10" x14ac:dyDescent="0.25">
      <c r="A21" s="12" t="s">
        <v>85</v>
      </c>
      <c r="B21" s="12"/>
    </row>
    <row r="22" spans="1:10" x14ac:dyDescent="0.25">
      <c r="A22" s="42" t="s">
        <v>89</v>
      </c>
      <c r="B22" s="48" t="s">
        <v>90</v>
      </c>
    </row>
    <row r="23" spans="1:10" x14ac:dyDescent="0.25">
      <c r="A23" s="39" t="s">
        <v>86</v>
      </c>
      <c r="B23" s="49"/>
    </row>
    <row r="24" spans="1:10" x14ac:dyDescent="0.25">
      <c r="A24" s="40" t="s">
        <v>87</v>
      </c>
      <c r="B24" s="37"/>
    </row>
    <row r="25" spans="1:10" x14ac:dyDescent="0.25">
      <c r="A25" s="41" t="s">
        <v>88</v>
      </c>
      <c r="B25" s="38"/>
    </row>
  </sheetData>
  <pageMargins left="0.7" right="0.7" top="0.75" bottom="0.75" header="0.3" footer="0.3"/>
  <pageSetup paperSize="3" orientation="landscape" r:id="rId1"/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showGridLines="0" tabSelected="1" zoomScaleNormal="100" workbookViewId="0">
      <selection sqref="A1:D14"/>
    </sheetView>
  </sheetViews>
  <sheetFormatPr defaultColWidth="9.140625" defaultRowHeight="15" x14ac:dyDescent="0.25"/>
  <cols>
    <col min="1" max="1" width="45.7109375" customWidth="1"/>
    <col min="2" max="4" width="25.7109375" customWidth="1"/>
    <col min="5" max="5" width="9.7109375" customWidth="1"/>
    <col min="6" max="6" width="40.85546875" customWidth="1"/>
    <col min="8" max="8" width="9.140625" customWidth="1"/>
    <col min="9" max="9" width="37.85546875" hidden="1" customWidth="1"/>
    <col min="10" max="11" width="9.140625" hidden="1" customWidth="1"/>
  </cols>
  <sheetData>
    <row r="1" spans="1:11" x14ac:dyDescent="0.25">
      <c r="A1" s="63" t="s">
        <v>12</v>
      </c>
      <c r="B1" s="84" t="s">
        <v>108</v>
      </c>
      <c r="C1" s="84"/>
      <c r="D1" s="84"/>
      <c r="F1" s="87" t="s">
        <v>29</v>
      </c>
    </row>
    <row r="2" spans="1:11" x14ac:dyDescent="0.25">
      <c r="A2" s="64" t="s">
        <v>13</v>
      </c>
      <c r="B2" s="85">
        <v>45108</v>
      </c>
      <c r="C2" s="85"/>
      <c r="D2" s="85"/>
      <c r="F2" s="87"/>
    </row>
    <row r="3" spans="1:11" ht="15.75" thickBot="1" x14ac:dyDescent="0.3">
      <c r="A3" s="65" t="s">
        <v>14</v>
      </c>
      <c r="B3" s="86" t="s">
        <v>107</v>
      </c>
      <c r="C3" s="86"/>
      <c r="D3" s="86"/>
      <c r="F3" s="87"/>
    </row>
    <row r="4" spans="1:11" ht="30" customHeight="1" thickBot="1" x14ac:dyDescent="0.3">
      <c r="A4" s="66" t="s">
        <v>15</v>
      </c>
      <c r="B4" s="67" t="s">
        <v>16</v>
      </c>
      <c r="C4" s="67" t="s">
        <v>104</v>
      </c>
      <c r="D4" s="68" t="s">
        <v>17</v>
      </c>
      <c r="F4" s="80"/>
      <c r="I4" s="88" t="s">
        <v>39</v>
      </c>
      <c r="J4" s="88"/>
      <c r="K4" s="88"/>
    </row>
    <row r="5" spans="1:11" ht="30" customHeight="1" x14ac:dyDescent="0.25">
      <c r="A5" s="69" t="s">
        <v>18</v>
      </c>
      <c r="B5" s="70" t="str">
        <f t="shared" ref="B5:B14" si="0">LOOKUP(A5,I$5:K$14)</f>
        <v>Greyling</v>
      </c>
      <c r="C5" s="70">
        <f t="shared" ref="C5:C14" si="1">B$2-D5</f>
        <v>122</v>
      </c>
      <c r="D5" s="71">
        <v>44986</v>
      </c>
      <c r="F5" s="81" t="s">
        <v>30</v>
      </c>
      <c r="I5" s="1" t="s">
        <v>26</v>
      </c>
      <c r="K5" s="1" t="s">
        <v>19</v>
      </c>
    </row>
    <row r="6" spans="1:11" ht="30" customHeight="1" x14ac:dyDescent="0.25">
      <c r="A6" s="72" t="s">
        <v>20</v>
      </c>
      <c r="B6" s="73" t="str">
        <f t="shared" si="0"/>
        <v>Greyling/T5 Data Centers, LLC</v>
      </c>
      <c r="C6" s="74">
        <f t="shared" si="1"/>
        <v>129</v>
      </c>
      <c r="D6" s="75">
        <v>44979</v>
      </c>
      <c r="F6" s="81" t="s">
        <v>31</v>
      </c>
      <c r="I6" s="1" t="s">
        <v>24</v>
      </c>
      <c r="K6" s="1" t="s">
        <v>25</v>
      </c>
    </row>
    <row r="7" spans="1:11" ht="30" customHeight="1" x14ac:dyDescent="0.25">
      <c r="A7" s="72" t="s">
        <v>21</v>
      </c>
      <c r="B7" s="73" t="str">
        <f t="shared" si="0"/>
        <v>T5 Data Centers, LLC</v>
      </c>
      <c r="C7" s="73">
        <f t="shared" si="1"/>
        <v>91</v>
      </c>
      <c r="D7" s="75">
        <v>45017</v>
      </c>
      <c r="F7" s="81" t="s">
        <v>32</v>
      </c>
      <c r="I7" s="1" t="s">
        <v>38</v>
      </c>
      <c r="K7" s="1" t="s">
        <v>19</v>
      </c>
    </row>
    <row r="8" spans="1:11" ht="30" customHeight="1" x14ac:dyDescent="0.25">
      <c r="A8" s="72" t="s">
        <v>22</v>
      </c>
      <c r="B8" s="73" t="str">
        <f t="shared" si="0"/>
        <v>Greyling</v>
      </c>
      <c r="C8" s="73">
        <f t="shared" si="1"/>
        <v>77</v>
      </c>
      <c r="D8" s="75">
        <v>45031</v>
      </c>
      <c r="F8" s="81" t="s">
        <v>33</v>
      </c>
      <c r="I8" s="1" t="s">
        <v>23</v>
      </c>
      <c r="K8" s="1" t="str">
        <f>"Greyling"</f>
        <v>Greyling</v>
      </c>
    </row>
    <row r="9" spans="1:11" ht="30" customHeight="1" x14ac:dyDescent="0.25">
      <c r="A9" s="72" t="s">
        <v>23</v>
      </c>
      <c r="B9" s="73" t="str">
        <f t="shared" si="0"/>
        <v>Greyling</v>
      </c>
      <c r="C9" s="74">
        <f t="shared" si="1"/>
        <v>61</v>
      </c>
      <c r="D9" s="75">
        <v>45047</v>
      </c>
      <c r="F9" s="81"/>
      <c r="I9" s="1" t="s">
        <v>22</v>
      </c>
      <c r="K9" s="1" t="s">
        <v>19</v>
      </c>
    </row>
    <row r="10" spans="1:11" ht="30" customHeight="1" x14ac:dyDescent="0.25">
      <c r="A10" s="72" t="s">
        <v>24</v>
      </c>
      <c r="B10" s="73" t="str">
        <f t="shared" si="0"/>
        <v>Insurers</v>
      </c>
      <c r="C10" s="74">
        <f t="shared" si="1"/>
        <v>46</v>
      </c>
      <c r="D10" s="75">
        <v>45062</v>
      </c>
      <c r="F10" s="81" t="s">
        <v>34</v>
      </c>
      <c r="I10" s="1" t="s">
        <v>20</v>
      </c>
      <c r="K10" s="1" t="str">
        <f>"Greyling/"&amp;B$1</f>
        <v>Greyling/T5 Data Centers, LLC</v>
      </c>
    </row>
    <row r="11" spans="1:11" ht="30" customHeight="1" x14ac:dyDescent="0.25">
      <c r="A11" s="72" t="s">
        <v>26</v>
      </c>
      <c r="B11" s="73" t="str">
        <f t="shared" si="0"/>
        <v>Greyling</v>
      </c>
      <c r="C11" s="74">
        <f t="shared" si="1"/>
        <v>39</v>
      </c>
      <c r="D11" s="75">
        <v>45069</v>
      </c>
      <c r="F11" s="81" t="s">
        <v>35</v>
      </c>
      <c r="I11" s="1" t="s">
        <v>27</v>
      </c>
      <c r="K11" s="1" t="str">
        <f>"Greyling/"&amp;B$1</f>
        <v>Greyling/T5 Data Centers, LLC</v>
      </c>
    </row>
    <row r="12" spans="1:11" ht="30" customHeight="1" x14ac:dyDescent="0.25">
      <c r="A12" s="72" t="s">
        <v>27</v>
      </c>
      <c r="B12" s="73" t="str">
        <f t="shared" si="0"/>
        <v>Greyling/T5 Data Centers, LLC</v>
      </c>
      <c r="C12" s="74">
        <f t="shared" si="1"/>
        <v>32</v>
      </c>
      <c r="D12" s="75">
        <v>45076</v>
      </c>
      <c r="F12" s="81"/>
      <c r="I12" s="1" t="s">
        <v>21</v>
      </c>
      <c r="K12" s="1" t="str">
        <f>B$1</f>
        <v>T5 Data Centers, LLC</v>
      </c>
    </row>
    <row r="13" spans="1:11" ht="30" customHeight="1" x14ac:dyDescent="0.25">
      <c r="A13" s="72" t="s">
        <v>28</v>
      </c>
      <c r="B13" s="73" t="str">
        <f t="shared" si="0"/>
        <v>Greyling/T5 Data Centers, LLC</v>
      </c>
      <c r="C13" s="74">
        <f t="shared" si="1"/>
        <v>30</v>
      </c>
      <c r="D13" s="75">
        <v>45078</v>
      </c>
      <c r="F13" s="81" t="s">
        <v>36</v>
      </c>
      <c r="I13" s="1" t="s">
        <v>18</v>
      </c>
      <c r="K13" s="1" t="s">
        <v>19</v>
      </c>
    </row>
    <row r="14" spans="1:11" ht="30" customHeight="1" x14ac:dyDescent="0.25">
      <c r="A14" s="76" t="s">
        <v>38</v>
      </c>
      <c r="B14" s="77" t="str">
        <f t="shared" si="0"/>
        <v>Greyling</v>
      </c>
      <c r="C14" s="78">
        <f t="shared" si="1"/>
        <v>25</v>
      </c>
      <c r="D14" s="79">
        <v>45083</v>
      </c>
      <c r="F14" s="81" t="s">
        <v>37</v>
      </c>
      <c r="I14" s="1" t="s">
        <v>28</v>
      </c>
      <c r="K14" s="1" t="str">
        <f>"Greyling/"&amp;B$1</f>
        <v>Greyling/T5 Data Centers, LLC</v>
      </c>
    </row>
    <row r="15" spans="1:11" ht="30" customHeight="1" x14ac:dyDescent="0.25"/>
  </sheetData>
  <sortState xmlns:xlrd2="http://schemas.microsoft.com/office/spreadsheetml/2017/richdata2" ref="I5:K15">
    <sortCondition ref="I5"/>
  </sortState>
  <mergeCells count="5">
    <mergeCell ref="B1:D1"/>
    <mergeCell ref="B2:D2"/>
    <mergeCell ref="B3:D3"/>
    <mergeCell ref="F1:F3"/>
    <mergeCell ref="I4:K4"/>
  </mergeCells>
  <conditionalFormatting sqref="A5:D1048576">
    <cfRule type="expression" dxfId="1" priority="1">
      <formula>$A5="Pre-renewal strategy meeting"</formula>
    </cfRule>
    <cfRule type="expression" dxfId="0" priority="2">
      <formula>$A5="Present final renewal options"</formula>
    </cfRule>
  </conditionalFormatting>
  <dataValidations count="1">
    <dataValidation type="list" allowBlank="1" showInputMessage="1" showErrorMessage="1" sqref="A5:A14" xr:uid="{00000000-0002-0000-0400-000000000000}">
      <formula1>$I$5:$I$14</formula1>
    </dataValidation>
  </dataValidations>
  <pageMargins left="0.5" right="0.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Exposure Info</vt:lpstr>
      <vt:lpstr>PL Rate</vt:lpstr>
      <vt:lpstr>GL Rate</vt:lpstr>
      <vt:lpstr>Named Insured Analysis</vt:lpstr>
      <vt:lpstr>Timeline</vt:lpstr>
    </vt:vector>
  </TitlesOfParts>
  <Company>Edgewood Partners Insurance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Davidson</dc:creator>
  <cp:lastModifiedBy>Nicole Larsen</cp:lastModifiedBy>
  <cp:lastPrinted>2018-05-14T11:59:01Z</cp:lastPrinted>
  <dcterms:created xsi:type="dcterms:W3CDTF">2017-10-25T20:40:43Z</dcterms:created>
  <dcterms:modified xsi:type="dcterms:W3CDTF">2023-02-12T20:28:39Z</dcterms:modified>
</cp:coreProperties>
</file>