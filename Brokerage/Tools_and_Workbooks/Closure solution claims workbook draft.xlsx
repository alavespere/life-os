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Templates\WC Closure Solution Workbook\"/>
    </mc:Choice>
  </mc:AlternateContent>
  <bookViews>
    <workbookView xWindow="0" yWindow="0" windowWidth="28800" windowHeight="12435"/>
  </bookViews>
  <sheets>
    <sheet name="claims" sheetId="1" r:id="rId1"/>
    <sheet name="metrics" sheetId="2" r:id="rId2"/>
    <sheet name="quarterly targets" sheetId="4" r:id="rId3"/>
    <sheet name="notes" sheetId="3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" i="1" l="1"/>
  <c r="R5" i="1"/>
  <c r="R6" i="1"/>
  <c r="R3" i="1"/>
  <c r="Q4" i="1"/>
  <c r="Q5" i="1"/>
  <c r="Q6" i="1"/>
  <c r="Q3" i="1"/>
  <c r="P4" i="1"/>
  <c r="P5" i="1"/>
  <c r="P6" i="1"/>
  <c r="P3" i="1"/>
  <c r="H13" i="2" l="1"/>
</calcChain>
</file>

<file path=xl/sharedStrings.xml><?xml version="1.0" encoding="utf-8"?>
<sst xmlns="http://schemas.openxmlformats.org/spreadsheetml/2006/main" count="382" uniqueCount="123">
  <si>
    <t>Claim Number</t>
  </si>
  <si>
    <t>Claimant</t>
  </si>
  <si>
    <t>State</t>
  </si>
  <si>
    <t>Baseline</t>
  </si>
  <si>
    <t>Baseline Valuation</t>
  </si>
  <si>
    <t>Outstanding</t>
  </si>
  <si>
    <t>Incurred</t>
  </si>
  <si>
    <t>Current Valuation</t>
  </si>
  <si>
    <t>Oustanding</t>
  </si>
  <si>
    <t>Closure Score</t>
  </si>
  <si>
    <t>% Oustanding</t>
  </si>
  <si>
    <t>Closure Barriers</t>
  </si>
  <si>
    <t>Adjuster Recommendation Type</t>
  </si>
  <si>
    <t>3 Months</t>
  </si>
  <si>
    <t>6 Months</t>
  </si>
  <si>
    <t>9 Months</t>
  </si>
  <si>
    <t>12 Months</t>
  </si>
  <si>
    <t>15 Months</t>
  </si>
  <si>
    <t>18 Months</t>
  </si>
  <si>
    <t>Previous</t>
  </si>
  <si>
    <t>Current</t>
  </si>
  <si>
    <t>#</t>
  </si>
  <si>
    <t>Claims</t>
  </si>
  <si>
    <t>$</t>
  </si>
  <si>
    <t>Closure Rate</t>
  </si>
  <si>
    <t>%</t>
  </si>
  <si>
    <t>Adjuster</t>
  </si>
  <si>
    <t>Critical Claim Alerts</t>
  </si>
  <si>
    <t>Recent litigation</t>
  </si>
  <si>
    <t>Recent surgery flag added</t>
  </si>
  <si>
    <t>Recent large reserve increase</t>
  </si>
  <si>
    <t>Recently reopened?</t>
  </si>
  <si>
    <t>No recent payment activity?</t>
  </si>
  <si>
    <t>Adjuster barriers</t>
  </si>
  <si>
    <t>Claimant barriers</t>
  </si>
  <si>
    <t>Client barriers</t>
  </si>
  <si>
    <t>Expected Closure Date</t>
  </si>
  <si>
    <t>Last Review Date</t>
  </si>
  <si>
    <t>Expected Closures</t>
  </si>
  <si>
    <t>Next 30 days</t>
  </si>
  <si>
    <t>By project end</t>
  </si>
  <si>
    <t>Reduction Possible</t>
  </si>
  <si>
    <t># Claims</t>
  </si>
  <si>
    <t>Barrier</t>
  </si>
  <si>
    <t>Claims Reviewed &amp; Open</t>
  </si>
  <si>
    <t>Total</t>
  </si>
  <si>
    <t>With Reduction</t>
  </si>
  <si>
    <t>Status</t>
  </si>
  <si>
    <t>Reviews</t>
  </si>
  <si>
    <t># Reviewed Total</t>
  </si>
  <si>
    <t># Reviewed Last 30 Days</t>
  </si>
  <si>
    <t>Litigated?</t>
  </si>
  <si>
    <t>Update financials, claim details monthly</t>
  </si>
  <si>
    <t>Keep track of historical claim notes</t>
  </si>
  <si>
    <t>Ability to quickly identify case studies, example claims</t>
  </si>
  <si>
    <t>Incurred Variance</t>
  </si>
  <si>
    <t>Waiting on adjuster response?</t>
  </si>
  <si>
    <t>Critical Claim Alerts- individual workbook fields or separate reports</t>
  </si>
  <si>
    <t>Valuation: 12/31/19</t>
  </si>
  <si>
    <t>Target</t>
  </si>
  <si>
    <t>Tasks</t>
  </si>
  <si>
    <t>Due Next 30 Days</t>
  </si>
  <si>
    <t>Baseline Claims</t>
  </si>
  <si>
    <t># Closed</t>
  </si>
  <si>
    <t>Closed with Reduction</t>
  </si>
  <si>
    <t>Incurred Variance (closed claims)</t>
  </si>
  <si>
    <t>Closed</t>
  </si>
  <si>
    <t>Total Variance</t>
  </si>
  <si>
    <t>Gross Variance</t>
  </si>
  <si>
    <t>Gross Closure Rate</t>
  </si>
  <si>
    <t>Parse claims initially</t>
  </si>
  <si>
    <t>Gross Closures</t>
  </si>
  <si>
    <t>Gross Incurred Reductions needed by next quarter end to meet target:</t>
  </si>
  <si>
    <t>Total closures needed by next quarter end to meet target:</t>
  </si>
  <si>
    <t>Paid</t>
  </si>
  <si>
    <t>% Baseline Incurred Paid</t>
  </si>
  <si>
    <t>30165296948-0001</t>
  </si>
  <si>
    <t>KIM, JOANNA</t>
  </si>
  <si>
    <t>30166843122-0001</t>
  </si>
  <si>
    <t>PEREZ, GISELLE V</t>
  </si>
  <si>
    <t>30181029977-0001</t>
  </si>
  <si>
    <t>REYES FERNANDEZ, HAYLEEN</t>
  </si>
  <si>
    <t>30181554510-0001</t>
  </si>
  <si>
    <t>WILLIS, CHARLES</t>
  </si>
  <si>
    <t>DOL</t>
  </si>
  <si>
    <t>CA</t>
  </si>
  <si>
    <t>MD</t>
  </si>
  <si>
    <t>PA</t>
  </si>
  <si>
    <t>Account</t>
  </si>
  <si>
    <t>Yes</t>
  </si>
  <si>
    <t>No</t>
  </si>
  <si>
    <t>O</t>
  </si>
  <si>
    <t>Cynthia Facciolli</t>
  </si>
  <si>
    <t>Eva Padilla</t>
  </si>
  <si>
    <t>Kimberly Alexander</t>
  </si>
  <si>
    <t>Christine L. Noble</t>
  </si>
  <si>
    <t>24 HR Homecare LLC</t>
  </si>
  <si>
    <t>Abacus Corporation</t>
  </si>
  <si>
    <t>Berks Packing Co. Inc.</t>
  </si>
  <si>
    <t>Attorney</t>
  </si>
  <si>
    <t>Client</t>
  </si>
  <si>
    <t>Reserve Increase</t>
  </si>
  <si>
    <t>Ready for Settlement</t>
  </si>
  <si>
    <t>Recent litigaton</t>
  </si>
  <si>
    <t>Recent survey</t>
  </si>
  <si>
    <t>Main Closure Barrier (drop-down)</t>
  </si>
  <si>
    <t>Closure Barrier Detail (free form note)</t>
  </si>
  <si>
    <t>Review Notes (claim summary internal notes)</t>
  </si>
  <si>
    <t>Adjuster Recommendation</t>
  </si>
  <si>
    <t>Physician barriers</t>
  </si>
  <si>
    <t>Defense Attorney barriers</t>
  </si>
  <si>
    <t>Claimant Attorney barriers</t>
  </si>
  <si>
    <t>Reserve Evaluation</t>
  </si>
  <si>
    <t>Position for Settlement</t>
  </si>
  <si>
    <t>Adjuster Recommendation Type- need to define each category</t>
  </si>
  <si>
    <t>Claim Category (determine once engagement begins)</t>
  </si>
  <si>
    <t>High closure opportunity</t>
  </si>
  <si>
    <t>Task Date</t>
  </si>
  <si>
    <t>Expected closure</t>
  </si>
  <si>
    <t>Expected response</t>
  </si>
  <si>
    <t>Task Type (not needed?)</t>
  </si>
  <si>
    <t>Claim Category- to be developed after engagement begins</t>
  </si>
  <si>
    <t>Task Type- 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</si>
</sst>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0" fillId="0" borderId="31" xfId="0" applyBorder="1" applyAlignment="1">
      <alignment vertical="center" wrapText="1"/>
    </xf>
    <xf numFmtId="14" fontId="0" fillId="0" borderId="0" xfId="0" applyNumberFormat="1"/>
    <xf numFmtId="164" fontId="0" fillId="3" borderId="0" xfId="0" applyNumberFormat="1" applyFill="1"/>
    <xf numFmtId="164" fontId="0" fillId="0" borderId="0" xfId="0" applyNumberFormat="1"/>
    <xf numFmtId="9" fontId="0" fillId="0" borderId="0" xfId="1" applyFont="1"/>
    <xf numFmtId="0" fontId="0" fillId="5" borderId="0" xfId="0" applyFill="1" applyAlignment="1">
      <alignment vertical="center" wrapText="1"/>
    </xf>
    <xf numFmtId="164" fontId="0" fillId="3" borderId="0" xfId="0" applyNumberForma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Views>
    <sheetView tabSelected="1" workbookViewId="0">
      <pane xSplit="6" ySplit="2" topLeftCell="U3" activePane="bottomRight" state="frozen"/>
      <selection pane="topRight" activeCell="E1" sqref="E1"/>
      <selection pane="bottomLeft" activeCell="A3" sqref="A3"/>
      <selection pane="bottomRight" activeCell="U2" sqref="U2"/>
    </sheetView>
  </sheetViews>
  <sheetFormatPr defaultRowHeight="15" x14ac:dyDescent="0.25"/>
  <cols>
    <col min="1" max="2" width="9.28515625" customWidth="1"/>
    <col min="3" max="3" width="12.85546875" customWidth="1"/>
    <col min="4" max="5" width="9.28515625" customWidth="1"/>
    <col min="6" max="6" width="15.28515625" customWidth="1"/>
    <col min="7" max="7" width="12.7109375" style="43" customWidth="1"/>
    <col min="8" max="9" width="10.28515625" style="43" customWidth="1"/>
    <col min="10" max="10" width="9.7109375" bestFit="1" customWidth="1"/>
    <col min="11" max="11" width="8.140625" customWidth="1"/>
    <col min="12" max="12" width="20.28515625" customWidth="1"/>
    <col min="13" max="13" width="11.140625" bestFit="1" customWidth="1"/>
    <col min="14" max="14" width="11.140625" customWidth="1"/>
    <col min="15" max="15" width="8.42578125" bestFit="1" customWidth="1"/>
    <col min="16" max="16" width="13.28515625" bestFit="1" customWidth="1"/>
    <col min="17" max="17" width="14.28515625" customWidth="1"/>
    <col min="18" max="18" width="16.140625" customWidth="1"/>
    <col min="19" max="19" width="11.140625" customWidth="1"/>
    <col min="20" max="20" width="16.28515625" customWidth="1"/>
    <col min="21" max="21" width="31.42578125" customWidth="1"/>
    <col min="22" max="22" width="37.85546875" customWidth="1"/>
    <col min="23" max="23" width="18.5703125" customWidth="1"/>
    <col min="24" max="25" width="14.42578125" customWidth="1"/>
    <col min="26" max="27" width="21" customWidth="1"/>
    <col min="28" max="28" width="24.140625" customWidth="1"/>
    <col min="29" max="29" width="23.5703125" customWidth="1"/>
    <col min="30" max="30" width="14.85546875" customWidth="1"/>
    <col min="31" max="32" width="17.5703125" customWidth="1"/>
  </cols>
  <sheetData>
    <row r="1" spans="1:32" x14ac:dyDescent="0.25">
      <c r="A1" s="7" t="s">
        <v>58</v>
      </c>
      <c r="B1" s="7"/>
      <c r="C1" s="7"/>
      <c r="D1" s="7"/>
      <c r="E1" s="7"/>
      <c r="F1" s="7"/>
      <c r="G1" s="42" t="s">
        <v>4</v>
      </c>
      <c r="H1" s="42"/>
      <c r="I1" s="42"/>
      <c r="J1" s="5"/>
      <c r="K1" s="6" t="s">
        <v>7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2" s="2" customFormat="1" ht="45" x14ac:dyDescent="0.25">
      <c r="A2" s="45" t="s">
        <v>0</v>
      </c>
      <c r="B2" s="45" t="s">
        <v>1</v>
      </c>
      <c r="C2" s="45" t="s">
        <v>84</v>
      </c>
      <c r="D2" s="45" t="s">
        <v>2</v>
      </c>
      <c r="E2" s="45" t="s">
        <v>88</v>
      </c>
      <c r="F2" s="45" t="s">
        <v>26</v>
      </c>
      <c r="G2" s="46" t="s">
        <v>5</v>
      </c>
      <c r="H2" s="46" t="s">
        <v>74</v>
      </c>
      <c r="I2" s="46" t="s">
        <v>6</v>
      </c>
      <c r="J2" s="47" t="s">
        <v>51</v>
      </c>
      <c r="K2" s="48" t="s">
        <v>47</v>
      </c>
      <c r="L2" s="48" t="s">
        <v>26</v>
      </c>
      <c r="M2" s="48" t="s">
        <v>8</v>
      </c>
      <c r="N2" s="48" t="s">
        <v>74</v>
      </c>
      <c r="O2" s="48" t="s">
        <v>6</v>
      </c>
      <c r="P2" s="48" t="s">
        <v>10</v>
      </c>
      <c r="Q2" s="48" t="s">
        <v>55</v>
      </c>
      <c r="R2" s="48" t="s">
        <v>75</v>
      </c>
      <c r="S2" s="48" t="s">
        <v>9</v>
      </c>
      <c r="T2" s="49" t="s">
        <v>37</v>
      </c>
      <c r="U2" s="49" t="s">
        <v>107</v>
      </c>
      <c r="V2" s="49" t="s">
        <v>108</v>
      </c>
      <c r="W2" s="49" t="s">
        <v>56</v>
      </c>
      <c r="X2" s="49" t="s">
        <v>36</v>
      </c>
      <c r="Y2" s="49" t="s">
        <v>41</v>
      </c>
      <c r="Z2" s="49" t="s">
        <v>105</v>
      </c>
      <c r="AA2" s="49" t="s">
        <v>106</v>
      </c>
      <c r="AB2" s="49" t="s">
        <v>12</v>
      </c>
      <c r="AC2" s="49" t="s">
        <v>115</v>
      </c>
      <c r="AD2" s="49" t="s">
        <v>117</v>
      </c>
      <c r="AE2" s="49" t="s">
        <v>120</v>
      </c>
      <c r="AF2" s="49" t="s">
        <v>27</v>
      </c>
    </row>
    <row r="3" spans="1:32" x14ac:dyDescent="0.25">
      <c r="A3" t="s">
        <v>76</v>
      </c>
      <c r="B3" t="s">
        <v>77</v>
      </c>
      <c r="C3" s="41">
        <v>42404</v>
      </c>
      <c r="D3" t="s">
        <v>85</v>
      </c>
      <c r="E3" t="s">
        <v>96</v>
      </c>
      <c r="F3" t="s">
        <v>92</v>
      </c>
      <c r="G3" s="43">
        <v>57465.89</v>
      </c>
      <c r="H3" s="43">
        <v>114869.54</v>
      </c>
      <c r="I3" s="43">
        <v>172335.43</v>
      </c>
      <c r="J3" t="s">
        <v>89</v>
      </c>
      <c r="K3" t="s">
        <v>91</v>
      </c>
      <c r="L3" t="s">
        <v>92</v>
      </c>
      <c r="M3" s="43">
        <v>57465.89</v>
      </c>
      <c r="N3" s="43">
        <v>114869.54</v>
      </c>
      <c r="O3" s="43">
        <v>172335.43</v>
      </c>
      <c r="P3" s="44">
        <f>M3/O3</f>
        <v>0.3334537187158787</v>
      </c>
      <c r="Q3" s="43">
        <f>O3-I3</f>
        <v>0</v>
      </c>
      <c r="R3" s="44">
        <f>N3/I3</f>
        <v>0.6665462812841213</v>
      </c>
      <c r="S3">
        <v>40</v>
      </c>
      <c r="W3" t="s">
        <v>90</v>
      </c>
      <c r="X3" s="41">
        <v>43952</v>
      </c>
      <c r="Y3" t="s">
        <v>89</v>
      </c>
      <c r="Z3" t="s">
        <v>26</v>
      </c>
      <c r="AC3" t="s">
        <v>116</v>
      </c>
      <c r="AD3" s="41">
        <v>43862</v>
      </c>
      <c r="AF3" t="s">
        <v>103</v>
      </c>
    </row>
    <row r="4" spans="1:32" x14ac:dyDescent="0.25">
      <c r="A4" t="s">
        <v>78</v>
      </c>
      <c r="B4" t="s">
        <v>79</v>
      </c>
      <c r="C4" s="41">
        <v>42488</v>
      </c>
      <c r="D4" t="s">
        <v>85</v>
      </c>
      <c r="E4" t="s">
        <v>96</v>
      </c>
      <c r="F4" t="s">
        <v>93</v>
      </c>
      <c r="G4" s="43">
        <v>127844.74</v>
      </c>
      <c r="H4" s="43">
        <v>32417.7</v>
      </c>
      <c r="I4" s="43">
        <v>160262.44</v>
      </c>
      <c r="J4" t="s">
        <v>89</v>
      </c>
      <c r="K4" t="s">
        <v>91</v>
      </c>
      <c r="L4" t="s">
        <v>93</v>
      </c>
      <c r="M4" s="43">
        <v>127844.74</v>
      </c>
      <c r="N4" s="43">
        <v>32417.7</v>
      </c>
      <c r="O4" s="43">
        <v>160262.44</v>
      </c>
      <c r="P4" s="44">
        <f t="shared" ref="P4:P6" si="0">M4/O4</f>
        <v>0.79772116286261463</v>
      </c>
      <c r="Q4" s="43">
        <f t="shared" ref="Q4:Q6" si="1">O4-I4</f>
        <v>0</v>
      </c>
      <c r="R4" s="44">
        <f t="shared" ref="R4:R6" si="2">N4/I4</f>
        <v>0.2022788371373854</v>
      </c>
      <c r="S4">
        <v>40</v>
      </c>
      <c r="W4" t="s">
        <v>90</v>
      </c>
      <c r="X4" s="41">
        <v>44228</v>
      </c>
      <c r="Y4" t="s">
        <v>90</v>
      </c>
      <c r="Z4" t="s">
        <v>99</v>
      </c>
      <c r="AD4" s="41">
        <v>43850</v>
      </c>
      <c r="AF4" t="s">
        <v>104</v>
      </c>
    </row>
    <row r="5" spans="1:32" x14ac:dyDescent="0.25">
      <c r="A5" t="s">
        <v>80</v>
      </c>
      <c r="B5" t="s">
        <v>81</v>
      </c>
      <c r="C5" s="41">
        <v>43363</v>
      </c>
      <c r="D5" t="s">
        <v>86</v>
      </c>
      <c r="E5" t="s">
        <v>97</v>
      </c>
      <c r="F5" t="s">
        <v>94</v>
      </c>
      <c r="G5" s="43">
        <v>277646.55</v>
      </c>
      <c r="H5" s="43">
        <v>325.45</v>
      </c>
      <c r="I5" s="43">
        <v>277972</v>
      </c>
      <c r="J5" t="s">
        <v>90</v>
      </c>
      <c r="K5" t="s">
        <v>91</v>
      </c>
      <c r="L5" t="s">
        <v>94</v>
      </c>
      <c r="M5" s="43">
        <v>277646.55</v>
      </c>
      <c r="N5" s="43">
        <v>325.45</v>
      </c>
      <c r="O5" s="43">
        <v>277972</v>
      </c>
      <c r="P5" s="44">
        <f t="shared" si="0"/>
        <v>0.99882919862432185</v>
      </c>
      <c r="Q5" s="43">
        <f t="shared" si="1"/>
        <v>0</v>
      </c>
      <c r="R5" s="44">
        <f t="shared" si="2"/>
        <v>1.1708013756781257E-3</v>
      </c>
      <c r="S5">
        <v>40</v>
      </c>
      <c r="W5" t="s">
        <v>90</v>
      </c>
      <c r="X5" s="41">
        <v>44044</v>
      </c>
      <c r="Y5" t="s">
        <v>90</v>
      </c>
      <c r="Z5" t="s">
        <v>1</v>
      </c>
      <c r="AB5" t="s">
        <v>102</v>
      </c>
      <c r="AD5" s="41">
        <v>43862</v>
      </c>
    </row>
    <row r="6" spans="1:32" x14ac:dyDescent="0.25">
      <c r="A6" t="s">
        <v>82</v>
      </c>
      <c r="B6" t="s">
        <v>83</v>
      </c>
      <c r="C6" s="41">
        <v>43445</v>
      </c>
      <c r="D6" t="s">
        <v>87</v>
      </c>
      <c r="E6" t="s">
        <v>98</v>
      </c>
      <c r="F6" t="s">
        <v>95</v>
      </c>
      <c r="G6" s="43">
        <v>108300.48</v>
      </c>
      <c r="H6" s="43">
        <v>59046.8</v>
      </c>
      <c r="I6" s="43">
        <v>167347.28</v>
      </c>
      <c r="J6" t="s">
        <v>89</v>
      </c>
      <c r="K6" t="s">
        <v>91</v>
      </c>
      <c r="L6" t="s">
        <v>95</v>
      </c>
      <c r="M6" s="43">
        <v>108300.48</v>
      </c>
      <c r="N6" s="43">
        <v>59046.8</v>
      </c>
      <c r="O6" s="43">
        <v>167347.28</v>
      </c>
      <c r="P6" s="44">
        <f t="shared" si="0"/>
        <v>0.64716008530285041</v>
      </c>
      <c r="Q6" s="43">
        <f t="shared" si="1"/>
        <v>0</v>
      </c>
      <c r="R6" s="44">
        <f t="shared" si="2"/>
        <v>0.35283991469714954</v>
      </c>
      <c r="S6">
        <v>40</v>
      </c>
      <c r="W6" t="s">
        <v>90</v>
      </c>
      <c r="X6" s="41">
        <v>45748</v>
      </c>
      <c r="Y6" t="s">
        <v>90</v>
      </c>
      <c r="Z6" t="s">
        <v>100</v>
      </c>
      <c r="AB6" t="s">
        <v>101</v>
      </c>
      <c r="AD6" s="41">
        <v>43891</v>
      </c>
    </row>
  </sheetData>
  <dataValidations count="1">
    <dataValidation type="list" allowBlank="1" showInputMessage="1" showErrorMessage="1" sqref="W3:W6 Y3:Y6">
      <formula1>"Yes,No"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P43"/>
  <sheetViews>
    <sheetView workbookViewId="0">
      <selection activeCell="K23" sqref="K23"/>
    </sheetView>
  </sheetViews>
  <sheetFormatPr defaultRowHeight="15" x14ac:dyDescent="0.25"/>
  <cols>
    <col min="1" max="2" width="9.140625" style="1"/>
    <col min="3" max="16" width="12.28515625" style="1" customWidth="1"/>
    <col min="17" max="16384" width="9.140625" style="1"/>
  </cols>
  <sheetData>
    <row r="5" spans="2:16" x14ac:dyDescent="0.25">
      <c r="B5" s="3"/>
      <c r="C5" s="50" t="s">
        <v>3</v>
      </c>
      <c r="D5" s="51"/>
      <c r="E5" s="50" t="s">
        <v>13</v>
      </c>
      <c r="F5" s="51"/>
      <c r="G5" s="50" t="s">
        <v>14</v>
      </c>
      <c r="H5" s="51"/>
      <c r="I5" s="50" t="s">
        <v>15</v>
      </c>
      <c r="J5" s="51"/>
      <c r="K5" s="50" t="s">
        <v>16</v>
      </c>
      <c r="L5" s="51"/>
      <c r="M5" s="50" t="s">
        <v>17</v>
      </c>
      <c r="N5" s="51"/>
      <c r="O5" s="50" t="s">
        <v>18</v>
      </c>
      <c r="P5" s="51"/>
    </row>
    <row r="6" spans="2:16" x14ac:dyDescent="0.25">
      <c r="B6" s="3"/>
      <c r="C6" s="3" t="s">
        <v>22</v>
      </c>
      <c r="D6" s="3" t="s">
        <v>6</v>
      </c>
      <c r="E6" s="3" t="s">
        <v>24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2:16" x14ac:dyDescent="0.25">
      <c r="B7" s="3" t="s">
        <v>19</v>
      </c>
      <c r="C7" s="3" t="s">
        <v>21</v>
      </c>
      <c r="D7" s="3" t="s">
        <v>23</v>
      </c>
      <c r="E7" s="3" t="s">
        <v>25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2:16" x14ac:dyDescent="0.25">
      <c r="B8" s="3" t="s">
        <v>59</v>
      </c>
      <c r="C8" s="3" t="s">
        <v>21</v>
      </c>
      <c r="D8" s="3" t="s">
        <v>23</v>
      </c>
      <c r="E8" s="3" t="s">
        <v>25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2:16" x14ac:dyDescent="0.25">
      <c r="B9" s="3" t="s">
        <v>20</v>
      </c>
      <c r="C9" s="3" t="s">
        <v>21</v>
      </c>
      <c r="D9" s="3"/>
      <c r="E9" s="3" t="s">
        <v>25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2" spans="2:16" x14ac:dyDescent="0.25">
      <c r="B12" s="1" t="s">
        <v>73</v>
      </c>
      <c r="H12" s="9">
        <v>15</v>
      </c>
    </row>
    <row r="13" spans="2:16" x14ac:dyDescent="0.25">
      <c r="B13" s="1" t="s">
        <v>72</v>
      </c>
      <c r="H13" s="10">
        <f>H12*15000</f>
        <v>225000</v>
      </c>
    </row>
    <row r="16" spans="2:16" x14ac:dyDescent="0.25">
      <c r="B16" s="1" t="s">
        <v>48</v>
      </c>
    </row>
    <row r="17" spans="2:7" ht="30" x14ac:dyDescent="0.25">
      <c r="C17" s="4" t="s">
        <v>49</v>
      </c>
      <c r="D17" s="4" t="s">
        <v>50</v>
      </c>
    </row>
    <row r="18" spans="2:7" x14ac:dyDescent="0.25">
      <c r="C18" s="3"/>
      <c r="D18" s="3"/>
    </row>
    <row r="22" spans="2:7" x14ac:dyDescent="0.25">
      <c r="B22" s="1" t="s">
        <v>38</v>
      </c>
    </row>
    <row r="23" spans="2:7" ht="45" x14ac:dyDescent="0.25">
      <c r="C23" s="4" t="s">
        <v>44</v>
      </c>
      <c r="D23" s="50" t="s">
        <v>39</v>
      </c>
      <c r="E23" s="51"/>
      <c r="F23" s="52" t="s">
        <v>40</v>
      </c>
      <c r="G23" s="53"/>
    </row>
    <row r="24" spans="2:7" s="2" customFormat="1" ht="30" x14ac:dyDescent="0.25">
      <c r="C24" s="4"/>
      <c r="D24" s="4" t="s">
        <v>45</v>
      </c>
      <c r="E24" s="4" t="s">
        <v>46</v>
      </c>
      <c r="F24" s="4" t="s">
        <v>45</v>
      </c>
      <c r="G24" s="4" t="s">
        <v>46</v>
      </c>
    </row>
    <row r="25" spans="2:7" x14ac:dyDescent="0.25">
      <c r="C25" s="3">
        <v>300</v>
      </c>
      <c r="D25" s="3">
        <v>10</v>
      </c>
      <c r="E25" s="3"/>
      <c r="F25" s="3">
        <v>200</v>
      </c>
      <c r="G25" s="3"/>
    </row>
    <row r="27" spans="2:7" x14ac:dyDescent="0.25">
      <c r="B27" s="1" t="s">
        <v>60</v>
      </c>
    </row>
    <row r="28" spans="2:7" ht="30" x14ac:dyDescent="0.25">
      <c r="C28" s="8" t="s">
        <v>61</v>
      </c>
    </row>
    <row r="29" spans="2:7" x14ac:dyDescent="0.25">
      <c r="C29" s="3">
        <v>30</v>
      </c>
    </row>
    <row r="32" spans="2:7" x14ac:dyDescent="0.25">
      <c r="B32" s="1" t="s">
        <v>11</v>
      </c>
    </row>
    <row r="33" spans="2:8" x14ac:dyDescent="0.25">
      <c r="C33" s="3" t="s">
        <v>43</v>
      </c>
      <c r="D33" s="3" t="s">
        <v>42</v>
      </c>
    </row>
    <row r="34" spans="2:8" x14ac:dyDescent="0.25">
      <c r="C34" s="3"/>
      <c r="D34" s="3"/>
    </row>
    <row r="35" spans="2:8" x14ac:dyDescent="0.25">
      <c r="C35" s="3"/>
      <c r="D35" s="3"/>
    </row>
    <row r="36" spans="2:8" x14ac:dyDescent="0.25">
      <c r="C36" s="3"/>
      <c r="D36" s="3"/>
    </row>
    <row r="37" spans="2:8" x14ac:dyDescent="0.25">
      <c r="C37" s="3"/>
      <c r="D37" s="3"/>
    </row>
    <row r="41" spans="2:8" x14ac:dyDescent="0.25">
      <c r="B41" s="1" t="s">
        <v>26</v>
      </c>
    </row>
    <row r="42" spans="2:8" ht="60" x14ac:dyDescent="0.25">
      <c r="C42" s="3" t="s">
        <v>26</v>
      </c>
      <c r="D42" s="3" t="s">
        <v>62</v>
      </c>
      <c r="E42" s="3" t="s">
        <v>63</v>
      </c>
      <c r="F42" s="3" t="s">
        <v>24</v>
      </c>
      <c r="G42" s="4" t="s">
        <v>64</v>
      </c>
      <c r="H42" s="4" t="s">
        <v>65</v>
      </c>
    </row>
    <row r="43" spans="2:8" x14ac:dyDescent="0.25">
      <c r="C43" s="3"/>
      <c r="D43" s="3"/>
      <c r="E43" s="3"/>
      <c r="F43" s="3"/>
      <c r="G43" s="3"/>
      <c r="H43" s="3"/>
    </row>
  </sheetData>
  <mergeCells count="9">
    <mergeCell ref="M5:N5"/>
    <mergeCell ref="O5:P5"/>
    <mergeCell ref="D23:E23"/>
    <mergeCell ref="F23:G23"/>
    <mergeCell ref="C5:D5"/>
    <mergeCell ref="E5:F5"/>
    <mergeCell ref="G5:H5"/>
    <mergeCell ref="I5:J5"/>
    <mergeCell ref="K5:L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N29"/>
  <sheetViews>
    <sheetView workbookViewId="0">
      <selection activeCell="E3" sqref="E3"/>
    </sheetView>
  </sheetViews>
  <sheetFormatPr defaultRowHeight="15" x14ac:dyDescent="0.25"/>
  <cols>
    <col min="1" max="1" width="10.28515625" customWidth="1"/>
    <col min="2" max="2" width="10.140625" customWidth="1"/>
    <col min="3" max="40" width="9.85546875" customWidth="1"/>
  </cols>
  <sheetData>
    <row r="5" spans="1:40" s="1" customFormat="1" ht="15.75" thickBot="1" x14ac:dyDescent="0.3"/>
    <row r="6" spans="1:40" s="1" customFormat="1" ht="15.75" thickBot="1" x14ac:dyDescent="0.3">
      <c r="B6" s="29"/>
      <c r="C6" s="54" t="s">
        <v>3</v>
      </c>
      <c r="D6" s="55"/>
      <c r="E6" s="56" t="s">
        <v>13</v>
      </c>
      <c r="F6" s="56"/>
      <c r="G6" s="56"/>
      <c r="H6" s="56"/>
      <c r="I6" s="56"/>
      <c r="J6" s="55"/>
      <c r="K6" s="54" t="s">
        <v>14</v>
      </c>
      <c r="L6" s="56"/>
      <c r="M6" s="56"/>
      <c r="N6" s="56"/>
      <c r="O6" s="56"/>
      <c r="P6" s="55"/>
      <c r="Q6" s="54" t="s">
        <v>15</v>
      </c>
      <c r="R6" s="56"/>
      <c r="S6" s="56"/>
      <c r="T6" s="56"/>
      <c r="U6" s="56"/>
      <c r="V6" s="56"/>
      <c r="W6" s="54" t="s">
        <v>16</v>
      </c>
      <c r="X6" s="56"/>
      <c r="Y6" s="56"/>
      <c r="Z6" s="56"/>
      <c r="AA6" s="56"/>
      <c r="AB6" s="55"/>
      <c r="AC6" s="56" t="s">
        <v>17</v>
      </c>
      <c r="AD6" s="56"/>
      <c r="AE6" s="56"/>
      <c r="AF6" s="56"/>
      <c r="AG6" s="56"/>
      <c r="AH6" s="56"/>
      <c r="AI6" s="54" t="s">
        <v>18</v>
      </c>
      <c r="AJ6" s="56"/>
      <c r="AK6" s="56"/>
      <c r="AL6" s="56"/>
      <c r="AM6" s="56"/>
      <c r="AN6" s="55"/>
    </row>
    <row r="7" spans="1:40" s="2" customFormat="1" ht="44.25" customHeight="1" thickBot="1" x14ac:dyDescent="0.3">
      <c r="B7" s="35"/>
      <c r="C7" s="36" t="s">
        <v>22</v>
      </c>
      <c r="D7" s="37" t="s">
        <v>6</v>
      </c>
      <c r="E7" s="38" t="s">
        <v>66</v>
      </c>
      <c r="F7" s="39" t="s">
        <v>24</v>
      </c>
      <c r="G7" s="39" t="s">
        <v>67</v>
      </c>
      <c r="H7" s="39" t="s">
        <v>71</v>
      </c>
      <c r="I7" s="39" t="s">
        <v>69</v>
      </c>
      <c r="J7" s="37" t="s">
        <v>68</v>
      </c>
      <c r="K7" s="36" t="s">
        <v>66</v>
      </c>
      <c r="L7" s="39" t="s">
        <v>24</v>
      </c>
      <c r="M7" s="39" t="s">
        <v>67</v>
      </c>
      <c r="N7" s="39" t="s">
        <v>71</v>
      </c>
      <c r="O7" s="39" t="s">
        <v>69</v>
      </c>
      <c r="P7" s="37" t="s">
        <v>68</v>
      </c>
      <c r="Q7" s="36" t="s">
        <v>66</v>
      </c>
      <c r="R7" s="39" t="s">
        <v>24</v>
      </c>
      <c r="S7" s="39" t="s">
        <v>67</v>
      </c>
      <c r="T7" s="39" t="s">
        <v>71</v>
      </c>
      <c r="U7" s="39" t="s">
        <v>69</v>
      </c>
      <c r="V7" s="40" t="s">
        <v>68</v>
      </c>
      <c r="W7" s="36" t="s">
        <v>66</v>
      </c>
      <c r="X7" s="39" t="s">
        <v>24</v>
      </c>
      <c r="Y7" s="39" t="s">
        <v>67</v>
      </c>
      <c r="Z7" s="39" t="s">
        <v>71</v>
      </c>
      <c r="AA7" s="39" t="s">
        <v>69</v>
      </c>
      <c r="AB7" s="37" t="s">
        <v>68</v>
      </c>
      <c r="AC7" s="38" t="s">
        <v>66</v>
      </c>
      <c r="AD7" s="39" t="s">
        <v>24</v>
      </c>
      <c r="AE7" s="39" t="s">
        <v>67</v>
      </c>
      <c r="AF7" s="39" t="s">
        <v>71</v>
      </c>
      <c r="AG7" s="39" t="s">
        <v>69</v>
      </c>
      <c r="AH7" s="40" t="s">
        <v>68</v>
      </c>
      <c r="AI7" s="36" t="s">
        <v>66</v>
      </c>
      <c r="AJ7" s="39" t="s">
        <v>24</v>
      </c>
      <c r="AK7" s="39" t="s">
        <v>67</v>
      </c>
      <c r="AL7" s="39" t="s">
        <v>71</v>
      </c>
      <c r="AM7" s="39" t="s">
        <v>69</v>
      </c>
      <c r="AN7" s="37" t="s">
        <v>68</v>
      </c>
    </row>
    <row r="8" spans="1:40" s="1" customFormat="1" x14ac:dyDescent="0.25">
      <c r="B8" s="30" t="s">
        <v>19</v>
      </c>
      <c r="C8" s="31" t="s">
        <v>21</v>
      </c>
      <c r="D8" s="32" t="s">
        <v>23</v>
      </c>
      <c r="E8" s="33" t="s">
        <v>21</v>
      </c>
      <c r="F8" s="14" t="s">
        <v>25</v>
      </c>
      <c r="G8" s="14" t="s">
        <v>23</v>
      </c>
      <c r="H8" s="14" t="s">
        <v>21</v>
      </c>
      <c r="I8" s="14" t="s">
        <v>25</v>
      </c>
      <c r="J8" s="32" t="s">
        <v>23</v>
      </c>
      <c r="K8" s="31" t="s">
        <v>21</v>
      </c>
      <c r="L8" s="14" t="s">
        <v>25</v>
      </c>
      <c r="M8" s="14" t="s">
        <v>23</v>
      </c>
      <c r="N8" s="14" t="s">
        <v>21</v>
      </c>
      <c r="O8" s="14" t="s">
        <v>25</v>
      </c>
      <c r="P8" s="32" t="s">
        <v>23</v>
      </c>
      <c r="Q8" s="31" t="s">
        <v>21</v>
      </c>
      <c r="R8" s="14" t="s">
        <v>25</v>
      </c>
      <c r="S8" s="14" t="s">
        <v>23</v>
      </c>
      <c r="T8" s="14" t="s">
        <v>21</v>
      </c>
      <c r="U8" s="14" t="s">
        <v>25</v>
      </c>
      <c r="V8" s="34" t="s">
        <v>23</v>
      </c>
      <c r="W8" s="31" t="s">
        <v>21</v>
      </c>
      <c r="X8" s="14" t="s">
        <v>25</v>
      </c>
      <c r="Y8" s="14" t="s">
        <v>23</v>
      </c>
      <c r="Z8" s="14" t="s">
        <v>21</v>
      </c>
      <c r="AA8" s="14" t="s">
        <v>25</v>
      </c>
      <c r="AB8" s="32" t="s">
        <v>23</v>
      </c>
      <c r="AC8" s="33" t="s">
        <v>21</v>
      </c>
      <c r="AD8" s="14" t="s">
        <v>25</v>
      </c>
      <c r="AE8" s="14" t="s">
        <v>23</v>
      </c>
      <c r="AF8" s="14" t="s">
        <v>21</v>
      </c>
      <c r="AG8" s="14" t="s">
        <v>25</v>
      </c>
      <c r="AH8" s="34" t="s">
        <v>23</v>
      </c>
      <c r="AI8" s="31" t="s">
        <v>21</v>
      </c>
      <c r="AJ8" s="14" t="s">
        <v>25</v>
      </c>
      <c r="AK8" s="14" t="s">
        <v>23</v>
      </c>
      <c r="AL8" s="14" t="s">
        <v>21</v>
      </c>
      <c r="AM8" s="14" t="s">
        <v>25</v>
      </c>
      <c r="AN8" s="32" t="s">
        <v>23</v>
      </c>
    </row>
    <row r="9" spans="1:40" s="1" customFormat="1" x14ac:dyDescent="0.25">
      <c r="B9" s="25" t="s">
        <v>59</v>
      </c>
      <c r="C9" s="23" t="s">
        <v>21</v>
      </c>
      <c r="D9" s="19" t="s">
        <v>23</v>
      </c>
      <c r="E9" s="12" t="s">
        <v>21</v>
      </c>
      <c r="F9" s="3" t="s">
        <v>25</v>
      </c>
      <c r="G9" s="3" t="s">
        <v>23</v>
      </c>
      <c r="H9" s="3" t="s">
        <v>21</v>
      </c>
      <c r="I9" s="3" t="s">
        <v>25</v>
      </c>
      <c r="J9" s="19" t="s">
        <v>23</v>
      </c>
      <c r="K9" s="23" t="s">
        <v>21</v>
      </c>
      <c r="L9" s="3" t="s">
        <v>25</v>
      </c>
      <c r="M9" s="3" t="s">
        <v>23</v>
      </c>
      <c r="N9" s="3" t="s">
        <v>21</v>
      </c>
      <c r="O9" s="3" t="s">
        <v>25</v>
      </c>
      <c r="P9" s="19" t="s">
        <v>23</v>
      </c>
      <c r="Q9" s="23" t="s">
        <v>21</v>
      </c>
      <c r="R9" s="3" t="s">
        <v>25</v>
      </c>
      <c r="S9" s="3" t="s">
        <v>23</v>
      </c>
      <c r="T9" s="3" t="s">
        <v>21</v>
      </c>
      <c r="U9" s="3" t="s">
        <v>25</v>
      </c>
      <c r="V9" s="11" t="s">
        <v>23</v>
      </c>
      <c r="W9" s="23" t="s">
        <v>21</v>
      </c>
      <c r="X9" s="3" t="s">
        <v>25</v>
      </c>
      <c r="Y9" s="3" t="s">
        <v>23</v>
      </c>
      <c r="Z9" s="3" t="s">
        <v>21</v>
      </c>
      <c r="AA9" s="3" t="s">
        <v>25</v>
      </c>
      <c r="AB9" s="19" t="s">
        <v>23</v>
      </c>
      <c r="AC9" s="12" t="s">
        <v>21</v>
      </c>
      <c r="AD9" s="3" t="s">
        <v>25</v>
      </c>
      <c r="AE9" s="3" t="s">
        <v>23</v>
      </c>
      <c r="AF9" s="3" t="s">
        <v>21</v>
      </c>
      <c r="AG9" s="3" t="s">
        <v>25</v>
      </c>
      <c r="AH9" s="11" t="s">
        <v>23</v>
      </c>
      <c r="AI9" s="23" t="s">
        <v>21</v>
      </c>
      <c r="AJ9" s="3" t="s">
        <v>25</v>
      </c>
      <c r="AK9" s="3" t="s">
        <v>23</v>
      </c>
      <c r="AL9" s="3" t="s">
        <v>21</v>
      </c>
      <c r="AM9" s="3" t="s">
        <v>25</v>
      </c>
      <c r="AN9" s="19" t="s">
        <v>23</v>
      </c>
    </row>
    <row r="10" spans="1:40" s="1" customFormat="1" ht="15.75" thickBot="1" x14ac:dyDescent="0.3">
      <c r="B10" s="26" t="s">
        <v>20</v>
      </c>
      <c r="C10" s="24" t="s">
        <v>21</v>
      </c>
      <c r="D10" s="22" t="s">
        <v>23</v>
      </c>
      <c r="E10" s="27" t="s">
        <v>21</v>
      </c>
      <c r="F10" s="21" t="s">
        <v>25</v>
      </c>
      <c r="G10" s="21" t="s">
        <v>23</v>
      </c>
      <c r="H10" s="21" t="s">
        <v>21</v>
      </c>
      <c r="I10" s="21" t="s">
        <v>25</v>
      </c>
      <c r="J10" s="22" t="s">
        <v>23</v>
      </c>
      <c r="K10" s="24" t="s">
        <v>21</v>
      </c>
      <c r="L10" s="21" t="s">
        <v>25</v>
      </c>
      <c r="M10" s="21" t="s">
        <v>23</v>
      </c>
      <c r="N10" s="21" t="s">
        <v>21</v>
      </c>
      <c r="O10" s="21" t="s">
        <v>25</v>
      </c>
      <c r="P10" s="22" t="s">
        <v>23</v>
      </c>
      <c r="Q10" s="24" t="s">
        <v>21</v>
      </c>
      <c r="R10" s="21" t="s">
        <v>25</v>
      </c>
      <c r="S10" s="21" t="s">
        <v>23</v>
      </c>
      <c r="T10" s="21" t="s">
        <v>21</v>
      </c>
      <c r="U10" s="21" t="s">
        <v>25</v>
      </c>
      <c r="V10" s="28" t="s">
        <v>23</v>
      </c>
      <c r="W10" s="24" t="s">
        <v>21</v>
      </c>
      <c r="X10" s="21" t="s">
        <v>25</v>
      </c>
      <c r="Y10" s="21" t="s">
        <v>23</v>
      </c>
      <c r="Z10" s="21" t="s">
        <v>21</v>
      </c>
      <c r="AA10" s="21" t="s">
        <v>25</v>
      </c>
      <c r="AB10" s="22" t="s">
        <v>23</v>
      </c>
      <c r="AC10" s="27" t="s">
        <v>21</v>
      </c>
      <c r="AD10" s="21" t="s">
        <v>25</v>
      </c>
      <c r="AE10" s="21" t="s">
        <v>23</v>
      </c>
      <c r="AF10" s="21" t="s">
        <v>21</v>
      </c>
      <c r="AG10" s="21" t="s">
        <v>25</v>
      </c>
      <c r="AH10" s="28" t="s">
        <v>23</v>
      </c>
      <c r="AI10" s="24" t="s">
        <v>21</v>
      </c>
      <c r="AJ10" s="21" t="s">
        <v>25</v>
      </c>
      <c r="AK10" s="21" t="s">
        <v>23</v>
      </c>
      <c r="AL10" s="21" t="s">
        <v>21</v>
      </c>
      <c r="AM10" s="21" t="s">
        <v>25</v>
      </c>
      <c r="AN10" s="22" t="s">
        <v>23</v>
      </c>
    </row>
    <row r="11" spans="1:40" s="1" customFormat="1" x14ac:dyDescent="0.25"/>
    <row r="14" spans="1:40" ht="15.75" thickBot="1" x14ac:dyDescent="0.3">
      <c r="C14" s="13" t="s">
        <v>19</v>
      </c>
      <c r="D14" s="13" t="s">
        <v>59</v>
      </c>
      <c r="E14" s="13" t="s">
        <v>20</v>
      </c>
    </row>
    <row r="15" spans="1:40" x14ac:dyDescent="0.25">
      <c r="A15" t="s">
        <v>3</v>
      </c>
      <c r="B15" s="15" t="s">
        <v>22</v>
      </c>
      <c r="C15" s="16" t="s">
        <v>21</v>
      </c>
      <c r="D15" s="16" t="s">
        <v>21</v>
      </c>
      <c r="E15" s="17" t="s">
        <v>21</v>
      </c>
    </row>
    <row r="16" spans="1:40" x14ac:dyDescent="0.25">
      <c r="B16" s="18" t="s">
        <v>6</v>
      </c>
      <c r="C16" s="3" t="s">
        <v>23</v>
      </c>
      <c r="D16" s="3" t="s">
        <v>23</v>
      </c>
      <c r="E16" s="19" t="s">
        <v>23</v>
      </c>
    </row>
    <row r="17" spans="1:5" ht="15.75" thickBot="1" x14ac:dyDescent="0.3">
      <c r="B17" s="20" t="s">
        <v>66</v>
      </c>
      <c r="C17" s="21" t="s">
        <v>21</v>
      </c>
      <c r="D17" s="21" t="s">
        <v>21</v>
      </c>
      <c r="E17" s="22" t="s">
        <v>21</v>
      </c>
    </row>
    <row r="18" spans="1:5" x14ac:dyDescent="0.25">
      <c r="A18" t="s">
        <v>13</v>
      </c>
      <c r="B18" s="15" t="s">
        <v>66</v>
      </c>
      <c r="C18" s="16" t="s">
        <v>21</v>
      </c>
      <c r="D18" s="16" t="s">
        <v>21</v>
      </c>
      <c r="E18" s="17" t="s">
        <v>21</v>
      </c>
    </row>
    <row r="19" spans="1:5" ht="30" x14ac:dyDescent="0.25">
      <c r="B19" s="18" t="s">
        <v>24</v>
      </c>
      <c r="C19" s="3" t="s">
        <v>25</v>
      </c>
      <c r="D19" s="3" t="s">
        <v>25</v>
      </c>
      <c r="E19" s="19" t="s">
        <v>25</v>
      </c>
    </row>
    <row r="20" spans="1:5" ht="30" x14ac:dyDescent="0.25">
      <c r="B20" s="18" t="s">
        <v>67</v>
      </c>
      <c r="C20" s="3" t="s">
        <v>23</v>
      </c>
      <c r="D20" s="3" t="s">
        <v>23</v>
      </c>
      <c r="E20" s="19" t="s">
        <v>23</v>
      </c>
    </row>
    <row r="21" spans="1:5" ht="30" x14ac:dyDescent="0.25">
      <c r="B21" s="18" t="s">
        <v>71</v>
      </c>
      <c r="C21" s="3" t="s">
        <v>21</v>
      </c>
      <c r="D21" s="3" t="s">
        <v>21</v>
      </c>
      <c r="E21" s="19" t="s">
        <v>21</v>
      </c>
    </row>
    <row r="22" spans="1:5" ht="45" x14ac:dyDescent="0.25">
      <c r="B22" s="18" t="s">
        <v>69</v>
      </c>
      <c r="C22" s="3" t="s">
        <v>25</v>
      </c>
      <c r="D22" s="3" t="s">
        <v>25</v>
      </c>
      <c r="E22" s="19" t="s">
        <v>25</v>
      </c>
    </row>
    <row r="23" spans="1:5" ht="30.75" thickBot="1" x14ac:dyDescent="0.3">
      <c r="B23" s="20" t="s">
        <v>68</v>
      </c>
      <c r="C23" s="21" t="s">
        <v>23</v>
      </c>
      <c r="D23" s="21" t="s">
        <v>23</v>
      </c>
      <c r="E23" s="22" t="s">
        <v>23</v>
      </c>
    </row>
    <row r="24" spans="1:5" x14ac:dyDescent="0.25">
      <c r="A24" t="s">
        <v>14</v>
      </c>
      <c r="B24" s="15" t="s">
        <v>66</v>
      </c>
      <c r="C24" s="16" t="s">
        <v>21</v>
      </c>
      <c r="D24" s="16" t="s">
        <v>21</v>
      </c>
      <c r="E24" s="17" t="s">
        <v>21</v>
      </c>
    </row>
    <row r="25" spans="1:5" ht="30" x14ac:dyDescent="0.25">
      <c r="B25" s="18" t="s">
        <v>24</v>
      </c>
      <c r="C25" s="3" t="s">
        <v>25</v>
      </c>
      <c r="D25" s="3" t="s">
        <v>25</v>
      </c>
      <c r="E25" s="19" t="s">
        <v>25</v>
      </c>
    </row>
    <row r="26" spans="1:5" ht="30" x14ac:dyDescent="0.25">
      <c r="B26" s="18" t="s">
        <v>67</v>
      </c>
      <c r="C26" s="3" t="s">
        <v>23</v>
      </c>
      <c r="D26" s="3" t="s">
        <v>23</v>
      </c>
      <c r="E26" s="19" t="s">
        <v>23</v>
      </c>
    </row>
    <row r="27" spans="1:5" ht="30" x14ac:dyDescent="0.25">
      <c r="B27" s="18" t="s">
        <v>71</v>
      </c>
      <c r="C27" s="3" t="s">
        <v>21</v>
      </c>
      <c r="D27" s="3" t="s">
        <v>21</v>
      </c>
      <c r="E27" s="19" t="s">
        <v>21</v>
      </c>
    </row>
    <row r="28" spans="1:5" ht="45" x14ac:dyDescent="0.25">
      <c r="B28" s="18" t="s">
        <v>69</v>
      </c>
      <c r="C28" s="3" t="s">
        <v>25</v>
      </c>
      <c r="D28" s="3" t="s">
        <v>25</v>
      </c>
      <c r="E28" s="19" t="s">
        <v>25</v>
      </c>
    </row>
    <row r="29" spans="1:5" ht="30.75" thickBot="1" x14ac:dyDescent="0.3">
      <c r="B29" s="20" t="s">
        <v>68</v>
      </c>
      <c r="C29" s="21" t="s">
        <v>23</v>
      </c>
      <c r="D29" s="21" t="s">
        <v>23</v>
      </c>
      <c r="E29" s="22" t="s">
        <v>23</v>
      </c>
    </row>
  </sheetData>
  <mergeCells count="7">
    <mergeCell ref="C6:D6"/>
    <mergeCell ref="AI6:AN6"/>
    <mergeCell ref="E6:J6"/>
    <mergeCell ref="K6:P6"/>
    <mergeCell ref="Q6:V6"/>
    <mergeCell ref="W6:AB6"/>
    <mergeCell ref="AC6:AH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35"/>
  <sheetViews>
    <sheetView workbookViewId="0">
      <selection activeCell="E35" sqref="E35"/>
    </sheetView>
  </sheetViews>
  <sheetFormatPr defaultRowHeight="15" x14ac:dyDescent="0.25"/>
  <cols>
    <col min="2" max="2" width="13.7109375" customWidth="1"/>
  </cols>
  <sheetData>
    <row r="1" spans="2:3" x14ac:dyDescent="0.25">
      <c r="B1" t="s">
        <v>70</v>
      </c>
    </row>
    <row r="2" spans="2:3" x14ac:dyDescent="0.25">
      <c r="B2" t="s">
        <v>52</v>
      </c>
    </row>
    <row r="3" spans="2:3" x14ac:dyDescent="0.25">
      <c r="B3" t="s">
        <v>53</v>
      </c>
    </row>
    <row r="4" spans="2:3" x14ac:dyDescent="0.25">
      <c r="B4" t="s">
        <v>54</v>
      </c>
    </row>
    <row r="7" spans="2:3" x14ac:dyDescent="0.25">
      <c r="B7" t="s">
        <v>11</v>
      </c>
    </row>
    <row r="8" spans="2:3" x14ac:dyDescent="0.25">
      <c r="C8" t="s">
        <v>33</v>
      </c>
    </row>
    <row r="9" spans="2:3" x14ac:dyDescent="0.25">
      <c r="C9" t="s">
        <v>109</v>
      </c>
    </row>
    <row r="10" spans="2:3" x14ac:dyDescent="0.25">
      <c r="C10" t="s">
        <v>34</v>
      </c>
    </row>
    <row r="11" spans="2:3" x14ac:dyDescent="0.25">
      <c r="C11" t="s">
        <v>110</v>
      </c>
    </row>
    <row r="12" spans="2:3" x14ac:dyDescent="0.25">
      <c r="C12" t="s">
        <v>111</v>
      </c>
    </row>
    <row r="13" spans="2:3" x14ac:dyDescent="0.25">
      <c r="C13" t="s">
        <v>35</v>
      </c>
    </row>
    <row r="16" spans="2:3" x14ac:dyDescent="0.25">
      <c r="B16" t="s">
        <v>57</v>
      </c>
    </row>
    <row r="17" spans="2:3" x14ac:dyDescent="0.25">
      <c r="C17" t="s">
        <v>28</v>
      </c>
    </row>
    <row r="18" spans="2:3" x14ac:dyDescent="0.25">
      <c r="C18" t="s">
        <v>29</v>
      </c>
    </row>
    <row r="19" spans="2:3" x14ac:dyDescent="0.25">
      <c r="C19" t="s">
        <v>30</v>
      </c>
    </row>
    <row r="20" spans="2:3" x14ac:dyDescent="0.25">
      <c r="C20" t="s">
        <v>31</v>
      </c>
    </row>
    <row r="21" spans="2:3" x14ac:dyDescent="0.25">
      <c r="C21" t="s">
        <v>32</v>
      </c>
    </row>
    <row r="24" spans="2:3" x14ac:dyDescent="0.25">
      <c r="B24" t="s">
        <v>114</v>
      </c>
    </row>
    <row r="25" spans="2:3" x14ac:dyDescent="0.25">
      <c r="C25" t="s">
        <v>112</v>
      </c>
    </row>
    <row r="26" spans="2:3" x14ac:dyDescent="0.25">
      <c r="C26" t="s">
        <v>113</v>
      </c>
    </row>
    <row r="29" spans="2:3" x14ac:dyDescent="0.25">
      <c r="B29" t="s">
        <v>121</v>
      </c>
    </row>
    <row r="33" spans="2:3" x14ac:dyDescent="0.25">
      <c r="B33" t="s">
        <v>122</v>
      </c>
    </row>
    <row r="34" spans="2:3" x14ac:dyDescent="0.25">
      <c r="C34" t="s">
        <v>118</v>
      </c>
    </row>
    <row r="35" spans="2:3" x14ac:dyDescent="0.25">
      <c r="C35" t="s">
        <v>119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claims</vt:lpstr>
      <vt:lpstr>metrics</vt:lpstr>
      <vt:lpstr>quarterly targets</vt:lpstr>
      <vt:lpstr>notes</vt:lpstr>
    </vt:vector>
  </TitlesOfParts>
  <Company>Edgewood Partners Insurance Center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Knight</dc:creator>
  <cp:lastModifiedBy>Christopher Knight</cp:lastModifiedBy>
  <dcterms:created xsi:type="dcterms:W3CDTF">2020-01-14T15:55:45Z</dcterms:created>
  <dcterms:modified xsi:type="dcterms:W3CDTF">2020-01-14T20:02:58Z</dcterms:modified>
</cp:coreProperties>
</file>