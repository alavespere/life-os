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I:\Templates\"/>
    </mc:Choice>
  </mc:AlternateContent>
  <xr:revisionPtr revIDLastSave="0" documentId="13_ncr:1_{29750138-CAEA-4393-9191-BD61F053EAF7}" xr6:coauthVersionLast="47" xr6:coauthVersionMax="47" xr10:uidLastSave="{00000000-0000-0000-0000-000000000000}"/>
  <bookViews>
    <workbookView xWindow="-28920" yWindow="-120" windowWidth="29040" windowHeight="15840" tabRatio="668" xr2:uid="{00000000-000D-0000-FFFF-FFFF00000000}"/>
  </bookViews>
  <sheets>
    <sheet name="claims list" sheetId="3" r:id="rId1"/>
    <sheet name="claim 1" sheetId="8" r:id="rId2"/>
    <sheet name="claim 2" sheetId="36" r:id="rId3"/>
    <sheet name="claim 3" sheetId="9" r:id="rId4"/>
    <sheet name="claim 4" sheetId="10" r:id="rId5"/>
    <sheet name="claim 5" sheetId="11" r:id="rId6"/>
    <sheet name="claim 6" sheetId="12" r:id="rId7"/>
    <sheet name="claim 7" sheetId="13" r:id="rId8"/>
    <sheet name="claim 8" sheetId="14" r:id="rId9"/>
    <sheet name="claim 9" sheetId="15" r:id="rId10"/>
    <sheet name="claim 10" sheetId="16" r:id="rId11"/>
    <sheet name="claim 11" sheetId="17" r:id="rId12"/>
    <sheet name="claim 12" sheetId="18" r:id="rId13"/>
    <sheet name="claim 13" sheetId="19" r:id="rId14"/>
    <sheet name="claim 14" sheetId="20" r:id="rId15"/>
    <sheet name="claim 15" sheetId="21" r:id="rId16"/>
    <sheet name="claim 16" sheetId="22" r:id="rId17"/>
    <sheet name="claim 17" sheetId="23" r:id="rId18"/>
    <sheet name="claim 18" sheetId="24" r:id="rId19"/>
    <sheet name="claim 19" sheetId="25" r:id="rId20"/>
    <sheet name="claim 20" sheetId="26" r:id="rId21"/>
    <sheet name="claim 21" sheetId="27" r:id="rId22"/>
    <sheet name="claim 22" sheetId="28" r:id="rId23"/>
    <sheet name="claim 23" sheetId="29" r:id="rId24"/>
    <sheet name="claim 24" sheetId="30" r:id="rId25"/>
    <sheet name="claim 25" sheetId="31" r:id="rId26"/>
    <sheet name="claim 26" sheetId="32" r:id="rId27"/>
    <sheet name="claim 27" sheetId="33" r:id="rId28"/>
    <sheet name="claim 28" sheetId="34" r:id="rId29"/>
    <sheet name="claim 29" sheetId="35" r:id="rId30"/>
    <sheet name="claim 30" sheetId="4" r:id="rId31"/>
    <sheet name="template" sheetId="2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5" l="1"/>
  <c r="I4" i="35"/>
  <c r="H4" i="35"/>
  <c r="G4" i="35"/>
  <c r="F4" i="35"/>
  <c r="E4" i="35"/>
  <c r="B4" i="35"/>
  <c r="E3" i="35"/>
  <c r="B3" i="35"/>
  <c r="J4" i="4"/>
  <c r="I4" i="4"/>
  <c r="H4" i="4"/>
  <c r="G4" i="4"/>
  <c r="F4" i="4"/>
  <c r="E4" i="4"/>
  <c r="B4" i="4"/>
  <c r="E3" i="4"/>
  <c r="E52" i="4" s="1"/>
  <c r="B3" i="4"/>
  <c r="J4" i="34"/>
  <c r="I4" i="34"/>
  <c r="H4" i="34"/>
  <c r="G4" i="34"/>
  <c r="F4" i="34"/>
  <c r="E4" i="34"/>
  <c r="B4" i="34"/>
  <c r="E3" i="34"/>
  <c r="B3" i="34"/>
  <c r="J4" i="33"/>
  <c r="I4" i="33"/>
  <c r="H4" i="33"/>
  <c r="G4" i="33"/>
  <c r="F4" i="33"/>
  <c r="E4" i="33"/>
  <c r="D52" i="33" s="1"/>
  <c r="B4" i="33"/>
  <c r="E3" i="33"/>
  <c r="B3" i="33"/>
  <c r="J4" i="32"/>
  <c r="I4" i="32"/>
  <c r="H4" i="32"/>
  <c r="G4" i="32"/>
  <c r="F4" i="32"/>
  <c r="E4" i="32"/>
  <c r="B4" i="32"/>
  <c r="E3" i="32"/>
  <c r="B3" i="32"/>
  <c r="J4" i="31"/>
  <c r="I4" i="31"/>
  <c r="H4" i="31"/>
  <c r="G4" i="31"/>
  <c r="F4" i="31"/>
  <c r="E4" i="31"/>
  <c r="B4" i="31"/>
  <c r="E3" i="31"/>
  <c r="D52" i="31" s="1"/>
  <c r="B3" i="31"/>
  <c r="J4" i="30"/>
  <c r="I4" i="30"/>
  <c r="H4" i="30"/>
  <c r="G4" i="30"/>
  <c r="F4" i="30"/>
  <c r="E4" i="30"/>
  <c r="B4" i="30"/>
  <c r="E3" i="30"/>
  <c r="B3" i="30"/>
  <c r="J4" i="29"/>
  <c r="I4" i="29"/>
  <c r="H4" i="29"/>
  <c r="G4" i="29"/>
  <c r="F4" i="29"/>
  <c r="E4" i="29"/>
  <c r="B4" i="29"/>
  <c r="E3" i="29"/>
  <c r="B3" i="29"/>
  <c r="J4" i="28"/>
  <c r="I4" i="28"/>
  <c r="H4" i="28"/>
  <c r="G4" i="28"/>
  <c r="F4" i="28"/>
  <c r="E4" i="28"/>
  <c r="D52" i="28" s="1"/>
  <c r="B4" i="28"/>
  <c r="E3" i="28"/>
  <c r="B3" i="28"/>
  <c r="J4" i="27"/>
  <c r="I4" i="27"/>
  <c r="H4" i="27"/>
  <c r="G4" i="27"/>
  <c r="F4" i="27"/>
  <c r="E4" i="27"/>
  <c r="B4" i="27"/>
  <c r="E3" i="27"/>
  <c r="D52" i="27" s="1"/>
  <c r="B3" i="27"/>
  <c r="J4" i="26"/>
  <c r="I4" i="26"/>
  <c r="H4" i="26"/>
  <c r="G4" i="26"/>
  <c r="F4" i="26"/>
  <c r="E4" i="26"/>
  <c r="E52" i="26" s="1"/>
  <c r="B4" i="26"/>
  <c r="E3" i="26"/>
  <c r="B3" i="26"/>
  <c r="J4" i="25"/>
  <c r="I4" i="25"/>
  <c r="H4" i="25"/>
  <c r="G4" i="25"/>
  <c r="F4" i="25"/>
  <c r="E4" i="25"/>
  <c r="B4" i="25"/>
  <c r="E3" i="25"/>
  <c r="B3" i="25"/>
  <c r="J4" i="24"/>
  <c r="I4" i="24"/>
  <c r="H4" i="24"/>
  <c r="G4" i="24"/>
  <c r="F4" i="24"/>
  <c r="E4" i="24"/>
  <c r="B4" i="24"/>
  <c r="E3" i="24"/>
  <c r="D52" i="24" s="1"/>
  <c r="B3" i="24"/>
  <c r="J4" i="23"/>
  <c r="I4" i="23"/>
  <c r="H4" i="23"/>
  <c r="G4" i="23"/>
  <c r="F4" i="23"/>
  <c r="E4" i="23"/>
  <c r="B4" i="23"/>
  <c r="E3" i="23"/>
  <c r="B3" i="23"/>
  <c r="J4" i="22"/>
  <c r="I4" i="22"/>
  <c r="H4" i="22"/>
  <c r="G4" i="22"/>
  <c r="F4" i="22"/>
  <c r="E4" i="22"/>
  <c r="B4" i="22"/>
  <c r="E3" i="22"/>
  <c r="B3" i="22"/>
  <c r="J4" i="21"/>
  <c r="I4" i="21"/>
  <c r="H4" i="21"/>
  <c r="G4" i="21"/>
  <c r="F4" i="21"/>
  <c r="E4" i="21"/>
  <c r="B4" i="21"/>
  <c r="E3" i="21"/>
  <c r="B3" i="21"/>
  <c r="J4" i="20"/>
  <c r="I4" i="20"/>
  <c r="H4" i="20"/>
  <c r="G4" i="20"/>
  <c r="F4" i="20"/>
  <c r="E4" i="20"/>
  <c r="B4" i="20"/>
  <c r="E3" i="20"/>
  <c r="B3" i="20"/>
  <c r="J4" i="19"/>
  <c r="I4" i="19"/>
  <c r="H4" i="19"/>
  <c r="G4" i="19"/>
  <c r="F4" i="19"/>
  <c r="E4" i="19"/>
  <c r="B4" i="19"/>
  <c r="E3" i="19"/>
  <c r="E52" i="19" s="1"/>
  <c r="B3" i="19"/>
  <c r="J4" i="18"/>
  <c r="I4" i="18"/>
  <c r="H4" i="18"/>
  <c r="G4" i="18"/>
  <c r="F4" i="18"/>
  <c r="E4" i="18"/>
  <c r="B4" i="18"/>
  <c r="E3" i="18"/>
  <c r="B3" i="18"/>
  <c r="J4" i="17"/>
  <c r="I4" i="17"/>
  <c r="H4" i="17"/>
  <c r="G4" i="17"/>
  <c r="F4" i="17"/>
  <c r="E4" i="17"/>
  <c r="D52" i="17" s="1"/>
  <c r="B4" i="17"/>
  <c r="E3" i="17"/>
  <c r="B3" i="17"/>
  <c r="J4" i="16"/>
  <c r="I4" i="16"/>
  <c r="H4" i="16"/>
  <c r="G4" i="16"/>
  <c r="F4" i="16"/>
  <c r="E4" i="16"/>
  <c r="B4" i="16"/>
  <c r="E3" i="16"/>
  <c r="B3" i="16"/>
  <c r="J4" i="15"/>
  <c r="I4" i="15"/>
  <c r="H4" i="15"/>
  <c r="G4" i="15"/>
  <c r="F4" i="15"/>
  <c r="E4" i="15"/>
  <c r="B4" i="15"/>
  <c r="E3" i="15"/>
  <c r="B3" i="15"/>
  <c r="J4" i="14"/>
  <c r="I4" i="14"/>
  <c r="H4" i="14"/>
  <c r="G4" i="14"/>
  <c r="F4" i="14"/>
  <c r="E4" i="14"/>
  <c r="B4" i="14"/>
  <c r="E3" i="14"/>
  <c r="E52" i="14" s="1"/>
  <c r="B3" i="14"/>
  <c r="J4" i="13"/>
  <c r="I4" i="13"/>
  <c r="H4" i="13"/>
  <c r="G4" i="13"/>
  <c r="F4" i="13"/>
  <c r="E4" i="13"/>
  <c r="B4" i="13"/>
  <c r="E3" i="13"/>
  <c r="D52" i="13" s="1"/>
  <c r="B3" i="13"/>
  <c r="J4" i="12"/>
  <c r="I4" i="12"/>
  <c r="H4" i="12"/>
  <c r="G4" i="12"/>
  <c r="F4" i="12"/>
  <c r="E4" i="12"/>
  <c r="B4" i="12"/>
  <c r="E3" i="12"/>
  <c r="B3" i="12"/>
  <c r="J4" i="11"/>
  <c r="I4" i="11"/>
  <c r="H4" i="11"/>
  <c r="G4" i="11"/>
  <c r="F4" i="11"/>
  <c r="E4" i="11"/>
  <c r="B4" i="11"/>
  <c r="E3" i="11"/>
  <c r="E52" i="11" s="1"/>
  <c r="B3" i="11"/>
  <c r="J4" i="10"/>
  <c r="I4" i="10"/>
  <c r="H4" i="10"/>
  <c r="G4" i="10"/>
  <c r="F4" i="10"/>
  <c r="E4" i="10"/>
  <c r="B4" i="10"/>
  <c r="E3" i="10"/>
  <c r="E52" i="10" s="1"/>
  <c r="B3" i="10"/>
  <c r="J4" i="9"/>
  <c r="I4" i="9"/>
  <c r="H4" i="9"/>
  <c r="G4" i="9"/>
  <c r="F4" i="9"/>
  <c r="E4" i="9"/>
  <c r="E52" i="9" s="1"/>
  <c r="B4" i="9"/>
  <c r="E3" i="9"/>
  <c r="B3" i="9"/>
  <c r="E52" i="21"/>
  <c r="E52" i="35"/>
  <c r="J4" i="36"/>
  <c r="I4" i="36"/>
  <c r="H4" i="36"/>
  <c r="G4" i="36"/>
  <c r="F4" i="36"/>
  <c r="E4" i="36"/>
  <c r="B4" i="36"/>
  <c r="E3" i="36"/>
  <c r="B3" i="36"/>
  <c r="K55" i="36"/>
  <c r="G55" i="36" s="1"/>
  <c r="I55" i="36"/>
  <c r="F55" i="36"/>
  <c r="E55" i="36"/>
  <c r="D55" i="36"/>
  <c r="K54" i="36"/>
  <c r="G54" i="36" s="1"/>
  <c r="I54" i="36"/>
  <c r="F54" i="36"/>
  <c r="E54" i="36"/>
  <c r="D54" i="36"/>
  <c r="K53" i="36"/>
  <c r="I53" i="36"/>
  <c r="F53" i="36"/>
  <c r="E53" i="36"/>
  <c r="D53" i="36"/>
  <c r="G53" i="36" s="1"/>
  <c r="K52" i="36"/>
  <c r="G52" i="36" s="1"/>
  <c r="F52" i="36"/>
  <c r="K51" i="36"/>
  <c r="G51" i="36" s="1"/>
  <c r="F51" i="36"/>
  <c r="E51" i="36"/>
  <c r="D51" i="36"/>
  <c r="K50" i="36"/>
  <c r="I50" i="36"/>
  <c r="J49" i="36" s="1"/>
  <c r="F50" i="36"/>
  <c r="E50" i="36"/>
  <c r="D50" i="36"/>
  <c r="K49" i="36"/>
  <c r="F49" i="36"/>
  <c r="E49" i="36"/>
  <c r="D49" i="36"/>
  <c r="D52" i="36"/>
  <c r="E52" i="36"/>
  <c r="G4" i="8"/>
  <c r="J4" i="8"/>
  <c r="I4" i="8"/>
  <c r="H4" i="8"/>
  <c r="F4" i="8"/>
  <c r="E4" i="8"/>
  <c r="E3" i="8"/>
  <c r="B4" i="8"/>
  <c r="B3" i="8"/>
  <c r="K55" i="8"/>
  <c r="G55" i="8" s="1"/>
  <c r="I55" i="8"/>
  <c r="F55" i="8"/>
  <c r="E55" i="8"/>
  <c r="D55" i="8"/>
  <c r="K54" i="8"/>
  <c r="G54" i="8" s="1"/>
  <c r="I54" i="8"/>
  <c r="F54" i="8"/>
  <c r="E54" i="8"/>
  <c r="D54" i="8"/>
  <c r="K53" i="8"/>
  <c r="I53" i="8"/>
  <c r="F53" i="8"/>
  <c r="E53" i="8"/>
  <c r="D53" i="8"/>
  <c r="K52" i="8"/>
  <c r="G52" i="8" s="1"/>
  <c r="F52" i="8"/>
  <c r="K51" i="8"/>
  <c r="G51" i="8" s="1"/>
  <c r="F51" i="8"/>
  <c r="E51" i="8"/>
  <c r="D51" i="8"/>
  <c r="K50" i="8"/>
  <c r="I50" i="8"/>
  <c r="F50" i="8"/>
  <c r="E50" i="8"/>
  <c r="D50" i="8"/>
  <c r="K49" i="8"/>
  <c r="F49" i="8"/>
  <c r="E49" i="8"/>
  <c r="D49" i="8"/>
  <c r="K55" i="9"/>
  <c r="I55" i="9"/>
  <c r="G55" i="9"/>
  <c r="F55" i="9"/>
  <c r="E55" i="9"/>
  <c r="D55" i="9"/>
  <c r="K54" i="9"/>
  <c r="G54" i="9" s="1"/>
  <c r="I54" i="9"/>
  <c r="F54" i="9"/>
  <c r="E54" i="9"/>
  <c r="D54" i="9"/>
  <c r="K53" i="9"/>
  <c r="G53" i="9" s="1"/>
  <c r="I53" i="9"/>
  <c r="F53" i="9"/>
  <c r="E53" i="9"/>
  <c r="D53" i="9"/>
  <c r="K52" i="9"/>
  <c r="G52" i="9" s="1"/>
  <c r="F52" i="9"/>
  <c r="K51" i="9"/>
  <c r="G51" i="9" s="1"/>
  <c r="F51" i="9"/>
  <c r="E51" i="9"/>
  <c r="D51" i="9"/>
  <c r="K50" i="9"/>
  <c r="I50" i="9"/>
  <c r="J49" i="9" s="1"/>
  <c r="F50" i="9"/>
  <c r="E50" i="9"/>
  <c r="D50" i="9"/>
  <c r="K49" i="9"/>
  <c r="G49" i="9" s="1"/>
  <c r="F49" i="9"/>
  <c r="E49" i="9"/>
  <c r="D49" i="9"/>
  <c r="K55" i="10"/>
  <c r="I55" i="10"/>
  <c r="F55" i="10"/>
  <c r="E55" i="10"/>
  <c r="D55" i="10"/>
  <c r="K54" i="10"/>
  <c r="G54" i="10" s="1"/>
  <c r="I54" i="10"/>
  <c r="F54" i="10"/>
  <c r="E54" i="10"/>
  <c r="D54" i="10"/>
  <c r="K53" i="10"/>
  <c r="I53" i="10"/>
  <c r="F53" i="10"/>
  <c r="E53" i="10"/>
  <c r="D53" i="10"/>
  <c r="G53" i="10" s="1"/>
  <c r="K52" i="10"/>
  <c r="G52" i="10" s="1"/>
  <c r="F52" i="10"/>
  <c r="K51" i="10"/>
  <c r="G51" i="10" s="1"/>
  <c r="F51" i="10"/>
  <c r="E51" i="10"/>
  <c r="D51" i="10"/>
  <c r="K50" i="10"/>
  <c r="I50" i="10"/>
  <c r="J49" i="10" s="1"/>
  <c r="F50" i="10"/>
  <c r="E50" i="10"/>
  <c r="D50" i="10"/>
  <c r="K49" i="10"/>
  <c r="G49" i="10"/>
  <c r="F49" i="10"/>
  <c r="E49" i="10"/>
  <c r="D49" i="10"/>
  <c r="K55" i="11"/>
  <c r="G55" i="11" s="1"/>
  <c r="I55" i="11"/>
  <c r="F55" i="11"/>
  <c r="E55" i="11"/>
  <c r="D55" i="11"/>
  <c r="K54" i="11"/>
  <c r="I54" i="11"/>
  <c r="G54" i="11"/>
  <c r="F54" i="11"/>
  <c r="E54" i="11"/>
  <c r="D54" i="11"/>
  <c r="K53" i="11"/>
  <c r="G53" i="11" s="1"/>
  <c r="I53" i="11"/>
  <c r="F53" i="11"/>
  <c r="E53" i="11"/>
  <c r="D53" i="11"/>
  <c r="K52" i="11"/>
  <c r="G52" i="11" s="1"/>
  <c r="F52" i="11"/>
  <c r="K51" i="11"/>
  <c r="G51" i="11" s="1"/>
  <c r="F51" i="11"/>
  <c r="E51" i="11"/>
  <c r="D51" i="11"/>
  <c r="K50" i="11"/>
  <c r="I50" i="11"/>
  <c r="F50" i="11"/>
  <c r="E50" i="11"/>
  <c r="D50" i="11"/>
  <c r="K49" i="11"/>
  <c r="F49" i="11"/>
  <c r="E49" i="11"/>
  <c r="D49" i="11"/>
  <c r="G49" i="11" s="1"/>
  <c r="K55" i="12"/>
  <c r="G55" i="12" s="1"/>
  <c r="I55" i="12"/>
  <c r="F55" i="12"/>
  <c r="E55" i="12"/>
  <c r="D55" i="12"/>
  <c r="K54" i="12"/>
  <c r="I54" i="12"/>
  <c r="G54" i="12"/>
  <c r="F54" i="12"/>
  <c r="E54" i="12"/>
  <c r="D54" i="12"/>
  <c r="K53" i="12"/>
  <c r="G53" i="12" s="1"/>
  <c r="I53" i="12"/>
  <c r="F53" i="12"/>
  <c r="E53" i="12"/>
  <c r="D53" i="12"/>
  <c r="K52" i="12"/>
  <c r="G52" i="12" s="1"/>
  <c r="F52" i="12"/>
  <c r="D52" i="12"/>
  <c r="K51" i="12"/>
  <c r="G51" i="12" s="1"/>
  <c r="F51" i="12"/>
  <c r="E51" i="12"/>
  <c r="D51" i="12"/>
  <c r="K50" i="12"/>
  <c r="G50" i="12" s="1"/>
  <c r="I50" i="12"/>
  <c r="J49" i="12" s="1"/>
  <c r="F50" i="12"/>
  <c r="E50" i="12"/>
  <c r="D50" i="12"/>
  <c r="K49" i="12"/>
  <c r="F49" i="12"/>
  <c r="E49" i="12"/>
  <c r="D49" i="12"/>
  <c r="K55" i="13"/>
  <c r="G55" i="13" s="1"/>
  <c r="I55" i="13"/>
  <c r="F55" i="13"/>
  <c r="E55" i="13"/>
  <c r="D55" i="13"/>
  <c r="K54" i="13"/>
  <c r="G54" i="13" s="1"/>
  <c r="I54" i="13"/>
  <c r="F54" i="13"/>
  <c r="E54" i="13"/>
  <c r="D54" i="13"/>
  <c r="K53" i="13"/>
  <c r="G53" i="13" s="1"/>
  <c r="I53" i="13"/>
  <c r="F53" i="13"/>
  <c r="E53" i="13"/>
  <c r="D53" i="13"/>
  <c r="K52" i="13"/>
  <c r="G52" i="13" s="1"/>
  <c r="F52" i="13"/>
  <c r="K51" i="13"/>
  <c r="G51" i="13" s="1"/>
  <c r="F51" i="13"/>
  <c r="E51" i="13"/>
  <c r="D51" i="13"/>
  <c r="K50" i="13"/>
  <c r="G50" i="13" s="1"/>
  <c r="I50" i="13"/>
  <c r="J49" i="13" s="1"/>
  <c r="F50" i="13"/>
  <c r="E50" i="13"/>
  <c r="D50" i="13"/>
  <c r="K49" i="13"/>
  <c r="G49" i="13" s="1"/>
  <c r="F49" i="13"/>
  <c r="E49" i="13"/>
  <c r="D49" i="13"/>
  <c r="K55" i="14"/>
  <c r="I55" i="14"/>
  <c r="F55" i="14"/>
  <c r="E55" i="14"/>
  <c r="D55" i="14"/>
  <c r="K54" i="14"/>
  <c r="G54" i="14" s="1"/>
  <c r="I54" i="14"/>
  <c r="F54" i="14"/>
  <c r="E54" i="14"/>
  <c r="D54" i="14"/>
  <c r="K53" i="14"/>
  <c r="I53" i="14"/>
  <c r="F53" i="14"/>
  <c r="E53" i="14"/>
  <c r="D53" i="14"/>
  <c r="G53" i="14" s="1"/>
  <c r="K52" i="14"/>
  <c r="G52" i="14" s="1"/>
  <c r="F52" i="14"/>
  <c r="D52" i="14"/>
  <c r="K51" i="14"/>
  <c r="G51" i="14" s="1"/>
  <c r="F51" i="14"/>
  <c r="E51" i="14"/>
  <c r="D51" i="14"/>
  <c r="K50" i="14"/>
  <c r="I50" i="14"/>
  <c r="F50" i="14"/>
  <c r="E50" i="14"/>
  <c r="D50" i="14"/>
  <c r="K49" i="14"/>
  <c r="G49" i="14"/>
  <c r="F49" i="14"/>
  <c r="E49" i="14"/>
  <c r="D49" i="14"/>
  <c r="K55" i="15"/>
  <c r="G55" i="15" s="1"/>
  <c r="I55" i="15"/>
  <c r="F55" i="15"/>
  <c r="E55" i="15"/>
  <c r="D55" i="15"/>
  <c r="K54" i="15"/>
  <c r="G54" i="15" s="1"/>
  <c r="I54" i="15"/>
  <c r="F54" i="15"/>
  <c r="E54" i="15"/>
  <c r="D54" i="15"/>
  <c r="K53" i="15"/>
  <c r="G53" i="15" s="1"/>
  <c r="I53" i="15"/>
  <c r="F53" i="15"/>
  <c r="E53" i="15"/>
  <c r="D53" i="15"/>
  <c r="K52" i="15"/>
  <c r="G52" i="15" s="1"/>
  <c r="F52" i="15"/>
  <c r="E52" i="15"/>
  <c r="D52" i="15"/>
  <c r="K51" i="15"/>
  <c r="G51" i="15"/>
  <c r="F51" i="15"/>
  <c r="E51" i="15"/>
  <c r="D51" i="15"/>
  <c r="K50" i="15"/>
  <c r="I50" i="15"/>
  <c r="J49" i="15" s="1"/>
  <c r="F50" i="15"/>
  <c r="E50" i="15"/>
  <c r="D50" i="15"/>
  <c r="K49" i="15"/>
  <c r="G49" i="15" s="1"/>
  <c r="F49" i="15"/>
  <c r="E49" i="15"/>
  <c r="D49" i="15"/>
  <c r="K55" i="16"/>
  <c r="G55" i="16" s="1"/>
  <c r="I55" i="16"/>
  <c r="F55" i="16"/>
  <c r="E55" i="16"/>
  <c r="D55" i="16"/>
  <c r="K54" i="16"/>
  <c r="G54" i="16" s="1"/>
  <c r="I54" i="16"/>
  <c r="F54" i="16"/>
  <c r="E54" i="16"/>
  <c r="D54" i="16"/>
  <c r="K53" i="16"/>
  <c r="G53" i="16" s="1"/>
  <c r="I53" i="16"/>
  <c r="F53" i="16"/>
  <c r="E53" i="16"/>
  <c r="D53" i="16"/>
  <c r="K52" i="16"/>
  <c r="G52" i="16" s="1"/>
  <c r="F52" i="16"/>
  <c r="E52" i="16"/>
  <c r="D52" i="16"/>
  <c r="K51" i="16"/>
  <c r="G51" i="16" s="1"/>
  <c r="F51" i="16"/>
  <c r="E51" i="16"/>
  <c r="D51" i="16"/>
  <c r="K50" i="16"/>
  <c r="I50" i="16"/>
  <c r="F50" i="16"/>
  <c r="E50" i="16"/>
  <c r="D50" i="16"/>
  <c r="K49" i="16"/>
  <c r="F49" i="16"/>
  <c r="E49" i="16"/>
  <c r="D49" i="16"/>
  <c r="K55" i="17"/>
  <c r="G55" i="17" s="1"/>
  <c r="I55" i="17"/>
  <c r="F55" i="17"/>
  <c r="E55" i="17"/>
  <c r="D55" i="17"/>
  <c r="K54" i="17"/>
  <c r="G54" i="17" s="1"/>
  <c r="I54" i="17"/>
  <c r="F54" i="17"/>
  <c r="E54" i="17"/>
  <c r="D54" i="17"/>
  <c r="K53" i="17"/>
  <c r="G53" i="17" s="1"/>
  <c r="I53" i="17"/>
  <c r="F53" i="17"/>
  <c r="E53" i="17"/>
  <c r="D53" i="17"/>
  <c r="K52" i="17"/>
  <c r="G52" i="17" s="1"/>
  <c r="F52" i="17"/>
  <c r="K51" i="17"/>
  <c r="G51" i="17" s="1"/>
  <c r="F51" i="17"/>
  <c r="E51" i="17"/>
  <c r="D51" i="17"/>
  <c r="K50" i="17"/>
  <c r="G50" i="17" s="1"/>
  <c r="I50" i="17"/>
  <c r="F50" i="17"/>
  <c r="E50" i="17"/>
  <c r="D50" i="17"/>
  <c r="K49" i="17"/>
  <c r="G49" i="17" s="1"/>
  <c r="J49" i="17"/>
  <c r="F49" i="17"/>
  <c r="E49" i="17"/>
  <c r="D49" i="17"/>
  <c r="K55" i="18"/>
  <c r="I55" i="18"/>
  <c r="F55" i="18"/>
  <c r="E55" i="18"/>
  <c r="D55" i="18"/>
  <c r="G55" i="18" s="1"/>
  <c r="K54" i="18"/>
  <c r="G54" i="18" s="1"/>
  <c r="I54" i="18"/>
  <c r="F54" i="18"/>
  <c r="E54" i="18"/>
  <c r="D54" i="18"/>
  <c r="K53" i="18"/>
  <c r="I53" i="18"/>
  <c r="F53" i="18"/>
  <c r="E53" i="18"/>
  <c r="D53" i="18"/>
  <c r="K52" i="18"/>
  <c r="G52" i="18" s="1"/>
  <c r="F52" i="18"/>
  <c r="E52" i="18"/>
  <c r="D52" i="18"/>
  <c r="K51" i="18"/>
  <c r="G51" i="18" s="1"/>
  <c r="F51" i="18"/>
  <c r="E51" i="18"/>
  <c r="D51" i="18"/>
  <c r="K50" i="18"/>
  <c r="I50" i="18"/>
  <c r="J49" i="18" s="1"/>
  <c r="F50" i="18"/>
  <c r="E50" i="18"/>
  <c r="D50" i="18"/>
  <c r="K49" i="18"/>
  <c r="G49" i="18" s="1"/>
  <c r="F49" i="18"/>
  <c r="E49" i="18"/>
  <c r="D49" i="18"/>
  <c r="K55" i="19"/>
  <c r="G55" i="19" s="1"/>
  <c r="I55" i="19"/>
  <c r="F55" i="19"/>
  <c r="E55" i="19"/>
  <c r="D55" i="19"/>
  <c r="K54" i="19"/>
  <c r="I54" i="19"/>
  <c r="G54" i="19"/>
  <c r="F54" i="19"/>
  <c r="E54" i="19"/>
  <c r="D54" i="19"/>
  <c r="K53" i="19"/>
  <c r="G53" i="19" s="1"/>
  <c r="I53" i="19"/>
  <c r="F53" i="19"/>
  <c r="E53" i="19"/>
  <c r="D53" i="19"/>
  <c r="K52" i="19"/>
  <c r="G52" i="19" s="1"/>
  <c r="F52" i="19"/>
  <c r="K51" i="19"/>
  <c r="G51" i="19"/>
  <c r="F51" i="19"/>
  <c r="E51" i="19"/>
  <c r="D51" i="19"/>
  <c r="K50" i="19"/>
  <c r="I50" i="19"/>
  <c r="J49" i="19" s="1"/>
  <c r="F50" i="19"/>
  <c r="E50" i="19"/>
  <c r="D50" i="19"/>
  <c r="K49" i="19"/>
  <c r="F49" i="19"/>
  <c r="E49" i="19"/>
  <c r="D49" i="19"/>
  <c r="K55" i="20"/>
  <c r="G55" i="20" s="1"/>
  <c r="I55" i="20"/>
  <c r="F55" i="20"/>
  <c r="E55" i="20"/>
  <c r="D55" i="20"/>
  <c r="K54" i="20"/>
  <c r="I54" i="20"/>
  <c r="G54" i="20"/>
  <c r="F54" i="20"/>
  <c r="E54" i="20"/>
  <c r="D54" i="20"/>
  <c r="K53" i="20"/>
  <c r="G53" i="20" s="1"/>
  <c r="I53" i="20"/>
  <c r="F53" i="20"/>
  <c r="E53" i="20"/>
  <c r="D53" i="20"/>
  <c r="K52" i="20"/>
  <c r="G52" i="20" s="1"/>
  <c r="F52" i="20"/>
  <c r="K51" i="20"/>
  <c r="G51" i="20" s="1"/>
  <c r="F51" i="20"/>
  <c r="E51" i="20"/>
  <c r="D51" i="20"/>
  <c r="K50" i="20"/>
  <c r="I50" i="20"/>
  <c r="J49" i="20" s="1"/>
  <c r="F50" i="20"/>
  <c r="E50" i="20"/>
  <c r="D50" i="20"/>
  <c r="K49" i="20"/>
  <c r="F49" i="20"/>
  <c r="E49" i="20"/>
  <c r="D49" i="20"/>
  <c r="K55" i="21"/>
  <c r="I55" i="21"/>
  <c r="G55" i="21"/>
  <c r="F55" i="21"/>
  <c r="E55" i="21"/>
  <c r="D55" i="21"/>
  <c r="K54" i="21"/>
  <c r="G54" i="21" s="1"/>
  <c r="I54" i="21"/>
  <c r="F54" i="21"/>
  <c r="E54" i="21"/>
  <c r="D54" i="21"/>
  <c r="K53" i="21"/>
  <c r="G53" i="21" s="1"/>
  <c r="I53" i="21"/>
  <c r="F53" i="21"/>
  <c r="E53" i="21"/>
  <c r="D53" i="21"/>
  <c r="K52" i="21"/>
  <c r="G52" i="21" s="1"/>
  <c r="F52" i="21"/>
  <c r="K51" i="21"/>
  <c r="G51" i="21" s="1"/>
  <c r="F51" i="21"/>
  <c r="E51" i="21"/>
  <c r="D51" i="21"/>
  <c r="K50" i="21"/>
  <c r="I50" i="21"/>
  <c r="J49" i="21" s="1"/>
  <c r="F50" i="21"/>
  <c r="E50" i="21"/>
  <c r="D50" i="21"/>
  <c r="K49" i="21"/>
  <c r="G49" i="21" s="1"/>
  <c r="F49" i="21"/>
  <c r="E49" i="21"/>
  <c r="D49" i="21"/>
  <c r="K55" i="22"/>
  <c r="I55" i="22"/>
  <c r="F55" i="22"/>
  <c r="E55" i="22"/>
  <c r="D55" i="22"/>
  <c r="K54" i="22"/>
  <c r="G54" i="22" s="1"/>
  <c r="I54" i="22"/>
  <c r="F54" i="22"/>
  <c r="E54" i="22"/>
  <c r="D54" i="22"/>
  <c r="K53" i="22"/>
  <c r="I53" i="22"/>
  <c r="F53" i="22"/>
  <c r="E53" i="22"/>
  <c r="D53" i="22"/>
  <c r="K52" i="22"/>
  <c r="G52" i="22" s="1"/>
  <c r="F52" i="22"/>
  <c r="E52" i="22"/>
  <c r="D52" i="22"/>
  <c r="K51" i="22"/>
  <c r="G51" i="22" s="1"/>
  <c r="F51" i="22"/>
  <c r="E51" i="22"/>
  <c r="D51" i="22"/>
  <c r="K50" i="22"/>
  <c r="I50" i="22"/>
  <c r="F50" i="22"/>
  <c r="E50" i="22"/>
  <c r="D50" i="22"/>
  <c r="K49" i="22"/>
  <c r="G49" i="22"/>
  <c r="F49" i="22"/>
  <c r="E49" i="22"/>
  <c r="D49" i="22"/>
  <c r="K55" i="23"/>
  <c r="G55" i="23" s="1"/>
  <c r="I55" i="23"/>
  <c r="F55" i="23"/>
  <c r="E55" i="23"/>
  <c r="D55" i="23"/>
  <c r="K54" i="23"/>
  <c r="G54" i="23" s="1"/>
  <c r="I54" i="23"/>
  <c r="F54" i="23"/>
  <c r="E54" i="23"/>
  <c r="D54" i="23"/>
  <c r="K53" i="23"/>
  <c r="G53" i="23" s="1"/>
  <c r="I53" i="23"/>
  <c r="F53" i="23"/>
  <c r="E53" i="23"/>
  <c r="D53" i="23"/>
  <c r="K52" i="23"/>
  <c r="G52" i="23" s="1"/>
  <c r="F52" i="23"/>
  <c r="E52" i="23"/>
  <c r="D52" i="23"/>
  <c r="K51" i="23"/>
  <c r="G51" i="23" s="1"/>
  <c r="F51" i="23"/>
  <c r="E51" i="23"/>
  <c r="D51" i="23"/>
  <c r="K50" i="23"/>
  <c r="I50" i="23"/>
  <c r="J49" i="23" s="1"/>
  <c r="F50" i="23"/>
  <c r="E50" i="23"/>
  <c r="D50" i="23"/>
  <c r="K49" i="23"/>
  <c r="G49" i="23" s="1"/>
  <c r="F49" i="23"/>
  <c r="E49" i="23"/>
  <c r="D49" i="23"/>
  <c r="K55" i="24"/>
  <c r="G55" i="24" s="1"/>
  <c r="I55" i="24"/>
  <c r="F55" i="24"/>
  <c r="E55" i="24"/>
  <c r="D55" i="24"/>
  <c r="K54" i="24"/>
  <c r="G54" i="24" s="1"/>
  <c r="I54" i="24"/>
  <c r="F54" i="24"/>
  <c r="E54" i="24"/>
  <c r="D54" i="24"/>
  <c r="K53" i="24"/>
  <c r="G53" i="24" s="1"/>
  <c r="I53" i="24"/>
  <c r="F53" i="24"/>
  <c r="E53" i="24"/>
  <c r="D53" i="24"/>
  <c r="K52" i="24"/>
  <c r="G52" i="24" s="1"/>
  <c r="F52" i="24"/>
  <c r="E52" i="24"/>
  <c r="K51" i="24"/>
  <c r="G51" i="24" s="1"/>
  <c r="F51" i="24"/>
  <c r="E51" i="24"/>
  <c r="D51" i="24"/>
  <c r="K50" i="24"/>
  <c r="I50" i="24"/>
  <c r="F50" i="24"/>
  <c r="E50" i="24"/>
  <c r="D50" i="24"/>
  <c r="K49" i="24"/>
  <c r="F49" i="24"/>
  <c r="E49" i="24"/>
  <c r="D49" i="24"/>
  <c r="K55" i="25"/>
  <c r="G55" i="25" s="1"/>
  <c r="I55" i="25"/>
  <c r="F55" i="25"/>
  <c r="E55" i="25"/>
  <c r="D55" i="25"/>
  <c r="K54" i="25"/>
  <c r="G54" i="25" s="1"/>
  <c r="I54" i="25"/>
  <c r="F54" i="25"/>
  <c r="E54" i="25"/>
  <c r="D54" i="25"/>
  <c r="K53" i="25"/>
  <c r="G53" i="25" s="1"/>
  <c r="I53" i="25"/>
  <c r="F53" i="25"/>
  <c r="E53" i="25"/>
  <c r="D53" i="25"/>
  <c r="K52" i="25"/>
  <c r="G52" i="25" s="1"/>
  <c r="F52" i="25"/>
  <c r="K51" i="25"/>
  <c r="G51" i="25"/>
  <c r="F51" i="25"/>
  <c r="E51" i="25"/>
  <c r="D51" i="25"/>
  <c r="K50" i="25"/>
  <c r="G50" i="25" s="1"/>
  <c r="I50" i="25"/>
  <c r="J49" i="25" s="1"/>
  <c r="F50" i="25"/>
  <c r="E50" i="25"/>
  <c r="D50" i="25"/>
  <c r="K49" i="25"/>
  <c r="G49" i="25" s="1"/>
  <c r="F49" i="25"/>
  <c r="E49" i="25"/>
  <c r="D49" i="25"/>
  <c r="K55" i="26"/>
  <c r="I55" i="26"/>
  <c r="F55" i="26"/>
  <c r="E55" i="26"/>
  <c r="D55" i="26"/>
  <c r="K54" i="26"/>
  <c r="G54" i="26" s="1"/>
  <c r="I54" i="26"/>
  <c r="F54" i="26"/>
  <c r="E54" i="26"/>
  <c r="D54" i="26"/>
  <c r="K53" i="26"/>
  <c r="I53" i="26"/>
  <c r="F53" i="26"/>
  <c r="E53" i="26"/>
  <c r="D53" i="26"/>
  <c r="K52" i="26"/>
  <c r="G52" i="26" s="1"/>
  <c r="F52" i="26"/>
  <c r="K51" i="26"/>
  <c r="G51" i="26" s="1"/>
  <c r="F51" i="26"/>
  <c r="E51" i="26"/>
  <c r="D51" i="26"/>
  <c r="K50" i="26"/>
  <c r="I50" i="26"/>
  <c r="J49" i="26" s="1"/>
  <c r="F50" i="26"/>
  <c r="E50" i="26"/>
  <c r="D50" i="26"/>
  <c r="K49" i="26"/>
  <c r="G49" i="26" s="1"/>
  <c r="F49" i="26"/>
  <c r="E49" i="26"/>
  <c r="D49" i="26"/>
  <c r="K55" i="27"/>
  <c r="G55" i="27" s="1"/>
  <c r="I55" i="27"/>
  <c r="F55" i="27"/>
  <c r="E55" i="27"/>
  <c r="D55" i="27"/>
  <c r="K54" i="27"/>
  <c r="G54" i="27" s="1"/>
  <c r="I54" i="27"/>
  <c r="F54" i="27"/>
  <c r="E54" i="27"/>
  <c r="D54" i="27"/>
  <c r="K53" i="27"/>
  <c r="G53" i="27" s="1"/>
  <c r="I53" i="27"/>
  <c r="F53" i="27"/>
  <c r="E53" i="27"/>
  <c r="D53" i="27"/>
  <c r="K52" i="27"/>
  <c r="G52" i="27" s="1"/>
  <c r="F52" i="27"/>
  <c r="K51" i="27"/>
  <c r="G51" i="27" s="1"/>
  <c r="F51" i="27"/>
  <c r="E51" i="27"/>
  <c r="D51" i="27"/>
  <c r="K50" i="27"/>
  <c r="I50" i="27"/>
  <c r="F50" i="27"/>
  <c r="E50" i="27"/>
  <c r="D50" i="27"/>
  <c r="K49" i="27"/>
  <c r="F49" i="27"/>
  <c r="E49" i="27"/>
  <c r="D49" i="27"/>
  <c r="G49" i="27" s="1"/>
  <c r="K55" i="28"/>
  <c r="G55" i="28" s="1"/>
  <c r="I55" i="28"/>
  <c r="F55" i="28"/>
  <c r="E55" i="28"/>
  <c r="D55" i="28"/>
  <c r="K54" i="28"/>
  <c r="G54" i="28" s="1"/>
  <c r="I54" i="28"/>
  <c r="F54" i="28"/>
  <c r="E54" i="28"/>
  <c r="D54" i="28"/>
  <c r="K53" i="28"/>
  <c r="G53" i="28" s="1"/>
  <c r="I53" i="28"/>
  <c r="F53" i="28"/>
  <c r="E53" i="28"/>
  <c r="D53" i="28"/>
  <c r="K52" i="28"/>
  <c r="G52" i="28" s="1"/>
  <c r="F52" i="28"/>
  <c r="K51" i="28"/>
  <c r="G51" i="28" s="1"/>
  <c r="F51" i="28"/>
  <c r="E51" i="28"/>
  <c r="D51" i="28"/>
  <c r="K50" i="28"/>
  <c r="I50" i="28"/>
  <c r="J49" i="28" s="1"/>
  <c r="F50" i="28"/>
  <c r="E50" i="28"/>
  <c r="D50" i="28"/>
  <c r="K49" i="28"/>
  <c r="F49" i="28"/>
  <c r="E49" i="28"/>
  <c r="D49" i="28"/>
  <c r="K55" i="29"/>
  <c r="G55" i="29" s="1"/>
  <c r="I55" i="29"/>
  <c r="F55" i="29"/>
  <c r="E55" i="29"/>
  <c r="D55" i="29"/>
  <c r="K54" i="29"/>
  <c r="G54" i="29" s="1"/>
  <c r="I54" i="29"/>
  <c r="F54" i="29"/>
  <c r="E54" i="29"/>
  <c r="D54" i="29"/>
  <c r="K53" i="29"/>
  <c r="G53" i="29" s="1"/>
  <c r="I53" i="29"/>
  <c r="F53" i="29"/>
  <c r="E53" i="29"/>
  <c r="D53" i="29"/>
  <c r="K52" i="29"/>
  <c r="G52" i="29" s="1"/>
  <c r="F52" i="29"/>
  <c r="K51" i="29"/>
  <c r="G51" i="29" s="1"/>
  <c r="F51" i="29"/>
  <c r="E51" i="29"/>
  <c r="D51" i="29"/>
  <c r="K50" i="29"/>
  <c r="G50" i="29" s="1"/>
  <c r="I50" i="29"/>
  <c r="F50" i="29"/>
  <c r="E50" i="29"/>
  <c r="D50" i="29"/>
  <c r="K49" i="29"/>
  <c r="G49" i="29" s="1"/>
  <c r="J49" i="29"/>
  <c r="F49" i="29"/>
  <c r="E49" i="29"/>
  <c r="D49" i="29"/>
  <c r="K55" i="30"/>
  <c r="I55" i="30"/>
  <c r="F55" i="30"/>
  <c r="E55" i="30"/>
  <c r="D55" i="30"/>
  <c r="K54" i="30"/>
  <c r="G54" i="30" s="1"/>
  <c r="I54" i="30"/>
  <c r="F54" i="30"/>
  <c r="E54" i="30"/>
  <c r="D54" i="30"/>
  <c r="K53" i="30"/>
  <c r="I53" i="30"/>
  <c r="F53" i="30"/>
  <c r="E53" i="30"/>
  <c r="D53" i="30"/>
  <c r="G53" i="30" s="1"/>
  <c r="K52" i="30"/>
  <c r="G52" i="30" s="1"/>
  <c r="F52" i="30"/>
  <c r="E52" i="30"/>
  <c r="D52" i="30"/>
  <c r="K51" i="30"/>
  <c r="G51" i="30" s="1"/>
  <c r="F51" i="30"/>
  <c r="E51" i="30"/>
  <c r="D51" i="30"/>
  <c r="K50" i="30"/>
  <c r="I50" i="30"/>
  <c r="F50" i="30"/>
  <c r="E50" i="30"/>
  <c r="D50" i="30"/>
  <c r="K49" i="30"/>
  <c r="G49" i="30"/>
  <c r="F49" i="30"/>
  <c r="E49" i="30"/>
  <c r="D49" i="30"/>
  <c r="K55" i="31"/>
  <c r="G55" i="31" s="1"/>
  <c r="I55" i="31"/>
  <c r="F55" i="31"/>
  <c r="E55" i="31"/>
  <c r="D55" i="31"/>
  <c r="K54" i="31"/>
  <c r="G54" i="31" s="1"/>
  <c r="I54" i="31"/>
  <c r="F54" i="31"/>
  <c r="E54" i="31"/>
  <c r="D54" i="31"/>
  <c r="K53" i="31"/>
  <c r="G53" i="31" s="1"/>
  <c r="I53" i="31"/>
  <c r="F53" i="31"/>
  <c r="E53" i="31"/>
  <c r="D53" i="31"/>
  <c r="K52" i="31"/>
  <c r="G52" i="31" s="1"/>
  <c r="F52" i="31"/>
  <c r="K51" i="31"/>
  <c r="G51" i="31" s="1"/>
  <c r="F51" i="31"/>
  <c r="E51" i="31"/>
  <c r="D51" i="31"/>
  <c r="K50" i="31"/>
  <c r="I50" i="31"/>
  <c r="F50" i="31"/>
  <c r="E50" i="31"/>
  <c r="D50" i="31"/>
  <c r="K49" i="31"/>
  <c r="G49" i="31" s="1"/>
  <c r="F49" i="31"/>
  <c r="E49" i="31"/>
  <c r="D49" i="31"/>
  <c r="K55" i="32"/>
  <c r="G55" i="32" s="1"/>
  <c r="I55" i="32"/>
  <c r="F55" i="32"/>
  <c r="E55" i="32"/>
  <c r="D55" i="32"/>
  <c r="K54" i="32"/>
  <c r="G54" i="32" s="1"/>
  <c r="I54" i="32"/>
  <c r="F54" i="32"/>
  <c r="E54" i="32"/>
  <c r="D54" i="32"/>
  <c r="K53" i="32"/>
  <c r="G53" i="32" s="1"/>
  <c r="I53" i="32"/>
  <c r="F53" i="32"/>
  <c r="E53" i="32"/>
  <c r="D53" i="32"/>
  <c r="K52" i="32"/>
  <c r="G52" i="32" s="1"/>
  <c r="F52" i="32"/>
  <c r="E52" i="32"/>
  <c r="D52" i="32"/>
  <c r="K51" i="32"/>
  <c r="G51" i="32" s="1"/>
  <c r="F51" i="32"/>
  <c r="E51" i="32"/>
  <c r="D51" i="32"/>
  <c r="K50" i="32"/>
  <c r="I50" i="32"/>
  <c r="F50" i="32"/>
  <c r="E50" i="32"/>
  <c r="D50" i="32"/>
  <c r="K49" i="32"/>
  <c r="F49" i="32"/>
  <c r="E49" i="32"/>
  <c r="D49" i="32"/>
  <c r="K55" i="33"/>
  <c r="G55" i="33" s="1"/>
  <c r="I55" i="33"/>
  <c r="F55" i="33"/>
  <c r="E55" i="33"/>
  <c r="D55" i="33"/>
  <c r="K54" i="33"/>
  <c r="G54" i="33" s="1"/>
  <c r="I54" i="33"/>
  <c r="F54" i="33"/>
  <c r="E54" i="33"/>
  <c r="D54" i="33"/>
  <c r="K53" i="33"/>
  <c r="G53" i="33" s="1"/>
  <c r="I53" i="33"/>
  <c r="F53" i="33"/>
  <c r="E53" i="33"/>
  <c r="D53" i="33"/>
  <c r="K52" i="33"/>
  <c r="G52" i="33" s="1"/>
  <c r="F52" i="33"/>
  <c r="K51" i="33"/>
  <c r="G51" i="33" s="1"/>
  <c r="F51" i="33"/>
  <c r="E51" i="33"/>
  <c r="D51" i="33"/>
  <c r="K50" i="33"/>
  <c r="I50" i="33"/>
  <c r="F50" i="33"/>
  <c r="E50" i="33"/>
  <c r="D50" i="33"/>
  <c r="K49" i="33"/>
  <c r="G49" i="33" s="1"/>
  <c r="J49" i="33"/>
  <c r="F49" i="33"/>
  <c r="E49" i="33"/>
  <c r="D49" i="33"/>
  <c r="K55" i="34"/>
  <c r="I55" i="34"/>
  <c r="F55" i="34"/>
  <c r="E55" i="34"/>
  <c r="D55" i="34"/>
  <c r="K54" i="34"/>
  <c r="G54" i="34" s="1"/>
  <c r="I54" i="34"/>
  <c r="F54" i="34"/>
  <c r="E54" i="34"/>
  <c r="D54" i="34"/>
  <c r="K53" i="34"/>
  <c r="I53" i="34"/>
  <c r="F53" i="34"/>
  <c r="E53" i="34"/>
  <c r="D53" i="34"/>
  <c r="K52" i="34"/>
  <c r="G52" i="34" s="1"/>
  <c r="F52" i="34"/>
  <c r="E52" i="34"/>
  <c r="D52" i="34"/>
  <c r="K51" i="34"/>
  <c r="G51" i="34" s="1"/>
  <c r="F51" i="34"/>
  <c r="E51" i="34"/>
  <c r="D51" i="34"/>
  <c r="K50" i="34"/>
  <c r="I50" i="34"/>
  <c r="F50" i="34"/>
  <c r="E50" i="34"/>
  <c r="D50" i="34"/>
  <c r="K49" i="34"/>
  <c r="G49" i="34" s="1"/>
  <c r="F49" i="34"/>
  <c r="E49" i="34"/>
  <c r="D49" i="34"/>
  <c r="K55" i="35"/>
  <c r="G55" i="35" s="1"/>
  <c r="I55" i="35"/>
  <c r="F55" i="35"/>
  <c r="E55" i="35"/>
  <c r="D55" i="35"/>
  <c r="K54" i="35"/>
  <c r="G54" i="35" s="1"/>
  <c r="I54" i="35"/>
  <c r="F54" i="35"/>
  <c r="E54" i="35"/>
  <c r="D54" i="35"/>
  <c r="K53" i="35"/>
  <c r="G53" i="35" s="1"/>
  <c r="I53" i="35"/>
  <c r="F53" i="35"/>
  <c r="E53" i="35"/>
  <c r="D53" i="35"/>
  <c r="K52" i="35"/>
  <c r="G52" i="35" s="1"/>
  <c r="F52" i="35"/>
  <c r="K51" i="35"/>
  <c r="G51" i="35" s="1"/>
  <c r="F51" i="35"/>
  <c r="E51" i="35"/>
  <c r="D51" i="35"/>
  <c r="K50" i="35"/>
  <c r="G50" i="35" s="1"/>
  <c r="I50" i="35"/>
  <c r="F50" i="35"/>
  <c r="E50" i="35"/>
  <c r="D50" i="35"/>
  <c r="K49" i="35"/>
  <c r="F49" i="35"/>
  <c r="E49" i="35"/>
  <c r="D49" i="35"/>
  <c r="K55" i="4"/>
  <c r="G55" i="4" s="1"/>
  <c r="I55" i="4"/>
  <c r="F55" i="4"/>
  <c r="E55" i="4"/>
  <c r="D55" i="4"/>
  <c r="K54" i="4"/>
  <c r="I54" i="4"/>
  <c r="G54" i="4"/>
  <c r="F54" i="4"/>
  <c r="E54" i="4"/>
  <c r="D54" i="4"/>
  <c r="K53" i="4"/>
  <c r="I53" i="4"/>
  <c r="F53" i="4"/>
  <c r="E53" i="4"/>
  <c r="D53" i="4"/>
  <c r="K52" i="4"/>
  <c r="G52" i="4" s="1"/>
  <c r="F52" i="4"/>
  <c r="K51" i="4"/>
  <c r="G51" i="4" s="1"/>
  <c r="F51" i="4"/>
  <c r="E51" i="4"/>
  <c r="D51" i="4"/>
  <c r="K50" i="4"/>
  <c r="G50" i="4" s="1"/>
  <c r="I50" i="4"/>
  <c r="F50" i="4"/>
  <c r="E50" i="4"/>
  <c r="D50" i="4"/>
  <c r="K49" i="4"/>
  <c r="J49" i="4"/>
  <c r="G49" i="4"/>
  <c r="F49" i="4"/>
  <c r="E49" i="4"/>
  <c r="D49" i="4"/>
  <c r="G53" i="26" l="1"/>
  <c r="J49" i="24"/>
  <c r="J49" i="22"/>
  <c r="G50" i="21"/>
  <c r="E52" i="12"/>
  <c r="H49" i="12" s="1"/>
  <c r="E52" i="20"/>
  <c r="J49" i="27"/>
  <c r="G55" i="14"/>
  <c r="E52" i="27"/>
  <c r="E52" i="29"/>
  <c r="E52" i="33"/>
  <c r="J49" i="30"/>
  <c r="J49" i="35"/>
  <c r="J49" i="34"/>
  <c r="G50" i="33"/>
  <c r="J49" i="31"/>
  <c r="G53" i="22"/>
  <c r="G49" i="35"/>
  <c r="G49" i="32"/>
  <c r="G50" i="9"/>
  <c r="J49" i="32"/>
  <c r="J49" i="16"/>
  <c r="J49" i="14"/>
  <c r="E52" i="17"/>
  <c r="D52" i="25"/>
  <c r="G55" i="30"/>
  <c r="J49" i="11"/>
  <c r="E52" i="8"/>
  <c r="G50" i="14"/>
  <c r="G50" i="26"/>
  <c r="G53" i="34"/>
  <c r="G50" i="18"/>
  <c r="G49" i="16"/>
  <c r="G50" i="16"/>
  <c r="G50" i="11"/>
  <c r="G50" i="30"/>
  <c r="G50" i="28"/>
  <c r="G50" i="27"/>
  <c r="G55" i="34"/>
  <c r="G50" i="32"/>
  <c r="G50" i="15"/>
  <c r="G55" i="10"/>
  <c r="G50" i="36"/>
  <c r="G50" i="34"/>
  <c r="G49" i="24"/>
  <c r="G55" i="22"/>
  <c r="G50" i="20"/>
  <c r="G49" i="19"/>
  <c r="G50" i="31"/>
  <c r="G50" i="23"/>
  <c r="G55" i="26"/>
  <c r="G50" i="24"/>
  <c r="G50" i="22"/>
  <c r="G50" i="19"/>
  <c r="G53" i="18"/>
  <c r="G50" i="10"/>
  <c r="G49" i="36"/>
  <c r="G53" i="4"/>
  <c r="D52" i="4"/>
  <c r="H49" i="4" s="1"/>
  <c r="E52" i="31"/>
  <c r="H49" i="31" s="1"/>
  <c r="D52" i="29"/>
  <c r="H49" i="29" s="1"/>
  <c r="E52" i="25"/>
  <c r="H49" i="25" s="1"/>
  <c r="D52" i="20"/>
  <c r="H49" i="14"/>
  <c r="E52" i="13"/>
  <c r="H49" i="13" s="1"/>
  <c r="D52" i="10"/>
  <c r="H49" i="10" s="1"/>
  <c r="H49" i="27"/>
  <c r="D52" i="26"/>
  <c r="H49" i="26" s="1"/>
  <c r="E52" i="28"/>
  <c r="H49" i="28" s="1"/>
  <c r="D52" i="19"/>
  <c r="H49" i="19" s="1"/>
  <c r="H49" i="15"/>
  <c r="D52" i="21"/>
  <c r="H49" i="21" s="1"/>
  <c r="H49" i="18"/>
  <c r="D52" i="11"/>
  <c r="H49" i="11" s="1"/>
  <c r="H49" i="24"/>
  <c r="D52" i="35"/>
  <c r="H49" i="35" s="1"/>
  <c r="H49" i="22"/>
  <c r="H49" i="16"/>
  <c r="H49" i="34"/>
  <c r="H49" i="33"/>
  <c r="H49" i="30"/>
  <c r="H49" i="23"/>
  <c r="H49" i="17"/>
  <c r="H49" i="32"/>
  <c r="H49" i="36"/>
  <c r="D52" i="9"/>
  <c r="H49" i="9" s="1"/>
  <c r="D52" i="8"/>
  <c r="H49" i="8" s="1"/>
  <c r="J49" i="8"/>
  <c r="G53" i="8"/>
  <c r="G49" i="8"/>
  <c r="G50" i="8"/>
  <c r="G49" i="28"/>
  <c r="G49" i="20"/>
  <c r="G49" i="12"/>
  <c r="H49" i="20" l="1"/>
  <c r="I55" i="2"/>
  <c r="I54" i="2"/>
  <c r="I53" i="2"/>
  <c r="I50" i="2"/>
  <c r="J49" i="2" s="1"/>
  <c r="F52" i="2" l="1"/>
  <c r="K52" i="2"/>
  <c r="G52" i="2" s="1"/>
  <c r="K50" i="2"/>
  <c r="K55" i="2" l="1"/>
  <c r="K54" i="2"/>
  <c r="G54" i="2" s="1"/>
  <c r="K53" i="2"/>
  <c r="K51" i="2"/>
  <c r="G51" i="2" s="1"/>
  <c r="K49" i="2"/>
  <c r="E49" i="2"/>
  <c r="E50" i="2"/>
  <c r="E51" i="2"/>
  <c r="E52" i="2"/>
  <c r="E53" i="2"/>
  <c r="E54" i="2"/>
  <c r="E55" i="2"/>
  <c r="F55" i="2"/>
  <c r="D55" i="2"/>
  <c r="F54" i="2"/>
  <c r="D54" i="2"/>
  <c r="F53" i="2"/>
  <c r="D53" i="2"/>
  <c r="D52" i="2"/>
  <c r="F51" i="2"/>
  <c r="D51" i="2"/>
  <c r="F50" i="2"/>
  <c r="D50" i="2"/>
  <c r="G50" i="2" s="1"/>
  <c r="F49" i="2"/>
  <c r="D49" i="2"/>
  <c r="G53" i="2" l="1"/>
  <c r="G49" i="2"/>
  <c r="H49" i="2"/>
  <c r="G55" i="2"/>
</calcChain>
</file>

<file path=xl/sharedStrings.xml><?xml version="1.0" encoding="utf-8"?>
<sst xmlns="http://schemas.openxmlformats.org/spreadsheetml/2006/main" count="3796" uniqueCount="231">
  <si>
    <t>EPIC Risk Consulting Quality Claim Assessment Tool</t>
  </si>
  <si>
    <t>Claimant:</t>
  </si>
  <si>
    <t>Jurisdiction:</t>
  </si>
  <si>
    <t>Incurred</t>
  </si>
  <si>
    <t>Paid</t>
  </si>
  <si>
    <t>Outstanding</t>
  </si>
  <si>
    <t>Claim #:</t>
  </si>
  <si>
    <t>Adjuster:</t>
  </si>
  <si>
    <t>Indemnity</t>
  </si>
  <si>
    <t>Meets Standard</t>
  </si>
  <si>
    <t>Leakage Value</t>
  </si>
  <si>
    <t>Brief Comment/Explanation</t>
  </si>
  <si>
    <t>Score</t>
  </si>
  <si>
    <t>N/A</t>
  </si>
  <si>
    <t>Claim Investigation</t>
  </si>
  <si>
    <t>Was the claim properly investigated to include taking recorded statements, obtaining prior medical reports, obtaining witness statements, verifying causation, etc.?</t>
  </si>
  <si>
    <t>Yes</t>
  </si>
  <si>
    <t xml:space="preserve">Does the adjuster re-evaluate causation when new/additional body parts are added? </t>
  </si>
  <si>
    <t>Does the file reflect any evidence of any adjuster rapport tactics such benefit explanation to EE and/ or bi-weekly EE contact during lost time period?</t>
  </si>
  <si>
    <t>Does the adjuster properly address any lag times from the DOI to the date reported to the TPA/carrier? (Late report is defined as greater than 2 days to the time the employee reported the claim to the employer or TPA)</t>
  </si>
  <si>
    <t xml:space="preserve">Are recovery opportunities being realized (subrogation)? </t>
  </si>
  <si>
    <t>Resolution Plans &amp; Claim Follow Up</t>
  </si>
  <si>
    <t xml:space="preserve">Do the action plans contain a specific and aggressive plan to bring the claim to closure? </t>
  </si>
  <si>
    <t xml:space="preserve">Does the action plan have completion due dates for any necessary follow up activities? </t>
  </si>
  <si>
    <t>Are the action plans executed in a timely manner that do not hinder the claim outcome? If not, indicate the Opportunity Cost</t>
  </si>
  <si>
    <t>Does the adjuster keep an appropriate diary?</t>
  </si>
  <si>
    <t>Supervisor Direction &amp; Special Handling</t>
  </si>
  <si>
    <t xml:space="preserve">Are the supervisor reviews completed timely? </t>
  </si>
  <si>
    <t>Do the supervisor review address any missed opportunities for resoultion and provide clear direction/recommendations</t>
  </si>
  <si>
    <t>Does the adjustet take action and or respond to the Supervisor recommendations?</t>
  </si>
  <si>
    <t xml:space="preserve">Does the supervisor hold the adjuster accountable for moving claim to resolution? </t>
  </si>
  <si>
    <t>Does the Superisor update recommendations based on current file status at time of review (does not cut and paste)</t>
  </si>
  <si>
    <t>Reserving</t>
  </si>
  <si>
    <t xml:space="preserve">Are the current reserves appropriate to resolve the claim? </t>
  </si>
  <si>
    <t>Are the reserves adjusted timely in accordance with the claim developments?</t>
  </si>
  <si>
    <t>Disability &amp; Medical Management</t>
  </si>
  <si>
    <t xml:space="preserve">Does the adjuster (or nurse) use ODG to manage RTW? </t>
  </si>
  <si>
    <t>Are the RTW target dates being communicated to all parties (i.e. EE, client contact, and treating physician)?</t>
  </si>
  <si>
    <t xml:space="preserve">Does the adjuster (or nurse) pro-actively address expired RTW target dates with the treating physician? If not, indicate leakage amount. </t>
  </si>
  <si>
    <t>Does the file reflect evidence of a non-accommodation RTW escalation process?</t>
  </si>
  <si>
    <t xml:space="preserve">Did the adjuster obtain the medical information on a timely basis? </t>
  </si>
  <si>
    <t>Is the adjuster pro-active in engaging ancillary resources and programs (TCM/NCM, IME, Pharmacy programs, etc.)</t>
  </si>
  <si>
    <t>If applicable, does the adjuster property manage the UR process to reduce medical delays and administrative denials?</t>
  </si>
  <si>
    <t xml:space="preserve">Is there a causal relationship between the current treatment plan and the accepted WC injury? </t>
  </si>
  <si>
    <t>Settlement Disposition</t>
  </si>
  <si>
    <t xml:space="preserve">Have early settlement opportunities been realized? If not, indicate amount of leakage. </t>
  </si>
  <si>
    <t xml:space="preserve">Has the adjuster completed his or her own evaluation and negotiations rather than defense counsel? </t>
  </si>
  <si>
    <t xml:space="preserve">Does the settlement evaluation include the future exposure, recommended settlement range, and planned negotiation plan? </t>
  </si>
  <si>
    <t>Upon receipt of settlement authority, has the adjuster/defense counsel made a reasonable offer of resolution within 2 business days?</t>
  </si>
  <si>
    <t xml:space="preserve">Did the adjuster extend a timed initial offer? </t>
  </si>
  <si>
    <t>Litigation Management</t>
  </si>
  <si>
    <t>At the time of the legal referral, did the adjuster outline a recommended legal strategy (Discovery, Settle/Resolve, and Deny/Trial) and claim summary to defense counsel?</t>
  </si>
  <si>
    <t xml:space="preserve">Has defense counsel provided a legal analysis, settlment strategy and defense budget every 90 days? </t>
  </si>
  <si>
    <t>No</t>
  </si>
  <si>
    <t xml:space="preserve">Does defense counsel advise adjuster/client of legal proceedings ahead of time? </t>
  </si>
  <si>
    <t>Does the adjuster direct counsel's activities to mitigate litigation cost and duration?</t>
  </si>
  <si>
    <t>Does the adjuster complete claim activities (i.e., sending letters to physicians, requesting records--not via subpoena, scheduling IMEs, etc.) rather than counsel? If not, indicate amount of leakage</t>
  </si>
  <si>
    <t>Partially</t>
  </si>
  <si>
    <t>Score (Scaled)</t>
  </si>
  <si>
    <t>Audit Score</t>
  </si>
  <si>
    <t>Leakage</t>
  </si>
  <si>
    <t>Leakage Amount</t>
  </si>
  <si>
    <t>-</t>
  </si>
  <si>
    <t>Description of Loss:</t>
  </si>
  <si>
    <t>Date Reported</t>
  </si>
  <si>
    <t># N/A</t>
  </si>
  <si>
    <t># Questions</t>
  </si>
  <si>
    <t>000531-073048-WC-01</t>
  </si>
  <si>
    <t>Acosta, Elizabeth</t>
  </si>
  <si>
    <t>Workers Compensation</t>
  </si>
  <si>
    <t>Marta Eilers</t>
  </si>
  <si>
    <t>5374 - AUTOZONE-5374</t>
  </si>
  <si>
    <t>Open</t>
  </si>
  <si>
    <t>CA</t>
  </si>
  <si>
    <t>In Suit</t>
  </si>
  <si>
    <t>Multiple Body Parts</t>
  </si>
  <si>
    <t>Yes, Attorney Disclosure Form filed</t>
  </si>
  <si>
    <t>GB-SACRAMENTO EAST</t>
  </si>
  <si>
    <t>a. &lt;10%</t>
  </si>
  <si>
    <t>FY 2021</t>
  </si>
  <si>
    <t>000531-073522-WC-01</t>
  </si>
  <si>
    <t>Ramirez, Jose</t>
  </si>
  <si>
    <t>Maria Barlow</t>
  </si>
  <si>
    <t>5562 - AUTOZONE-5562</t>
  </si>
  <si>
    <t>Hands</t>
  </si>
  <si>
    <t>FY 2020</t>
  </si>
  <si>
    <t>000531-071037-WC-01</t>
  </si>
  <si>
    <t>Gomez, Arnulfo</t>
  </si>
  <si>
    <t>6218 - AUTOZONE-6218</t>
  </si>
  <si>
    <t>Back, lower</t>
  </si>
  <si>
    <t>000531-061486-WC-01</t>
  </si>
  <si>
    <t>Haynes, Felicia</t>
  </si>
  <si>
    <t>5463 - AUTOZONE-5463</t>
  </si>
  <si>
    <t>Neck - Multiple Injuries to the Neck</t>
  </si>
  <si>
    <t>b. 10-90%</t>
  </si>
  <si>
    <t>Before FY 2020</t>
  </si>
  <si>
    <t>000531-065854-WC-01</t>
  </si>
  <si>
    <t>Jimenez, Jonah</t>
  </si>
  <si>
    <t>3359 - AUTOZONE 3359</t>
  </si>
  <si>
    <t>Not in Suit</t>
  </si>
  <si>
    <t>Knee, right</t>
  </si>
  <si>
    <t>000531-070118-WC-01</t>
  </si>
  <si>
    <t>Castro, Donna</t>
  </si>
  <si>
    <t>9710 - AUTOZONE DISTRIBUTION</t>
  </si>
  <si>
    <t>Toe, Great</t>
  </si>
  <si>
    <t>000531-068692-WC-01</t>
  </si>
  <si>
    <t>Galindo, Jose</t>
  </si>
  <si>
    <t>Back, upper (thoracic)</t>
  </si>
  <si>
    <t>000531-067923-WC-01</t>
  </si>
  <si>
    <t>Zapata, Andree</t>
  </si>
  <si>
    <t>2819 - AUTOZONE-2819</t>
  </si>
  <si>
    <t>000531-066858-WC-01</t>
  </si>
  <si>
    <t>Vega-Bravo, Lucina</t>
  </si>
  <si>
    <t>Leg, right</t>
  </si>
  <si>
    <t>000531-072994-WC-01</t>
  </si>
  <si>
    <t>Lehman, Allan</t>
  </si>
  <si>
    <t>Jody Curtis</t>
  </si>
  <si>
    <t>4819 - AUTOZONE #4819</t>
  </si>
  <si>
    <t>FL</t>
  </si>
  <si>
    <t>Arm, right</t>
  </si>
  <si>
    <t>GALLAGHER BASSETT -NASHVILLE</t>
  </si>
  <si>
    <t>000531-069395-WC-01</t>
  </si>
  <si>
    <t>Carvajal, Roger</t>
  </si>
  <si>
    <t>4961 - AUTOZONE-4961</t>
  </si>
  <si>
    <t>Knee, left</t>
  </si>
  <si>
    <t>000531-070995-WC-01</t>
  </si>
  <si>
    <t>Rosas, Rafael</t>
  </si>
  <si>
    <t>4852 - AUTO ZONE-4852</t>
  </si>
  <si>
    <t>Reopened</t>
  </si>
  <si>
    <t>000531-067917-WC-01</t>
  </si>
  <si>
    <t>Davis, Gregory</t>
  </si>
  <si>
    <t>2448 - AUTOZONE-2448</t>
  </si>
  <si>
    <t>000531-070650-WC-01</t>
  </si>
  <si>
    <t>Hunt, Michael</t>
  </si>
  <si>
    <t>Candyce Graham</t>
  </si>
  <si>
    <t>0158 - AUTOZONE-0158</t>
  </si>
  <si>
    <t>GA</t>
  </si>
  <si>
    <t>Neck - cervical disc</t>
  </si>
  <si>
    <t>000531-070204-WC-01</t>
  </si>
  <si>
    <t>Cedar, Harry</t>
  </si>
  <si>
    <t>3169 - AUTOZONE 3169</t>
  </si>
  <si>
    <t>Shoulder, right</t>
  </si>
  <si>
    <t>000531-069687-WC-01</t>
  </si>
  <si>
    <t>Gatlin, Vivian</t>
  </si>
  <si>
    <t>0940 - AUTOZONE-0940</t>
  </si>
  <si>
    <t>000531-071987-WC-01</t>
  </si>
  <si>
    <t>Lee, Robert</t>
  </si>
  <si>
    <t>Donna Tincher</t>
  </si>
  <si>
    <t>2680 - AUTOZONE-2680</t>
  </si>
  <si>
    <t>IL</t>
  </si>
  <si>
    <t>Chest and/or ribs</t>
  </si>
  <si>
    <t>GB-ROLLING MEADOWS / REGIONAL</t>
  </si>
  <si>
    <t>000531-067756-WC-01</t>
  </si>
  <si>
    <t>Mulligan, Sean</t>
  </si>
  <si>
    <t>2651 - AUTOZONE-2651</t>
  </si>
  <si>
    <t>c. 90%+</t>
  </si>
  <si>
    <t>000531-070989-WC-01</t>
  </si>
  <si>
    <t>Farrell, Trisa</t>
  </si>
  <si>
    <t>2640 - AUTOZONE-2640</t>
  </si>
  <si>
    <t>No physical injury</t>
  </si>
  <si>
    <t>000531-059202-WC-01</t>
  </si>
  <si>
    <t>Tree, Derek</t>
  </si>
  <si>
    <t>2691 - AUTOZONE-2691</t>
  </si>
  <si>
    <t>000531-068868-WC-01</t>
  </si>
  <si>
    <t>Perez, Carlos</t>
  </si>
  <si>
    <t>4469 - AUTOZONE-4469</t>
  </si>
  <si>
    <t>000531-066911-WC-01</t>
  </si>
  <si>
    <t>Moore, Shan</t>
  </si>
  <si>
    <t>2571 - AUTOZONE-2571S</t>
  </si>
  <si>
    <t>000531-069791-WC-01</t>
  </si>
  <si>
    <t>Schomaker, Jason</t>
  </si>
  <si>
    <t>Michael Cline</t>
  </si>
  <si>
    <t>0710 - AUTOZONE-0710</t>
  </si>
  <si>
    <t>OH</t>
  </si>
  <si>
    <t>GALLAGHER BASSETT - COLUMBUS</t>
  </si>
  <si>
    <t>000531-066810-WC-01</t>
  </si>
  <si>
    <t>Roberts, Merrell</t>
  </si>
  <si>
    <t>Claire Goodyear</t>
  </si>
  <si>
    <t>1122 - AUTOZONE-1122</t>
  </si>
  <si>
    <t>PA</t>
  </si>
  <si>
    <t>GB-BURLINGTON WC</t>
  </si>
  <si>
    <t>000531-067087-WC-01</t>
  </si>
  <si>
    <t>Nichols, Harry</t>
  </si>
  <si>
    <t>9720 - AUTOZONE #9720</t>
  </si>
  <si>
    <t>Face</t>
  </si>
  <si>
    <t>000531-069344-WC-01</t>
  </si>
  <si>
    <t>Lebron, Angel</t>
  </si>
  <si>
    <t>5290 - AUTOZONE-5290</t>
  </si>
  <si>
    <t>Teeth or tooth</t>
  </si>
  <si>
    <t>000531-061686-WC-01</t>
  </si>
  <si>
    <t>Goldwire, Jeffery</t>
  </si>
  <si>
    <t>8351 - AUTOZONE MAINTENANCE 8351</t>
  </si>
  <si>
    <t>Leg, left</t>
  </si>
  <si>
    <t>000531-069959-WC-01</t>
  </si>
  <si>
    <t>Rodenheiser, Shannon</t>
  </si>
  <si>
    <t>1831 - AUTOZONE-1831</t>
  </si>
  <si>
    <t>Foot, right</t>
  </si>
  <si>
    <t>000531-070487-WC-01</t>
  </si>
  <si>
    <t>Poole, Kenneth</t>
  </si>
  <si>
    <t>2843 - AUTOZONE-2843</t>
  </si>
  <si>
    <t>Shoulders</t>
  </si>
  <si>
    <t>000531-060014-WC-01</t>
  </si>
  <si>
    <t>Budd, Roman</t>
  </si>
  <si>
    <t>5294 - AUTOZONE-5294</t>
  </si>
  <si>
    <t>Claim Number</t>
  </si>
  <si>
    <t>Claimant</t>
  </si>
  <si>
    <t>Accident Date</t>
  </si>
  <si>
    <t>Reported Date</t>
  </si>
  <si>
    <t>Coverage</t>
  </si>
  <si>
    <t>Resolution Manager</t>
  </si>
  <si>
    <t>Reporting Unit</t>
  </si>
  <si>
    <t>Status</t>
  </si>
  <si>
    <t>Accident State</t>
  </si>
  <si>
    <t>Total Incurred</t>
  </si>
  <si>
    <t>Claim In Suit</t>
  </si>
  <si>
    <t>Claim In Suit Date</t>
  </si>
  <si>
    <t>Total Outstanding</t>
  </si>
  <si>
    <t>Incurred Net Recovery - Ind/BI</t>
  </si>
  <si>
    <t>Part of Body</t>
  </si>
  <si>
    <t>Claimant Age</t>
  </si>
  <si>
    <t>Claimant Represented</t>
  </si>
  <si>
    <t>Branch</t>
  </si>
  <si>
    <t>Total Paid Net Recovery</t>
  </si>
  <si>
    <t>FY</t>
  </si>
  <si>
    <t>% Paid</t>
  </si>
  <si>
    <t>Paid % Bucket</t>
  </si>
  <si>
    <t>Over $1M</t>
  </si>
  <si>
    <t>top state</t>
  </si>
  <si>
    <t>First Draft Selections</t>
  </si>
  <si>
    <t>First Draft Bin</t>
  </si>
  <si>
    <t>In Suit 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</si>
</sst>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&quot;$&quot;#,##0.00"/>
    <numFmt numFmtId="165" formatCode="&quot;$&quot;#,##0"/>
  </numFmts>
  <fonts count="11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9"/>
      <color rgb="FF000080"/>
      <name val="Arial"/>
      <family val="2"/>
    </font>
    <font>
      <sz val="9"/>
      <color rgb="FF000000"/>
      <name val="Arial"/>
      <family val="2"/>
    </font>
    <font>
      <b/>
      <sz val="9"/>
      <color rgb="FF333399"/>
      <name val="Arial"/>
      <family val="2"/>
    </font>
    <font>
      <sz val="9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0" tint="-0.249977111117893"/>
      <name val="Calibri"/>
      <family val="2"/>
      <scheme val="minor"/>
    </font>
    <font>
      <b/>
      <sz val="9"/>
      <color theme="0" tint="-0.249977111117893"/>
      <name val="Arial"/>
      <family val="2"/>
    </font>
    <font>
      <b/>
      <sz val="24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left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6" fontId="4" fillId="0" borderId="3" xfId="0" applyNumberFormat="1" applyFont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center" wrapText="1" readingOrder="1"/>
    </xf>
    <xf numFmtId="0" fontId="4" fillId="3" borderId="8" xfId="0" applyFont="1" applyFill="1" applyBorder="1" applyAlignment="1">
      <alignment horizontal="left" wrapText="1" readingOrder="1"/>
    </xf>
    <xf numFmtId="0" fontId="4" fillId="2" borderId="8" xfId="0" applyFont="1" applyFill="1" applyBorder="1" applyAlignment="1">
      <alignment horizontal="left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3" borderId="9" xfId="0" applyFont="1" applyFill="1" applyBorder="1" applyAlignment="1">
      <alignment horizontal="left" wrapText="1" readingOrder="1"/>
    </xf>
    <xf numFmtId="0" fontId="1" fillId="6" borderId="13" xfId="0" applyFont="1" applyFill="1" applyBorder="1" applyAlignment="1">
      <alignment readingOrder="1"/>
    </xf>
    <xf numFmtId="6" fontId="4" fillId="6" borderId="5" xfId="0" applyNumberFormat="1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3" borderId="13" xfId="0" applyFont="1" applyFill="1" applyBorder="1" applyAlignment="1">
      <alignment horizontal="center" vertical="center" wrapText="1" readingOrder="1"/>
    </xf>
    <xf numFmtId="6" fontId="4" fillId="0" borderId="7" xfId="0" applyNumberFormat="1" applyFont="1" applyBorder="1" applyAlignment="1">
      <alignment horizontal="center" vertical="center" wrapText="1" readingOrder="1"/>
    </xf>
    <xf numFmtId="0" fontId="7" fillId="0" borderId="0" xfId="0" applyFont="1"/>
    <xf numFmtId="0" fontId="1" fillId="2" borderId="16" xfId="0" applyFont="1" applyFill="1" applyBorder="1" applyAlignment="1">
      <alignment readingOrder="1"/>
    </xf>
    <xf numFmtId="0" fontId="4" fillId="3" borderId="9" xfId="0" applyFont="1" applyFill="1" applyBorder="1" applyAlignment="1">
      <alignment horizontal="left" wrapText="1" readingOrder="1"/>
    </xf>
    <xf numFmtId="0" fontId="1" fillId="0" borderId="5" xfId="0" applyFont="1" applyBorder="1" applyAlignment="1">
      <alignment horizontal="center" wrapText="1" readingOrder="1"/>
    </xf>
    <xf numFmtId="6" fontId="4" fillId="0" borderId="5" xfId="0" applyNumberFormat="1" applyFont="1" applyBorder="1" applyAlignment="1">
      <alignment horizontal="center" vertical="center" wrapText="1" readingOrder="1"/>
    </xf>
    <xf numFmtId="6" fontId="1" fillId="0" borderId="3" xfId="0" applyNumberFormat="1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1"/>
    </xf>
    <xf numFmtId="0" fontId="1" fillId="4" borderId="5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left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1" fillId="2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horizontal="left" vertical="center" readingOrder="1"/>
    </xf>
    <xf numFmtId="0" fontId="8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wrapText="1" readingOrder="1"/>
    </xf>
    <xf numFmtId="0" fontId="9" fillId="7" borderId="0" xfId="0" applyFont="1" applyFill="1" applyAlignment="1">
      <alignment wrapText="1" readingOrder="1"/>
    </xf>
    <xf numFmtId="0" fontId="1" fillId="2" borderId="4" xfId="0" applyFont="1" applyFill="1" applyBorder="1" applyAlignment="1">
      <alignment horizontal="center" vertical="center" wrapText="1" readingOrder="1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vertical="center" wrapText="1" readingOrder="1"/>
    </xf>
    <xf numFmtId="0" fontId="1" fillId="2" borderId="2" xfId="0" applyFont="1" applyFill="1" applyBorder="1" applyAlignment="1">
      <alignment horizontal="left" vertical="center" wrapText="1" readingOrder="1"/>
    </xf>
    <xf numFmtId="0" fontId="1" fillId="0" borderId="20" xfId="0" applyFont="1" applyBorder="1" applyAlignment="1">
      <alignment readingOrder="1"/>
    </xf>
    <xf numFmtId="0" fontId="1" fillId="0" borderId="21" xfId="0" applyFont="1" applyBorder="1" applyAlignment="1">
      <alignment wrapText="1" readingOrder="1"/>
    </xf>
    <xf numFmtId="0" fontId="1" fillId="0" borderId="22" xfId="0" applyFont="1" applyBorder="1" applyAlignment="1">
      <alignment wrapText="1" readingOrder="1"/>
    </xf>
    <xf numFmtId="0" fontId="3" fillId="2" borderId="23" xfId="0" applyFont="1" applyFill="1" applyBorder="1" applyAlignment="1">
      <alignment horizontal="left" vertical="center" wrapText="1" readingOrder="1"/>
    </xf>
    <xf numFmtId="0" fontId="1" fillId="2" borderId="24" xfId="0" applyFont="1" applyFill="1" applyBorder="1" applyAlignment="1">
      <alignment horizontal="center" vertical="center" wrapText="1" readingOrder="1"/>
    </xf>
    <xf numFmtId="0" fontId="1" fillId="2" borderId="25" xfId="0" applyFont="1" applyFill="1" applyBorder="1" applyAlignment="1">
      <alignment horizontal="left" vertical="center" wrapText="1" readingOrder="1"/>
    </xf>
    <xf numFmtId="0" fontId="1" fillId="2" borderId="26" xfId="0" applyFont="1" applyFill="1" applyBorder="1" applyAlignment="1">
      <alignment horizontal="center" vertical="center" wrapText="1" readingOrder="1"/>
    </xf>
    <xf numFmtId="0" fontId="1" fillId="2" borderId="27" xfId="0" applyFont="1" applyFill="1" applyBorder="1" applyAlignment="1">
      <alignment horizontal="left" vertical="center" wrapText="1" readingOrder="1"/>
    </xf>
    <xf numFmtId="0" fontId="4" fillId="2" borderId="24" xfId="0" applyFont="1" applyFill="1" applyBorder="1" applyAlignment="1">
      <alignment horizontal="left" vertical="center" wrapText="1" readingOrder="1"/>
    </xf>
    <xf numFmtId="0" fontId="4" fillId="0" borderId="29" xfId="0" applyFont="1" applyBorder="1" applyAlignment="1">
      <alignment horizontal="center" wrapText="1" readingOrder="1"/>
    </xf>
    <xf numFmtId="0" fontId="1" fillId="2" borderId="23" xfId="0" applyFont="1" applyFill="1" applyBorder="1" applyAlignment="1">
      <alignment horizontal="left" readingOrder="1"/>
    </xf>
    <xf numFmtId="0" fontId="4" fillId="2" borderId="24" xfId="0" applyFont="1" applyFill="1" applyBorder="1" applyAlignment="1">
      <alignment horizontal="left" wrapText="1" readingOrder="1"/>
    </xf>
    <xf numFmtId="0" fontId="1" fillId="2" borderId="23" xfId="0" applyFont="1" applyFill="1" applyBorder="1" applyAlignment="1">
      <alignment horizontal="left" wrapText="1" readingOrder="1"/>
    </xf>
    <xf numFmtId="0" fontId="4" fillId="2" borderId="24" xfId="0" applyFont="1" applyFill="1" applyBorder="1" applyAlignment="1">
      <alignment horizontal="center" wrapText="1" readingOrder="1"/>
    </xf>
    <xf numFmtId="0" fontId="1" fillId="2" borderId="28" xfId="0" applyFont="1" applyFill="1" applyBorder="1" applyAlignment="1">
      <alignment horizontal="left" readingOrder="1"/>
    </xf>
    <xf numFmtId="0" fontId="4" fillId="2" borderId="31" xfId="0" applyFont="1" applyFill="1" applyBorder="1" applyAlignment="1">
      <alignment horizontal="left" wrapText="1" readingOrder="1"/>
    </xf>
    <xf numFmtId="0" fontId="1" fillId="2" borderId="30" xfId="0" applyFont="1" applyFill="1" applyBorder="1" applyAlignment="1">
      <alignment readingOrder="1"/>
    </xf>
    <xf numFmtId="0" fontId="1" fillId="2" borderId="32" xfId="0" applyFont="1" applyFill="1" applyBorder="1" applyAlignment="1">
      <alignment readingOrder="1"/>
    </xf>
    <xf numFmtId="0" fontId="4" fillId="0" borderId="33" xfId="0" applyFont="1" applyBorder="1" applyAlignment="1">
      <alignment horizontal="center" wrapText="1" readingOrder="1"/>
    </xf>
    <xf numFmtId="0" fontId="4" fillId="5" borderId="23" xfId="0" applyFont="1" applyFill="1" applyBorder="1" applyAlignment="1">
      <alignment horizontal="center" readingOrder="1"/>
    </xf>
    <xf numFmtId="0" fontId="4" fillId="0" borderId="25" xfId="0" applyFont="1" applyBorder="1" applyAlignment="1">
      <alignment horizontal="center" wrapText="1" readingOrder="1"/>
    </xf>
    <xf numFmtId="0" fontId="1" fillId="2" borderId="34" xfId="0" applyFont="1" applyFill="1" applyBorder="1" applyAlignment="1">
      <alignment horizontal="left" wrapText="1" readingOrder="1"/>
    </xf>
    <xf numFmtId="0" fontId="4" fillId="3" borderId="34" xfId="0" applyFont="1" applyFill="1" applyBorder="1" applyAlignment="1">
      <alignment horizontal="left" wrapText="1" readingOrder="1"/>
    </xf>
    <xf numFmtId="0" fontId="1" fillId="4" borderId="35" xfId="0" applyFont="1" applyFill="1" applyBorder="1" applyAlignment="1">
      <alignment horizontal="center" wrapText="1" readingOrder="1"/>
    </xf>
    <xf numFmtId="0" fontId="4" fillId="2" borderId="40" xfId="0" applyFont="1" applyFill="1" applyBorder="1" applyAlignment="1">
      <alignment horizontal="left" wrapText="1" readingOrder="1"/>
    </xf>
    <xf numFmtId="0" fontId="4" fillId="2" borderId="41" xfId="0" applyFont="1" applyFill="1" applyBorder="1" applyAlignment="1">
      <alignment horizontal="left" wrapText="1" readingOrder="1"/>
    </xf>
    <xf numFmtId="0" fontId="1" fillId="2" borderId="1" xfId="0" applyFont="1" applyFill="1" applyBorder="1" applyAlignment="1">
      <alignment horizontal="left" wrapText="1" readingOrder="1"/>
    </xf>
    <xf numFmtId="0" fontId="1" fillId="2" borderId="9" xfId="0" applyFont="1" applyFill="1" applyBorder="1" applyAlignment="1">
      <alignment horizontal="left" wrapText="1" readingOrder="1"/>
    </xf>
    <xf numFmtId="14" fontId="0" fillId="0" borderId="0" xfId="0" applyNumberFormat="1"/>
    <xf numFmtId="14" fontId="4" fillId="0" borderId="3" xfId="0" applyNumberFormat="1" applyFont="1" applyBorder="1" applyAlignment="1">
      <alignment horizontal="center" vertical="center" wrapText="1" readingOrder="1"/>
    </xf>
    <xf numFmtId="164" fontId="2" fillId="0" borderId="0" xfId="0" applyNumberFormat="1" applyFont="1"/>
    <xf numFmtId="165" fontId="4" fillId="0" borderId="3" xfId="0" applyNumberFormat="1" applyFont="1" applyBorder="1" applyAlignment="1">
      <alignment horizontal="right" vertical="center" wrapText="1" readingOrder="1"/>
    </xf>
    <xf numFmtId="165" fontId="4" fillId="0" borderId="26" xfId="0" applyNumberFormat="1" applyFont="1" applyBorder="1" applyAlignment="1">
      <alignment horizontal="right" vertical="center" wrapText="1" readingOrder="1"/>
    </xf>
    <xf numFmtId="0" fontId="1" fillId="2" borderId="39" xfId="0" applyFont="1" applyFill="1" applyBorder="1" applyAlignment="1">
      <alignment horizontal="left" vertical="top" wrapText="1" readingOrder="1"/>
    </xf>
    <xf numFmtId="0" fontId="1" fillId="2" borderId="40" xfId="0" applyFont="1" applyFill="1" applyBorder="1" applyAlignment="1">
      <alignment horizontal="left" vertical="top" wrapText="1" readingOrder="1"/>
    </xf>
    <xf numFmtId="0" fontId="1" fillId="3" borderId="34" xfId="0" applyFont="1" applyFill="1" applyBorder="1" applyAlignment="1">
      <alignment vertical="center" wrapText="1" readingOrder="1"/>
    </xf>
    <xf numFmtId="0" fontId="1" fillId="3" borderId="9" xfId="0" applyFont="1" applyFill="1" applyBorder="1" applyAlignment="1">
      <alignment vertical="center" wrapText="1" readingOrder="1"/>
    </xf>
    <xf numFmtId="0" fontId="1" fillId="3" borderId="10" xfId="0" applyFont="1" applyFill="1" applyBorder="1" applyAlignment="1">
      <alignment vertical="center" wrapText="1" readingOrder="1"/>
    </xf>
    <xf numFmtId="1" fontId="10" fillId="4" borderId="5" xfId="0" applyNumberFormat="1" applyFont="1" applyFill="1" applyBorder="1" applyAlignment="1">
      <alignment horizontal="center" vertical="center" wrapText="1" readingOrder="1"/>
    </xf>
    <xf numFmtId="1" fontId="10" fillId="4" borderId="6" xfId="0" applyNumberFormat="1" applyFont="1" applyFill="1" applyBorder="1" applyAlignment="1">
      <alignment horizontal="center" vertical="center" wrapText="1" readingOrder="1"/>
    </xf>
    <xf numFmtId="1" fontId="10" fillId="4" borderId="7" xfId="0" applyNumberFormat="1" applyFont="1" applyFill="1" applyBorder="1" applyAlignment="1">
      <alignment horizontal="center" vertical="center" wrapText="1" readingOrder="1"/>
    </xf>
    <xf numFmtId="6" fontId="4" fillId="4" borderId="35" xfId="0" applyNumberFormat="1" applyFont="1" applyFill="1" applyBorder="1" applyAlignment="1">
      <alignment horizontal="center" vertical="center" wrapText="1" readingOrder="1"/>
    </xf>
    <xf numFmtId="6" fontId="4" fillId="4" borderId="37" xfId="0" applyNumberFormat="1" applyFont="1" applyFill="1" applyBorder="1" applyAlignment="1">
      <alignment horizontal="center" vertical="center" wrapText="1" readingOrder="1"/>
    </xf>
    <xf numFmtId="6" fontId="4" fillId="4" borderId="38" xfId="0" applyNumberFormat="1" applyFont="1" applyFill="1" applyBorder="1" applyAlignment="1">
      <alignment horizontal="center" vertical="center" wrapText="1" readingOrder="1"/>
    </xf>
    <xf numFmtId="0" fontId="1" fillId="3" borderId="36" xfId="0" applyFont="1" applyFill="1" applyBorder="1" applyAlignment="1">
      <alignment vertical="center" wrapText="1" readingOrder="1"/>
    </xf>
    <xf numFmtId="0" fontId="1" fillId="3" borderId="0" xfId="0" applyFont="1" applyFill="1" applyAlignment="1">
      <alignment vertical="center" wrapText="1" readingOrder="1"/>
    </xf>
    <xf numFmtId="0" fontId="1" fillId="3" borderId="11" xfId="0" applyFont="1" applyFill="1" applyBorder="1" applyAlignment="1">
      <alignment vertical="center" wrapText="1" readingOrder="1"/>
    </xf>
    <xf numFmtId="0" fontId="1" fillId="3" borderId="28" xfId="0" applyFont="1" applyFill="1" applyBorder="1" applyAlignment="1">
      <alignment vertical="center" wrapText="1" readingOrder="1"/>
    </xf>
    <xf numFmtId="0" fontId="1" fillId="3" borderId="8" xfId="0" applyFont="1" applyFill="1" applyBorder="1" applyAlignment="1">
      <alignment vertical="center" wrapText="1" readingOrder="1"/>
    </xf>
    <xf numFmtId="0" fontId="1" fillId="3" borderId="12" xfId="0" applyFont="1" applyFill="1" applyBorder="1" applyAlignment="1">
      <alignment vertical="center" wrapText="1" readingOrder="1"/>
    </xf>
    <xf numFmtId="0" fontId="4" fillId="0" borderId="4" xfId="0" applyFont="1" applyBorder="1" applyAlignment="1">
      <alignment horizontal="left" wrapText="1" readingOrder="1"/>
    </xf>
    <xf numFmtId="0" fontId="4" fillId="0" borderId="1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0" borderId="24" xfId="0" applyFont="1" applyBorder="1" applyAlignment="1">
      <alignment horizontal="center" wrapText="1" readingOrder="1"/>
    </xf>
    <xf numFmtId="0" fontId="6" fillId="5" borderId="18" xfId="0" applyFont="1" applyFill="1" applyBorder="1" applyAlignment="1">
      <alignment horizontal="left" wrapText="1" readingOrder="1"/>
    </xf>
    <xf numFmtId="0" fontId="6" fillId="5" borderId="9" xfId="0" applyFont="1" applyFill="1" applyBorder="1" applyAlignment="1">
      <alignment horizontal="left" wrapText="1" readingOrder="1"/>
    </xf>
    <xf numFmtId="0" fontId="6" fillId="5" borderId="10" xfId="0" applyFont="1" applyFill="1" applyBorder="1" applyAlignment="1">
      <alignment horizontal="left" wrapText="1" readingOrder="1"/>
    </xf>
    <xf numFmtId="0" fontId="4" fillId="5" borderId="15" xfId="0" applyFont="1" applyFill="1" applyBorder="1" applyAlignment="1">
      <alignment horizontal="left" wrapText="1" readingOrder="1"/>
    </xf>
    <xf numFmtId="0" fontId="4" fillId="5" borderId="16" xfId="0" applyFont="1" applyFill="1" applyBorder="1" applyAlignment="1">
      <alignment horizontal="left" wrapText="1" readingOrder="1"/>
    </xf>
    <xf numFmtId="0" fontId="4" fillId="5" borderId="17" xfId="0" applyFont="1" applyFill="1" applyBorder="1" applyAlignment="1">
      <alignment horizontal="left" wrapText="1" readingOrder="1"/>
    </xf>
    <xf numFmtId="0" fontId="4" fillId="0" borderId="14" xfId="0" applyFont="1" applyBorder="1" applyAlignment="1">
      <alignment horizontal="left" wrapText="1" readingOrder="1"/>
    </xf>
    <xf numFmtId="0" fontId="4" fillId="0" borderId="8" xfId="0" applyFont="1" applyBorder="1" applyAlignment="1">
      <alignment horizontal="left" wrapText="1" readingOrder="1"/>
    </xf>
    <xf numFmtId="0" fontId="4" fillId="0" borderId="12" xfId="0" applyFont="1" applyBorder="1" applyAlignment="1">
      <alignment horizontal="left" wrapText="1" readingOrder="1"/>
    </xf>
    <xf numFmtId="0" fontId="4" fillId="0" borderId="18" xfId="0" applyFont="1" applyBorder="1" applyAlignment="1">
      <alignment horizontal="left" wrapText="1" readingOrder="1"/>
    </xf>
    <xf numFmtId="0" fontId="4" fillId="0" borderId="9" xfId="0" applyFont="1" applyBorder="1" applyAlignment="1">
      <alignment horizontal="left" wrapText="1" readingOrder="1"/>
    </xf>
    <xf numFmtId="0" fontId="4" fillId="0" borderId="10" xfId="0" applyFont="1" applyBorder="1" applyAlignment="1">
      <alignment horizontal="left" wrapText="1" readingOrder="1"/>
    </xf>
    <xf numFmtId="0" fontId="6" fillId="0" borderId="14" xfId="0" applyFont="1" applyBorder="1" applyAlignment="1">
      <alignment horizontal="left" wrapText="1" readingOrder="1"/>
    </xf>
    <xf numFmtId="0" fontId="6" fillId="0" borderId="8" xfId="0" applyFont="1" applyBorder="1" applyAlignment="1">
      <alignment horizontal="left" wrapText="1" readingOrder="1"/>
    </xf>
    <xf numFmtId="0" fontId="6" fillId="0" borderId="12" xfId="0" applyFont="1" applyBorder="1" applyAlignment="1">
      <alignment horizontal="left" wrapText="1" readingOrder="1"/>
    </xf>
    <xf numFmtId="0" fontId="6" fillId="0" borderId="4" xfId="0" applyFont="1" applyBorder="1" applyAlignment="1">
      <alignment horizontal="left" wrapText="1" readingOrder="1"/>
    </xf>
    <xf numFmtId="0" fontId="6" fillId="0" borderId="1" xfId="0" applyFont="1" applyBorder="1" applyAlignment="1">
      <alignment horizontal="left" wrapText="1" readingOrder="1"/>
    </xf>
    <xf numFmtId="0" fontId="6" fillId="0" borderId="2" xfId="0" applyFont="1" applyBorder="1" applyAlignment="1">
      <alignment horizontal="left" wrapText="1" readingOrder="1"/>
    </xf>
    <xf numFmtId="0" fontId="4" fillId="0" borderId="15" xfId="0" applyFont="1" applyBorder="1" applyAlignment="1">
      <alignment horizontal="left" wrapText="1" readingOrder="1"/>
    </xf>
    <xf numFmtId="0" fontId="4" fillId="0" borderId="16" xfId="0" applyFont="1" applyBorder="1" applyAlignment="1">
      <alignment horizontal="left" wrapText="1" readingOrder="1"/>
    </xf>
    <xf numFmtId="0" fontId="4" fillId="0" borderId="17" xfId="0" applyFont="1" applyBorder="1" applyAlignment="1">
      <alignment horizontal="left" wrapText="1" readingOrder="1"/>
    </xf>
    <xf numFmtId="0" fontId="6" fillId="5" borderId="4" xfId="0" applyFont="1" applyFill="1" applyBorder="1" applyAlignment="1">
      <alignment horizontal="left" wrapText="1" readingOrder="1"/>
    </xf>
    <xf numFmtId="0" fontId="6" fillId="5" borderId="1" xfId="0" applyFont="1" applyFill="1" applyBorder="1" applyAlignment="1">
      <alignment horizontal="left" wrapText="1" readingOrder="1"/>
    </xf>
    <xf numFmtId="0" fontId="6" fillId="5" borderId="2" xfId="0" applyFont="1" applyFill="1" applyBorder="1" applyAlignment="1">
      <alignment horizontal="left" wrapText="1" readingOrder="1"/>
    </xf>
    <xf numFmtId="0" fontId="4" fillId="0" borderId="42" xfId="0" applyFont="1" applyBorder="1" applyAlignment="1">
      <alignment horizontal="center" vertical="center" readingOrder="1"/>
    </xf>
    <xf numFmtId="0" fontId="4" fillId="0" borderId="43" xfId="0" applyFont="1" applyBorder="1" applyAlignment="1">
      <alignment horizontal="center" vertical="center" readingOrder="1"/>
    </xf>
    <xf numFmtId="0" fontId="4" fillId="0" borderId="19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4" fillId="2" borderId="28" xfId="0" applyFont="1" applyFill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1" fillId="2" borderId="23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4" fillId="0" borderId="18" xfId="0" applyFont="1" applyBorder="1" applyAlignment="1">
      <alignment horizontal="left" vertic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4" fillId="0" borderId="19" xfId="0" applyFont="1" applyBorder="1" applyAlignment="1">
      <alignment horizontal="left" vertical="center" wrapText="1" readingOrder="1"/>
    </xf>
    <xf numFmtId="0" fontId="4" fillId="0" borderId="17" xfId="0" applyFont="1" applyBorder="1" applyAlignment="1">
      <alignment horizontal="left" vertical="center" wrapText="1" readingOrder="1"/>
    </xf>
  </cellXfs>
  <cellStyles count="1">
    <cellStyle name="Normal" xfId="0" builtinId="0"/>
  </cellStyles>
  <dxfs count="4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AA31" totalsRowShown="0">
  <autoFilter ref="A1:AA31" xr:uid="{00000000-0009-0000-0100-000001000000}"/>
  <tableColumns count="27">
    <tableColumn id="1" xr3:uid="{00000000-0010-0000-0000-000001000000}" name="Claim Number"/>
    <tableColumn id="2" xr3:uid="{00000000-0010-0000-0000-000002000000}" name="Claimant"/>
    <tableColumn id="3" xr3:uid="{00000000-0010-0000-0000-000003000000}" name="Accident Date" dataDxfId="3"/>
    <tableColumn id="4" xr3:uid="{00000000-0010-0000-0000-000004000000}" name="Reported Date" dataDxfId="2"/>
    <tableColumn id="5" xr3:uid="{00000000-0010-0000-0000-000005000000}" name="Coverage"/>
    <tableColumn id="6" xr3:uid="{00000000-0010-0000-0000-000006000000}" name="Resolution Manager"/>
    <tableColumn id="7" xr3:uid="{00000000-0010-0000-0000-000007000000}" name="Reporting Unit"/>
    <tableColumn id="8" xr3:uid="{00000000-0010-0000-0000-000008000000}" name="Status"/>
    <tableColumn id="9" xr3:uid="{00000000-0010-0000-0000-000009000000}" name="Accident State"/>
    <tableColumn id="10" xr3:uid="{00000000-0010-0000-0000-00000A000000}" name="Total Incurred"/>
    <tableColumn id="11" xr3:uid="{00000000-0010-0000-0000-00000B000000}" name="Claim In Suit"/>
    <tableColumn id="12" xr3:uid="{00000000-0010-0000-0000-00000C000000}" name="Claim In Suit Date" dataDxfId="1"/>
    <tableColumn id="13" xr3:uid="{00000000-0010-0000-0000-00000D000000}" name="Total Outstanding"/>
    <tableColumn id="14" xr3:uid="{00000000-0010-0000-0000-00000E000000}" name="Incurred Net Recovery - Ind/BI"/>
    <tableColumn id="15" xr3:uid="{00000000-0010-0000-0000-00000F000000}" name="Part of Body"/>
    <tableColumn id="16" xr3:uid="{00000000-0010-0000-0000-000010000000}" name="Claimant Age"/>
    <tableColumn id="17" xr3:uid="{00000000-0010-0000-0000-000011000000}" name="Claimant Represented"/>
    <tableColumn id="18" xr3:uid="{00000000-0010-0000-0000-000012000000}" name="Branch"/>
    <tableColumn id="19" xr3:uid="{00000000-0010-0000-0000-000013000000}" name="Total Paid Net Recovery"/>
    <tableColumn id="20" xr3:uid="{00000000-0010-0000-0000-000014000000}" name="FY" dataDxfId="0"/>
    <tableColumn id="21" xr3:uid="{00000000-0010-0000-0000-000015000000}" name="% Paid"/>
    <tableColumn id="22" xr3:uid="{00000000-0010-0000-0000-000016000000}" name="Paid % Bucket"/>
    <tableColumn id="23" xr3:uid="{00000000-0010-0000-0000-000017000000}" name="Over $1M"/>
    <tableColumn id="24" xr3:uid="{00000000-0010-0000-0000-000018000000}" name="top state"/>
    <tableColumn id="25" xr3:uid="{00000000-0010-0000-0000-000019000000}" name="First Draft Selections"/>
    <tableColumn id="26" xr3:uid="{00000000-0010-0000-0000-00001A000000}" name="First Draft Bin"/>
    <tableColumn id="27" xr3:uid="{00000000-0010-0000-0000-00001B000000}" name="In Suit B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"/>
  <sheetViews>
    <sheetView tabSelected="1" topLeftCell="G1" workbookViewId="0">
      <selection activeCell="G37" sqref="G37"/>
    </sheetView>
  </sheetViews>
  <sheetFormatPr defaultRowHeight="15" x14ac:dyDescent="0.25"/>
  <cols>
    <col min="1" max="1" width="20.42578125" bestFit="1" customWidth="1"/>
    <col min="2" max="2" width="21.42578125" bestFit="1" customWidth="1"/>
    <col min="3" max="3" width="15.7109375" bestFit="1" customWidth="1"/>
    <col min="4" max="4" width="16.28515625" bestFit="1" customWidth="1"/>
    <col min="5" max="5" width="22.140625" bestFit="1" customWidth="1"/>
    <col min="6" max="6" width="21.42578125" bestFit="1" customWidth="1"/>
    <col min="7" max="7" width="35.42578125" bestFit="1" customWidth="1"/>
    <col min="8" max="8" width="10.140625" bestFit="1" customWidth="1"/>
    <col min="9" max="9" width="16.140625" bestFit="1" customWidth="1"/>
    <col min="10" max="10" width="15.7109375" bestFit="1" customWidth="1"/>
    <col min="11" max="11" width="14.28515625" bestFit="1" customWidth="1"/>
    <col min="12" max="12" width="19" bestFit="1" customWidth="1"/>
    <col min="13" max="13" width="19.140625" bestFit="1" customWidth="1"/>
    <col min="14" max="14" width="30.5703125" bestFit="1" customWidth="1"/>
    <col min="15" max="15" width="33" bestFit="1" customWidth="1"/>
    <col min="16" max="16" width="15" bestFit="1" customWidth="1"/>
    <col min="17" max="17" width="32.7109375" bestFit="1" customWidth="1"/>
    <col min="18" max="18" width="33.140625" bestFit="1" customWidth="1"/>
    <col min="19" max="19" width="24.7109375" bestFit="1" customWidth="1"/>
    <col min="20" max="20" width="8.7109375" bestFit="1" customWidth="1"/>
    <col min="21" max="21" width="12" bestFit="1" customWidth="1"/>
    <col min="22" max="22" width="15.7109375" bestFit="1" customWidth="1"/>
    <col min="23" max="23" width="11.85546875" bestFit="1" customWidth="1"/>
    <col min="24" max="24" width="11.140625" bestFit="1" customWidth="1"/>
    <col min="25" max="25" width="21.85546875" bestFit="1" customWidth="1"/>
    <col min="26" max="26" width="15.42578125" bestFit="1" customWidth="1"/>
    <col min="27" max="27" width="12.140625" bestFit="1" customWidth="1"/>
  </cols>
  <sheetData>
    <row r="1" spans="1:27" x14ac:dyDescent="0.25">
      <c r="A1" t="s">
        <v>204</v>
      </c>
      <c r="B1" t="s">
        <v>205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  <c r="Q1" t="s">
        <v>220</v>
      </c>
      <c r="R1" t="s">
        <v>221</v>
      </c>
      <c r="S1" t="s">
        <v>222</v>
      </c>
      <c r="T1" t="s">
        <v>223</v>
      </c>
      <c r="U1" t="s">
        <v>224</v>
      </c>
      <c r="V1" t="s">
        <v>225</v>
      </c>
      <c r="W1" t="s">
        <v>226</v>
      </c>
      <c r="X1" t="s">
        <v>227</v>
      </c>
      <c r="Y1" t="s">
        <v>228</v>
      </c>
      <c r="Z1" t="s">
        <v>229</v>
      </c>
      <c r="AA1" t="s">
        <v>230</v>
      </c>
    </row>
    <row r="2" spans="1:27" x14ac:dyDescent="0.25">
      <c r="A2" t="s">
        <v>67</v>
      </c>
      <c r="B2" t="s">
        <v>68</v>
      </c>
      <c r="C2" s="72">
        <v>44246</v>
      </c>
      <c r="D2" s="72">
        <v>44259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>
        <v>46001</v>
      </c>
      <c r="K2" t="s">
        <v>74</v>
      </c>
      <c r="L2" s="72">
        <v>44274</v>
      </c>
      <c r="M2">
        <v>45991</v>
      </c>
      <c r="N2">
        <v>20000</v>
      </c>
      <c r="O2" t="s">
        <v>75</v>
      </c>
      <c r="P2">
        <v>33</v>
      </c>
      <c r="Q2" t="s">
        <v>76</v>
      </c>
      <c r="R2" t="s">
        <v>77</v>
      </c>
      <c r="S2">
        <v>10</v>
      </c>
      <c r="T2" s="72">
        <v>44075</v>
      </c>
      <c r="U2">
        <v>2.1738657855264017E-4</v>
      </c>
      <c r="V2" t="s">
        <v>78</v>
      </c>
      <c r="W2">
        <v>0</v>
      </c>
      <c r="X2">
        <v>1</v>
      </c>
      <c r="Y2" t="s">
        <v>79</v>
      </c>
      <c r="Z2">
        <v>1</v>
      </c>
      <c r="AA2">
        <v>1</v>
      </c>
    </row>
    <row r="3" spans="1:27" x14ac:dyDescent="0.25">
      <c r="A3" t="s">
        <v>80</v>
      </c>
      <c r="B3" t="s">
        <v>81</v>
      </c>
      <c r="C3" s="72">
        <v>43903</v>
      </c>
      <c r="D3" s="72">
        <v>44292</v>
      </c>
      <c r="E3" t="s">
        <v>69</v>
      </c>
      <c r="F3" t="s">
        <v>82</v>
      </c>
      <c r="G3" t="s">
        <v>83</v>
      </c>
      <c r="H3" t="s">
        <v>72</v>
      </c>
      <c r="I3" t="s">
        <v>73</v>
      </c>
      <c r="J3">
        <v>12500</v>
      </c>
      <c r="K3" t="s">
        <v>74</v>
      </c>
      <c r="L3" s="72">
        <v>44299</v>
      </c>
      <c r="M3">
        <v>12490</v>
      </c>
      <c r="N3">
        <v>1500</v>
      </c>
      <c r="O3" t="s">
        <v>84</v>
      </c>
      <c r="P3">
        <v>31</v>
      </c>
      <c r="Q3" t="s">
        <v>76</v>
      </c>
      <c r="R3" t="s">
        <v>77</v>
      </c>
      <c r="S3">
        <v>10</v>
      </c>
      <c r="T3" s="72">
        <v>43709</v>
      </c>
      <c r="U3">
        <v>8.0000000000000004E-4</v>
      </c>
      <c r="V3" t="s">
        <v>78</v>
      </c>
      <c r="W3">
        <v>0</v>
      </c>
      <c r="X3">
        <v>1</v>
      </c>
      <c r="Y3" t="s">
        <v>85</v>
      </c>
      <c r="Z3">
        <v>1</v>
      </c>
      <c r="AA3">
        <v>1</v>
      </c>
    </row>
    <row r="4" spans="1:27" x14ac:dyDescent="0.25">
      <c r="A4" t="s">
        <v>86</v>
      </c>
      <c r="B4" t="s">
        <v>87</v>
      </c>
      <c r="C4" s="72">
        <v>44094</v>
      </c>
      <c r="D4" s="72">
        <v>44095</v>
      </c>
      <c r="E4" t="s">
        <v>69</v>
      </c>
      <c r="F4" t="s">
        <v>70</v>
      </c>
      <c r="G4" t="s">
        <v>88</v>
      </c>
      <c r="H4" t="s">
        <v>72</v>
      </c>
      <c r="I4" t="s">
        <v>73</v>
      </c>
      <c r="J4">
        <v>38693</v>
      </c>
      <c r="K4" t="s">
        <v>74</v>
      </c>
      <c r="L4" s="72">
        <v>44309</v>
      </c>
      <c r="M4">
        <v>35461.25</v>
      </c>
      <c r="N4">
        <v>4000</v>
      </c>
      <c r="O4" t="s">
        <v>89</v>
      </c>
      <c r="P4">
        <v>59</v>
      </c>
      <c r="Q4" t="s">
        <v>76</v>
      </c>
      <c r="R4" t="s">
        <v>77</v>
      </c>
      <c r="S4">
        <v>3231.75</v>
      </c>
      <c r="T4" s="72">
        <v>44075</v>
      </c>
      <c r="U4">
        <v>8.3522859431938587E-2</v>
      </c>
      <c r="V4" t="s">
        <v>78</v>
      </c>
      <c r="W4">
        <v>0</v>
      </c>
      <c r="X4">
        <v>1</v>
      </c>
      <c r="Y4" t="s">
        <v>79</v>
      </c>
      <c r="Z4">
        <v>1</v>
      </c>
      <c r="AA4">
        <v>1</v>
      </c>
    </row>
    <row r="5" spans="1:27" x14ac:dyDescent="0.25">
      <c r="A5" t="s">
        <v>90</v>
      </c>
      <c r="B5" t="s">
        <v>91</v>
      </c>
      <c r="C5" s="72">
        <v>43269</v>
      </c>
      <c r="D5" s="72">
        <v>43269</v>
      </c>
      <c r="E5" t="s">
        <v>69</v>
      </c>
      <c r="F5" t="s">
        <v>70</v>
      </c>
      <c r="G5" t="s">
        <v>92</v>
      </c>
      <c r="H5" t="s">
        <v>72</v>
      </c>
      <c r="I5" t="s">
        <v>73</v>
      </c>
      <c r="J5">
        <v>88994</v>
      </c>
      <c r="K5" t="s">
        <v>74</v>
      </c>
      <c r="L5" s="72">
        <v>43299</v>
      </c>
      <c r="M5">
        <v>47470.18</v>
      </c>
      <c r="N5">
        <v>34703</v>
      </c>
      <c r="O5" t="s">
        <v>93</v>
      </c>
      <c r="P5">
        <v>44</v>
      </c>
      <c r="Q5" t="s">
        <v>76</v>
      </c>
      <c r="R5" t="s">
        <v>77</v>
      </c>
      <c r="S5">
        <v>41523.82</v>
      </c>
      <c r="T5" s="72">
        <v>42979</v>
      </c>
      <c r="U5">
        <v>0.46659123086949683</v>
      </c>
      <c r="V5" t="s">
        <v>94</v>
      </c>
      <c r="W5">
        <v>0</v>
      </c>
      <c r="X5">
        <v>1</v>
      </c>
      <c r="Y5" t="s">
        <v>95</v>
      </c>
      <c r="Z5">
        <v>1</v>
      </c>
      <c r="AA5">
        <v>1</v>
      </c>
    </row>
    <row r="6" spans="1:27" x14ac:dyDescent="0.25">
      <c r="A6" t="s">
        <v>96</v>
      </c>
      <c r="B6" t="s">
        <v>97</v>
      </c>
      <c r="C6" s="72">
        <v>43641</v>
      </c>
      <c r="D6" s="72">
        <v>43642</v>
      </c>
      <c r="E6" t="s">
        <v>69</v>
      </c>
      <c r="F6" t="s">
        <v>82</v>
      </c>
      <c r="G6" t="s">
        <v>98</v>
      </c>
      <c r="H6" t="s">
        <v>72</v>
      </c>
      <c r="I6" t="s">
        <v>73</v>
      </c>
      <c r="J6">
        <v>132805</v>
      </c>
      <c r="K6" t="s">
        <v>99</v>
      </c>
      <c r="M6">
        <v>99351.95</v>
      </c>
      <c r="N6">
        <v>35970</v>
      </c>
      <c r="O6" t="s">
        <v>100</v>
      </c>
      <c r="P6">
        <v>29</v>
      </c>
      <c r="Q6" t="s">
        <v>53</v>
      </c>
      <c r="R6" t="s">
        <v>77</v>
      </c>
      <c r="S6">
        <v>33453.050000000003</v>
      </c>
      <c r="T6" s="72">
        <v>43344</v>
      </c>
      <c r="U6">
        <v>0.25189601295131964</v>
      </c>
      <c r="V6" t="s">
        <v>94</v>
      </c>
      <c r="W6">
        <v>0</v>
      </c>
      <c r="X6">
        <v>1</v>
      </c>
      <c r="Y6" t="s">
        <v>95</v>
      </c>
      <c r="Z6">
        <v>1</v>
      </c>
      <c r="AA6">
        <v>0</v>
      </c>
    </row>
    <row r="7" spans="1:27" x14ac:dyDescent="0.25">
      <c r="A7" t="s">
        <v>101</v>
      </c>
      <c r="B7" t="s">
        <v>102</v>
      </c>
      <c r="C7" s="72">
        <v>44015</v>
      </c>
      <c r="D7" s="72">
        <v>44018</v>
      </c>
      <c r="E7" t="s">
        <v>69</v>
      </c>
      <c r="F7" t="s">
        <v>82</v>
      </c>
      <c r="G7" t="s">
        <v>103</v>
      </c>
      <c r="H7" t="s">
        <v>72</v>
      </c>
      <c r="I7" t="s">
        <v>73</v>
      </c>
      <c r="J7">
        <v>49658</v>
      </c>
      <c r="K7" t="s">
        <v>99</v>
      </c>
      <c r="M7">
        <v>28687.02</v>
      </c>
      <c r="N7">
        <v>23211</v>
      </c>
      <c r="O7" t="s">
        <v>104</v>
      </c>
      <c r="P7">
        <v>52</v>
      </c>
      <c r="Q7" t="s">
        <v>53</v>
      </c>
      <c r="R7" t="s">
        <v>77</v>
      </c>
      <c r="S7">
        <v>20970.98</v>
      </c>
      <c r="T7" s="72">
        <v>43709</v>
      </c>
      <c r="U7">
        <v>0.42230818800596076</v>
      </c>
      <c r="V7" t="s">
        <v>94</v>
      </c>
      <c r="W7">
        <v>0</v>
      </c>
      <c r="X7">
        <v>1</v>
      </c>
      <c r="Y7" t="s">
        <v>85</v>
      </c>
      <c r="Z7">
        <v>1</v>
      </c>
      <c r="AA7">
        <v>0</v>
      </c>
    </row>
    <row r="8" spans="1:27" x14ac:dyDescent="0.25">
      <c r="A8" t="s">
        <v>105</v>
      </c>
      <c r="B8" t="s">
        <v>106</v>
      </c>
      <c r="C8" s="72">
        <v>43852</v>
      </c>
      <c r="D8" s="72">
        <v>43881</v>
      </c>
      <c r="E8" t="s">
        <v>69</v>
      </c>
      <c r="F8" t="s">
        <v>82</v>
      </c>
      <c r="G8" t="s">
        <v>103</v>
      </c>
      <c r="H8" t="s">
        <v>72</v>
      </c>
      <c r="I8" t="s">
        <v>73</v>
      </c>
      <c r="J8">
        <v>49463</v>
      </c>
      <c r="K8" t="s">
        <v>74</v>
      </c>
      <c r="L8" s="72">
        <v>43935</v>
      </c>
      <c r="M8">
        <v>34561.199999999997</v>
      </c>
      <c r="N8">
        <v>2500</v>
      </c>
      <c r="O8" t="s">
        <v>107</v>
      </c>
      <c r="P8">
        <v>65</v>
      </c>
      <c r="Q8" t="s">
        <v>16</v>
      </c>
      <c r="R8" t="s">
        <v>77</v>
      </c>
      <c r="S8">
        <v>14901.8</v>
      </c>
      <c r="T8" s="72">
        <v>43709</v>
      </c>
      <c r="U8">
        <v>0.30127165760265245</v>
      </c>
      <c r="V8" t="s">
        <v>94</v>
      </c>
      <c r="W8">
        <v>0</v>
      </c>
      <c r="X8">
        <v>1</v>
      </c>
      <c r="Y8" t="s">
        <v>85</v>
      </c>
      <c r="Z8">
        <v>1</v>
      </c>
      <c r="AA8">
        <v>1</v>
      </c>
    </row>
    <row r="9" spans="1:27" x14ac:dyDescent="0.25">
      <c r="A9" t="s">
        <v>108</v>
      </c>
      <c r="B9" t="s">
        <v>109</v>
      </c>
      <c r="C9" s="72">
        <v>43810</v>
      </c>
      <c r="D9" s="72">
        <v>43810</v>
      </c>
      <c r="E9" t="s">
        <v>69</v>
      </c>
      <c r="F9" t="s">
        <v>82</v>
      </c>
      <c r="G9" t="s">
        <v>110</v>
      </c>
      <c r="H9" t="s">
        <v>72</v>
      </c>
      <c r="I9" t="s">
        <v>73</v>
      </c>
      <c r="J9">
        <v>49829</v>
      </c>
      <c r="K9" t="s">
        <v>74</v>
      </c>
      <c r="L9" s="72">
        <v>44068</v>
      </c>
      <c r="M9">
        <v>38145.730000000003</v>
      </c>
      <c r="N9">
        <v>4300</v>
      </c>
      <c r="O9" t="s">
        <v>75</v>
      </c>
      <c r="P9">
        <v>58</v>
      </c>
      <c r="Q9" t="s">
        <v>76</v>
      </c>
      <c r="R9" t="s">
        <v>77</v>
      </c>
      <c r="S9">
        <v>11683.27</v>
      </c>
      <c r="T9" s="72">
        <v>43709</v>
      </c>
      <c r="U9">
        <v>0.23446727809107148</v>
      </c>
      <c r="V9" t="s">
        <v>94</v>
      </c>
      <c r="W9">
        <v>0</v>
      </c>
      <c r="X9">
        <v>1</v>
      </c>
      <c r="Y9" t="s">
        <v>85</v>
      </c>
      <c r="Z9">
        <v>1</v>
      </c>
      <c r="AA9">
        <v>1</v>
      </c>
    </row>
    <row r="10" spans="1:27" x14ac:dyDescent="0.25">
      <c r="A10" t="s">
        <v>111</v>
      </c>
      <c r="B10" t="s">
        <v>112</v>
      </c>
      <c r="C10" s="72">
        <v>43716</v>
      </c>
      <c r="D10" s="72">
        <v>43719</v>
      </c>
      <c r="E10" t="s">
        <v>69</v>
      </c>
      <c r="F10" t="s">
        <v>70</v>
      </c>
      <c r="G10" t="s">
        <v>103</v>
      </c>
      <c r="H10" t="s">
        <v>72</v>
      </c>
      <c r="I10" t="s">
        <v>73</v>
      </c>
      <c r="J10">
        <v>162161</v>
      </c>
      <c r="K10" t="s">
        <v>74</v>
      </c>
      <c r="L10" s="72">
        <v>43920</v>
      </c>
      <c r="M10">
        <v>81175.14</v>
      </c>
      <c r="N10">
        <v>24661</v>
      </c>
      <c r="O10" t="s">
        <v>113</v>
      </c>
      <c r="P10">
        <v>47</v>
      </c>
      <c r="Q10" t="s">
        <v>76</v>
      </c>
      <c r="R10" t="s">
        <v>77</v>
      </c>
      <c r="S10">
        <v>80985.86</v>
      </c>
      <c r="T10" s="72">
        <v>43709</v>
      </c>
      <c r="U10">
        <v>0.49941638248407449</v>
      </c>
      <c r="V10" t="s">
        <v>94</v>
      </c>
      <c r="W10">
        <v>0</v>
      </c>
      <c r="X10">
        <v>1</v>
      </c>
      <c r="Y10" t="s">
        <v>85</v>
      </c>
      <c r="Z10">
        <v>1</v>
      </c>
      <c r="AA10">
        <v>1</v>
      </c>
    </row>
    <row r="11" spans="1:27" x14ac:dyDescent="0.25">
      <c r="A11" t="s">
        <v>114</v>
      </c>
      <c r="B11" t="s">
        <v>115</v>
      </c>
      <c r="C11" s="72">
        <v>44257</v>
      </c>
      <c r="D11" s="72">
        <v>44258</v>
      </c>
      <c r="E11" t="s">
        <v>69</v>
      </c>
      <c r="F11" t="s">
        <v>116</v>
      </c>
      <c r="G11" t="s">
        <v>117</v>
      </c>
      <c r="H11" t="s">
        <v>72</v>
      </c>
      <c r="I11" t="s">
        <v>118</v>
      </c>
      <c r="J11">
        <v>49447</v>
      </c>
      <c r="K11" t="s">
        <v>99</v>
      </c>
      <c r="M11">
        <v>48331.39</v>
      </c>
      <c r="N11">
        <v>2156</v>
      </c>
      <c r="O11" t="s">
        <v>119</v>
      </c>
      <c r="P11">
        <v>60</v>
      </c>
      <c r="Q11" t="s">
        <v>53</v>
      </c>
      <c r="R11" t="s">
        <v>120</v>
      </c>
      <c r="S11">
        <v>1115.6099999999999</v>
      </c>
      <c r="T11" s="72">
        <v>44075</v>
      </c>
      <c r="U11">
        <v>2.2561732764373975E-2</v>
      </c>
      <c r="V11" t="s">
        <v>78</v>
      </c>
      <c r="W11">
        <v>0</v>
      </c>
      <c r="X11">
        <v>1</v>
      </c>
      <c r="Y11" t="s">
        <v>79</v>
      </c>
      <c r="Z11">
        <v>1</v>
      </c>
      <c r="AA11">
        <v>0</v>
      </c>
    </row>
    <row r="12" spans="1:27" x14ac:dyDescent="0.25">
      <c r="A12" t="s">
        <v>121</v>
      </c>
      <c r="B12" t="s">
        <v>122</v>
      </c>
      <c r="C12" s="72">
        <v>43957</v>
      </c>
      <c r="D12" s="72">
        <v>43959</v>
      </c>
      <c r="E12" t="s">
        <v>69</v>
      </c>
      <c r="F12" t="s">
        <v>116</v>
      </c>
      <c r="G12" t="s">
        <v>123</v>
      </c>
      <c r="H12" t="s">
        <v>72</v>
      </c>
      <c r="I12" t="s">
        <v>118</v>
      </c>
      <c r="J12">
        <v>49878</v>
      </c>
      <c r="K12" t="s">
        <v>74</v>
      </c>
      <c r="L12" s="72">
        <v>43978</v>
      </c>
      <c r="M12">
        <v>22148.83</v>
      </c>
      <c r="N12">
        <v>16239</v>
      </c>
      <c r="O12" t="s">
        <v>124</v>
      </c>
      <c r="P12">
        <v>52</v>
      </c>
      <c r="Q12" t="s">
        <v>16</v>
      </c>
      <c r="R12" t="s">
        <v>120</v>
      </c>
      <c r="S12">
        <v>27729.17</v>
      </c>
      <c r="T12" s="72">
        <v>43709</v>
      </c>
      <c r="U12">
        <v>0.55593989333974891</v>
      </c>
      <c r="V12" t="s">
        <v>94</v>
      </c>
      <c r="W12">
        <v>0</v>
      </c>
      <c r="X12">
        <v>1</v>
      </c>
      <c r="Y12" t="s">
        <v>85</v>
      </c>
      <c r="Z12">
        <v>1</v>
      </c>
      <c r="AA12">
        <v>1</v>
      </c>
    </row>
    <row r="13" spans="1:27" x14ac:dyDescent="0.25">
      <c r="A13" t="s">
        <v>125</v>
      </c>
      <c r="B13" t="s">
        <v>126</v>
      </c>
      <c r="C13" s="72">
        <v>44090</v>
      </c>
      <c r="D13" s="72">
        <v>44095</v>
      </c>
      <c r="E13" t="s">
        <v>69</v>
      </c>
      <c r="F13" t="s">
        <v>116</v>
      </c>
      <c r="G13" t="s">
        <v>127</v>
      </c>
      <c r="H13" t="s">
        <v>128</v>
      </c>
      <c r="I13" t="s">
        <v>118</v>
      </c>
      <c r="J13">
        <v>35423</v>
      </c>
      <c r="K13" t="s">
        <v>74</v>
      </c>
      <c r="L13" s="72">
        <v>44278</v>
      </c>
      <c r="M13">
        <v>29985.05</v>
      </c>
      <c r="N13">
        <v>10000</v>
      </c>
      <c r="O13" t="s">
        <v>89</v>
      </c>
      <c r="P13">
        <v>38</v>
      </c>
      <c r="Q13" t="s">
        <v>16</v>
      </c>
      <c r="R13" t="s">
        <v>120</v>
      </c>
      <c r="S13">
        <v>5437.95</v>
      </c>
      <c r="T13" s="72">
        <v>44075</v>
      </c>
      <c r="U13">
        <v>0.15351466561273749</v>
      </c>
      <c r="V13" t="s">
        <v>94</v>
      </c>
      <c r="W13">
        <v>0</v>
      </c>
      <c r="X13">
        <v>1</v>
      </c>
      <c r="Y13" t="s">
        <v>79</v>
      </c>
      <c r="Z13">
        <v>1</v>
      </c>
      <c r="AA13">
        <v>1</v>
      </c>
    </row>
    <row r="14" spans="1:27" x14ac:dyDescent="0.25">
      <c r="A14" t="s">
        <v>129</v>
      </c>
      <c r="B14" t="s">
        <v>130</v>
      </c>
      <c r="C14" s="72">
        <v>43799</v>
      </c>
      <c r="D14" s="72">
        <v>43808</v>
      </c>
      <c r="E14" t="s">
        <v>69</v>
      </c>
      <c r="F14" t="s">
        <v>116</v>
      </c>
      <c r="G14" t="s">
        <v>131</v>
      </c>
      <c r="H14" t="s">
        <v>72</v>
      </c>
      <c r="I14" t="s">
        <v>118</v>
      </c>
      <c r="J14">
        <v>97259</v>
      </c>
      <c r="K14" t="s">
        <v>74</v>
      </c>
      <c r="L14" s="72">
        <v>43978</v>
      </c>
      <c r="M14">
        <v>50635.16</v>
      </c>
      <c r="N14">
        <v>36882</v>
      </c>
      <c r="O14" t="s">
        <v>89</v>
      </c>
      <c r="P14">
        <v>54</v>
      </c>
      <c r="Q14" t="s">
        <v>16</v>
      </c>
      <c r="R14" t="s">
        <v>120</v>
      </c>
      <c r="S14">
        <v>46623.839999999997</v>
      </c>
      <c r="T14" s="72">
        <v>43709</v>
      </c>
      <c r="U14">
        <v>0.47937815523499105</v>
      </c>
      <c r="V14" t="s">
        <v>94</v>
      </c>
      <c r="W14">
        <v>0</v>
      </c>
      <c r="X14">
        <v>1</v>
      </c>
      <c r="Y14" t="s">
        <v>85</v>
      </c>
      <c r="Z14">
        <v>1</v>
      </c>
      <c r="AA14">
        <v>1</v>
      </c>
    </row>
    <row r="15" spans="1:27" x14ac:dyDescent="0.25">
      <c r="A15" t="s">
        <v>132</v>
      </c>
      <c r="B15" t="s">
        <v>133</v>
      </c>
      <c r="C15" s="72">
        <v>44068</v>
      </c>
      <c r="D15" s="72">
        <v>44068</v>
      </c>
      <c r="E15" t="s">
        <v>69</v>
      </c>
      <c r="F15" t="s">
        <v>134</v>
      </c>
      <c r="G15" t="s">
        <v>135</v>
      </c>
      <c r="H15" t="s">
        <v>72</v>
      </c>
      <c r="I15" t="s">
        <v>136</v>
      </c>
      <c r="J15">
        <v>114781</v>
      </c>
      <c r="K15" t="s">
        <v>99</v>
      </c>
      <c r="M15">
        <v>23806.080000000002</v>
      </c>
      <c r="N15">
        <v>26990</v>
      </c>
      <c r="O15" t="s">
        <v>137</v>
      </c>
      <c r="P15">
        <v>51</v>
      </c>
      <c r="Q15" t="s">
        <v>53</v>
      </c>
      <c r="R15" t="s">
        <v>120</v>
      </c>
      <c r="S15">
        <v>90974.92</v>
      </c>
      <c r="T15" s="72">
        <v>43709</v>
      </c>
      <c r="U15">
        <v>0.79259563865099625</v>
      </c>
      <c r="V15" t="s">
        <v>94</v>
      </c>
      <c r="W15">
        <v>0</v>
      </c>
      <c r="X15">
        <v>1</v>
      </c>
      <c r="Y15" t="s">
        <v>85</v>
      </c>
      <c r="Z15">
        <v>1</v>
      </c>
      <c r="AA15">
        <v>0</v>
      </c>
    </row>
    <row r="16" spans="1:27" x14ac:dyDescent="0.25">
      <c r="A16" t="s">
        <v>138</v>
      </c>
      <c r="B16" t="s">
        <v>139</v>
      </c>
      <c r="C16" s="72">
        <v>44028</v>
      </c>
      <c r="D16" s="72">
        <v>44029</v>
      </c>
      <c r="E16" t="s">
        <v>69</v>
      </c>
      <c r="F16" t="s">
        <v>134</v>
      </c>
      <c r="G16" t="s">
        <v>140</v>
      </c>
      <c r="H16" t="s">
        <v>72</v>
      </c>
      <c r="I16" t="s">
        <v>136</v>
      </c>
      <c r="J16">
        <v>49300</v>
      </c>
      <c r="K16" t="s">
        <v>99</v>
      </c>
      <c r="M16">
        <v>38035.15</v>
      </c>
      <c r="N16">
        <v>4956</v>
      </c>
      <c r="O16" t="s">
        <v>141</v>
      </c>
      <c r="P16">
        <v>59</v>
      </c>
      <c r="Q16" t="s">
        <v>53</v>
      </c>
      <c r="R16" t="s">
        <v>120</v>
      </c>
      <c r="S16">
        <v>11264.85</v>
      </c>
      <c r="T16" s="72">
        <v>43709</v>
      </c>
      <c r="U16">
        <v>0.22849594320486816</v>
      </c>
      <c r="V16" t="s">
        <v>94</v>
      </c>
      <c r="W16">
        <v>0</v>
      </c>
      <c r="X16">
        <v>1</v>
      </c>
      <c r="Y16" t="s">
        <v>85</v>
      </c>
      <c r="Z16">
        <v>1</v>
      </c>
      <c r="AA16">
        <v>0</v>
      </c>
    </row>
    <row r="17" spans="1:27" x14ac:dyDescent="0.25">
      <c r="A17" t="s">
        <v>142</v>
      </c>
      <c r="B17" t="s">
        <v>143</v>
      </c>
      <c r="C17" s="72">
        <v>43990</v>
      </c>
      <c r="D17" s="72">
        <v>43990</v>
      </c>
      <c r="E17" t="s">
        <v>69</v>
      </c>
      <c r="F17" t="s">
        <v>134</v>
      </c>
      <c r="G17" t="s">
        <v>144</v>
      </c>
      <c r="H17" t="s">
        <v>72</v>
      </c>
      <c r="I17" t="s">
        <v>136</v>
      </c>
      <c r="J17">
        <v>138979</v>
      </c>
      <c r="K17" t="s">
        <v>74</v>
      </c>
      <c r="L17" s="72">
        <v>44142</v>
      </c>
      <c r="M17">
        <v>81932.009999999995</v>
      </c>
      <c r="N17">
        <v>67508</v>
      </c>
      <c r="O17" t="s">
        <v>89</v>
      </c>
      <c r="P17">
        <v>62</v>
      </c>
      <c r="Q17" t="s">
        <v>16</v>
      </c>
      <c r="R17" t="s">
        <v>120</v>
      </c>
      <c r="S17">
        <v>57046.99</v>
      </c>
      <c r="T17" s="72">
        <v>43709</v>
      </c>
      <c r="U17">
        <v>0.41047201375747416</v>
      </c>
      <c r="V17" t="s">
        <v>94</v>
      </c>
      <c r="W17">
        <v>0</v>
      </c>
      <c r="X17">
        <v>1</v>
      </c>
      <c r="Y17" t="s">
        <v>85</v>
      </c>
      <c r="Z17">
        <v>1</v>
      </c>
      <c r="AA17">
        <v>1</v>
      </c>
    </row>
    <row r="18" spans="1:27" x14ac:dyDescent="0.25">
      <c r="A18" t="s">
        <v>145</v>
      </c>
      <c r="B18" t="s">
        <v>146</v>
      </c>
      <c r="C18" s="72">
        <v>44179</v>
      </c>
      <c r="D18" s="72">
        <v>44179</v>
      </c>
      <c r="E18" t="s">
        <v>69</v>
      </c>
      <c r="F18" t="s">
        <v>147</v>
      </c>
      <c r="G18" t="s">
        <v>148</v>
      </c>
      <c r="H18" t="s">
        <v>72</v>
      </c>
      <c r="I18" t="s">
        <v>149</v>
      </c>
      <c r="J18">
        <v>402698</v>
      </c>
      <c r="K18" t="s">
        <v>99</v>
      </c>
      <c r="M18">
        <v>377136.77</v>
      </c>
      <c r="N18">
        <v>352358</v>
      </c>
      <c r="O18" t="s">
        <v>150</v>
      </c>
      <c r="P18">
        <v>69</v>
      </c>
      <c r="Q18" t="s">
        <v>53</v>
      </c>
      <c r="R18" t="s">
        <v>151</v>
      </c>
      <c r="S18">
        <v>25561.23</v>
      </c>
      <c r="T18" s="72">
        <v>44075</v>
      </c>
      <c r="U18">
        <v>6.3474936552950348E-2</v>
      </c>
      <c r="V18" t="s">
        <v>78</v>
      </c>
      <c r="W18">
        <v>0</v>
      </c>
      <c r="X18">
        <v>1</v>
      </c>
      <c r="Y18" t="s">
        <v>79</v>
      </c>
      <c r="Z18">
        <v>1</v>
      </c>
      <c r="AA18">
        <v>0</v>
      </c>
    </row>
    <row r="19" spans="1:27" x14ac:dyDescent="0.25">
      <c r="A19" t="s">
        <v>152</v>
      </c>
      <c r="B19" t="s">
        <v>153</v>
      </c>
      <c r="C19" s="72">
        <v>43798</v>
      </c>
      <c r="D19" s="72">
        <v>43801</v>
      </c>
      <c r="E19" t="s">
        <v>69</v>
      </c>
      <c r="F19" t="s">
        <v>147</v>
      </c>
      <c r="G19" t="s">
        <v>154</v>
      </c>
      <c r="H19" t="s">
        <v>72</v>
      </c>
      <c r="I19" t="s">
        <v>149</v>
      </c>
      <c r="J19">
        <v>104340</v>
      </c>
      <c r="K19" t="s">
        <v>99</v>
      </c>
      <c r="M19">
        <v>8751.81</v>
      </c>
      <c r="N19">
        <v>18382</v>
      </c>
      <c r="O19" t="s">
        <v>141</v>
      </c>
      <c r="P19">
        <v>54</v>
      </c>
      <c r="Q19" t="s">
        <v>16</v>
      </c>
      <c r="R19" t="s">
        <v>151</v>
      </c>
      <c r="S19">
        <v>95588.19</v>
      </c>
      <c r="T19" s="72">
        <v>43709</v>
      </c>
      <c r="U19">
        <v>0.91612219666474992</v>
      </c>
      <c r="V19" t="s">
        <v>155</v>
      </c>
      <c r="W19">
        <v>0</v>
      </c>
      <c r="X19">
        <v>1</v>
      </c>
      <c r="Y19" t="s">
        <v>85</v>
      </c>
      <c r="Z19">
        <v>1</v>
      </c>
      <c r="AA19">
        <v>0</v>
      </c>
    </row>
    <row r="20" spans="1:27" x14ac:dyDescent="0.25">
      <c r="A20" t="s">
        <v>156</v>
      </c>
      <c r="B20" t="s">
        <v>157</v>
      </c>
      <c r="C20" s="72">
        <v>44016</v>
      </c>
      <c r="D20" s="72">
        <v>44096</v>
      </c>
      <c r="E20" t="s">
        <v>69</v>
      </c>
      <c r="F20" t="s">
        <v>147</v>
      </c>
      <c r="G20" t="s">
        <v>158</v>
      </c>
      <c r="H20" t="s">
        <v>72</v>
      </c>
      <c r="I20" t="s">
        <v>149</v>
      </c>
      <c r="J20">
        <v>10750</v>
      </c>
      <c r="K20" t="s">
        <v>99</v>
      </c>
      <c r="M20">
        <v>10026.5</v>
      </c>
      <c r="N20">
        <v>2500</v>
      </c>
      <c r="O20" t="s">
        <v>159</v>
      </c>
      <c r="P20">
        <v>45</v>
      </c>
      <c r="Q20" t="s">
        <v>16</v>
      </c>
      <c r="R20" t="s">
        <v>151</v>
      </c>
      <c r="S20">
        <v>723.5</v>
      </c>
      <c r="T20" s="72">
        <v>43709</v>
      </c>
      <c r="U20">
        <v>6.7302325581395345E-2</v>
      </c>
      <c r="V20" t="s">
        <v>78</v>
      </c>
      <c r="W20">
        <v>0</v>
      </c>
      <c r="X20">
        <v>1</v>
      </c>
      <c r="Y20" t="s">
        <v>85</v>
      </c>
      <c r="Z20">
        <v>1</v>
      </c>
      <c r="AA20">
        <v>0</v>
      </c>
    </row>
    <row r="21" spans="1:27" x14ac:dyDescent="0.25">
      <c r="A21" t="s">
        <v>160</v>
      </c>
      <c r="B21" t="s">
        <v>161</v>
      </c>
      <c r="C21" s="72">
        <v>43097</v>
      </c>
      <c r="D21" s="72">
        <v>43098</v>
      </c>
      <c r="E21" t="s">
        <v>69</v>
      </c>
      <c r="F21" t="s">
        <v>147</v>
      </c>
      <c r="G21" t="s">
        <v>162</v>
      </c>
      <c r="H21" t="s">
        <v>72</v>
      </c>
      <c r="I21" t="s">
        <v>149</v>
      </c>
      <c r="J21">
        <v>259033</v>
      </c>
      <c r="K21" t="s">
        <v>74</v>
      </c>
      <c r="L21" s="72">
        <v>43270</v>
      </c>
      <c r="M21">
        <v>140242.51999999999</v>
      </c>
      <c r="N21">
        <v>56681</v>
      </c>
      <c r="O21" t="s">
        <v>137</v>
      </c>
      <c r="P21">
        <v>65</v>
      </c>
      <c r="Q21" t="s">
        <v>16</v>
      </c>
      <c r="R21" t="s">
        <v>151</v>
      </c>
      <c r="S21">
        <v>118790.48</v>
      </c>
      <c r="T21" s="72">
        <v>42979</v>
      </c>
      <c r="U21">
        <v>0.45859207128049323</v>
      </c>
      <c r="V21" t="s">
        <v>94</v>
      </c>
      <c r="W21">
        <v>0</v>
      </c>
      <c r="X21">
        <v>1</v>
      </c>
      <c r="Y21" t="s">
        <v>95</v>
      </c>
      <c r="Z21">
        <v>1</v>
      </c>
      <c r="AA21">
        <v>1</v>
      </c>
    </row>
    <row r="22" spans="1:27" x14ac:dyDescent="0.25">
      <c r="A22" t="s">
        <v>163</v>
      </c>
      <c r="B22" t="s">
        <v>164</v>
      </c>
      <c r="C22" s="72">
        <v>43895</v>
      </c>
      <c r="D22" s="72">
        <v>43899</v>
      </c>
      <c r="E22" t="s">
        <v>69</v>
      </c>
      <c r="F22" t="s">
        <v>147</v>
      </c>
      <c r="G22" t="s">
        <v>165</v>
      </c>
      <c r="H22" t="s">
        <v>72</v>
      </c>
      <c r="I22" t="s">
        <v>149</v>
      </c>
      <c r="J22">
        <v>376177</v>
      </c>
      <c r="K22" t="s">
        <v>99</v>
      </c>
      <c r="M22">
        <v>256582.82</v>
      </c>
      <c r="N22">
        <v>200787</v>
      </c>
      <c r="O22" t="s">
        <v>89</v>
      </c>
      <c r="P22">
        <v>42</v>
      </c>
      <c r="Q22" t="s">
        <v>53</v>
      </c>
      <c r="R22" t="s">
        <v>151</v>
      </c>
      <c r="S22">
        <v>119594.18</v>
      </c>
      <c r="T22" s="72">
        <v>43709</v>
      </c>
      <c r="U22">
        <v>0.31791996852545473</v>
      </c>
      <c r="V22" t="s">
        <v>94</v>
      </c>
      <c r="W22">
        <v>0</v>
      </c>
      <c r="X22">
        <v>1</v>
      </c>
      <c r="Y22" t="s">
        <v>85</v>
      </c>
      <c r="Z22">
        <v>1</v>
      </c>
      <c r="AA22">
        <v>0</v>
      </c>
    </row>
    <row r="23" spans="1:27" x14ac:dyDescent="0.25">
      <c r="A23" t="s">
        <v>166</v>
      </c>
      <c r="B23" t="s">
        <v>167</v>
      </c>
      <c r="C23" s="72">
        <v>43722</v>
      </c>
      <c r="D23" s="72">
        <v>43724</v>
      </c>
      <c r="E23" t="s">
        <v>69</v>
      </c>
      <c r="F23" t="s">
        <v>147</v>
      </c>
      <c r="G23" t="s">
        <v>168</v>
      </c>
      <c r="H23" t="s">
        <v>72</v>
      </c>
      <c r="I23" t="s">
        <v>149</v>
      </c>
      <c r="J23">
        <v>111156</v>
      </c>
      <c r="K23" t="s">
        <v>74</v>
      </c>
      <c r="L23" s="72">
        <v>44124</v>
      </c>
      <c r="M23">
        <v>72298.679999999993</v>
      </c>
      <c r="N23">
        <v>35014</v>
      </c>
      <c r="O23" t="s">
        <v>141</v>
      </c>
      <c r="P23">
        <v>43</v>
      </c>
      <c r="Q23" t="s">
        <v>16</v>
      </c>
      <c r="R23" t="s">
        <v>151</v>
      </c>
      <c r="S23">
        <v>38857.32</v>
      </c>
      <c r="T23" s="72">
        <v>43709</v>
      </c>
      <c r="U23">
        <v>0.34957465184065639</v>
      </c>
      <c r="V23" t="s">
        <v>94</v>
      </c>
      <c r="W23">
        <v>0</v>
      </c>
      <c r="X23">
        <v>1</v>
      </c>
      <c r="Y23" t="s">
        <v>85</v>
      </c>
      <c r="Z23">
        <v>1</v>
      </c>
      <c r="AA23">
        <v>1</v>
      </c>
    </row>
    <row r="24" spans="1:27" x14ac:dyDescent="0.25">
      <c r="A24" t="s">
        <v>169</v>
      </c>
      <c r="B24" t="s">
        <v>170</v>
      </c>
      <c r="C24" s="72">
        <v>43997</v>
      </c>
      <c r="D24" s="72">
        <v>43998</v>
      </c>
      <c r="E24" t="s">
        <v>69</v>
      </c>
      <c r="F24" t="s">
        <v>171</v>
      </c>
      <c r="G24" t="s">
        <v>172</v>
      </c>
      <c r="H24" t="s">
        <v>72</v>
      </c>
      <c r="I24" t="s">
        <v>173</v>
      </c>
      <c r="J24">
        <v>59472</v>
      </c>
      <c r="K24" t="s">
        <v>74</v>
      </c>
      <c r="L24" s="72">
        <v>44155</v>
      </c>
      <c r="M24">
        <v>21476.92</v>
      </c>
      <c r="N24">
        <v>21896</v>
      </c>
      <c r="O24" t="s">
        <v>119</v>
      </c>
      <c r="P24">
        <v>41</v>
      </c>
      <c r="Q24" t="s">
        <v>53</v>
      </c>
      <c r="R24" t="s">
        <v>174</v>
      </c>
      <c r="S24">
        <v>37995.08</v>
      </c>
      <c r="T24" s="72">
        <v>43709</v>
      </c>
      <c r="U24">
        <v>0.6388734194242669</v>
      </c>
      <c r="V24" t="s">
        <v>94</v>
      </c>
      <c r="W24">
        <v>0</v>
      </c>
      <c r="X24">
        <v>1</v>
      </c>
      <c r="Y24" t="s">
        <v>85</v>
      </c>
      <c r="Z24">
        <v>1</v>
      </c>
      <c r="AA24">
        <v>1</v>
      </c>
    </row>
    <row r="25" spans="1:27" x14ac:dyDescent="0.25">
      <c r="A25" t="s">
        <v>175</v>
      </c>
      <c r="B25" t="s">
        <v>176</v>
      </c>
      <c r="C25" s="72">
        <v>43713</v>
      </c>
      <c r="D25" s="72">
        <v>43717</v>
      </c>
      <c r="E25" t="s">
        <v>69</v>
      </c>
      <c r="F25" t="s">
        <v>177</v>
      </c>
      <c r="G25" t="s">
        <v>178</v>
      </c>
      <c r="H25" t="s">
        <v>72</v>
      </c>
      <c r="I25" t="s">
        <v>179</v>
      </c>
      <c r="J25">
        <v>105034</v>
      </c>
      <c r="K25" t="s">
        <v>99</v>
      </c>
      <c r="M25">
        <v>7473.29</v>
      </c>
      <c r="N25">
        <v>44323</v>
      </c>
      <c r="O25" t="s">
        <v>89</v>
      </c>
      <c r="P25">
        <v>28</v>
      </c>
      <c r="Q25" t="s">
        <v>53</v>
      </c>
      <c r="R25" t="s">
        <v>180</v>
      </c>
      <c r="S25">
        <v>97560.71</v>
      </c>
      <c r="T25" s="72">
        <v>43709</v>
      </c>
      <c r="U25">
        <v>0.92884884894415143</v>
      </c>
      <c r="V25" t="s">
        <v>155</v>
      </c>
      <c r="W25">
        <v>0</v>
      </c>
      <c r="X25">
        <v>1</v>
      </c>
      <c r="Y25" t="s">
        <v>85</v>
      </c>
      <c r="Z25">
        <v>1</v>
      </c>
      <c r="AA25">
        <v>0</v>
      </c>
    </row>
    <row r="26" spans="1:27" x14ac:dyDescent="0.25">
      <c r="A26" t="s">
        <v>181</v>
      </c>
      <c r="B26" t="s">
        <v>182</v>
      </c>
      <c r="C26" s="72">
        <v>43738</v>
      </c>
      <c r="D26" s="72">
        <v>43741</v>
      </c>
      <c r="E26" t="s">
        <v>69</v>
      </c>
      <c r="F26" t="s">
        <v>177</v>
      </c>
      <c r="G26" t="s">
        <v>183</v>
      </c>
      <c r="H26" t="s">
        <v>72</v>
      </c>
      <c r="I26" t="s">
        <v>179</v>
      </c>
      <c r="J26">
        <v>108190</v>
      </c>
      <c r="K26" t="s">
        <v>74</v>
      </c>
      <c r="L26" s="72">
        <v>44305</v>
      </c>
      <c r="M26">
        <v>7956.19</v>
      </c>
      <c r="N26">
        <v>54645</v>
      </c>
      <c r="O26" t="s">
        <v>184</v>
      </c>
      <c r="P26">
        <v>45</v>
      </c>
      <c r="Q26" t="s">
        <v>16</v>
      </c>
      <c r="R26" t="s">
        <v>180</v>
      </c>
      <c r="S26">
        <v>100233.81</v>
      </c>
      <c r="T26" s="72">
        <v>43709</v>
      </c>
      <c r="U26">
        <v>0.92646094833163872</v>
      </c>
      <c r="V26" t="s">
        <v>155</v>
      </c>
      <c r="W26">
        <v>0</v>
      </c>
      <c r="X26">
        <v>1</v>
      </c>
      <c r="Y26" t="s">
        <v>85</v>
      </c>
      <c r="Z26">
        <v>1</v>
      </c>
      <c r="AA26">
        <v>1</v>
      </c>
    </row>
    <row r="27" spans="1:27" x14ac:dyDescent="0.25">
      <c r="A27" t="s">
        <v>185</v>
      </c>
      <c r="B27" t="s">
        <v>186</v>
      </c>
      <c r="C27" s="72">
        <v>43955</v>
      </c>
      <c r="D27" s="72">
        <v>43955</v>
      </c>
      <c r="E27" t="s">
        <v>69</v>
      </c>
      <c r="F27" t="s">
        <v>177</v>
      </c>
      <c r="G27" t="s">
        <v>187</v>
      </c>
      <c r="H27" t="s">
        <v>72</v>
      </c>
      <c r="I27" t="s">
        <v>179</v>
      </c>
      <c r="J27">
        <v>49922</v>
      </c>
      <c r="K27" t="s">
        <v>74</v>
      </c>
      <c r="L27" s="72">
        <v>43999</v>
      </c>
      <c r="M27">
        <v>24426.16</v>
      </c>
      <c r="N27">
        <v>7436</v>
      </c>
      <c r="O27" t="s">
        <v>188</v>
      </c>
      <c r="P27">
        <v>40</v>
      </c>
      <c r="Q27" t="s">
        <v>16</v>
      </c>
      <c r="R27" t="s">
        <v>180</v>
      </c>
      <c r="S27">
        <v>25495.84</v>
      </c>
      <c r="T27" s="72">
        <v>43709</v>
      </c>
      <c r="U27">
        <v>0.51071351308040547</v>
      </c>
      <c r="V27" t="s">
        <v>94</v>
      </c>
      <c r="W27">
        <v>0</v>
      </c>
      <c r="X27">
        <v>1</v>
      </c>
      <c r="Y27" t="s">
        <v>85</v>
      </c>
      <c r="Z27">
        <v>1</v>
      </c>
      <c r="AA27">
        <v>1</v>
      </c>
    </row>
    <row r="28" spans="1:27" x14ac:dyDescent="0.25">
      <c r="A28" t="s">
        <v>189</v>
      </c>
      <c r="B28" t="s">
        <v>190</v>
      </c>
      <c r="C28" s="72">
        <v>43304</v>
      </c>
      <c r="D28" s="72">
        <v>43312</v>
      </c>
      <c r="E28" t="s">
        <v>69</v>
      </c>
      <c r="F28" t="s">
        <v>177</v>
      </c>
      <c r="G28" t="s">
        <v>191</v>
      </c>
      <c r="H28" t="s">
        <v>72</v>
      </c>
      <c r="I28" t="s">
        <v>179</v>
      </c>
      <c r="J28">
        <v>178982</v>
      </c>
      <c r="K28" t="s">
        <v>74</v>
      </c>
      <c r="L28" s="72">
        <v>43460</v>
      </c>
      <c r="M28">
        <v>43809.38</v>
      </c>
      <c r="N28">
        <v>108147</v>
      </c>
      <c r="O28" t="s">
        <v>192</v>
      </c>
      <c r="P28">
        <v>50</v>
      </c>
      <c r="Q28" t="s">
        <v>16</v>
      </c>
      <c r="R28" t="s">
        <v>180</v>
      </c>
      <c r="S28">
        <v>135172.62</v>
      </c>
      <c r="T28" s="72">
        <v>42979</v>
      </c>
      <c r="U28">
        <v>0.75523024661697824</v>
      </c>
      <c r="V28" t="s">
        <v>94</v>
      </c>
      <c r="W28">
        <v>0</v>
      </c>
      <c r="X28">
        <v>1</v>
      </c>
      <c r="Y28" t="s">
        <v>95</v>
      </c>
      <c r="Z28">
        <v>1</v>
      </c>
      <c r="AA28">
        <v>1</v>
      </c>
    </row>
    <row r="29" spans="1:27" x14ac:dyDescent="0.25">
      <c r="A29" t="s">
        <v>193</v>
      </c>
      <c r="B29" t="s">
        <v>194</v>
      </c>
      <c r="C29" s="72">
        <v>43999</v>
      </c>
      <c r="D29" s="72">
        <v>44011</v>
      </c>
      <c r="E29" t="s">
        <v>69</v>
      </c>
      <c r="F29" t="s">
        <v>177</v>
      </c>
      <c r="G29" t="s">
        <v>195</v>
      </c>
      <c r="H29" t="s">
        <v>72</v>
      </c>
      <c r="I29" t="s">
        <v>179</v>
      </c>
      <c r="J29">
        <v>139312</v>
      </c>
      <c r="K29" t="s">
        <v>99</v>
      </c>
      <c r="M29">
        <v>55801.53</v>
      </c>
      <c r="N29">
        <v>34711</v>
      </c>
      <c r="O29" t="s">
        <v>196</v>
      </c>
      <c r="P29">
        <v>40</v>
      </c>
      <c r="Q29" t="s">
        <v>53</v>
      </c>
      <c r="R29" t="s">
        <v>180</v>
      </c>
      <c r="S29">
        <v>83510.47</v>
      </c>
      <c r="T29" s="72">
        <v>43709</v>
      </c>
      <c r="U29">
        <v>0.59944922189043304</v>
      </c>
      <c r="V29" t="s">
        <v>94</v>
      </c>
      <c r="W29">
        <v>0</v>
      </c>
      <c r="X29">
        <v>1</v>
      </c>
      <c r="Y29" t="s">
        <v>85</v>
      </c>
      <c r="Z29">
        <v>1</v>
      </c>
      <c r="AA29">
        <v>0</v>
      </c>
    </row>
    <row r="30" spans="1:27" x14ac:dyDescent="0.25">
      <c r="A30" t="s">
        <v>197</v>
      </c>
      <c r="B30" t="s">
        <v>198</v>
      </c>
      <c r="C30" s="72">
        <v>44026</v>
      </c>
      <c r="D30" s="72">
        <v>44049</v>
      </c>
      <c r="E30" t="s">
        <v>69</v>
      </c>
      <c r="F30" t="s">
        <v>177</v>
      </c>
      <c r="G30" t="s">
        <v>199</v>
      </c>
      <c r="H30" t="s">
        <v>72</v>
      </c>
      <c r="I30" t="s">
        <v>179</v>
      </c>
      <c r="J30">
        <v>132522</v>
      </c>
      <c r="K30" t="s">
        <v>99</v>
      </c>
      <c r="M30">
        <v>72937.84</v>
      </c>
      <c r="N30">
        <v>44251</v>
      </c>
      <c r="O30" t="s">
        <v>200</v>
      </c>
      <c r="P30">
        <v>76</v>
      </c>
      <c r="Q30" t="s">
        <v>53</v>
      </c>
      <c r="R30" t="s">
        <v>180</v>
      </c>
      <c r="S30">
        <v>59584.160000000003</v>
      </c>
      <c r="T30" s="72">
        <v>43709</v>
      </c>
      <c r="U30">
        <v>0.44961712017627264</v>
      </c>
      <c r="V30" t="s">
        <v>94</v>
      </c>
      <c r="W30">
        <v>0</v>
      </c>
      <c r="X30">
        <v>1</v>
      </c>
      <c r="Y30" t="s">
        <v>85</v>
      </c>
      <c r="Z30">
        <v>1</v>
      </c>
      <c r="AA30">
        <v>0</v>
      </c>
    </row>
    <row r="31" spans="1:27" x14ac:dyDescent="0.25">
      <c r="A31" t="s">
        <v>201</v>
      </c>
      <c r="B31" t="s">
        <v>202</v>
      </c>
      <c r="C31" s="72">
        <v>43161</v>
      </c>
      <c r="D31" s="72">
        <v>43161</v>
      </c>
      <c r="E31" t="s">
        <v>69</v>
      </c>
      <c r="F31" t="s">
        <v>177</v>
      </c>
      <c r="G31" t="s">
        <v>203</v>
      </c>
      <c r="H31" t="s">
        <v>72</v>
      </c>
      <c r="I31" t="s">
        <v>179</v>
      </c>
      <c r="J31">
        <v>619989</v>
      </c>
      <c r="K31" t="s">
        <v>74</v>
      </c>
      <c r="L31" s="72">
        <v>43313</v>
      </c>
      <c r="M31">
        <v>237512.36</v>
      </c>
      <c r="N31">
        <v>287178</v>
      </c>
      <c r="O31" t="s">
        <v>89</v>
      </c>
      <c r="P31">
        <v>30</v>
      </c>
      <c r="Q31" t="s">
        <v>16</v>
      </c>
      <c r="R31" t="s">
        <v>180</v>
      </c>
      <c r="S31">
        <v>382476.64</v>
      </c>
      <c r="T31" s="72">
        <v>42979</v>
      </c>
      <c r="U31">
        <v>0.61690875160688341</v>
      </c>
      <c r="V31" t="s">
        <v>94</v>
      </c>
      <c r="W31">
        <v>0</v>
      </c>
      <c r="X31">
        <v>1</v>
      </c>
      <c r="Y31" t="s">
        <v>95</v>
      </c>
      <c r="Z31">
        <v>1</v>
      </c>
      <c r="AA3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6"/>
  <sheetViews>
    <sheetView workbookViewId="0">
      <selection activeCell="M7" sqref="M7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</f>
        <v>Acosta, Elizabeth</v>
      </c>
      <c r="C3" s="125"/>
      <c r="D3" s="33" t="s">
        <v>2</v>
      </c>
      <c r="E3" s="34" t="str">
        <f>'claims list'!I2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</f>
        <v>000531-073048-WC-01</v>
      </c>
      <c r="C4" s="127"/>
      <c r="D4" s="43" t="s">
        <v>7</v>
      </c>
      <c r="E4" s="34" t="str">
        <f>'claims list'!F2</f>
        <v>Marta Eilers</v>
      </c>
      <c r="F4" s="73">
        <f>'claims list'!D2</f>
        <v>44259</v>
      </c>
      <c r="G4" s="75">
        <f>'claims list'!N2</f>
        <v>20000</v>
      </c>
      <c r="H4" s="75">
        <f>'claims list'!J2</f>
        <v>46001</v>
      </c>
      <c r="I4" s="75">
        <f>'claims list'!S2</f>
        <v>10</v>
      </c>
      <c r="J4" s="76">
        <f>'claims list'!M2</f>
        <v>45991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13:E16 E18:E22 E24:E25 E42:E46 E27:E34" xr:uid="{00000000-0002-0000-0100-000000000000}">
      <formula1>"Yes,Partially,No,N/A"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selection activeCell="E14" sqref="E14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list'!B3</f>
        <v>Ramirez, Jose</v>
      </c>
      <c r="C3" s="125"/>
      <c r="D3" s="33" t="s">
        <v>2</v>
      </c>
      <c r="E3" s="34" t="str">
        <f>'claims list'!I3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list'!A3</f>
        <v>000531-073522-WC-01</v>
      </c>
      <c r="C4" s="127"/>
      <c r="D4" s="43" t="s">
        <v>7</v>
      </c>
      <c r="E4" s="34" t="str">
        <f>'claims list'!F3</f>
        <v>Maria Barlow</v>
      </c>
      <c r="F4" s="73">
        <f>'claims list'!D3</f>
        <v>44292</v>
      </c>
      <c r="G4" s="75">
        <f>'claims list'!N3</f>
        <v>1500</v>
      </c>
      <c r="H4" s="75">
        <f>'claims list'!J3</f>
        <v>12500</v>
      </c>
      <c r="I4" s="75">
        <f>'claims list'!S3</f>
        <v>10</v>
      </c>
      <c r="J4" s="76">
        <f>'claims list'!M3</f>
        <v>12490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200-000000000000}">
      <formula1>"Yes,Partially,No,N/A"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list'!B4</f>
        <v>Gomez, Arnulfo</v>
      </c>
      <c r="C3" s="125"/>
      <c r="D3" s="33" t="s">
        <v>2</v>
      </c>
      <c r="E3" s="34" t="str">
        <f>'claims list'!I4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list'!A4</f>
        <v>000531-071037-WC-01</v>
      </c>
      <c r="C4" s="127"/>
      <c r="D4" s="43" t="s">
        <v>7</v>
      </c>
      <c r="E4" s="34" t="str">
        <f>'claims list'!F4</f>
        <v>Marta Eilers</v>
      </c>
      <c r="F4" s="73">
        <f>'claims list'!D4</f>
        <v>44095</v>
      </c>
      <c r="G4" s="75">
        <f>'claims list'!N4</f>
        <v>4000</v>
      </c>
      <c r="H4" s="75">
        <f>'claims list'!J4</f>
        <v>38693</v>
      </c>
      <c r="I4" s="75">
        <f>'claims list'!S4</f>
        <v>3231.75</v>
      </c>
      <c r="J4" s="76">
        <f>'claims list'!M4</f>
        <v>35461.25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300-000000000000}">
      <formula1>"Yes,Partially,No,N/A"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list'!B5</f>
        <v>Haynes, Felicia</v>
      </c>
      <c r="C3" s="125"/>
      <c r="D3" s="33" t="s">
        <v>2</v>
      </c>
      <c r="E3" s="34" t="str">
        <f>'claims list'!I5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list'!A5</f>
        <v>000531-061486-WC-01</v>
      </c>
      <c r="C4" s="127"/>
      <c r="D4" s="43" t="s">
        <v>7</v>
      </c>
      <c r="E4" s="34" t="str">
        <f>'claims list'!F5</f>
        <v>Marta Eilers</v>
      </c>
      <c r="F4" s="73">
        <f>'claims list'!D5</f>
        <v>43269</v>
      </c>
      <c r="G4" s="75">
        <f>'claims list'!N5</f>
        <v>34703</v>
      </c>
      <c r="H4" s="75">
        <f>'claims list'!J5</f>
        <v>88994</v>
      </c>
      <c r="I4" s="75">
        <f>'claims list'!S5</f>
        <v>41523.82</v>
      </c>
      <c r="J4" s="76">
        <f>'claims list'!M5</f>
        <v>47470.18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400-000000000000}">
      <formula1>"Yes,Partially,No,N/A"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list'!B6</f>
        <v>Jimenez, Jonah</v>
      </c>
      <c r="C3" s="125"/>
      <c r="D3" s="33" t="s">
        <v>2</v>
      </c>
      <c r="E3" s="34" t="str">
        <f>'claims list'!I6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list'!A6</f>
        <v>000531-065854-WC-01</v>
      </c>
      <c r="C4" s="127"/>
      <c r="D4" s="43" t="s">
        <v>7</v>
      </c>
      <c r="E4" s="34" t="str">
        <f>'claims list'!F6</f>
        <v>Maria Barlow</v>
      </c>
      <c r="F4" s="73">
        <f>'claims list'!D6</f>
        <v>43642</v>
      </c>
      <c r="G4" s="75">
        <f>'claims list'!N6</f>
        <v>35970</v>
      </c>
      <c r="H4" s="75">
        <f>'claims list'!J6</f>
        <v>132805</v>
      </c>
      <c r="I4" s="75">
        <f>'claims list'!S6</f>
        <v>33453.050000000003</v>
      </c>
      <c r="J4" s="76">
        <f>'claims list'!M6</f>
        <v>99351.95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500-000000000000}">
      <formula1>"Yes,Partially,No,N/A"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list'!B7</f>
        <v>Castro, Donna</v>
      </c>
      <c r="C3" s="125"/>
      <c r="D3" s="33" t="s">
        <v>2</v>
      </c>
      <c r="E3" s="34" t="str">
        <f>'claims list'!I7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list'!A7</f>
        <v>000531-070118-WC-01</v>
      </c>
      <c r="C4" s="127"/>
      <c r="D4" s="43" t="s">
        <v>7</v>
      </c>
      <c r="E4" s="34" t="str">
        <f>'claims list'!F7</f>
        <v>Maria Barlow</v>
      </c>
      <c r="F4" s="73">
        <f>'claims list'!D7</f>
        <v>44018</v>
      </c>
      <c r="G4" s="75">
        <f>'claims list'!N7</f>
        <v>23211</v>
      </c>
      <c r="H4" s="75">
        <f>'claims list'!J7</f>
        <v>49658</v>
      </c>
      <c r="I4" s="75">
        <f>'claims list'!S7</f>
        <v>20970.98</v>
      </c>
      <c r="J4" s="76">
        <f>'claims list'!M7</f>
        <v>28687.02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600-000000000000}">
      <formula1>"Yes,Partially,No,N/A"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list'!B8</f>
        <v>Galindo, Jose</v>
      </c>
      <c r="C3" s="125"/>
      <c r="D3" s="33" t="s">
        <v>2</v>
      </c>
      <c r="E3" s="34" t="str">
        <f>'claims list'!I8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list'!A8</f>
        <v>000531-068692-WC-01</v>
      </c>
      <c r="C4" s="127"/>
      <c r="D4" s="43" t="s">
        <v>7</v>
      </c>
      <c r="E4" s="34" t="str">
        <f>'claims list'!F8</f>
        <v>Maria Barlow</v>
      </c>
      <c r="F4" s="73">
        <f>'claims list'!D8</f>
        <v>43881</v>
      </c>
      <c r="G4" s="75">
        <f>'claims list'!N8</f>
        <v>2500</v>
      </c>
      <c r="H4" s="75">
        <f>'claims list'!J8</f>
        <v>49463</v>
      </c>
      <c r="I4" s="75">
        <f>'claims list'!S8</f>
        <v>14901.8</v>
      </c>
      <c r="J4" s="76">
        <f>'claims list'!M8</f>
        <v>34561.199999999997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700-000000000000}">
      <formula1>"Yes,Partially,No,N/A"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list'!B9</f>
        <v>Zapata, Andree</v>
      </c>
      <c r="C3" s="125"/>
      <c r="D3" s="33" t="s">
        <v>2</v>
      </c>
      <c r="E3" s="34" t="str">
        <f>'claims list'!I9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list'!A9</f>
        <v>000531-067923-WC-01</v>
      </c>
      <c r="C4" s="127"/>
      <c r="D4" s="43" t="s">
        <v>7</v>
      </c>
      <c r="E4" s="34" t="str">
        <f>'claims list'!F9</f>
        <v>Maria Barlow</v>
      </c>
      <c r="F4" s="73">
        <f>'claims list'!D9</f>
        <v>43810</v>
      </c>
      <c r="G4" s="75">
        <f>'claims list'!N9</f>
        <v>4300</v>
      </c>
      <c r="H4" s="75">
        <f>'claims list'!J9</f>
        <v>49829</v>
      </c>
      <c r="I4" s="75">
        <f>'claims list'!S9</f>
        <v>11683.27</v>
      </c>
      <c r="J4" s="76">
        <f>'claims list'!M9</f>
        <v>38145.730000000003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800-000000000000}">
      <formula1>"Yes,Partially,No,N/A"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list'!B10</f>
        <v>Vega-Bravo, Lucina</v>
      </c>
      <c r="C3" s="125"/>
      <c r="D3" s="33" t="s">
        <v>2</v>
      </c>
      <c r="E3" s="34" t="str">
        <f>'claims list'!I10</f>
        <v>CA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list'!A10</f>
        <v>000531-066858-WC-01</v>
      </c>
      <c r="C4" s="127"/>
      <c r="D4" s="43" t="s">
        <v>7</v>
      </c>
      <c r="E4" s="34" t="str">
        <f>'claims list'!F10</f>
        <v>Marta Eilers</v>
      </c>
      <c r="F4" s="73">
        <f>'claims list'!D10</f>
        <v>43719</v>
      </c>
      <c r="G4" s="75">
        <f>'claims list'!N10</f>
        <v>24661</v>
      </c>
      <c r="H4" s="75">
        <f>'claims list'!J10</f>
        <v>162161</v>
      </c>
      <c r="I4" s="75">
        <f>'claims list'!S10</f>
        <v>80985.86</v>
      </c>
      <c r="J4" s="76">
        <f>'claims list'!M10</f>
        <v>81175.14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900-000000000000}">
      <formula1>"Yes,Partially,No,N/A"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6"/>
  <sheetViews>
    <sheetView zoomScaleNormal="100"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list'!B11</f>
        <v>Lehman, Allan</v>
      </c>
      <c r="C3" s="125"/>
      <c r="D3" s="33" t="s">
        <v>2</v>
      </c>
      <c r="E3" s="34" t="str">
        <f>'claims list'!I11</f>
        <v>FL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list'!A11</f>
        <v>000531-072994-WC-01</v>
      </c>
      <c r="C4" s="127"/>
      <c r="D4" s="43" t="s">
        <v>7</v>
      </c>
      <c r="E4" s="34" t="str">
        <f>'claims list'!F11</f>
        <v>Jody Curtis</v>
      </c>
      <c r="F4" s="73">
        <f>'claims list'!D11</f>
        <v>44258</v>
      </c>
      <c r="G4" s="75">
        <f>'claims list'!N11</f>
        <v>2156</v>
      </c>
      <c r="H4" s="75">
        <f>'claims list'!J11</f>
        <v>49447</v>
      </c>
      <c r="I4" s="75">
        <f>'claims list'!S11</f>
        <v>1115.6099999999999</v>
      </c>
      <c r="J4" s="76">
        <f>'claims list'!M11</f>
        <v>48331.39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A00-000000000000}">
      <formula1>"Yes,Partially,No,N/A"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list'!B12</f>
        <v>Carvajal, Roger</v>
      </c>
      <c r="C3" s="125"/>
      <c r="D3" s="33" t="s">
        <v>2</v>
      </c>
      <c r="E3" s="34" t="str">
        <f>'claims list'!I12</f>
        <v>FL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list'!A12</f>
        <v>000531-069395-WC-01</v>
      </c>
      <c r="C4" s="127"/>
      <c r="D4" s="43" t="s">
        <v>7</v>
      </c>
      <c r="E4" s="34" t="str">
        <f>'claims list'!F12</f>
        <v>Jody Curtis</v>
      </c>
      <c r="F4" s="73">
        <f>'claims list'!D12</f>
        <v>43959</v>
      </c>
      <c r="G4" s="75">
        <f>'claims list'!N12</f>
        <v>16239</v>
      </c>
      <c r="H4" s="75">
        <f>'claims list'!J12</f>
        <v>49878</v>
      </c>
      <c r="I4" s="75">
        <f>'claims list'!S12</f>
        <v>27729.17</v>
      </c>
      <c r="J4" s="76">
        <f>'claims list'!M12</f>
        <v>22148.83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B00-000000000000}">
      <formula1>"Yes,Partially,No,N/A"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list'!B13</f>
        <v>Rosas, Rafael</v>
      </c>
      <c r="C3" s="125"/>
      <c r="D3" s="33" t="s">
        <v>2</v>
      </c>
      <c r="E3" s="34" t="str">
        <f>'claims list'!I13</f>
        <v>FL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list'!A13</f>
        <v>000531-070995-WC-01</v>
      </c>
      <c r="C4" s="127"/>
      <c r="D4" s="43" t="s">
        <v>7</v>
      </c>
      <c r="E4" s="34" t="str">
        <f>'claims list'!F13</f>
        <v>Jody Curtis</v>
      </c>
      <c r="F4" s="73">
        <f>'claims list'!D13</f>
        <v>44095</v>
      </c>
      <c r="G4" s="75">
        <f>'claims list'!N13</f>
        <v>10000</v>
      </c>
      <c r="H4" s="75">
        <f>'claims list'!J13</f>
        <v>35423</v>
      </c>
      <c r="I4" s="75">
        <f>'claims list'!S13</f>
        <v>5437.95</v>
      </c>
      <c r="J4" s="76">
        <f>'claims list'!M13</f>
        <v>29985.05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C00-000000000000}">
      <formula1>"Yes,Partially,No,N/A"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list'!B14</f>
        <v>Davis, Gregory</v>
      </c>
      <c r="C3" s="125"/>
      <c r="D3" s="33" t="s">
        <v>2</v>
      </c>
      <c r="E3" s="34" t="str">
        <f>'claims list'!I14</f>
        <v>FL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list'!A14</f>
        <v>000531-067917-WC-01</v>
      </c>
      <c r="C4" s="127"/>
      <c r="D4" s="43" t="s">
        <v>7</v>
      </c>
      <c r="E4" s="34" t="str">
        <f>'claims list'!F14</f>
        <v>Jody Curtis</v>
      </c>
      <c r="F4" s="73">
        <f>'claims list'!D14</f>
        <v>43808</v>
      </c>
      <c r="G4" s="75">
        <f>'claims list'!N14</f>
        <v>36882</v>
      </c>
      <c r="H4" s="75">
        <f>'claims list'!J14</f>
        <v>97259</v>
      </c>
      <c r="I4" s="75">
        <f>'claims list'!S14</f>
        <v>46623.839999999997</v>
      </c>
      <c r="J4" s="76">
        <f>'claims list'!M14</f>
        <v>50635.16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D00-000000000000}">
      <formula1>"Yes,Partially,No,N/A"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list'!B15</f>
        <v>Hunt, Michael</v>
      </c>
      <c r="C3" s="125"/>
      <c r="D3" s="33" t="s">
        <v>2</v>
      </c>
      <c r="E3" s="34" t="str">
        <f>'claims list'!I15</f>
        <v>GA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list'!A15</f>
        <v>000531-070650-WC-01</v>
      </c>
      <c r="C4" s="127"/>
      <c r="D4" s="43" t="s">
        <v>7</v>
      </c>
      <c r="E4" s="34" t="str">
        <f>'claims list'!F15</f>
        <v>Candyce Graham</v>
      </c>
      <c r="F4" s="73">
        <f>'claims list'!D15</f>
        <v>44068</v>
      </c>
      <c r="G4" s="75">
        <f>'claims list'!N15</f>
        <v>26990</v>
      </c>
      <c r="H4" s="75">
        <f>'claims list'!J15</f>
        <v>114781</v>
      </c>
      <c r="I4" s="75">
        <f>'claims list'!S15</f>
        <v>90974.92</v>
      </c>
      <c r="J4" s="76">
        <f>'claims list'!M15</f>
        <v>23806.080000000002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E00-000000000000}">
      <formula1>"Yes,Partially,No,N/A"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list'!B16</f>
        <v>Cedar, Harry</v>
      </c>
      <c r="C3" s="125"/>
      <c r="D3" s="33" t="s">
        <v>2</v>
      </c>
      <c r="E3" s="34" t="str">
        <f>'claims list'!I16</f>
        <v>GA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list'!A16</f>
        <v>000531-070204-WC-01</v>
      </c>
      <c r="C4" s="127"/>
      <c r="D4" s="43" t="s">
        <v>7</v>
      </c>
      <c r="E4" s="34" t="str">
        <f>'claims list'!F16</f>
        <v>Candyce Graham</v>
      </c>
      <c r="F4" s="73">
        <f>'claims list'!D16</f>
        <v>44029</v>
      </c>
      <c r="G4" s="75">
        <f>'claims list'!N16</f>
        <v>4956</v>
      </c>
      <c r="H4" s="75">
        <f>'claims list'!J16</f>
        <v>49300</v>
      </c>
      <c r="I4" s="75">
        <f>'claims list'!S16</f>
        <v>11264.85</v>
      </c>
      <c r="J4" s="76">
        <f>'claims list'!M16</f>
        <v>38035.15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0F00-000000000000}">
      <formula1>"Yes,Partially,No,N/A"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list'!B17</f>
        <v>Gatlin, Vivian</v>
      </c>
      <c r="C3" s="125"/>
      <c r="D3" s="33" t="s">
        <v>2</v>
      </c>
      <c r="E3" s="34" t="str">
        <f>'claims list'!I17</f>
        <v>GA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list'!A17</f>
        <v>000531-069687-WC-01</v>
      </c>
      <c r="C4" s="127"/>
      <c r="D4" s="43" t="s">
        <v>7</v>
      </c>
      <c r="E4" s="34" t="str">
        <f>'claims list'!F17</f>
        <v>Candyce Graham</v>
      </c>
      <c r="F4" s="73">
        <f>'claims list'!D17</f>
        <v>43990</v>
      </c>
      <c r="G4" s="75">
        <f>'claims list'!N17</f>
        <v>67508</v>
      </c>
      <c r="H4" s="75">
        <f>'claims list'!J17</f>
        <v>138979</v>
      </c>
      <c r="I4" s="75">
        <f>'claims list'!S17</f>
        <v>57046.99</v>
      </c>
      <c r="J4" s="76">
        <f>'claims list'!M17</f>
        <v>81932.009999999995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000-000000000000}">
      <formula1>"Yes,Partially,No,N/A"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list'!B18</f>
        <v>Lee, Robert</v>
      </c>
      <c r="C3" s="125"/>
      <c r="D3" s="33" t="s">
        <v>2</v>
      </c>
      <c r="E3" s="34" t="str">
        <f>'claims list'!I18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list'!A18</f>
        <v>000531-071987-WC-01</v>
      </c>
      <c r="C4" s="127"/>
      <c r="D4" s="43" t="s">
        <v>7</v>
      </c>
      <c r="E4" s="34" t="str">
        <f>'claims list'!F18</f>
        <v>Donna Tincher</v>
      </c>
      <c r="F4" s="73">
        <f>'claims list'!D18</f>
        <v>44179</v>
      </c>
      <c r="G4" s="75">
        <f>'claims list'!N18</f>
        <v>352358</v>
      </c>
      <c r="H4" s="75">
        <f>'claims list'!J18</f>
        <v>402698</v>
      </c>
      <c r="I4" s="75">
        <f>'claims list'!S18</f>
        <v>25561.23</v>
      </c>
      <c r="J4" s="76">
        <f>'claims list'!M18</f>
        <v>377136.77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100-000000000000}">
      <formula1>"Yes,Partially,No,N/A"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list'!B19</f>
        <v>Mulligan, Sean</v>
      </c>
      <c r="C3" s="125"/>
      <c r="D3" s="33" t="s">
        <v>2</v>
      </c>
      <c r="E3" s="34" t="str">
        <f>'claims list'!I19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list'!A19</f>
        <v>000531-067756-WC-01</v>
      </c>
      <c r="C4" s="127"/>
      <c r="D4" s="43" t="s">
        <v>7</v>
      </c>
      <c r="E4" s="34" t="str">
        <f>'claims list'!F19</f>
        <v>Donna Tincher</v>
      </c>
      <c r="F4" s="73">
        <f>'claims list'!D19</f>
        <v>43801</v>
      </c>
      <c r="G4" s="75">
        <f>'claims list'!N19</f>
        <v>18382</v>
      </c>
      <c r="H4" s="75">
        <f>'claims list'!J19</f>
        <v>104340</v>
      </c>
      <c r="I4" s="75">
        <f>'claims list'!S19</f>
        <v>95588.19</v>
      </c>
      <c r="J4" s="76">
        <f>'claims list'!M19</f>
        <v>8751.81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200-000000000000}">
      <formula1>"Yes,Partially,No,N/A"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list'!B20</f>
        <v>Farrell, Trisa</v>
      </c>
      <c r="C3" s="125"/>
      <c r="D3" s="33" t="s">
        <v>2</v>
      </c>
      <c r="E3" s="34" t="str">
        <f>'claims list'!I20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list'!A20</f>
        <v>000531-070989-WC-01</v>
      </c>
      <c r="C4" s="127"/>
      <c r="D4" s="43" t="s">
        <v>7</v>
      </c>
      <c r="E4" s="34" t="str">
        <f>'claims list'!F20</f>
        <v>Donna Tincher</v>
      </c>
      <c r="F4" s="73">
        <f>'claims list'!D20</f>
        <v>44096</v>
      </c>
      <c r="G4" s="75">
        <f>'claims list'!N20</f>
        <v>2500</v>
      </c>
      <c r="H4" s="75">
        <f>'claims list'!J20</f>
        <v>10750</v>
      </c>
      <c r="I4" s="75">
        <f>'claims list'!S20</f>
        <v>723.5</v>
      </c>
      <c r="J4" s="76">
        <f>'claims list'!M20</f>
        <v>10026.5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300-000000000000}">
      <formula1>"Yes,Partially,No,N/A"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list'!B21</f>
        <v>Tree, Derek</v>
      </c>
      <c r="C3" s="125"/>
      <c r="D3" s="33" t="s">
        <v>2</v>
      </c>
      <c r="E3" s="34" t="str">
        <f>'claims list'!I21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list'!A21</f>
        <v>000531-059202-WC-01</v>
      </c>
      <c r="C4" s="127"/>
      <c r="D4" s="43" t="s">
        <v>7</v>
      </c>
      <c r="E4" s="34" t="str">
        <f>'claims list'!F21</f>
        <v>Donna Tincher</v>
      </c>
      <c r="F4" s="73">
        <f>'claims list'!D21</f>
        <v>43098</v>
      </c>
      <c r="G4" s="75">
        <f>'claims list'!N21</f>
        <v>56681</v>
      </c>
      <c r="H4" s="75">
        <f>'claims list'!J21</f>
        <v>259033</v>
      </c>
      <c r="I4" s="75">
        <f>'claims list'!S21</f>
        <v>118790.48</v>
      </c>
      <c r="J4" s="76">
        <f>'claims list'!M21</f>
        <v>140242.51999999999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400-000000000000}">
      <formula1>"Yes,Partially,No,N/A"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list'!B22</f>
        <v>Perez, Carlos</v>
      </c>
      <c r="C3" s="125"/>
      <c r="D3" s="33" t="s">
        <v>2</v>
      </c>
      <c r="E3" s="34" t="str">
        <f>'claims list'!I22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list'!A22</f>
        <v>000531-068868-WC-01</v>
      </c>
      <c r="C4" s="127"/>
      <c r="D4" s="43" t="s">
        <v>7</v>
      </c>
      <c r="E4" s="34" t="str">
        <f>'claims list'!F22</f>
        <v>Donna Tincher</v>
      </c>
      <c r="F4" s="73">
        <f>'claims list'!D22</f>
        <v>43899</v>
      </c>
      <c r="G4" s="75">
        <f>'claims list'!N22</f>
        <v>200787</v>
      </c>
      <c r="H4" s="75">
        <f>'claims list'!J22</f>
        <v>376177</v>
      </c>
      <c r="I4" s="75">
        <f>'claims list'!S22</f>
        <v>119594.18</v>
      </c>
      <c r="J4" s="76">
        <f>'claims list'!M22</f>
        <v>256582.82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500-000000000000}">
      <formula1>"Yes,Partially,No,N/A"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list'!B23</f>
        <v>Moore, Shan</v>
      </c>
      <c r="C3" s="125"/>
      <c r="D3" s="33" t="s">
        <v>2</v>
      </c>
      <c r="E3" s="34" t="str">
        <f>'claims list'!I23</f>
        <v>IL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list'!A23</f>
        <v>000531-066911-WC-01</v>
      </c>
      <c r="C4" s="127"/>
      <c r="D4" s="43" t="s">
        <v>7</v>
      </c>
      <c r="E4" s="34" t="str">
        <f>'claims list'!F23</f>
        <v>Donna Tincher</v>
      </c>
      <c r="F4" s="73">
        <f>'claims list'!D23</f>
        <v>43724</v>
      </c>
      <c r="G4" s="75">
        <f>'claims list'!N23</f>
        <v>35014</v>
      </c>
      <c r="H4" s="75">
        <f>'claims list'!J23</f>
        <v>111156</v>
      </c>
      <c r="I4" s="75">
        <f>'claims list'!S23</f>
        <v>38857.32</v>
      </c>
      <c r="J4" s="76">
        <f>'claims list'!M23</f>
        <v>72298.679999999993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600-000000000000}">
      <formula1>"Yes,Partially,No,N/A"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list'!B24</f>
        <v>Schomaker, Jason</v>
      </c>
      <c r="C3" s="125"/>
      <c r="D3" s="33" t="s">
        <v>2</v>
      </c>
      <c r="E3" s="34" t="str">
        <f>'claims list'!I24</f>
        <v>OH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list'!A24</f>
        <v>000531-069791-WC-01</v>
      </c>
      <c r="C4" s="127"/>
      <c r="D4" s="43" t="s">
        <v>7</v>
      </c>
      <c r="E4" s="34" t="str">
        <f>'claims list'!F24</f>
        <v>Michael Cline</v>
      </c>
      <c r="F4" s="73">
        <f>'claims list'!D24</f>
        <v>43998</v>
      </c>
      <c r="G4" s="75">
        <f>'claims list'!N24</f>
        <v>21896</v>
      </c>
      <c r="H4" s="75">
        <f>'claims list'!J24</f>
        <v>59472</v>
      </c>
      <c r="I4" s="75">
        <f>'claims list'!S24</f>
        <v>37995.08</v>
      </c>
      <c r="J4" s="76">
        <f>'claims list'!M24</f>
        <v>21476.92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700-000000000000}">
      <formula1>"Yes,Partially,No,N/A"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list'!B25</f>
        <v>Roberts, Merrell</v>
      </c>
      <c r="C3" s="125"/>
      <c r="D3" s="33" t="s">
        <v>2</v>
      </c>
      <c r="E3" s="34" t="str">
        <f>'claims list'!I25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list'!A25</f>
        <v>000531-066810-WC-01</v>
      </c>
      <c r="C4" s="127"/>
      <c r="D4" s="43" t="s">
        <v>7</v>
      </c>
      <c r="E4" s="34" t="str">
        <f>'claims list'!F25</f>
        <v>Claire Goodyear</v>
      </c>
      <c r="F4" s="73">
        <f>'claims list'!D25</f>
        <v>43717</v>
      </c>
      <c r="G4" s="75">
        <f>'claims list'!N25</f>
        <v>44323</v>
      </c>
      <c r="H4" s="75">
        <f>'claims list'!J25</f>
        <v>105034</v>
      </c>
      <c r="I4" s="75">
        <f>'claims list'!S25</f>
        <v>97560.71</v>
      </c>
      <c r="J4" s="76">
        <f>'claims list'!M25</f>
        <v>7473.29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800-000000000000}">
      <formula1>"Yes,Partially,No,N/A"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list'!B26</f>
        <v>Nichols, Harry</v>
      </c>
      <c r="C3" s="125"/>
      <c r="D3" s="33" t="s">
        <v>2</v>
      </c>
      <c r="E3" s="34" t="str">
        <f>'claims list'!I26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list'!A26</f>
        <v>000531-067087-WC-01</v>
      </c>
      <c r="C4" s="127"/>
      <c r="D4" s="43" t="s">
        <v>7</v>
      </c>
      <c r="E4" s="34" t="str">
        <f>'claims list'!F26</f>
        <v>Claire Goodyear</v>
      </c>
      <c r="F4" s="73">
        <f>'claims list'!D26</f>
        <v>43741</v>
      </c>
      <c r="G4" s="75">
        <f>'claims list'!N26</f>
        <v>54645</v>
      </c>
      <c r="H4" s="75">
        <f>'claims list'!J26</f>
        <v>108190</v>
      </c>
      <c r="I4" s="75">
        <f>'claims list'!S26</f>
        <v>100233.81</v>
      </c>
      <c r="J4" s="76">
        <f>'claims list'!M26</f>
        <v>7956.19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900-000000000000}">
      <formula1>"Yes,Partially,No,N/A"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list'!B27</f>
        <v>Lebron, Angel</v>
      </c>
      <c r="C3" s="125"/>
      <c r="D3" s="33" t="s">
        <v>2</v>
      </c>
      <c r="E3" s="34" t="str">
        <f>'claims list'!I27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list'!A27</f>
        <v>000531-069344-WC-01</v>
      </c>
      <c r="C4" s="127"/>
      <c r="D4" s="43" t="s">
        <v>7</v>
      </c>
      <c r="E4" s="34" t="str">
        <f>'claims list'!F27</f>
        <v>Claire Goodyear</v>
      </c>
      <c r="F4" s="73">
        <f>'claims list'!D27</f>
        <v>43955</v>
      </c>
      <c r="G4" s="75">
        <f>'claims list'!N27</f>
        <v>7436</v>
      </c>
      <c r="H4" s="75">
        <f>'claims list'!J27</f>
        <v>49922</v>
      </c>
      <c r="I4" s="75">
        <f>'claims list'!S27</f>
        <v>25495.84</v>
      </c>
      <c r="J4" s="76">
        <f>'claims list'!M27</f>
        <v>24426.16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A00-000000000000}">
      <formula1>"Yes,Partially,No,N/A"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list'!B28</f>
        <v>Goldwire, Jeffery</v>
      </c>
      <c r="C3" s="125"/>
      <c r="D3" s="33" t="s">
        <v>2</v>
      </c>
      <c r="E3" s="34" t="str">
        <f>'claims list'!I28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list'!A28</f>
        <v>000531-061686-WC-01</v>
      </c>
      <c r="C4" s="127"/>
      <c r="D4" s="43" t="s">
        <v>7</v>
      </c>
      <c r="E4" s="34" t="str">
        <f>'claims list'!F28</f>
        <v>Claire Goodyear</v>
      </c>
      <c r="F4" s="73">
        <f>'claims list'!D28</f>
        <v>43312</v>
      </c>
      <c r="G4" s="75">
        <f>'claims list'!N28</f>
        <v>108147</v>
      </c>
      <c r="H4" s="75">
        <f>'claims list'!J28</f>
        <v>178982</v>
      </c>
      <c r="I4" s="75">
        <f>'claims list'!S28</f>
        <v>135172.62</v>
      </c>
      <c r="J4" s="76">
        <f>'claims list'!M28</f>
        <v>43809.38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B00-000000000000}">
      <formula1>"Yes,Partially,No,N/A"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list'!B29</f>
        <v>Rodenheiser, Shannon</v>
      </c>
      <c r="C3" s="125"/>
      <c r="D3" s="33" t="s">
        <v>2</v>
      </c>
      <c r="E3" s="34" t="str">
        <f>'claims list'!I29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list'!A29</f>
        <v>000531-069959-WC-01</v>
      </c>
      <c r="C4" s="127"/>
      <c r="D4" s="43" t="s">
        <v>7</v>
      </c>
      <c r="E4" s="34" t="str">
        <f>'claims list'!F29</f>
        <v>Claire Goodyear</v>
      </c>
      <c r="F4" s="73">
        <f>'claims list'!D29</f>
        <v>44011</v>
      </c>
      <c r="G4" s="75">
        <f>'claims list'!N29</f>
        <v>34711</v>
      </c>
      <c r="H4" s="75">
        <f>'claims list'!J29</f>
        <v>139312</v>
      </c>
      <c r="I4" s="75">
        <f>'claims list'!S29</f>
        <v>83510.47</v>
      </c>
      <c r="J4" s="76">
        <f>'claims list'!M29</f>
        <v>55801.53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C00-000000000000}">
      <formula1>"Yes,Partially,No,N/A"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L56"/>
  <sheetViews>
    <sheetView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list'!B30</f>
        <v>Poole, Kenneth</v>
      </c>
      <c r="C3" s="125"/>
      <c r="D3" s="33" t="s">
        <v>2</v>
      </c>
      <c r="E3" s="34" t="str">
        <f>'claims list'!I30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list'!A30</f>
        <v>000531-070487-WC-01</v>
      </c>
      <c r="C4" s="127"/>
      <c r="D4" s="43" t="s">
        <v>7</v>
      </c>
      <c r="E4" s="34" t="str">
        <f>'claims list'!F30</f>
        <v>Claire Goodyear</v>
      </c>
      <c r="F4" s="73">
        <f>'claims list'!D30</f>
        <v>44049</v>
      </c>
      <c r="G4" s="75">
        <f>'claims list'!N30</f>
        <v>44251</v>
      </c>
      <c r="H4" s="75">
        <f>'claims list'!J30</f>
        <v>132522</v>
      </c>
      <c r="I4" s="75">
        <f>'claims list'!S30</f>
        <v>59584.160000000003</v>
      </c>
      <c r="J4" s="76">
        <f>'claims list'!M30</f>
        <v>72937.84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D00-000000000000}">
      <formula1>"Yes,Partially,No,N/A"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L56"/>
  <sheetViews>
    <sheetView topLeftCell="A4" zoomScaleNormal="100" workbookViewId="0">
      <selection activeCell="E13" sqref="E13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24" t="str">
        <f>'claims list'!B31</f>
        <v>Budd, Roman</v>
      </c>
      <c r="C3" s="125"/>
      <c r="D3" s="33" t="s">
        <v>2</v>
      </c>
      <c r="E3" s="34" t="str">
        <f>'claims list'!I31</f>
        <v>PA</v>
      </c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26" t="str">
        <f>'claims list'!A31</f>
        <v>000531-060014-WC-01</v>
      </c>
      <c r="C4" s="127"/>
      <c r="D4" s="43" t="s">
        <v>7</v>
      </c>
      <c r="E4" s="34" t="str">
        <f>'claims list'!F31</f>
        <v>Claire Goodyear</v>
      </c>
      <c r="F4" s="73">
        <f>'claims list'!D31</f>
        <v>43161</v>
      </c>
      <c r="G4" s="75">
        <f>'claims list'!N31</f>
        <v>287178</v>
      </c>
      <c r="H4" s="75">
        <f>'claims list'!J31</f>
        <v>619989</v>
      </c>
      <c r="I4" s="75">
        <f>'claims list'!S31</f>
        <v>382476.64</v>
      </c>
      <c r="J4" s="76">
        <f>'claims list'!M31</f>
        <v>237512.36</v>
      </c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thickBot="1" x14ac:dyDescent="0.25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7:J7"/>
    <mergeCell ref="B3:C3"/>
    <mergeCell ref="B4:C4"/>
    <mergeCell ref="A5:C5"/>
    <mergeCell ref="A6:B6"/>
    <mergeCell ref="B7:D7"/>
    <mergeCell ref="B8:D8"/>
    <mergeCell ref="G8:J8"/>
    <mergeCell ref="B9:D9"/>
    <mergeCell ref="G9:J9"/>
    <mergeCell ref="B10:D10"/>
    <mergeCell ref="G10:J10"/>
    <mergeCell ref="B11:D11"/>
    <mergeCell ref="G11:J11"/>
    <mergeCell ref="B13:D13"/>
    <mergeCell ref="G13:J13"/>
    <mergeCell ref="B14:D14"/>
    <mergeCell ref="G14:J14"/>
    <mergeCell ref="B15:D15"/>
    <mergeCell ref="G15:J15"/>
    <mergeCell ref="B16:D16"/>
    <mergeCell ref="G16:J16"/>
    <mergeCell ref="B18:D18"/>
    <mergeCell ref="G18:J18"/>
    <mergeCell ref="B19:D19"/>
    <mergeCell ref="G19:J19"/>
    <mergeCell ref="B20:D20"/>
    <mergeCell ref="G20:J20"/>
    <mergeCell ref="B21:D21"/>
    <mergeCell ref="G21:J21"/>
    <mergeCell ref="B22:D22"/>
    <mergeCell ref="G22:J22"/>
    <mergeCell ref="B24:D24"/>
    <mergeCell ref="G24:J24"/>
    <mergeCell ref="B25:D25"/>
    <mergeCell ref="G25:J25"/>
    <mergeCell ref="B27:D27"/>
    <mergeCell ref="G27:J27"/>
    <mergeCell ref="B28:D28"/>
    <mergeCell ref="G28:J28"/>
    <mergeCell ref="B29:D29"/>
    <mergeCell ref="G29:J29"/>
    <mergeCell ref="B30:D30"/>
    <mergeCell ref="G30:J30"/>
    <mergeCell ref="B31:D31"/>
    <mergeCell ref="G31:J31"/>
    <mergeCell ref="B32:D32"/>
    <mergeCell ref="G32:J32"/>
    <mergeCell ref="B33:D33"/>
    <mergeCell ref="G33:J33"/>
    <mergeCell ref="B34:D34"/>
    <mergeCell ref="G34:J34"/>
    <mergeCell ref="B36:D36"/>
    <mergeCell ref="G36:J36"/>
    <mergeCell ref="B37:D37"/>
    <mergeCell ref="G37:J37"/>
    <mergeCell ref="B38:D38"/>
    <mergeCell ref="G38:J38"/>
    <mergeCell ref="B39:D39"/>
    <mergeCell ref="G39:J39"/>
    <mergeCell ref="B40:D40"/>
    <mergeCell ref="G40:J40"/>
    <mergeCell ref="B42:D42"/>
    <mergeCell ref="G42:J42"/>
    <mergeCell ref="B43:D43"/>
    <mergeCell ref="G43:J43"/>
    <mergeCell ref="B44:D44"/>
    <mergeCell ref="G44:J44"/>
    <mergeCell ref="B45:D45"/>
    <mergeCell ref="G45:J45"/>
    <mergeCell ref="B46:D46"/>
    <mergeCell ref="G46:J46"/>
    <mergeCell ref="A56:B56"/>
    <mergeCell ref="A49:C49"/>
    <mergeCell ref="H49:H55"/>
    <mergeCell ref="J49:J55"/>
    <mergeCell ref="A50:C50"/>
    <mergeCell ref="A51:C51"/>
    <mergeCell ref="A52:C52"/>
    <mergeCell ref="A53:C53"/>
    <mergeCell ref="A54:C54"/>
    <mergeCell ref="A55:C55"/>
  </mergeCells>
  <dataValidations count="1">
    <dataValidation type="list" allowBlank="1" showInputMessage="1" showErrorMessage="1" sqref="E7:E11 E36:E40 E27:E34 E18:E22 E24:E25 E42:E46 E13:E16" xr:uid="{00000000-0002-0000-1E00-000000000000}">
      <formula1>"Yes,Partially,No,N/A"</formula1>
    </dataValidation>
  </dataValidation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L56"/>
  <sheetViews>
    <sheetView workbookViewId="0">
      <selection activeCell="E14" sqref="E14"/>
    </sheetView>
  </sheetViews>
  <sheetFormatPr defaultRowHeight="12" x14ac:dyDescent="0.2"/>
  <cols>
    <col min="1" max="1" width="11.5703125" style="1" bestFit="1" customWidth="1"/>
    <col min="2" max="2" width="9.140625" style="1"/>
    <col min="3" max="3" width="15.42578125" style="1" customWidth="1"/>
    <col min="4" max="4" width="17.42578125" style="1" customWidth="1"/>
    <col min="5" max="5" width="12.140625" style="1" customWidth="1"/>
    <col min="6" max="6" width="10.42578125" style="1" customWidth="1"/>
    <col min="7" max="10" width="10.85546875" style="1" customWidth="1"/>
    <col min="11" max="11" width="11.7109375" style="1" customWidth="1"/>
    <col min="12" max="16384" width="9.140625" style="1"/>
  </cols>
  <sheetData>
    <row r="1" spans="1:11" ht="17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6"/>
    </row>
    <row r="2" spans="1:11" x14ac:dyDescent="0.2">
      <c r="A2" s="47"/>
      <c r="B2" s="31"/>
      <c r="C2" s="31"/>
      <c r="D2" s="32"/>
      <c r="E2" s="32"/>
      <c r="F2" s="32"/>
      <c r="G2" s="32"/>
      <c r="H2" s="32"/>
      <c r="I2" s="32"/>
      <c r="J2" s="48"/>
    </row>
    <row r="3" spans="1:11" ht="24" x14ac:dyDescent="0.2">
      <c r="A3" s="49" t="s">
        <v>1</v>
      </c>
      <c r="B3" s="132"/>
      <c r="C3" s="133"/>
      <c r="D3" s="33" t="s">
        <v>2</v>
      </c>
      <c r="E3" s="34"/>
      <c r="F3" s="33" t="s">
        <v>64</v>
      </c>
      <c r="G3" s="33" t="s">
        <v>8</v>
      </c>
      <c r="H3" s="35" t="s">
        <v>3</v>
      </c>
      <c r="I3" s="35" t="s">
        <v>4</v>
      </c>
      <c r="J3" s="50" t="s">
        <v>5</v>
      </c>
    </row>
    <row r="4" spans="1:11" ht="21.75" customHeight="1" x14ac:dyDescent="0.2">
      <c r="A4" s="51" t="s">
        <v>6</v>
      </c>
      <c r="B4" s="134"/>
      <c r="C4" s="135"/>
      <c r="D4" s="43" t="s">
        <v>7</v>
      </c>
      <c r="E4" s="34"/>
      <c r="F4" s="3"/>
      <c r="H4" s="75"/>
      <c r="I4" s="75"/>
      <c r="J4" s="76"/>
    </row>
    <row r="5" spans="1:11" ht="39" customHeight="1" x14ac:dyDescent="0.2">
      <c r="A5" s="128"/>
      <c r="B5" s="129"/>
      <c r="C5" s="129"/>
      <c r="D5" s="42"/>
      <c r="E5" s="40" t="s">
        <v>9</v>
      </c>
      <c r="F5" s="35" t="s">
        <v>10</v>
      </c>
      <c r="G5" s="36" t="s">
        <v>11</v>
      </c>
      <c r="H5" s="41"/>
      <c r="I5" s="41"/>
      <c r="J5" s="48"/>
    </row>
    <row r="6" spans="1:11" x14ac:dyDescent="0.2">
      <c r="A6" s="130" t="s">
        <v>14</v>
      </c>
      <c r="B6" s="131"/>
      <c r="C6" s="31"/>
      <c r="D6" s="31"/>
      <c r="E6" s="31"/>
      <c r="F6" s="31"/>
      <c r="G6" s="31"/>
      <c r="H6" s="31"/>
      <c r="I6" s="31"/>
      <c r="J6" s="52"/>
    </row>
    <row r="7" spans="1:11" ht="49.5" customHeight="1" x14ac:dyDescent="0.2">
      <c r="A7" s="53">
        <v>1</v>
      </c>
      <c r="B7" s="94" t="s">
        <v>15</v>
      </c>
      <c r="C7" s="95"/>
      <c r="D7" s="96"/>
      <c r="E7" s="3" t="s">
        <v>13</v>
      </c>
      <c r="F7" s="4"/>
      <c r="G7" s="97"/>
      <c r="H7" s="98"/>
      <c r="I7" s="98"/>
      <c r="J7" s="99"/>
    </row>
    <row r="8" spans="1:11" ht="30" customHeight="1" x14ac:dyDescent="0.2">
      <c r="A8" s="53">
        <v>2</v>
      </c>
      <c r="B8" s="94" t="s">
        <v>17</v>
      </c>
      <c r="C8" s="95"/>
      <c r="D8" s="96"/>
      <c r="E8" s="3" t="s">
        <v>13</v>
      </c>
      <c r="F8" s="5"/>
      <c r="G8" s="97"/>
      <c r="H8" s="98"/>
      <c r="I8" s="98"/>
      <c r="J8" s="99"/>
      <c r="K8" s="21"/>
    </row>
    <row r="9" spans="1:11" ht="38.25" customHeight="1" x14ac:dyDescent="0.2">
      <c r="A9" s="53">
        <v>3</v>
      </c>
      <c r="B9" s="94" t="s">
        <v>18</v>
      </c>
      <c r="C9" s="95"/>
      <c r="D9" s="96"/>
      <c r="E9" s="3" t="s">
        <v>13</v>
      </c>
      <c r="F9" s="5"/>
      <c r="G9" s="97"/>
      <c r="H9" s="98"/>
      <c r="I9" s="98"/>
      <c r="J9" s="99"/>
      <c r="K9" s="74"/>
    </row>
    <row r="10" spans="1:11" ht="48.75" customHeight="1" x14ac:dyDescent="0.2">
      <c r="A10" s="53">
        <v>4</v>
      </c>
      <c r="B10" s="94" t="s">
        <v>19</v>
      </c>
      <c r="C10" s="95"/>
      <c r="D10" s="96"/>
      <c r="E10" s="3" t="s">
        <v>13</v>
      </c>
      <c r="F10" s="5"/>
      <c r="G10" s="97"/>
      <c r="H10" s="98"/>
      <c r="I10" s="98"/>
      <c r="J10" s="99"/>
    </row>
    <row r="11" spans="1:11" ht="24" customHeight="1" x14ac:dyDescent="0.2">
      <c r="A11" s="53">
        <v>5</v>
      </c>
      <c r="B11" s="94" t="s">
        <v>20</v>
      </c>
      <c r="C11" s="95"/>
      <c r="D11" s="96"/>
      <c r="E11" s="3" t="s">
        <v>13</v>
      </c>
      <c r="F11" s="6"/>
      <c r="G11" s="97"/>
      <c r="H11" s="98"/>
      <c r="I11" s="98"/>
      <c r="J11" s="99"/>
    </row>
    <row r="12" spans="1:11" x14ac:dyDescent="0.2">
      <c r="A12" s="54" t="s">
        <v>21</v>
      </c>
      <c r="B12" s="2"/>
      <c r="C12" s="2"/>
      <c r="D12" s="2"/>
      <c r="E12" s="2"/>
      <c r="F12" s="2"/>
      <c r="G12" s="2"/>
      <c r="H12" s="2"/>
      <c r="I12" s="2"/>
      <c r="J12" s="55"/>
    </row>
    <row r="13" spans="1:11" ht="27" customHeight="1" x14ac:dyDescent="0.2">
      <c r="A13" s="53">
        <v>6</v>
      </c>
      <c r="B13" s="94" t="s">
        <v>22</v>
      </c>
      <c r="C13" s="95"/>
      <c r="D13" s="96"/>
      <c r="E13" s="3" t="s">
        <v>13</v>
      </c>
      <c r="F13" s="4"/>
      <c r="G13" s="97"/>
      <c r="H13" s="98"/>
      <c r="I13" s="98"/>
      <c r="J13" s="99"/>
    </row>
    <row r="14" spans="1:11" ht="24.75" customHeight="1" x14ac:dyDescent="0.2">
      <c r="A14" s="53">
        <v>7</v>
      </c>
      <c r="B14" s="94" t="s">
        <v>23</v>
      </c>
      <c r="C14" s="95"/>
      <c r="D14" s="96"/>
      <c r="E14" s="3" t="s">
        <v>13</v>
      </c>
      <c r="F14" s="6"/>
      <c r="G14" s="97"/>
      <c r="H14" s="98"/>
      <c r="I14" s="98"/>
      <c r="J14" s="99"/>
    </row>
    <row r="15" spans="1:11" ht="39.75" customHeight="1" x14ac:dyDescent="0.2">
      <c r="A15" s="53">
        <v>8</v>
      </c>
      <c r="B15" s="121" t="s">
        <v>24</v>
      </c>
      <c r="C15" s="122"/>
      <c r="D15" s="123"/>
      <c r="E15" s="3" t="s">
        <v>13</v>
      </c>
      <c r="F15" s="7"/>
      <c r="G15" s="97"/>
      <c r="H15" s="98"/>
      <c r="I15" s="98"/>
      <c r="J15" s="99"/>
    </row>
    <row r="16" spans="1:11" ht="15" customHeight="1" x14ac:dyDescent="0.2">
      <c r="A16" s="53">
        <v>9</v>
      </c>
      <c r="B16" s="94" t="s">
        <v>25</v>
      </c>
      <c r="C16" s="95"/>
      <c r="D16" s="96"/>
      <c r="E16" s="3" t="s">
        <v>13</v>
      </c>
      <c r="F16" s="8"/>
      <c r="G16" s="97"/>
      <c r="H16" s="98"/>
      <c r="I16" s="98"/>
      <c r="J16" s="99"/>
    </row>
    <row r="17" spans="1:10" x14ac:dyDescent="0.2">
      <c r="A17" s="54" t="s">
        <v>26</v>
      </c>
      <c r="B17" s="2"/>
      <c r="C17" s="2"/>
      <c r="D17" s="2"/>
      <c r="E17" s="2"/>
      <c r="F17" s="2"/>
      <c r="G17" s="2"/>
      <c r="H17" s="2"/>
      <c r="I17" s="2"/>
      <c r="J17" s="55"/>
    </row>
    <row r="18" spans="1:10" ht="15" customHeight="1" x14ac:dyDescent="0.2">
      <c r="A18" s="53">
        <v>10</v>
      </c>
      <c r="B18" s="94" t="s">
        <v>27</v>
      </c>
      <c r="C18" s="95"/>
      <c r="D18" s="96"/>
      <c r="E18" s="3" t="s">
        <v>13</v>
      </c>
      <c r="F18" s="4"/>
      <c r="G18" s="97"/>
      <c r="H18" s="98"/>
      <c r="I18" s="98"/>
      <c r="J18" s="99"/>
    </row>
    <row r="19" spans="1:10" ht="39" customHeight="1" x14ac:dyDescent="0.2">
      <c r="A19" s="53">
        <v>11</v>
      </c>
      <c r="B19" s="94" t="s">
        <v>28</v>
      </c>
      <c r="C19" s="95"/>
      <c r="D19" s="96"/>
      <c r="E19" s="3" t="s">
        <v>13</v>
      </c>
      <c r="F19" s="5"/>
      <c r="G19" s="97"/>
      <c r="H19" s="98"/>
      <c r="I19" s="98"/>
      <c r="J19" s="99"/>
    </row>
    <row r="20" spans="1:10" ht="27" customHeight="1" x14ac:dyDescent="0.2">
      <c r="A20" s="53">
        <v>12</v>
      </c>
      <c r="B20" s="94" t="s">
        <v>29</v>
      </c>
      <c r="C20" s="95"/>
      <c r="D20" s="96"/>
      <c r="E20" s="3" t="s">
        <v>13</v>
      </c>
      <c r="F20" s="5"/>
      <c r="G20" s="97"/>
      <c r="H20" s="98"/>
      <c r="I20" s="98"/>
      <c r="J20" s="99"/>
    </row>
    <row r="21" spans="1:10" ht="24" customHeight="1" x14ac:dyDescent="0.2">
      <c r="A21" s="53">
        <v>13</v>
      </c>
      <c r="B21" s="94" t="s">
        <v>30</v>
      </c>
      <c r="C21" s="95"/>
      <c r="D21" s="96"/>
      <c r="E21" s="3" t="s">
        <v>13</v>
      </c>
      <c r="F21" s="5"/>
      <c r="G21" s="97"/>
      <c r="H21" s="98"/>
      <c r="I21" s="98"/>
      <c r="J21" s="99"/>
    </row>
    <row r="22" spans="1:10" ht="36.75" customHeight="1" x14ac:dyDescent="0.2">
      <c r="A22" s="53">
        <v>14</v>
      </c>
      <c r="B22" s="94" t="s">
        <v>31</v>
      </c>
      <c r="C22" s="95"/>
      <c r="D22" s="96"/>
      <c r="E22" s="3" t="s">
        <v>13</v>
      </c>
      <c r="F22" s="6"/>
      <c r="G22" s="97"/>
      <c r="H22" s="98"/>
      <c r="I22" s="98"/>
      <c r="J22" s="99"/>
    </row>
    <row r="23" spans="1:10" x14ac:dyDescent="0.2">
      <c r="A23" s="56" t="s">
        <v>32</v>
      </c>
      <c r="B23" s="2"/>
      <c r="C23" s="2"/>
      <c r="D23" s="2"/>
      <c r="E23" s="2"/>
      <c r="F23" s="9"/>
      <c r="G23" s="10"/>
      <c r="H23" s="10"/>
      <c r="I23" s="10"/>
      <c r="J23" s="57"/>
    </row>
    <row r="24" spans="1:10" ht="25.5" customHeight="1" x14ac:dyDescent="0.2">
      <c r="A24" s="53">
        <v>15</v>
      </c>
      <c r="B24" s="109" t="s">
        <v>33</v>
      </c>
      <c r="C24" s="110"/>
      <c r="D24" s="111"/>
      <c r="E24" s="3" t="s">
        <v>13</v>
      </c>
      <c r="F24" s="4"/>
      <c r="G24" s="97"/>
      <c r="H24" s="98"/>
      <c r="I24" s="98"/>
      <c r="J24" s="99"/>
    </row>
    <row r="25" spans="1:10" ht="27" customHeight="1" x14ac:dyDescent="0.2">
      <c r="A25" s="53">
        <v>16</v>
      </c>
      <c r="B25" s="118" t="s">
        <v>34</v>
      </c>
      <c r="C25" s="119"/>
      <c r="D25" s="120"/>
      <c r="E25" s="3" t="s">
        <v>13</v>
      </c>
      <c r="F25" s="19"/>
      <c r="G25" s="97"/>
      <c r="H25" s="98"/>
      <c r="I25" s="98"/>
      <c r="J25" s="99"/>
    </row>
    <row r="26" spans="1:10" x14ac:dyDescent="0.2">
      <c r="A26" s="58" t="s">
        <v>35</v>
      </c>
      <c r="B26" s="12"/>
      <c r="C26" s="12"/>
      <c r="D26" s="12"/>
      <c r="E26" s="12"/>
      <c r="F26" s="11"/>
      <c r="G26" s="12"/>
      <c r="H26" s="12"/>
      <c r="I26" s="12"/>
      <c r="J26" s="59"/>
    </row>
    <row r="27" spans="1:10" ht="28.5" customHeight="1" x14ac:dyDescent="0.2">
      <c r="A27" s="53">
        <v>17</v>
      </c>
      <c r="B27" s="94" t="s">
        <v>36</v>
      </c>
      <c r="C27" s="95"/>
      <c r="D27" s="96"/>
      <c r="E27" s="3" t="s">
        <v>13</v>
      </c>
      <c r="F27" s="4"/>
      <c r="G27" s="97"/>
      <c r="H27" s="98"/>
      <c r="I27" s="98"/>
      <c r="J27" s="99"/>
    </row>
    <row r="28" spans="1:10" ht="39" customHeight="1" x14ac:dyDescent="0.2">
      <c r="A28" s="53">
        <v>18</v>
      </c>
      <c r="B28" s="94" t="s">
        <v>37</v>
      </c>
      <c r="C28" s="95"/>
      <c r="D28" s="96"/>
      <c r="E28" s="3" t="s">
        <v>13</v>
      </c>
      <c r="F28" s="6"/>
      <c r="G28" s="97"/>
      <c r="H28" s="98"/>
      <c r="I28" s="98"/>
      <c r="J28" s="99"/>
    </row>
    <row r="29" spans="1:10" ht="40.5" customHeight="1" x14ac:dyDescent="0.2">
      <c r="A29" s="53">
        <v>19</v>
      </c>
      <c r="B29" s="115" t="s">
        <v>38</v>
      </c>
      <c r="C29" s="116"/>
      <c r="D29" s="117"/>
      <c r="E29" s="3" t="s">
        <v>13</v>
      </c>
      <c r="F29" s="7"/>
      <c r="G29" s="97"/>
      <c r="H29" s="98"/>
      <c r="I29" s="98"/>
      <c r="J29" s="99"/>
    </row>
    <row r="30" spans="1:10" ht="25.5" customHeight="1" x14ac:dyDescent="0.2">
      <c r="A30" s="53">
        <v>20</v>
      </c>
      <c r="B30" s="115" t="s">
        <v>39</v>
      </c>
      <c r="C30" s="116"/>
      <c r="D30" s="117"/>
      <c r="E30" s="3" t="s">
        <v>13</v>
      </c>
      <c r="F30" s="17"/>
      <c r="G30" s="97"/>
      <c r="H30" s="98"/>
      <c r="I30" s="98"/>
      <c r="J30" s="99"/>
    </row>
    <row r="31" spans="1:10" ht="24.75" customHeight="1" x14ac:dyDescent="0.2">
      <c r="A31" s="53">
        <v>21</v>
      </c>
      <c r="B31" s="94" t="s">
        <v>40</v>
      </c>
      <c r="C31" s="95"/>
      <c r="D31" s="96"/>
      <c r="E31" s="3" t="s">
        <v>13</v>
      </c>
      <c r="F31" s="4"/>
      <c r="G31" s="97"/>
      <c r="H31" s="98"/>
      <c r="I31" s="98"/>
      <c r="J31" s="99"/>
    </row>
    <row r="32" spans="1:10" ht="36.75" customHeight="1" x14ac:dyDescent="0.2">
      <c r="A32" s="53">
        <v>22</v>
      </c>
      <c r="B32" s="94" t="s">
        <v>41</v>
      </c>
      <c r="C32" s="95"/>
      <c r="D32" s="96"/>
      <c r="E32" s="3" t="s">
        <v>13</v>
      </c>
      <c r="F32" s="5"/>
      <c r="G32" s="97"/>
      <c r="H32" s="98"/>
      <c r="I32" s="98"/>
      <c r="J32" s="99"/>
    </row>
    <row r="33" spans="1:12" ht="35.25" customHeight="1" x14ac:dyDescent="0.2">
      <c r="A33" s="53">
        <v>23</v>
      </c>
      <c r="B33" s="94" t="s">
        <v>42</v>
      </c>
      <c r="C33" s="95"/>
      <c r="D33" s="96"/>
      <c r="E33" s="3" t="s">
        <v>13</v>
      </c>
      <c r="F33" s="5"/>
      <c r="G33" s="97"/>
      <c r="H33" s="98"/>
      <c r="I33" s="98"/>
      <c r="J33" s="99"/>
    </row>
    <row r="34" spans="1:12" ht="26.25" customHeight="1" x14ac:dyDescent="0.2">
      <c r="A34" s="53">
        <v>24</v>
      </c>
      <c r="B34" s="109" t="s">
        <v>43</v>
      </c>
      <c r="C34" s="110"/>
      <c r="D34" s="111"/>
      <c r="E34" s="3" t="s">
        <v>13</v>
      </c>
      <c r="F34" s="5"/>
      <c r="G34" s="97"/>
      <c r="H34" s="98"/>
      <c r="I34" s="98"/>
      <c r="J34" s="99"/>
    </row>
    <row r="35" spans="1:12" x14ac:dyDescent="0.2">
      <c r="A35" s="60" t="s">
        <v>44</v>
      </c>
      <c r="B35" s="22"/>
      <c r="C35" s="22"/>
      <c r="D35" s="22"/>
      <c r="E35" s="22"/>
      <c r="F35" s="22"/>
      <c r="G35" s="22"/>
      <c r="H35" s="22"/>
      <c r="I35" s="22"/>
      <c r="J35" s="61"/>
    </row>
    <row r="36" spans="1:12" ht="27" customHeight="1" x14ac:dyDescent="0.2">
      <c r="A36" s="62">
        <v>25</v>
      </c>
      <c r="B36" s="112" t="s">
        <v>45</v>
      </c>
      <c r="C36" s="113"/>
      <c r="D36" s="114"/>
      <c r="E36" s="3" t="s">
        <v>13</v>
      </c>
      <c r="F36" s="20"/>
      <c r="G36" s="97"/>
      <c r="H36" s="98"/>
      <c r="I36" s="98"/>
      <c r="J36" s="99"/>
    </row>
    <row r="37" spans="1:12" ht="37.5" customHeight="1" x14ac:dyDescent="0.2">
      <c r="A37" s="53">
        <v>26</v>
      </c>
      <c r="B37" s="94" t="s">
        <v>46</v>
      </c>
      <c r="C37" s="95"/>
      <c r="D37" s="96"/>
      <c r="E37" s="3" t="s">
        <v>13</v>
      </c>
      <c r="F37" s="4"/>
      <c r="G37" s="97"/>
      <c r="H37" s="98"/>
      <c r="I37" s="98"/>
      <c r="J37" s="99"/>
    </row>
    <row r="38" spans="1:12" ht="38.25" customHeight="1" x14ac:dyDescent="0.2">
      <c r="A38" s="53">
        <v>27</v>
      </c>
      <c r="B38" s="94" t="s">
        <v>47</v>
      </c>
      <c r="C38" s="95"/>
      <c r="D38" s="96"/>
      <c r="E38" s="3" t="s">
        <v>13</v>
      </c>
      <c r="F38" s="5"/>
      <c r="G38" s="97"/>
      <c r="H38" s="98"/>
      <c r="I38" s="98"/>
      <c r="J38" s="99"/>
    </row>
    <row r="39" spans="1:12" ht="35.25" customHeight="1" x14ac:dyDescent="0.2">
      <c r="A39" s="53">
        <v>28</v>
      </c>
      <c r="B39" s="94" t="s">
        <v>48</v>
      </c>
      <c r="C39" s="95"/>
      <c r="D39" s="96"/>
      <c r="E39" s="3" t="s">
        <v>13</v>
      </c>
      <c r="F39" s="5"/>
      <c r="G39" s="97"/>
      <c r="H39" s="98"/>
      <c r="I39" s="98"/>
      <c r="J39" s="99"/>
    </row>
    <row r="40" spans="1:12" ht="18" customHeight="1" x14ac:dyDescent="0.2">
      <c r="A40" s="53">
        <v>29</v>
      </c>
      <c r="B40" s="94" t="s">
        <v>49</v>
      </c>
      <c r="C40" s="95"/>
      <c r="D40" s="96"/>
      <c r="E40" s="3" t="s">
        <v>13</v>
      </c>
      <c r="F40" s="6"/>
      <c r="G40" s="97"/>
      <c r="H40" s="98"/>
      <c r="I40" s="98"/>
      <c r="J40" s="99"/>
    </row>
    <row r="41" spans="1:12" x14ac:dyDescent="0.2">
      <c r="A41" s="54" t="s">
        <v>50</v>
      </c>
      <c r="B41" s="71"/>
      <c r="C41" s="71"/>
      <c r="D41" s="71"/>
      <c r="E41" s="71"/>
      <c r="F41" s="15"/>
      <c r="G41" s="10"/>
      <c r="H41" s="10"/>
      <c r="I41" s="10"/>
      <c r="J41" s="57"/>
    </row>
    <row r="42" spans="1:12" ht="48.75" customHeight="1" x14ac:dyDescent="0.2">
      <c r="A42" s="63">
        <v>30</v>
      </c>
      <c r="B42" s="103" t="s">
        <v>51</v>
      </c>
      <c r="C42" s="104"/>
      <c r="D42" s="105"/>
      <c r="E42" s="3" t="s">
        <v>13</v>
      </c>
      <c r="F42" s="16"/>
      <c r="G42" s="97"/>
      <c r="H42" s="98"/>
      <c r="I42" s="98"/>
      <c r="J42" s="99"/>
    </row>
    <row r="43" spans="1:12" ht="37.5" customHeight="1" x14ac:dyDescent="0.2">
      <c r="A43" s="53">
        <v>31</v>
      </c>
      <c r="B43" s="106" t="s">
        <v>52</v>
      </c>
      <c r="C43" s="107"/>
      <c r="D43" s="108"/>
      <c r="E43" s="3" t="s">
        <v>13</v>
      </c>
      <c r="F43" s="5"/>
      <c r="G43" s="97"/>
      <c r="H43" s="98"/>
      <c r="I43" s="98"/>
      <c r="J43" s="99"/>
    </row>
    <row r="44" spans="1:12" ht="27.75" customHeight="1" x14ac:dyDescent="0.2">
      <c r="A44" s="53">
        <v>32</v>
      </c>
      <c r="B44" s="94" t="s">
        <v>54</v>
      </c>
      <c r="C44" s="95"/>
      <c r="D44" s="96"/>
      <c r="E44" s="3" t="s">
        <v>13</v>
      </c>
      <c r="F44" s="5"/>
      <c r="G44" s="97"/>
      <c r="H44" s="98"/>
      <c r="I44" s="98"/>
      <c r="J44" s="99"/>
    </row>
    <row r="45" spans="1:12" ht="28.5" customHeight="1" x14ac:dyDescent="0.2">
      <c r="A45" s="53">
        <v>33</v>
      </c>
      <c r="B45" s="94" t="s">
        <v>55</v>
      </c>
      <c r="C45" s="95"/>
      <c r="D45" s="96"/>
      <c r="E45" s="3" t="s">
        <v>13</v>
      </c>
      <c r="F45" s="6"/>
      <c r="G45" s="97"/>
      <c r="H45" s="98"/>
      <c r="I45" s="98"/>
      <c r="J45" s="99"/>
    </row>
    <row r="46" spans="1:12" ht="51" customHeight="1" x14ac:dyDescent="0.2">
      <c r="A46" s="64">
        <v>34</v>
      </c>
      <c r="B46" s="100" t="s">
        <v>56</v>
      </c>
      <c r="C46" s="101"/>
      <c r="D46" s="102"/>
      <c r="E46" s="18" t="s">
        <v>13</v>
      </c>
      <c r="F46" s="25"/>
      <c r="G46" s="97"/>
      <c r="H46" s="98"/>
      <c r="I46" s="98"/>
      <c r="J46" s="99"/>
    </row>
    <row r="47" spans="1:12" x14ac:dyDescent="0.2">
      <c r="A47" s="65" t="s">
        <v>12</v>
      </c>
      <c r="B47" s="71"/>
      <c r="C47" s="71"/>
      <c r="D47" s="71"/>
      <c r="E47" s="70"/>
      <c r="F47" s="70"/>
      <c r="G47" s="70"/>
      <c r="H47" s="10"/>
      <c r="I47" s="10"/>
      <c r="J47" s="57"/>
    </row>
    <row r="48" spans="1:12" ht="24" x14ac:dyDescent="0.2">
      <c r="A48" s="66"/>
      <c r="B48" s="23"/>
      <c r="C48" s="29"/>
      <c r="D48" s="30" t="s">
        <v>53</v>
      </c>
      <c r="E48" s="27" t="s">
        <v>57</v>
      </c>
      <c r="F48" s="27" t="s">
        <v>16</v>
      </c>
      <c r="G48" s="28" t="s">
        <v>58</v>
      </c>
      <c r="H48" s="28" t="s">
        <v>59</v>
      </c>
      <c r="I48" s="24" t="s">
        <v>60</v>
      </c>
      <c r="J48" s="67" t="s">
        <v>61</v>
      </c>
      <c r="K48" s="37" t="s">
        <v>65</v>
      </c>
      <c r="L48" s="37" t="s">
        <v>66</v>
      </c>
    </row>
    <row r="49" spans="1:12" x14ac:dyDescent="0.2">
      <c r="A49" s="79" t="s">
        <v>14</v>
      </c>
      <c r="B49" s="80"/>
      <c r="C49" s="81"/>
      <c r="D49" s="13">
        <f>COUNTIF($E$7:$E$11,"No")</f>
        <v>0</v>
      </c>
      <c r="E49" s="13">
        <f>COUNTIF($E$7:$E$11,"Partially")</f>
        <v>0</v>
      </c>
      <c r="F49" s="13">
        <f t="shared" ref="F49" si="0">COUNTIF($E$7:$E$11,"Yes")</f>
        <v>0</v>
      </c>
      <c r="G49" s="14" t="str">
        <f t="shared" ref="G49:G55" si="1">IF(K49=L49,"N/A",IF(SUM(D49:F49)=0,0,10*(((F49*2)+(E49*1))/(((L49-K49)*2)))))</f>
        <v>N/A</v>
      </c>
      <c r="H49" s="82" t="str">
        <f>IFERROR(10*(((SUM(E49:E55)*1)+(SUM(F49:F55)*2))/(2*SUM(D49:F55))),"N/A")</f>
        <v>N/A</v>
      </c>
      <c r="I49" s="13" t="s">
        <v>62</v>
      </c>
      <c r="J49" s="85">
        <f>SUM(I49:I55)</f>
        <v>0</v>
      </c>
      <c r="K49" s="38">
        <f>COUNTIF($E$7:$E$11,"N/A")</f>
        <v>5</v>
      </c>
      <c r="L49" s="39">
        <v>5</v>
      </c>
    </row>
    <row r="50" spans="1:12" x14ac:dyDescent="0.2">
      <c r="A50" s="88" t="s">
        <v>21</v>
      </c>
      <c r="B50" s="89"/>
      <c r="C50" s="90"/>
      <c r="D50" s="13">
        <f>COUNTIF($E$13:$E$16,"No")</f>
        <v>0</v>
      </c>
      <c r="E50" s="13">
        <f>COUNTIF($E$13:$E$16,"Partially")</f>
        <v>0</v>
      </c>
      <c r="F50" s="13">
        <f t="shared" ref="F50" si="2">COUNTIF($E$13:$E$16,"Yes")</f>
        <v>0</v>
      </c>
      <c r="G50" s="14" t="str">
        <f t="shared" si="1"/>
        <v>N/A</v>
      </c>
      <c r="H50" s="83"/>
      <c r="I50" s="26">
        <f>F15</f>
        <v>0</v>
      </c>
      <c r="J50" s="86"/>
      <c r="K50" s="38">
        <f>COUNTIF($E$13:$E$16,"N/A")</f>
        <v>4</v>
      </c>
      <c r="L50" s="39">
        <v>4</v>
      </c>
    </row>
    <row r="51" spans="1:12" x14ac:dyDescent="0.2">
      <c r="A51" s="88" t="s">
        <v>26</v>
      </c>
      <c r="B51" s="89"/>
      <c r="C51" s="90"/>
      <c r="D51" s="13">
        <f>COUNTIF($E$18:$E$22,"No")</f>
        <v>0</v>
      </c>
      <c r="E51" s="13">
        <f>COUNTIF($E$18:$E$22,"Partially")</f>
        <v>0</v>
      </c>
      <c r="F51" s="13">
        <f t="shared" ref="F51" si="3">COUNTIF($E$18:$E$22,"Yes")</f>
        <v>0</v>
      </c>
      <c r="G51" s="14" t="str">
        <f t="shared" si="1"/>
        <v>N/A</v>
      </c>
      <c r="H51" s="83"/>
      <c r="I51" s="13" t="s">
        <v>62</v>
      </c>
      <c r="J51" s="86"/>
      <c r="K51" s="38">
        <f>COUNTIF($E$18:$E$22,"N/A")</f>
        <v>5</v>
      </c>
      <c r="L51" s="39">
        <v>5</v>
      </c>
    </row>
    <row r="52" spans="1:12" x14ac:dyDescent="0.2">
      <c r="A52" s="88" t="s">
        <v>32</v>
      </c>
      <c r="B52" s="89"/>
      <c r="C52" s="90"/>
      <c r="D52" s="13">
        <f>COUNTIF($E$2:$E$24,"No")</f>
        <v>0</v>
      </c>
      <c r="E52" s="13">
        <f>COUNTIF($E$2:$E$24,"Partially")</f>
        <v>0</v>
      </c>
      <c r="F52" s="13">
        <f>COUNTIF($E$24:$E$25,"Yes")</f>
        <v>0</v>
      </c>
      <c r="G52" s="14" t="str">
        <f t="shared" si="1"/>
        <v>N/A</v>
      </c>
      <c r="H52" s="83"/>
      <c r="I52" s="13" t="s">
        <v>62</v>
      </c>
      <c r="J52" s="86"/>
      <c r="K52" s="38">
        <f>COUNTIF($E$24:$E$25,"N/A")</f>
        <v>2</v>
      </c>
      <c r="L52" s="39">
        <v>2</v>
      </c>
    </row>
    <row r="53" spans="1:12" x14ac:dyDescent="0.2">
      <c r="A53" s="88" t="s">
        <v>35</v>
      </c>
      <c r="B53" s="89"/>
      <c r="C53" s="90"/>
      <c r="D53" s="13">
        <f>COUNTIF($E$27:$E$34,"No")</f>
        <v>0</v>
      </c>
      <c r="E53" s="13">
        <f>COUNTIF($E$27:$E$34,"Partially")</f>
        <v>0</v>
      </c>
      <c r="F53" s="13">
        <f t="shared" ref="F53" si="4">COUNTIF($E$27:$E$34,"Yes")</f>
        <v>0</v>
      </c>
      <c r="G53" s="14" t="str">
        <f t="shared" si="1"/>
        <v>N/A</v>
      </c>
      <c r="H53" s="83"/>
      <c r="I53" s="26">
        <f>F29</f>
        <v>0</v>
      </c>
      <c r="J53" s="86"/>
      <c r="K53" s="38">
        <f>COUNTIF($E$27:$E$34,"N/A")</f>
        <v>8</v>
      </c>
      <c r="L53" s="39">
        <v>8</v>
      </c>
    </row>
    <row r="54" spans="1:12" x14ac:dyDescent="0.2">
      <c r="A54" s="88" t="s">
        <v>44</v>
      </c>
      <c r="B54" s="89"/>
      <c r="C54" s="90"/>
      <c r="D54" s="13">
        <f>COUNTIF($E$36:$E$40,"No")</f>
        <v>0</v>
      </c>
      <c r="E54" s="13">
        <f>COUNTIF($E$36:$E$40,"Partially")</f>
        <v>0</v>
      </c>
      <c r="F54" s="13">
        <f t="shared" ref="F54" si="5">COUNTIF($E$36:$E$40,"Yes")</f>
        <v>0</v>
      </c>
      <c r="G54" s="14" t="str">
        <f t="shared" si="1"/>
        <v>N/A</v>
      </c>
      <c r="H54" s="83"/>
      <c r="I54" s="26">
        <f>F36</f>
        <v>0</v>
      </c>
      <c r="J54" s="86"/>
      <c r="K54" s="38">
        <f>COUNTIF($E$36:$E$40,"N/A")</f>
        <v>5</v>
      </c>
      <c r="L54" s="39">
        <v>5</v>
      </c>
    </row>
    <row r="55" spans="1:12" x14ac:dyDescent="0.2">
      <c r="A55" s="91" t="s">
        <v>50</v>
      </c>
      <c r="B55" s="92"/>
      <c r="C55" s="93"/>
      <c r="D55" s="13">
        <f>COUNTIF($E$42:$E$46,"No")</f>
        <v>0</v>
      </c>
      <c r="E55" s="13">
        <f>COUNTIF($E$42:$E$46,"Partially")</f>
        <v>0</v>
      </c>
      <c r="F55" s="13">
        <f t="shared" ref="F55" si="6">COUNTIF($E$42:$E$46,"Yes")</f>
        <v>0</v>
      </c>
      <c r="G55" s="14" t="str">
        <f t="shared" si="1"/>
        <v>N/A</v>
      </c>
      <c r="H55" s="84"/>
      <c r="I55" s="26">
        <f>F46</f>
        <v>0</v>
      </c>
      <c r="J55" s="87"/>
      <c r="K55" s="38">
        <f>COUNTIF($E$42:$E$46,"N/A")</f>
        <v>5</v>
      </c>
      <c r="L55" s="39">
        <v>5</v>
      </c>
    </row>
    <row r="56" spans="1:12" ht="78" customHeight="1" x14ac:dyDescent="0.2">
      <c r="A56" s="77" t="s">
        <v>63</v>
      </c>
      <c r="B56" s="78"/>
      <c r="C56" s="68"/>
      <c r="D56" s="68"/>
      <c r="E56" s="68"/>
      <c r="F56" s="68"/>
      <c r="G56" s="68"/>
      <c r="H56" s="68"/>
      <c r="I56" s="68"/>
      <c r="J56" s="69"/>
    </row>
  </sheetData>
  <mergeCells count="82">
    <mergeCell ref="G42:J42"/>
    <mergeCell ref="G43:J43"/>
    <mergeCell ref="G44:J44"/>
    <mergeCell ref="G45:J45"/>
    <mergeCell ref="G46:J46"/>
    <mergeCell ref="G40:J40"/>
    <mergeCell ref="G28:J28"/>
    <mergeCell ref="G29:J29"/>
    <mergeCell ref="G30:J30"/>
    <mergeCell ref="G31:J31"/>
    <mergeCell ref="G32:J32"/>
    <mergeCell ref="G33:J33"/>
    <mergeCell ref="G34:J34"/>
    <mergeCell ref="G36:J36"/>
    <mergeCell ref="G37:J37"/>
    <mergeCell ref="G38:J38"/>
    <mergeCell ref="G39:J39"/>
    <mergeCell ref="G27:J27"/>
    <mergeCell ref="G13:J13"/>
    <mergeCell ref="G14:J14"/>
    <mergeCell ref="G15:J15"/>
    <mergeCell ref="G16:J16"/>
    <mergeCell ref="G18:J18"/>
    <mergeCell ref="G19:J19"/>
    <mergeCell ref="G20:J20"/>
    <mergeCell ref="G21:J21"/>
    <mergeCell ref="G22:J22"/>
    <mergeCell ref="G24:J24"/>
    <mergeCell ref="G25:J25"/>
    <mergeCell ref="G7:J7"/>
    <mergeCell ref="G8:J8"/>
    <mergeCell ref="G9:J9"/>
    <mergeCell ref="G11:J11"/>
    <mergeCell ref="G10:J10"/>
    <mergeCell ref="J49:J55"/>
    <mergeCell ref="A56:B56"/>
    <mergeCell ref="A49:C49"/>
    <mergeCell ref="A50:C50"/>
    <mergeCell ref="A51:C51"/>
    <mergeCell ref="A52:C52"/>
    <mergeCell ref="A53:C53"/>
    <mergeCell ref="A54:C54"/>
    <mergeCell ref="A55:C55"/>
    <mergeCell ref="H49:H55"/>
    <mergeCell ref="B44:D44"/>
    <mergeCell ref="B45:D45"/>
    <mergeCell ref="B46:D46"/>
    <mergeCell ref="B39:D39"/>
    <mergeCell ref="B40:D40"/>
    <mergeCell ref="B42:D42"/>
    <mergeCell ref="B43:D43"/>
    <mergeCell ref="B36:D36"/>
    <mergeCell ref="B37:D37"/>
    <mergeCell ref="B38:D38"/>
    <mergeCell ref="B32:D32"/>
    <mergeCell ref="B33:D33"/>
    <mergeCell ref="B34:D34"/>
    <mergeCell ref="B29:D29"/>
    <mergeCell ref="B30:D30"/>
    <mergeCell ref="B31:D31"/>
    <mergeCell ref="B25:D25"/>
    <mergeCell ref="B27:D27"/>
    <mergeCell ref="B28:D28"/>
    <mergeCell ref="B20:D20"/>
    <mergeCell ref="B21:D21"/>
    <mergeCell ref="B22:D22"/>
    <mergeCell ref="B24:D24"/>
    <mergeCell ref="B16:D16"/>
    <mergeCell ref="B18:D18"/>
    <mergeCell ref="B19:D19"/>
    <mergeCell ref="B13:D13"/>
    <mergeCell ref="B14:D14"/>
    <mergeCell ref="B15:D15"/>
    <mergeCell ref="B8:D8"/>
    <mergeCell ref="B9:D9"/>
    <mergeCell ref="B10:D10"/>
    <mergeCell ref="B11:D11"/>
    <mergeCell ref="A6:B6"/>
    <mergeCell ref="B7:D7"/>
    <mergeCell ref="B3:C3"/>
    <mergeCell ref="B4:C4"/>
    <mergeCell ref="A5:C5"/>
  </mergeCells>
  <dataValidations count="1">
    <dataValidation type="list" allowBlank="1" showInputMessage="1" showErrorMessage="1" sqref="E7:E11 E36:E40 E13:E16 E18:E22 E24:E25 E42:E46 E27:E34" xr:uid="{00000000-0002-0000-1F00-000000000000}">
      <formula1>"Yes,Partially,No,N/A"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05B762F15854C81144B19535345C1" ma:contentTypeVersion="7" ma:contentTypeDescription="Create a new document." ma:contentTypeScope="" ma:versionID="28d14e5700a79a3b132b1c226812ddfa">
  <xsd:schema xmlns:xsd="http://www.w3.org/2001/XMLSchema" xmlns:xs="http://www.w3.org/2001/XMLSchema" xmlns:p="http://schemas.microsoft.com/office/2006/metadata/properties" xmlns:ns2="213d213f-ad18-4d9f-82f7-ebb375ec8dfe" targetNamespace="http://schemas.microsoft.com/office/2006/metadata/properties" ma:root="true" ma:fieldsID="803f6f2f9fdf2b6fbe18db1c01a9d671" ns2:_="">
    <xsd:import namespace="213d213f-ad18-4d9f-82f7-ebb375ec8d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3d213f-ad18-4d9f-82f7-ebb375ec8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26E04F-39DB-4756-BF77-9F3A604857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00ABF77-77DD-4F55-BC9E-EB003F54C59C}">
  <ds:schemaRefs>
    <ds:schemaRef ds:uri="http://schemas.microsoft.com/office/2006/documentManagement/types"/>
    <ds:schemaRef ds:uri="http://www.w3.org/XML/1998/namespace"/>
    <ds:schemaRef ds:uri="http://purl.org/dc/dcmitype/"/>
    <ds:schemaRef ds:uri="213d213f-ad18-4d9f-82f7-ebb375ec8dfe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678F0C89-9800-4C81-90A7-AD61C9BC74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3d213f-ad18-4d9f-82f7-ebb375ec8d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claims list</vt:lpstr>
      <vt:lpstr>claim 1</vt:lpstr>
      <vt:lpstr>claim 2</vt:lpstr>
      <vt:lpstr>claim 3</vt:lpstr>
      <vt:lpstr>claim 4</vt:lpstr>
      <vt:lpstr>claim 5</vt:lpstr>
      <vt:lpstr>claim 6</vt:lpstr>
      <vt:lpstr>claim 7</vt:lpstr>
      <vt:lpstr>claim 8</vt:lpstr>
      <vt:lpstr>claim 9</vt:lpstr>
      <vt:lpstr>claim 10</vt:lpstr>
      <vt:lpstr>claim 11</vt:lpstr>
      <vt:lpstr>claim 12</vt:lpstr>
      <vt:lpstr>claim 13</vt:lpstr>
      <vt:lpstr>claim 14</vt:lpstr>
      <vt:lpstr>claim 15</vt:lpstr>
      <vt:lpstr>claim 16</vt:lpstr>
      <vt:lpstr>claim 17</vt:lpstr>
      <vt:lpstr>claim 18</vt:lpstr>
      <vt:lpstr>claim 19</vt:lpstr>
      <vt:lpstr>claim 20</vt:lpstr>
      <vt:lpstr>claim 21</vt:lpstr>
      <vt:lpstr>claim 22</vt:lpstr>
      <vt:lpstr>claim 23</vt:lpstr>
      <vt:lpstr>claim 24</vt:lpstr>
      <vt:lpstr>claim 25</vt:lpstr>
      <vt:lpstr>claim 26</vt:lpstr>
      <vt:lpstr>claim 27</vt:lpstr>
      <vt:lpstr>claim 28</vt:lpstr>
      <vt:lpstr>claim 29</vt:lpstr>
      <vt:lpstr>claim 30</vt:lpstr>
      <vt:lpstr>template</vt:lpstr>
    </vt:vector>
  </TitlesOfParts>
  <Manager/>
  <Company>Edgewood Partners Insurance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Grady</dc:creator>
  <cp:keywords/>
  <dc:description/>
  <cp:lastModifiedBy>Chris Knight</cp:lastModifiedBy>
  <cp:revision/>
  <dcterms:created xsi:type="dcterms:W3CDTF">2019-10-08T16:54:14Z</dcterms:created>
  <dcterms:modified xsi:type="dcterms:W3CDTF">2022-12-21T16:25:50Z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0x010100E5205B762F15854C81144B19535345C1</vt:lpwstr>
  </property>
</Properties>
</file>