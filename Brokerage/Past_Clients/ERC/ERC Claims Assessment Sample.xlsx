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xr:revisionPtr revIDLastSave="0" documentId="13_ncr:1_{669E13FC-2CC4-40E0-A77A-1009725F3C76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claim 1" sheetId="8" r:id="rId1"/>
  </sheets>
  <definedNames>
    <definedName name="_xlnm.Print_Area" localSheetId="0">'claim 1'!$A$1:$J$60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8" l="1"/>
  <c r="I58" i="8"/>
  <c r="I57" i="8"/>
  <c r="I56" i="8"/>
  <c r="I55" i="8"/>
  <c r="I54" i="8"/>
  <c r="I53" i="8"/>
  <c r="E56" i="8"/>
  <c r="G59" i="8"/>
  <c r="F59" i="8"/>
  <c r="E59" i="8"/>
  <c r="D59" i="8"/>
  <c r="G58" i="8"/>
  <c r="F58" i="8"/>
  <c r="E58" i="8"/>
  <c r="D58" i="8"/>
  <c r="F57" i="8"/>
  <c r="E57" i="8"/>
  <c r="D57" i="8"/>
  <c r="G56" i="8"/>
  <c r="F56" i="8"/>
  <c r="G55" i="8"/>
  <c r="F55" i="8"/>
  <c r="E55" i="8"/>
  <c r="D55" i="8"/>
  <c r="F54" i="8"/>
  <c r="E54" i="8"/>
  <c r="D54" i="8"/>
  <c r="F53" i="8"/>
  <c r="E53" i="8"/>
  <c r="D53" i="8"/>
  <c r="D56" i="8" l="1"/>
  <c r="H53" i="8" s="1"/>
  <c r="G57" i="8"/>
  <c r="G53" i="8"/>
  <c r="G54" i="8"/>
</calcChain>
</file>

<file path=xl/sharedStrings.xml><?xml version="1.0" encoding="utf-8"?>
<sst xmlns="http://schemas.openxmlformats.org/spreadsheetml/2006/main" count="142" uniqueCount="88">
  <si>
    <t>Claimant:</t>
  </si>
  <si>
    <t>Jurisdiction:</t>
  </si>
  <si>
    <t>Incurred</t>
  </si>
  <si>
    <t>Paid</t>
  </si>
  <si>
    <t>Outstanding</t>
  </si>
  <si>
    <t>Claim #:</t>
  </si>
  <si>
    <t>Adjuster:</t>
  </si>
  <si>
    <t>Indemnity</t>
  </si>
  <si>
    <t>Meets Standard</t>
  </si>
  <si>
    <t>Brief Comment/Explanation</t>
  </si>
  <si>
    <t>Score</t>
  </si>
  <si>
    <t>N/A</t>
  </si>
  <si>
    <t>Claim Investigation</t>
  </si>
  <si>
    <t>Was the claim properly investigated to include taking recorded statements, obtaining prior medical reports, obtaining witness statements, verifying causation, etc.?</t>
  </si>
  <si>
    <t>Yes</t>
  </si>
  <si>
    <t xml:space="preserve">Does the adjuster re-evaluate causation when new/additional body parts are added? </t>
  </si>
  <si>
    <t>Does the file reflect any evidence of any adjuster rapport tactics such benefit explanation to EE and/ or bi-weekly EE contact during lost time period?</t>
  </si>
  <si>
    <t>Does the adjuster properly address any lag times from the DOI to the date reported to the TPA/carrier? (Late report is defined as greater than 2 days to the time the employee reported the claim to the employer or TPA)</t>
  </si>
  <si>
    <t xml:space="preserve">Are recovery opportunities being realized (subrogation)? </t>
  </si>
  <si>
    <t>Resolution Plans &amp; Claim Follow Up</t>
  </si>
  <si>
    <t xml:space="preserve">Do the action plans contain a specific and aggressive plan to bring the claim to closure? </t>
  </si>
  <si>
    <t xml:space="preserve">Does the action plan have completion due dates for any necessary follow up activities? </t>
  </si>
  <si>
    <t>Are the action plans executed in a timely manner that do not hinder the claim outcome? If not, indicate the Opportunity Cost</t>
  </si>
  <si>
    <t>Does the adjuster keep an appropriate diary?</t>
  </si>
  <si>
    <t>Supervisor Direction &amp; Special Handling</t>
  </si>
  <si>
    <t xml:space="preserve">Are the supervisor reviews completed timely? </t>
  </si>
  <si>
    <t>Do the supervisor review address any missed opportunities for resoultion and provide clear direction/recommendations</t>
  </si>
  <si>
    <t>Does the adjustet take action and or respond to the Supervisor recommendations?</t>
  </si>
  <si>
    <t xml:space="preserve">Does the supervisor hold the adjuster accountable for moving claim to resolution? </t>
  </si>
  <si>
    <t>Does the Superisor update recommendations based on current file status at time of review (does not cut and paste)</t>
  </si>
  <si>
    <t>Reserving</t>
  </si>
  <si>
    <t xml:space="preserve">Are the current reserves appropriate to resolve the claim? </t>
  </si>
  <si>
    <t>Are the reserves adjusted timely in accordance with the claim developments?</t>
  </si>
  <si>
    <t>Disability &amp; Medical Management</t>
  </si>
  <si>
    <t xml:space="preserve">Does the adjuster (or nurse) use ODG to manage RTW? </t>
  </si>
  <si>
    <t>Are the RTW target dates being communicated to all parties (i.e. EE, client contact, and treating physician)?</t>
  </si>
  <si>
    <t xml:space="preserve">Does the adjuster (or nurse) pro-actively address expired RTW target dates with the treating physician? If not, indicate leakage amount. </t>
  </si>
  <si>
    <t>Does the file reflect evidence of a non-accommodation RTW escalation process?</t>
  </si>
  <si>
    <t xml:space="preserve">Did the adjuster obtain the medical information on a timely basis? </t>
  </si>
  <si>
    <t>Is the adjuster pro-active in engaging ancillary resources and programs (TCM/NCM, IME, Pharmacy programs, etc.)</t>
  </si>
  <si>
    <t>If applicable, does the adjuster property manage the UR process to reduce medical delays and administrative denials?</t>
  </si>
  <si>
    <t xml:space="preserve">Is there a causal relationship between the current treatment plan and the accepted WC injury? </t>
  </si>
  <si>
    <t>Settlement Disposition</t>
  </si>
  <si>
    <t xml:space="preserve">Have early settlement opportunities been realized? If not, indicate amount of leakage. </t>
  </si>
  <si>
    <t xml:space="preserve">Has the adjuster completed his or her own evaluation and negotiations rather than defense counsel? </t>
  </si>
  <si>
    <t xml:space="preserve">Does the settlement evaluation include the future exposure, recommended settlement range, and planned negotiation plan? </t>
  </si>
  <si>
    <t>Upon receipt of settlement authority, has the adjuster/defense counsel made a reasonable offer of resolution within 2 business days?</t>
  </si>
  <si>
    <t xml:space="preserve">Did the adjuster extend a timed initial offer? </t>
  </si>
  <si>
    <t>Litigation Management</t>
  </si>
  <si>
    <t>At the time of the legal referral, did the adjuster outline a recommended legal strategy (Discovery, Settle/Resolve, and Deny/Trial) and claim summary to defense counsel?</t>
  </si>
  <si>
    <t xml:space="preserve">Has defense counsel provided a legal analysis, settlment strategy and defense budget every 90 days? </t>
  </si>
  <si>
    <t>No</t>
  </si>
  <si>
    <t xml:space="preserve">Does defense counsel advise adjuster/client of legal proceedings ahead of time? </t>
  </si>
  <si>
    <t>Does the adjuster direct counsel's activities to mitigate litigation cost and duration?</t>
  </si>
  <si>
    <t>Does the adjuster complete claim activities (i.e., sending letters to physicians, requesting records--not via subpoena, scheduling IMEs, etc.) rather than counsel? If not, indicate amount of leakage</t>
  </si>
  <si>
    <t>Partially</t>
  </si>
  <si>
    <t>Score (Scaled)</t>
  </si>
  <si>
    <t>Audit Score</t>
  </si>
  <si>
    <t>Description of Loss:</t>
  </si>
  <si>
    <t>Date Reported</t>
  </si>
  <si>
    <t># N/A</t>
  </si>
  <si>
    <t># Questions</t>
  </si>
  <si>
    <t>CA</t>
  </si>
  <si>
    <t>Impact Risk Partners Quality Claim Assessment Tool</t>
  </si>
  <si>
    <t>Washington, Elizabeth</t>
  </si>
  <si>
    <t>0780840-WC-01</t>
  </si>
  <si>
    <t>Sam Smith</t>
  </si>
  <si>
    <t>Review Notes (claim summary internal notes)</t>
  </si>
  <si>
    <t>Adjuster Recommendation</t>
  </si>
  <si>
    <t>Claimant Closure Barrier</t>
  </si>
  <si>
    <t>Jurisdiction Closure Barrier</t>
  </si>
  <si>
    <t>Adjuster Closure Barrier</t>
  </si>
  <si>
    <t>Client Closure Barrier</t>
  </si>
  <si>
    <t>Claimant Attorney Barrier</t>
  </si>
  <si>
    <t>Defense Attorney Closure Barrier</t>
  </si>
  <si>
    <t>Medical Closure Barrier</t>
  </si>
  <si>
    <t>Reserve Sufficiency</t>
  </si>
  <si>
    <t>Likelihood of Reserve Change</t>
  </si>
  <si>
    <t>Estimated Reserve Change</t>
  </si>
  <si>
    <t>Diary Date</t>
  </si>
  <si>
    <t>free-form text box</t>
  </si>
  <si>
    <t>drop-down</t>
  </si>
  <si>
    <t>$</t>
  </si>
  <si>
    <t>mm/dd/yy</t>
  </si>
  <si>
    <t>Review Date</t>
  </si>
  <si>
    <t>Additional fields to be added to the Assessment Tool form</t>
  </si>
  <si>
    <t>Cumulative Trauma</t>
  </si>
  <si>
    <t>Return to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</si>
</sst>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3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color rgb="FF000080"/>
      <name val="Arial"/>
      <family val="2"/>
    </font>
    <font>
      <sz val="9"/>
      <color rgb="FF000000"/>
      <name val="Arial"/>
      <family val="2"/>
    </font>
    <font>
      <b/>
      <sz val="9"/>
      <color rgb="FF333399"/>
      <name val="Arial"/>
      <family val="2"/>
    </font>
    <font>
      <sz val="9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b/>
      <sz val="9"/>
      <color theme="0" tint="-0.249977111117893"/>
      <name val="Arial"/>
      <family val="2"/>
    </font>
    <font>
      <b/>
      <sz val="24"/>
      <color rgb="FF000000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center" wrapText="1" readingOrder="1"/>
    </xf>
    <xf numFmtId="0" fontId="4" fillId="3" borderId="8" xfId="0" applyFont="1" applyFill="1" applyBorder="1" applyAlignment="1">
      <alignment horizontal="left" wrapText="1" readingOrder="1"/>
    </xf>
    <xf numFmtId="0" fontId="4" fillId="2" borderId="8" xfId="0" applyFont="1" applyFill="1" applyBorder="1" applyAlignment="1">
      <alignment horizontal="left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  <xf numFmtId="0" fontId="1" fillId="3" borderId="9" xfId="0" applyFont="1" applyFill="1" applyBorder="1" applyAlignment="1">
      <alignment horizontal="left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7" fillId="0" borderId="0" xfId="0" applyFont="1"/>
    <xf numFmtId="0" fontId="1" fillId="2" borderId="15" xfId="0" applyFont="1" applyFill="1" applyBorder="1" applyAlignment="1">
      <alignment readingOrder="1"/>
    </xf>
    <xf numFmtId="0" fontId="4" fillId="3" borderId="9" xfId="0" applyFont="1" applyFill="1" applyBorder="1" applyAlignment="1">
      <alignment horizontal="left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4" borderId="5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left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left" vertical="center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0" borderId="19" xfId="0" applyFont="1" applyBorder="1" applyAlignment="1">
      <alignment readingOrder="1"/>
    </xf>
    <xf numFmtId="0" fontId="1" fillId="0" borderId="20" xfId="0" applyFont="1" applyBorder="1" applyAlignment="1">
      <alignment wrapText="1" readingOrder="1"/>
    </xf>
    <xf numFmtId="0" fontId="1" fillId="0" borderId="21" xfId="0" applyFont="1" applyBorder="1" applyAlignment="1">
      <alignment wrapText="1" readingOrder="1"/>
    </xf>
    <xf numFmtId="0" fontId="3" fillId="2" borderId="22" xfId="0" applyFont="1" applyFill="1" applyBorder="1" applyAlignment="1">
      <alignment horizontal="left" vertical="center" wrapText="1" readingOrder="1"/>
    </xf>
    <xf numFmtId="0" fontId="1" fillId="2" borderId="23" xfId="0" applyFont="1" applyFill="1" applyBorder="1" applyAlignment="1">
      <alignment horizontal="center" vertical="center" wrapText="1" readingOrder="1"/>
    </xf>
    <xf numFmtId="0" fontId="1" fillId="2" borderId="24" xfId="0" applyFont="1" applyFill="1" applyBorder="1" applyAlignment="1">
      <alignment horizontal="left" vertical="center" wrapText="1" readingOrder="1"/>
    </xf>
    <xf numFmtId="0" fontId="1" fillId="2" borderId="25" xfId="0" applyFont="1" applyFill="1" applyBorder="1" applyAlignment="1">
      <alignment horizontal="center" vertical="center" wrapText="1" readingOrder="1"/>
    </xf>
    <xf numFmtId="0" fontId="1" fillId="2" borderId="26" xfId="0" applyFont="1" applyFill="1" applyBorder="1" applyAlignment="1">
      <alignment horizontal="left" vertical="center" wrapText="1" readingOrder="1"/>
    </xf>
    <xf numFmtId="0" fontId="4" fillId="2" borderId="23" xfId="0" applyFont="1" applyFill="1" applyBorder="1" applyAlignment="1">
      <alignment horizontal="left" vertical="center" wrapText="1" readingOrder="1"/>
    </xf>
    <xf numFmtId="0" fontId="4" fillId="0" borderId="28" xfId="0" applyFont="1" applyBorder="1" applyAlignment="1">
      <alignment horizontal="center" wrapText="1" readingOrder="1"/>
    </xf>
    <xf numFmtId="0" fontId="1" fillId="2" borderId="22" xfId="0" applyFont="1" applyFill="1" applyBorder="1" applyAlignment="1">
      <alignment horizontal="left" readingOrder="1"/>
    </xf>
    <xf numFmtId="0" fontId="4" fillId="2" borderId="23" xfId="0" applyFont="1" applyFill="1" applyBorder="1" applyAlignment="1">
      <alignment horizontal="left" wrapText="1" readingOrder="1"/>
    </xf>
    <xf numFmtId="0" fontId="1" fillId="2" borderId="22" xfId="0" applyFont="1" applyFill="1" applyBorder="1" applyAlignment="1">
      <alignment horizontal="left" wrapText="1" readingOrder="1"/>
    </xf>
    <xf numFmtId="0" fontId="4" fillId="2" borderId="23" xfId="0" applyFont="1" applyFill="1" applyBorder="1" applyAlignment="1">
      <alignment horizontal="center" wrapText="1" readingOrder="1"/>
    </xf>
    <xf numFmtId="0" fontId="1" fillId="2" borderId="27" xfId="0" applyFont="1" applyFill="1" applyBorder="1" applyAlignment="1">
      <alignment horizontal="left" readingOrder="1"/>
    </xf>
    <xf numFmtId="0" fontId="4" fillId="2" borderId="30" xfId="0" applyFont="1" applyFill="1" applyBorder="1" applyAlignment="1">
      <alignment horizontal="left" wrapText="1" readingOrder="1"/>
    </xf>
    <xf numFmtId="0" fontId="1" fillId="2" borderId="29" xfId="0" applyFont="1" applyFill="1" applyBorder="1" applyAlignment="1">
      <alignment readingOrder="1"/>
    </xf>
    <xf numFmtId="0" fontId="1" fillId="2" borderId="31" xfId="0" applyFont="1" applyFill="1" applyBorder="1" applyAlignment="1">
      <alignment readingOrder="1"/>
    </xf>
    <xf numFmtId="0" fontId="4" fillId="0" borderId="32" xfId="0" applyFont="1" applyBorder="1" applyAlignment="1">
      <alignment horizontal="center" wrapText="1" readingOrder="1"/>
    </xf>
    <xf numFmtId="0" fontId="4" fillId="5" borderId="22" xfId="0" applyFont="1" applyFill="1" applyBorder="1" applyAlignment="1">
      <alignment horizontal="center" readingOrder="1"/>
    </xf>
    <xf numFmtId="0" fontId="4" fillId="0" borderId="24" xfId="0" applyFont="1" applyBorder="1" applyAlignment="1">
      <alignment horizontal="center" wrapText="1" readingOrder="1"/>
    </xf>
    <xf numFmtId="0" fontId="1" fillId="2" borderId="33" xfId="0" applyFont="1" applyFill="1" applyBorder="1" applyAlignment="1">
      <alignment horizontal="left" wrapText="1" readingOrder="1"/>
    </xf>
    <xf numFmtId="0" fontId="4" fillId="3" borderId="33" xfId="0" applyFont="1" applyFill="1" applyBorder="1" applyAlignment="1">
      <alignment horizontal="left" wrapText="1" readingOrder="1"/>
    </xf>
    <xf numFmtId="0" fontId="4" fillId="2" borderId="36" xfId="0" applyFont="1" applyFill="1" applyBorder="1" applyAlignment="1">
      <alignment horizontal="left" wrapText="1" readingOrder="1"/>
    </xf>
    <xf numFmtId="0" fontId="4" fillId="2" borderId="37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left" wrapText="1" readingOrder="1"/>
    </xf>
    <xf numFmtId="0" fontId="1" fillId="2" borderId="9" xfId="0" applyFont="1" applyFill="1" applyBorder="1" applyAlignment="1">
      <alignment horizontal="left" wrapText="1" readingOrder="1"/>
    </xf>
    <xf numFmtId="14" fontId="4" fillId="0" borderId="3" xfId="0" applyNumberFormat="1" applyFont="1" applyBorder="1" applyAlignment="1">
      <alignment horizontal="center" vertical="center" wrapText="1" readingOrder="1"/>
    </xf>
    <xf numFmtId="164" fontId="2" fillId="0" borderId="0" xfId="0" applyNumberFormat="1" applyFont="1"/>
    <xf numFmtId="165" fontId="4" fillId="0" borderId="3" xfId="0" applyNumberFormat="1" applyFont="1" applyBorder="1" applyAlignment="1">
      <alignment horizontal="right" vertical="center" wrapText="1" readingOrder="1"/>
    </xf>
    <xf numFmtId="165" fontId="4" fillId="0" borderId="25" xfId="0" applyNumberFormat="1" applyFont="1" applyBorder="1" applyAlignment="1">
      <alignment horizontal="right" vertical="center" wrapText="1" readingOrder="1"/>
    </xf>
    <xf numFmtId="0" fontId="4" fillId="0" borderId="4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4" fillId="0" borderId="23" xfId="0" applyFont="1" applyBorder="1" applyAlignment="1">
      <alignment horizontal="center" wrapText="1" readingOrder="1"/>
    </xf>
    <xf numFmtId="0" fontId="4" fillId="0" borderId="38" xfId="0" applyFont="1" applyBorder="1" applyAlignment="1">
      <alignment horizontal="center" vertical="center" readingOrder="1"/>
    </xf>
    <xf numFmtId="0" fontId="4" fillId="0" borderId="39" xfId="0" applyFont="1" applyBorder="1" applyAlignment="1">
      <alignment horizontal="center" vertical="center" readingOrder="1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4" fillId="2" borderId="27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1" fillId="2" borderId="22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left" wrapText="1" readingOrder="1"/>
    </xf>
    <xf numFmtId="0" fontId="4" fillId="0" borderId="2" xfId="0" applyFont="1" applyBorder="1" applyAlignment="1">
      <alignment horizontal="left" wrapText="1" readingOrder="1"/>
    </xf>
    <xf numFmtId="0" fontId="6" fillId="5" borderId="4" xfId="0" applyFont="1" applyFill="1" applyBorder="1" applyAlignment="1">
      <alignment horizontal="left" wrapText="1" readingOrder="1"/>
    </xf>
    <xf numFmtId="0" fontId="6" fillId="5" borderId="1" xfId="0" applyFont="1" applyFill="1" applyBorder="1" applyAlignment="1">
      <alignment horizontal="left" wrapText="1" readingOrder="1"/>
    </xf>
    <xf numFmtId="0" fontId="6" fillId="5" borderId="2" xfId="0" applyFont="1" applyFill="1" applyBorder="1" applyAlignment="1">
      <alignment horizontal="left" wrapText="1" readingOrder="1"/>
    </xf>
    <xf numFmtId="0" fontId="4" fillId="0" borderId="17" xfId="0" applyFont="1" applyBorder="1" applyAlignment="1">
      <alignment horizontal="left" wrapText="1" readingOrder="1"/>
    </xf>
    <xf numFmtId="0" fontId="4" fillId="0" borderId="9" xfId="0" applyFont="1" applyBorder="1" applyAlignment="1">
      <alignment horizontal="left" wrapText="1" readingOrder="1"/>
    </xf>
    <xf numFmtId="0" fontId="4" fillId="0" borderId="10" xfId="0" applyFont="1" applyBorder="1" applyAlignment="1">
      <alignment horizontal="left" wrapText="1" readingOrder="1"/>
    </xf>
    <xf numFmtId="0" fontId="4" fillId="0" borderId="14" xfId="0" applyFont="1" applyBorder="1" applyAlignment="1">
      <alignment horizontal="left" wrapText="1" readingOrder="1"/>
    </xf>
    <xf numFmtId="0" fontId="4" fillId="0" borderId="15" xfId="0" applyFont="1" applyBorder="1" applyAlignment="1">
      <alignment horizontal="left" wrapText="1" readingOrder="1"/>
    </xf>
    <xf numFmtId="0" fontId="4" fillId="0" borderId="16" xfId="0" applyFont="1" applyBorder="1" applyAlignment="1">
      <alignment horizontal="left" wrapText="1" readingOrder="1"/>
    </xf>
    <xf numFmtId="0" fontId="6" fillId="0" borderId="4" xfId="0" applyFont="1" applyBorder="1" applyAlignment="1">
      <alignment horizontal="left" wrapText="1" readingOrder="1"/>
    </xf>
    <xf numFmtId="0" fontId="6" fillId="0" borderId="1" xfId="0" applyFont="1" applyBorder="1" applyAlignment="1">
      <alignment horizontal="left" wrapText="1" readingOrder="1"/>
    </xf>
    <xf numFmtId="0" fontId="6" fillId="0" borderId="2" xfId="0" applyFont="1" applyBorder="1" applyAlignment="1">
      <alignment horizontal="left" wrapText="1" readingOrder="1"/>
    </xf>
    <xf numFmtId="0" fontId="6" fillId="0" borderId="13" xfId="0" applyFont="1" applyBorder="1" applyAlignment="1">
      <alignment horizontal="left" wrapText="1" readingOrder="1"/>
    </xf>
    <xf numFmtId="0" fontId="6" fillId="0" borderId="8" xfId="0" applyFont="1" applyBorder="1" applyAlignment="1">
      <alignment horizontal="left" wrapText="1" readingOrder="1"/>
    </xf>
    <xf numFmtId="0" fontId="6" fillId="0" borderId="12" xfId="0" applyFont="1" applyBorder="1" applyAlignment="1">
      <alignment horizontal="left" wrapText="1" readingOrder="1"/>
    </xf>
    <xf numFmtId="0" fontId="4" fillId="5" borderId="14" xfId="0" applyFont="1" applyFill="1" applyBorder="1" applyAlignment="1">
      <alignment horizontal="left" wrapText="1" readingOrder="1"/>
    </xf>
    <xf numFmtId="0" fontId="4" fillId="5" borderId="15" xfId="0" applyFont="1" applyFill="1" applyBorder="1" applyAlignment="1">
      <alignment horizontal="left" wrapText="1" readingOrder="1"/>
    </xf>
    <xf numFmtId="0" fontId="4" fillId="5" borderId="16" xfId="0" applyFont="1" applyFill="1" applyBorder="1" applyAlignment="1">
      <alignment horizontal="left" wrapText="1" readingOrder="1"/>
    </xf>
    <xf numFmtId="0" fontId="4" fillId="0" borderId="13" xfId="0" applyFont="1" applyBorder="1" applyAlignment="1">
      <alignment horizontal="left" wrapText="1" readingOrder="1"/>
    </xf>
    <xf numFmtId="0" fontId="4" fillId="0" borderId="8" xfId="0" applyFont="1" applyBorder="1" applyAlignment="1">
      <alignment horizontal="left" wrapText="1" readingOrder="1"/>
    </xf>
    <xf numFmtId="0" fontId="4" fillId="0" borderId="12" xfId="0" applyFont="1" applyBorder="1" applyAlignment="1">
      <alignment horizontal="left" wrapText="1" readingOrder="1"/>
    </xf>
    <xf numFmtId="0" fontId="6" fillId="5" borderId="17" xfId="0" applyFont="1" applyFill="1" applyBorder="1" applyAlignment="1">
      <alignment horizontal="left" wrapText="1" readingOrder="1"/>
    </xf>
    <xf numFmtId="0" fontId="6" fillId="5" borderId="9" xfId="0" applyFont="1" applyFill="1" applyBorder="1" applyAlignment="1">
      <alignment horizontal="left" wrapText="1" readingOrder="1"/>
    </xf>
    <xf numFmtId="0" fontId="6" fillId="5" borderId="10" xfId="0" applyFont="1" applyFill="1" applyBorder="1" applyAlignment="1">
      <alignment horizontal="left" wrapText="1" readingOrder="1"/>
    </xf>
    <xf numFmtId="0" fontId="1" fillId="2" borderId="35" xfId="0" applyFont="1" applyFill="1" applyBorder="1" applyAlignment="1">
      <alignment horizontal="left" vertical="top" wrapText="1" readingOrder="1"/>
    </xf>
    <xf numFmtId="0" fontId="1" fillId="2" borderId="36" xfId="0" applyFont="1" applyFill="1" applyBorder="1" applyAlignment="1">
      <alignment horizontal="left" vertical="top" wrapText="1" readingOrder="1"/>
    </xf>
    <xf numFmtId="0" fontId="1" fillId="3" borderId="33" xfId="0" applyFont="1" applyFill="1" applyBorder="1" applyAlignment="1">
      <alignment vertical="center" wrapText="1" readingOrder="1"/>
    </xf>
    <xf numFmtId="0" fontId="1" fillId="3" borderId="9" xfId="0" applyFont="1" applyFill="1" applyBorder="1" applyAlignment="1">
      <alignment vertical="center" wrapText="1" readingOrder="1"/>
    </xf>
    <xf numFmtId="0" fontId="1" fillId="3" borderId="10" xfId="0" applyFont="1" applyFill="1" applyBorder="1" applyAlignment="1">
      <alignment vertical="center" wrapText="1" readingOrder="1"/>
    </xf>
    <xf numFmtId="0" fontId="1" fillId="3" borderId="34" xfId="0" applyFont="1" applyFill="1" applyBorder="1" applyAlignment="1">
      <alignment vertical="center" wrapText="1" readingOrder="1"/>
    </xf>
    <xf numFmtId="0" fontId="1" fillId="3" borderId="0" xfId="0" applyFont="1" applyFill="1" applyAlignment="1">
      <alignment vertical="center" wrapText="1" readingOrder="1"/>
    </xf>
    <xf numFmtId="0" fontId="1" fillId="3" borderId="11" xfId="0" applyFont="1" applyFill="1" applyBorder="1" applyAlignment="1">
      <alignment vertical="center" wrapText="1" readingOrder="1"/>
    </xf>
    <xf numFmtId="0" fontId="1" fillId="3" borderId="27" xfId="0" applyFont="1" applyFill="1" applyBorder="1" applyAlignment="1">
      <alignment vertical="center" wrapText="1" readingOrder="1"/>
    </xf>
    <xf numFmtId="0" fontId="1" fillId="3" borderId="8" xfId="0" applyFont="1" applyFill="1" applyBorder="1" applyAlignment="1">
      <alignment vertical="center" wrapText="1" readingOrder="1"/>
    </xf>
    <xf numFmtId="0" fontId="1" fillId="3" borderId="12" xfId="0" applyFont="1" applyFill="1" applyBorder="1" applyAlignment="1">
      <alignment vertical="center" wrapText="1" readingOrder="1"/>
    </xf>
    <xf numFmtId="0" fontId="11" fillId="0" borderId="0" xfId="0" applyFont="1"/>
    <xf numFmtId="0" fontId="12" fillId="0" borderId="0" xfId="0" applyFont="1" applyFill="1" applyAlignment="1">
      <alignment vertical="center" wrapText="1"/>
    </xf>
    <xf numFmtId="0" fontId="12" fillId="0" borderId="40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45" xfId="0" applyFont="1" applyFill="1" applyBorder="1" applyAlignment="1">
      <alignment vertical="center" wrapText="1"/>
    </xf>
    <xf numFmtId="0" fontId="12" fillId="7" borderId="4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 readingOrder="1"/>
    </xf>
    <xf numFmtId="1" fontId="10" fillId="4" borderId="17" xfId="0" applyNumberFormat="1" applyFont="1" applyFill="1" applyBorder="1" applyAlignment="1">
      <alignment horizontal="center" vertical="center" wrapText="1" readingOrder="1"/>
    </xf>
    <xf numFmtId="1" fontId="10" fillId="4" borderId="48" xfId="0" applyNumberFormat="1" applyFont="1" applyFill="1" applyBorder="1" applyAlignment="1">
      <alignment horizontal="center" vertical="center" wrapText="1" readingOrder="1"/>
    </xf>
    <xf numFmtId="1" fontId="10" fillId="4" borderId="13" xfId="0" applyNumberFormat="1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center" wrapText="1" readingOrder="1"/>
    </xf>
    <xf numFmtId="0" fontId="4" fillId="2" borderId="47" xfId="0" applyFont="1" applyFill="1" applyBorder="1" applyAlignment="1">
      <alignment horizontal="center" wrapText="1" readingOrder="1"/>
    </xf>
    <xf numFmtId="0" fontId="8" fillId="6" borderId="40" xfId="0" applyFont="1" applyFill="1" applyBorder="1" applyAlignment="1">
      <alignment horizontal="center" vertical="center"/>
    </xf>
    <xf numFmtId="0" fontId="8" fillId="6" borderId="41" xfId="0" applyFont="1" applyFill="1" applyBorder="1" applyAlignment="1">
      <alignment horizontal="center" vertical="center"/>
    </xf>
    <xf numFmtId="0" fontId="9" fillId="6" borderId="42" xfId="0" applyFont="1" applyFill="1" applyBorder="1" applyAlignment="1">
      <alignment horizontal="center" wrapText="1" readingOrder="1"/>
    </xf>
    <xf numFmtId="0" fontId="9" fillId="6" borderId="43" xfId="0" applyFont="1" applyFill="1" applyBorder="1" applyAlignment="1">
      <alignment wrapText="1" readingOrder="1"/>
    </xf>
    <xf numFmtId="0" fontId="9" fillId="6" borderId="44" xfId="0" applyFont="1" applyFill="1" applyBorder="1" applyAlignment="1">
      <alignment horizontal="center" wrapText="1" readingOrder="1"/>
    </xf>
    <xf numFmtId="0" fontId="9" fillId="6" borderId="45" xfId="0" applyFont="1" applyFill="1" applyBorder="1" applyAlignment="1">
      <alignment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3" borderId="0" xfId="0" applyFont="1" applyFill="1" applyBorder="1" applyAlignment="1">
      <alignment horizontal="left" wrapText="1" readingOrder="1"/>
    </xf>
    <xf numFmtId="0" fontId="4" fillId="3" borderId="49" xfId="0" applyFont="1" applyFill="1" applyBorder="1" applyAlignment="1">
      <alignment horizontal="center" vertical="center" wrapText="1" readingOrder="1"/>
    </xf>
    <xf numFmtId="0" fontId="4" fillId="3" borderId="50" xfId="0" applyFont="1" applyFill="1" applyBorder="1" applyAlignment="1">
      <alignment horizontal="center" vertical="center" wrapText="1" readingOrder="1"/>
    </xf>
    <xf numFmtId="0" fontId="4" fillId="3" borderId="5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showGridLines="0" tabSelected="1" topLeftCell="A40" zoomScaleNormal="100" zoomScaleSheetLayoutView="100" workbookViewId="0">
      <selection activeCell="D53" sqref="D53:J59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3" width="9.140625" style="1"/>
    <col min="14" max="14" width="42.42578125" style="112" bestFit="1" customWidth="1"/>
    <col min="15" max="15" width="17.7109375" style="112" bestFit="1" customWidth="1"/>
    <col min="16" max="16384" width="9.140625" style="1"/>
  </cols>
  <sheetData>
    <row r="1" spans="1:15" ht="17.25" customHeight="1" x14ac:dyDescent="0.2">
      <c r="A1" s="32" t="s">
        <v>63</v>
      </c>
      <c r="B1" s="33"/>
      <c r="C1" s="33"/>
      <c r="D1" s="33"/>
      <c r="E1" s="33"/>
      <c r="F1" s="33"/>
      <c r="G1" s="33"/>
      <c r="H1" s="33"/>
      <c r="I1" s="33"/>
      <c r="J1" s="34"/>
    </row>
    <row r="2" spans="1:15" x14ac:dyDescent="0.2">
      <c r="A2" s="35"/>
      <c r="B2" s="22"/>
      <c r="C2" s="22"/>
      <c r="D2" s="23"/>
      <c r="E2" s="23"/>
      <c r="F2" s="23"/>
      <c r="G2" s="23"/>
      <c r="H2" s="23"/>
      <c r="I2" s="23"/>
      <c r="J2" s="36"/>
    </row>
    <row r="3" spans="1:15" ht="30" customHeight="1" x14ac:dyDescent="0.2">
      <c r="A3" s="37" t="s">
        <v>0</v>
      </c>
      <c r="B3" s="66" t="s">
        <v>64</v>
      </c>
      <c r="C3" s="67"/>
      <c r="D3" s="24" t="s">
        <v>1</v>
      </c>
      <c r="E3" s="25" t="s">
        <v>62</v>
      </c>
      <c r="F3" s="24" t="s">
        <v>59</v>
      </c>
      <c r="G3" s="24" t="s">
        <v>7</v>
      </c>
      <c r="H3" s="26" t="s">
        <v>2</v>
      </c>
      <c r="I3" s="26" t="s">
        <v>3</v>
      </c>
      <c r="J3" s="38" t="s">
        <v>4</v>
      </c>
      <c r="N3" s="120" t="s">
        <v>85</v>
      </c>
      <c r="O3" s="120"/>
    </row>
    <row r="4" spans="1:15" ht="21.75" customHeight="1" x14ac:dyDescent="0.2">
      <c r="A4" s="39" t="s">
        <v>5</v>
      </c>
      <c r="B4" s="68" t="s">
        <v>65</v>
      </c>
      <c r="C4" s="69"/>
      <c r="D4" s="31" t="s">
        <v>6</v>
      </c>
      <c r="E4" s="25" t="s">
        <v>66</v>
      </c>
      <c r="F4" s="59">
        <v>44259</v>
      </c>
      <c r="G4" s="61">
        <v>20000</v>
      </c>
      <c r="H4" s="61">
        <v>46001</v>
      </c>
      <c r="I4" s="61">
        <v>10</v>
      </c>
      <c r="J4" s="62">
        <v>45991</v>
      </c>
      <c r="N4" s="114" t="s">
        <v>79</v>
      </c>
      <c r="O4" s="115" t="s">
        <v>83</v>
      </c>
    </row>
    <row r="5" spans="1:15" ht="39" customHeight="1" x14ac:dyDescent="0.2">
      <c r="A5" s="70"/>
      <c r="B5" s="71"/>
      <c r="C5" s="71"/>
      <c r="D5" s="30"/>
      <c r="E5" s="28" t="s">
        <v>8</v>
      </c>
      <c r="F5" s="26"/>
      <c r="G5" s="27" t="s">
        <v>9</v>
      </c>
      <c r="H5" s="29"/>
      <c r="I5" s="29"/>
      <c r="J5" s="36"/>
      <c r="N5" s="116" t="s">
        <v>84</v>
      </c>
      <c r="O5" s="117" t="s">
        <v>83</v>
      </c>
    </row>
    <row r="6" spans="1:15" ht="15" x14ac:dyDescent="0.2">
      <c r="A6" s="72" t="s">
        <v>12</v>
      </c>
      <c r="B6" s="73"/>
      <c r="C6" s="22"/>
      <c r="D6" s="22"/>
      <c r="E6" s="22"/>
      <c r="F6" s="22"/>
      <c r="G6" s="22"/>
      <c r="H6" s="22"/>
      <c r="I6" s="22"/>
      <c r="J6" s="40"/>
      <c r="N6" s="116" t="s">
        <v>67</v>
      </c>
      <c r="O6" s="117" t="s">
        <v>80</v>
      </c>
    </row>
    <row r="7" spans="1:15" ht="49.5" customHeight="1" x14ac:dyDescent="0.2">
      <c r="A7" s="41">
        <v>1</v>
      </c>
      <c r="B7" s="74" t="s">
        <v>13</v>
      </c>
      <c r="C7" s="75"/>
      <c r="D7" s="76"/>
      <c r="E7" s="3" t="s">
        <v>11</v>
      </c>
      <c r="F7" s="4"/>
      <c r="G7" s="63"/>
      <c r="H7" s="64"/>
      <c r="I7" s="64"/>
      <c r="J7" s="65"/>
      <c r="N7" s="116" t="s">
        <v>68</v>
      </c>
      <c r="O7" s="117" t="s">
        <v>81</v>
      </c>
    </row>
    <row r="8" spans="1:15" ht="30" customHeight="1" x14ac:dyDescent="0.2">
      <c r="A8" s="41">
        <v>2</v>
      </c>
      <c r="B8" s="74" t="s">
        <v>15</v>
      </c>
      <c r="C8" s="75"/>
      <c r="D8" s="76"/>
      <c r="E8" s="3" t="s">
        <v>11</v>
      </c>
      <c r="F8" s="5"/>
      <c r="G8" s="63"/>
      <c r="H8" s="64"/>
      <c r="I8" s="64"/>
      <c r="J8" s="65"/>
      <c r="K8" s="15"/>
      <c r="N8" s="116" t="s">
        <v>69</v>
      </c>
      <c r="O8" s="117" t="s">
        <v>81</v>
      </c>
    </row>
    <row r="9" spans="1:15" ht="38.25" customHeight="1" x14ac:dyDescent="0.2">
      <c r="A9" s="41">
        <v>3</v>
      </c>
      <c r="B9" s="74" t="s">
        <v>16</v>
      </c>
      <c r="C9" s="75"/>
      <c r="D9" s="76"/>
      <c r="E9" s="3" t="s">
        <v>11</v>
      </c>
      <c r="F9" s="5"/>
      <c r="G9" s="63"/>
      <c r="H9" s="64"/>
      <c r="I9" s="64"/>
      <c r="J9" s="65"/>
      <c r="K9" s="60"/>
      <c r="N9" s="116" t="s">
        <v>70</v>
      </c>
      <c r="O9" s="117" t="s">
        <v>81</v>
      </c>
    </row>
    <row r="10" spans="1:15" ht="48.75" customHeight="1" x14ac:dyDescent="0.2">
      <c r="A10" s="41">
        <v>4</v>
      </c>
      <c r="B10" s="74" t="s">
        <v>17</v>
      </c>
      <c r="C10" s="75"/>
      <c r="D10" s="76"/>
      <c r="E10" s="3" t="s">
        <v>11</v>
      </c>
      <c r="F10" s="5"/>
      <c r="G10" s="63"/>
      <c r="H10" s="64"/>
      <c r="I10" s="64"/>
      <c r="J10" s="65"/>
      <c r="N10" s="116" t="s">
        <v>71</v>
      </c>
      <c r="O10" s="117" t="s">
        <v>81</v>
      </c>
    </row>
    <row r="11" spans="1:15" ht="24" customHeight="1" x14ac:dyDescent="0.2">
      <c r="A11" s="41">
        <v>5</v>
      </c>
      <c r="B11" s="74" t="s">
        <v>18</v>
      </c>
      <c r="C11" s="75"/>
      <c r="D11" s="76"/>
      <c r="E11" s="3" t="s">
        <v>11</v>
      </c>
      <c r="F11" s="6"/>
      <c r="G11" s="63"/>
      <c r="H11" s="64"/>
      <c r="I11" s="64"/>
      <c r="J11" s="65"/>
      <c r="N11" s="116" t="s">
        <v>72</v>
      </c>
      <c r="O11" s="117" t="s">
        <v>81</v>
      </c>
    </row>
    <row r="12" spans="1:15" ht="15" x14ac:dyDescent="0.2">
      <c r="A12" s="42" t="s">
        <v>19</v>
      </c>
      <c r="B12" s="2"/>
      <c r="C12" s="2"/>
      <c r="D12" s="2"/>
      <c r="E12" s="2"/>
      <c r="F12" s="2"/>
      <c r="G12" s="2"/>
      <c r="H12" s="2"/>
      <c r="I12" s="2"/>
      <c r="J12" s="43"/>
      <c r="N12" s="116" t="s">
        <v>73</v>
      </c>
      <c r="O12" s="117" t="s">
        <v>81</v>
      </c>
    </row>
    <row r="13" spans="1:15" ht="27" customHeight="1" x14ac:dyDescent="0.2">
      <c r="A13" s="41">
        <v>6</v>
      </c>
      <c r="B13" s="74" t="s">
        <v>20</v>
      </c>
      <c r="C13" s="75"/>
      <c r="D13" s="76"/>
      <c r="E13" s="3" t="s">
        <v>11</v>
      </c>
      <c r="F13" s="5"/>
      <c r="G13" s="63"/>
      <c r="H13" s="64"/>
      <c r="I13" s="64"/>
      <c r="J13" s="65"/>
      <c r="N13" s="116" t="s">
        <v>74</v>
      </c>
      <c r="O13" s="117" t="s">
        <v>81</v>
      </c>
    </row>
    <row r="14" spans="1:15" ht="24.75" customHeight="1" x14ac:dyDescent="0.2">
      <c r="A14" s="41">
        <v>7</v>
      </c>
      <c r="B14" s="74" t="s">
        <v>21</v>
      </c>
      <c r="C14" s="75"/>
      <c r="D14" s="76"/>
      <c r="E14" s="3" t="s">
        <v>11</v>
      </c>
      <c r="F14" s="5"/>
      <c r="G14" s="63"/>
      <c r="H14" s="64"/>
      <c r="I14" s="64"/>
      <c r="J14" s="65"/>
      <c r="N14" s="116" t="s">
        <v>75</v>
      </c>
      <c r="O14" s="117" t="s">
        <v>81</v>
      </c>
    </row>
    <row r="15" spans="1:15" ht="39.75" customHeight="1" x14ac:dyDescent="0.2">
      <c r="A15" s="41">
        <v>8</v>
      </c>
      <c r="B15" s="77" t="s">
        <v>22</v>
      </c>
      <c r="C15" s="78"/>
      <c r="D15" s="79"/>
      <c r="E15" s="3" t="s">
        <v>11</v>
      </c>
      <c r="F15" s="5"/>
      <c r="G15" s="63"/>
      <c r="H15" s="64"/>
      <c r="I15" s="64"/>
      <c r="J15" s="65"/>
      <c r="N15" s="116" t="s">
        <v>68</v>
      </c>
      <c r="O15" s="117" t="s">
        <v>81</v>
      </c>
    </row>
    <row r="16" spans="1:15" ht="15" customHeight="1" x14ac:dyDescent="0.2">
      <c r="A16" s="41">
        <v>9</v>
      </c>
      <c r="B16" s="74" t="s">
        <v>23</v>
      </c>
      <c r="C16" s="75"/>
      <c r="D16" s="76"/>
      <c r="E16" s="3" t="s">
        <v>11</v>
      </c>
      <c r="F16" s="6"/>
      <c r="G16" s="63"/>
      <c r="H16" s="64"/>
      <c r="I16" s="64"/>
      <c r="J16" s="65"/>
      <c r="N16" s="116" t="s">
        <v>76</v>
      </c>
      <c r="O16" s="117" t="s">
        <v>81</v>
      </c>
    </row>
    <row r="17" spans="1:15" ht="15" x14ac:dyDescent="0.2">
      <c r="A17" s="42" t="s">
        <v>24</v>
      </c>
      <c r="B17" s="2"/>
      <c r="C17" s="2"/>
      <c r="D17" s="2"/>
      <c r="E17" s="2"/>
      <c r="F17" s="2"/>
      <c r="G17" s="2"/>
      <c r="H17" s="2"/>
      <c r="I17" s="2"/>
      <c r="J17" s="43"/>
      <c r="N17" s="116" t="s">
        <v>77</v>
      </c>
      <c r="O17" s="117" t="s">
        <v>81</v>
      </c>
    </row>
    <row r="18" spans="1:15" ht="15" customHeight="1" x14ac:dyDescent="0.2">
      <c r="A18" s="41">
        <v>10</v>
      </c>
      <c r="B18" s="74" t="s">
        <v>25</v>
      </c>
      <c r="C18" s="75"/>
      <c r="D18" s="76"/>
      <c r="E18" s="3" t="s">
        <v>11</v>
      </c>
      <c r="F18" s="4"/>
      <c r="G18" s="63"/>
      <c r="H18" s="64"/>
      <c r="I18" s="64"/>
      <c r="J18" s="65"/>
      <c r="N18" s="118" t="s">
        <v>78</v>
      </c>
      <c r="O18" s="119" t="s">
        <v>82</v>
      </c>
    </row>
    <row r="19" spans="1:15" ht="39" customHeight="1" x14ac:dyDescent="0.2">
      <c r="A19" s="41">
        <v>11</v>
      </c>
      <c r="B19" s="74" t="s">
        <v>26</v>
      </c>
      <c r="C19" s="75"/>
      <c r="D19" s="76"/>
      <c r="E19" s="3" t="s">
        <v>11</v>
      </c>
      <c r="F19" s="5"/>
      <c r="G19" s="63"/>
      <c r="H19" s="64"/>
      <c r="I19" s="64"/>
      <c r="J19" s="65"/>
      <c r="O19" s="113"/>
    </row>
    <row r="20" spans="1:15" ht="27" customHeight="1" x14ac:dyDescent="0.2">
      <c r="A20" s="41">
        <v>12</v>
      </c>
      <c r="B20" s="74" t="s">
        <v>27</v>
      </c>
      <c r="C20" s="75"/>
      <c r="D20" s="76"/>
      <c r="E20" s="3" t="s">
        <v>11</v>
      </c>
      <c r="F20" s="5"/>
      <c r="G20" s="63"/>
      <c r="H20" s="64"/>
      <c r="I20" s="64"/>
      <c r="J20" s="65"/>
      <c r="O20" s="113"/>
    </row>
    <row r="21" spans="1:15" ht="24" customHeight="1" x14ac:dyDescent="0.2">
      <c r="A21" s="41">
        <v>13</v>
      </c>
      <c r="B21" s="74" t="s">
        <v>28</v>
      </c>
      <c r="C21" s="75"/>
      <c r="D21" s="76"/>
      <c r="E21" s="3" t="s">
        <v>11</v>
      </c>
      <c r="F21" s="5"/>
      <c r="G21" s="63"/>
      <c r="H21" s="64"/>
      <c r="I21" s="64"/>
      <c r="J21" s="65"/>
    </row>
    <row r="22" spans="1:15" ht="36.75" customHeight="1" x14ac:dyDescent="0.2">
      <c r="A22" s="41">
        <v>14</v>
      </c>
      <c r="B22" s="74" t="s">
        <v>29</v>
      </c>
      <c r="C22" s="75"/>
      <c r="D22" s="76"/>
      <c r="E22" s="3" t="s">
        <v>11</v>
      </c>
      <c r="F22" s="6"/>
      <c r="G22" s="63"/>
      <c r="H22" s="64"/>
      <c r="I22" s="64"/>
      <c r="J22" s="65"/>
    </row>
    <row r="23" spans="1:15" x14ac:dyDescent="0.2">
      <c r="A23" s="44" t="s">
        <v>30</v>
      </c>
      <c r="B23" s="2"/>
      <c r="C23" s="2"/>
      <c r="D23" s="2"/>
      <c r="E23" s="2"/>
      <c r="F23" s="7"/>
      <c r="G23" s="8"/>
      <c r="H23" s="8"/>
      <c r="I23" s="8"/>
      <c r="J23" s="45"/>
    </row>
    <row r="24" spans="1:15" ht="25.5" customHeight="1" x14ac:dyDescent="0.2">
      <c r="A24" s="41">
        <v>15</v>
      </c>
      <c r="B24" s="80" t="s">
        <v>31</v>
      </c>
      <c r="C24" s="81"/>
      <c r="D24" s="82"/>
      <c r="E24" s="3" t="s">
        <v>11</v>
      </c>
      <c r="F24" s="4"/>
      <c r="G24" s="63"/>
      <c r="H24" s="64"/>
      <c r="I24" s="64"/>
      <c r="J24" s="65"/>
    </row>
    <row r="25" spans="1:15" ht="27" customHeight="1" x14ac:dyDescent="0.2">
      <c r="A25" s="41">
        <v>16</v>
      </c>
      <c r="B25" s="83" t="s">
        <v>32</v>
      </c>
      <c r="C25" s="84"/>
      <c r="D25" s="85"/>
      <c r="E25" s="3" t="s">
        <v>11</v>
      </c>
      <c r="F25" s="6"/>
      <c r="G25" s="63"/>
      <c r="H25" s="64"/>
      <c r="I25" s="64"/>
      <c r="J25" s="65"/>
    </row>
    <row r="26" spans="1:15" x14ac:dyDescent="0.2">
      <c r="A26" s="46" t="s">
        <v>87</v>
      </c>
      <c r="B26" s="10"/>
      <c r="C26" s="10"/>
      <c r="D26" s="10"/>
      <c r="E26" s="10"/>
      <c r="F26" s="134"/>
      <c r="G26" s="10"/>
      <c r="H26" s="10"/>
      <c r="I26" s="10"/>
      <c r="J26" s="47"/>
    </row>
    <row r="27" spans="1:15" ht="28.5" customHeight="1" x14ac:dyDescent="0.2">
      <c r="A27" s="41">
        <v>17</v>
      </c>
      <c r="B27" s="74" t="s">
        <v>34</v>
      </c>
      <c r="C27" s="75"/>
      <c r="D27" s="76"/>
      <c r="E27" s="133" t="s">
        <v>11</v>
      </c>
      <c r="F27" s="135"/>
      <c r="G27" s="64"/>
      <c r="H27" s="64"/>
      <c r="I27" s="64"/>
      <c r="J27" s="65"/>
    </row>
    <row r="28" spans="1:15" ht="39" customHeight="1" x14ac:dyDescent="0.2">
      <c r="A28" s="41">
        <v>18</v>
      </c>
      <c r="B28" s="74" t="s">
        <v>35</v>
      </c>
      <c r="C28" s="75"/>
      <c r="D28" s="76"/>
      <c r="E28" s="133" t="s">
        <v>11</v>
      </c>
      <c r="F28" s="136"/>
      <c r="G28" s="64"/>
      <c r="H28" s="64"/>
      <c r="I28" s="64"/>
      <c r="J28" s="65"/>
    </row>
    <row r="29" spans="1:15" ht="40.5" customHeight="1" x14ac:dyDescent="0.2">
      <c r="A29" s="41">
        <v>19</v>
      </c>
      <c r="B29" s="86" t="s">
        <v>36</v>
      </c>
      <c r="C29" s="87"/>
      <c r="D29" s="88"/>
      <c r="E29" s="133" t="s">
        <v>11</v>
      </c>
      <c r="F29" s="136"/>
      <c r="G29" s="64"/>
      <c r="H29" s="64"/>
      <c r="I29" s="64"/>
      <c r="J29" s="65"/>
    </row>
    <row r="30" spans="1:15" ht="25.5" customHeight="1" x14ac:dyDescent="0.2">
      <c r="A30" s="41">
        <v>20</v>
      </c>
      <c r="B30" s="86" t="s">
        <v>37</v>
      </c>
      <c r="C30" s="87"/>
      <c r="D30" s="88"/>
      <c r="E30" s="133" t="s">
        <v>11</v>
      </c>
      <c r="F30" s="137"/>
      <c r="G30" s="64"/>
      <c r="H30" s="64"/>
      <c r="I30" s="64"/>
      <c r="J30" s="65"/>
    </row>
    <row r="31" spans="1:15" x14ac:dyDescent="0.2">
      <c r="A31" s="46" t="s">
        <v>33</v>
      </c>
      <c r="B31" s="10"/>
      <c r="C31" s="10"/>
      <c r="D31" s="10"/>
      <c r="E31" s="10"/>
      <c r="F31" s="9"/>
      <c r="G31" s="10"/>
      <c r="H31" s="10"/>
      <c r="I31" s="10"/>
      <c r="J31" s="47"/>
    </row>
    <row r="32" spans="1:15" ht="24.75" customHeight="1" x14ac:dyDescent="0.2">
      <c r="A32" s="41">
        <v>21</v>
      </c>
      <c r="B32" s="74" t="s">
        <v>38</v>
      </c>
      <c r="C32" s="75"/>
      <c r="D32" s="76"/>
      <c r="E32" s="3" t="s">
        <v>11</v>
      </c>
      <c r="F32" s="5"/>
      <c r="G32" s="63"/>
      <c r="H32" s="64"/>
      <c r="I32" s="64"/>
      <c r="J32" s="65"/>
    </row>
    <row r="33" spans="1:10" ht="36.75" customHeight="1" x14ac:dyDescent="0.2">
      <c r="A33" s="41">
        <v>22</v>
      </c>
      <c r="B33" s="74" t="s">
        <v>39</v>
      </c>
      <c r="C33" s="75"/>
      <c r="D33" s="76"/>
      <c r="E33" s="3" t="s">
        <v>11</v>
      </c>
      <c r="F33" s="5"/>
      <c r="G33" s="63"/>
      <c r="H33" s="64"/>
      <c r="I33" s="64"/>
      <c r="J33" s="65"/>
    </row>
    <row r="34" spans="1:10" ht="35.25" customHeight="1" x14ac:dyDescent="0.2">
      <c r="A34" s="41">
        <v>23</v>
      </c>
      <c r="B34" s="74" t="s">
        <v>40</v>
      </c>
      <c r="C34" s="75"/>
      <c r="D34" s="76"/>
      <c r="E34" s="3" t="s">
        <v>11</v>
      </c>
      <c r="F34" s="5"/>
      <c r="G34" s="63"/>
      <c r="H34" s="64"/>
      <c r="I34" s="64"/>
      <c r="J34" s="65"/>
    </row>
    <row r="35" spans="1:10" ht="26.25" customHeight="1" x14ac:dyDescent="0.2">
      <c r="A35" s="41">
        <v>24</v>
      </c>
      <c r="B35" s="80" t="s">
        <v>41</v>
      </c>
      <c r="C35" s="81"/>
      <c r="D35" s="82"/>
      <c r="E35" s="3" t="s">
        <v>11</v>
      </c>
      <c r="F35" s="5"/>
      <c r="G35" s="63"/>
      <c r="H35" s="64"/>
      <c r="I35" s="64"/>
      <c r="J35" s="65"/>
    </row>
    <row r="36" spans="1:10" x14ac:dyDescent="0.2">
      <c r="A36" s="48" t="s">
        <v>42</v>
      </c>
      <c r="B36" s="16"/>
      <c r="C36" s="16"/>
      <c r="D36" s="16"/>
      <c r="E36" s="16"/>
      <c r="F36" s="16"/>
      <c r="G36" s="16"/>
      <c r="H36" s="16"/>
      <c r="I36" s="16"/>
      <c r="J36" s="49"/>
    </row>
    <row r="37" spans="1:10" ht="27" customHeight="1" x14ac:dyDescent="0.2">
      <c r="A37" s="50">
        <v>25</v>
      </c>
      <c r="B37" s="89" t="s">
        <v>43</v>
      </c>
      <c r="C37" s="90"/>
      <c r="D37" s="91"/>
      <c r="E37" s="3" t="s">
        <v>11</v>
      </c>
      <c r="F37" s="4"/>
      <c r="G37" s="63"/>
      <c r="H37" s="64"/>
      <c r="I37" s="64"/>
      <c r="J37" s="65"/>
    </row>
    <row r="38" spans="1:10" ht="37.5" customHeight="1" x14ac:dyDescent="0.2">
      <c r="A38" s="41">
        <v>26</v>
      </c>
      <c r="B38" s="74" t="s">
        <v>44</v>
      </c>
      <c r="C38" s="75"/>
      <c r="D38" s="76"/>
      <c r="E38" s="3" t="s">
        <v>11</v>
      </c>
      <c r="F38" s="5"/>
      <c r="G38" s="63"/>
      <c r="H38" s="64"/>
      <c r="I38" s="64"/>
      <c r="J38" s="65"/>
    </row>
    <row r="39" spans="1:10" ht="38.25" customHeight="1" x14ac:dyDescent="0.2">
      <c r="A39" s="41">
        <v>27</v>
      </c>
      <c r="B39" s="74" t="s">
        <v>45</v>
      </c>
      <c r="C39" s="75"/>
      <c r="D39" s="76"/>
      <c r="E39" s="3" t="s">
        <v>11</v>
      </c>
      <c r="F39" s="5"/>
      <c r="G39" s="63"/>
      <c r="H39" s="64"/>
      <c r="I39" s="64"/>
      <c r="J39" s="65"/>
    </row>
    <row r="40" spans="1:10" ht="35.25" customHeight="1" x14ac:dyDescent="0.2">
      <c r="A40" s="41">
        <v>28</v>
      </c>
      <c r="B40" s="74" t="s">
        <v>46</v>
      </c>
      <c r="C40" s="75"/>
      <c r="D40" s="76"/>
      <c r="E40" s="3" t="s">
        <v>11</v>
      </c>
      <c r="F40" s="5"/>
      <c r="G40" s="63"/>
      <c r="H40" s="64"/>
      <c r="I40" s="64"/>
      <c r="J40" s="65"/>
    </row>
    <row r="41" spans="1:10" ht="18" customHeight="1" x14ac:dyDescent="0.2">
      <c r="A41" s="41">
        <v>29</v>
      </c>
      <c r="B41" s="74" t="s">
        <v>47</v>
      </c>
      <c r="C41" s="75"/>
      <c r="D41" s="76"/>
      <c r="E41" s="3" t="s">
        <v>11</v>
      </c>
      <c r="F41" s="6"/>
      <c r="G41" s="63"/>
      <c r="H41" s="64"/>
      <c r="I41" s="64"/>
      <c r="J41" s="65"/>
    </row>
    <row r="42" spans="1:10" x14ac:dyDescent="0.2">
      <c r="A42" s="42" t="s">
        <v>48</v>
      </c>
      <c r="B42" s="58"/>
      <c r="C42" s="58"/>
      <c r="D42" s="58"/>
      <c r="E42" s="58"/>
      <c r="F42" s="13"/>
      <c r="G42" s="8"/>
      <c r="H42" s="8"/>
      <c r="I42" s="8"/>
      <c r="J42" s="45"/>
    </row>
    <row r="43" spans="1:10" ht="48.75" customHeight="1" x14ac:dyDescent="0.2">
      <c r="A43" s="51">
        <v>30</v>
      </c>
      <c r="B43" s="92" t="s">
        <v>49</v>
      </c>
      <c r="C43" s="93"/>
      <c r="D43" s="94"/>
      <c r="E43" s="3" t="s">
        <v>11</v>
      </c>
      <c r="F43" s="4"/>
      <c r="G43" s="63"/>
      <c r="H43" s="64"/>
      <c r="I43" s="64"/>
      <c r="J43" s="65"/>
    </row>
    <row r="44" spans="1:10" ht="37.5" customHeight="1" x14ac:dyDescent="0.2">
      <c r="A44" s="41">
        <v>31</v>
      </c>
      <c r="B44" s="95" t="s">
        <v>50</v>
      </c>
      <c r="C44" s="96"/>
      <c r="D44" s="97"/>
      <c r="E44" s="3" t="s">
        <v>11</v>
      </c>
      <c r="F44" s="5"/>
      <c r="G44" s="63"/>
      <c r="H44" s="64"/>
      <c r="I44" s="64"/>
      <c r="J44" s="65"/>
    </row>
    <row r="45" spans="1:10" ht="27.75" customHeight="1" x14ac:dyDescent="0.2">
      <c r="A45" s="41">
        <v>32</v>
      </c>
      <c r="B45" s="74" t="s">
        <v>52</v>
      </c>
      <c r="C45" s="75"/>
      <c r="D45" s="76"/>
      <c r="E45" s="3" t="s">
        <v>11</v>
      </c>
      <c r="F45" s="5"/>
      <c r="G45" s="63"/>
      <c r="H45" s="64"/>
      <c r="I45" s="64"/>
      <c r="J45" s="65"/>
    </row>
    <row r="46" spans="1:10" ht="28.5" customHeight="1" x14ac:dyDescent="0.2">
      <c r="A46" s="41">
        <v>33</v>
      </c>
      <c r="B46" s="74" t="s">
        <v>53</v>
      </c>
      <c r="C46" s="75"/>
      <c r="D46" s="76"/>
      <c r="E46" s="3" t="s">
        <v>11</v>
      </c>
      <c r="F46" s="5"/>
      <c r="G46" s="63"/>
      <c r="H46" s="64"/>
      <c r="I46" s="64"/>
      <c r="J46" s="65"/>
    </row>
    <row r="47" spans="1:10" ht="51" customHeight="1" x14ac:dyDescent="0.2">
      <c r="A47" s="52">
        <v>34</v>
      </c>
      <c r="B47" s="98" t="s">
        <v>54</v>
      </c>
      <c r="C47" s="99"/>
      <c r="D47" s="100"/>
      <c r="E47" s="14" t="s">
        <v>11</v>
      </c>
      <c r="F47" s="6"/>
      <c r="G47" s="63"/>
      <c r="H47" s="64"/>
      <c r="I47" s="64"/>
      <c r="J47" s="65"/>
    </row>
    <row r="48" spans="1:10" x14ac:dyDescent="0.2">
      <c r="A48" s="42" t="s">
        <v>86</v>
      </c>
      <c r="B48" s="58"/>
      <c r="C48" s="58"/>
      <c r="D48" s="58"/>
      <c r="E48" s="58"/>
      <c r="F48" s="13"/>
      <c r="G48" s="8"/>
      <c r="H48" s="8"/>
      <c r="I48" s="8"/>
      <c r="J48" s="45"/>
    </row>
    <row r="49" spans="1:10" x14ac:dyDescent="0.2">
      <c r="A49" s="51">
        <v>35</v>
      </c>
      <c r="B49" s="92"/>
      <c r="C49" s="93"/>
      <c r="D49" s="94"/>
      <c r="E49" s="3" t="s">
        <v>11</v>
      </c>
      <c r="F49" s="4"/>
      <c r="G49" s="63"/>
      <c r="H49" s="64"/>
      <c r="I49" s="64"/>
      <c r="J49" s="65"/>
    </row>
    <row r="50" spans="1:10" x14ac:dyDescent="0.2">
      <c r="A50" s="52">
        <v>36</v>
      </c>
      <c r="B50" s="98"/>
      <c r="C50" s="99"/>
      <c r="D50" s="100"/>
      <c r="E50" s="14" t="s">
        <v>11</v>
      </c>
      <c r="F50" s="6"/>
      <c r="G50" s="63"/>
      <c r="H50" s="64"/>
      <c r="I50" s="64"/>
      <c r="J50" s="65"/>
    </row>
    <row r="51" spans="1:10" x14ac:dyDescent="0.2">
      <c r="A51" s="53" t="s">
        <v>10</v>
      </c>
      <c r="B51" s="58"/>
      <c r="C51" s="58"/>
      <c r="D51" s="58"/>
      <c r="E51" s="57"/>
      <c r="F51" s="57"/>
      <c r="G51" s="57"/>
      <c r="H51" s="8"/>
      <c r="I51" s="125"/>
      <c r="J51" s="126"/>
    </row>
    <row r="52" spans="1:10" ht="24" x14ac:dyDescent="0.2">
      <c r="A52" s="54"/>
      <c r="B52" s="17"/>
      <c r="C52" s="20"/>
      <c r="D52" s="21" t="s">
        <v>51</v>
      </c>
      <c r="E52" s="18" t="s">
        <v>55</v>
      </c>
      <c r="F52" s="18" t="s">
        <v>14</v>
      </c>
      <c r="G52" s="19" t="s">
        <v>56</v>
      </c>
      <c r="H52" s="121" t="s">
        <v>57</v>
      </c>
      <c r="I52" s="127" t="s">
        <v>60</v>
      </c>
      <c r="J52" s="128" t="s">
        <v>61</v>
      </c>
    </row>
    <row r="53" spans="1:10" x14ac:dyDescent="0.2">
      <c r="A53" s="103" t="s">
        <v>12</v>
      </c>
      <c r="B53" s="104"/>
      <c r="C53" s="105"/>
      <c r="D53" s="11">
        <f>COUNTIF($E$7:$E$11,"No")</f>
        <v>0</v>
      </c>
      <c r="E53" s="11">
        <f>COUNTIF($E$7:$E$11,"Partially")</f>
        <v>0</v>
      </c>
      <c r="F53" s="11">
        <f t="shared" ref="F53" si="0">COUNTIF($E$7:$E$11,"Yes")</f>
        <v>0</v>
      </c>
      <c r="G53" s="12" t="str">
        <f t="shared" ref="G53:G59" si="1">IF(K53=L53,"N/A",IF(SUM(D53:F53)=0,0,10*(((F53*2)+(E53*1))/(((L53-K53)*2)))))</f>
        <v>N/A</v>
      </c>
      <c r="H53" s="122" t="str">
        <f>IFERROR(10*(((SUM(E53:E59)*1)+(SUM(F53:F59)*2))/(2*SUM(D53:F59))),"N/A")</f>
        <v>N/A</v>
      </c>
      <c r="I53" s="129">
        <f>COUNTIF($E$7:$E$11,"N/A")</f>
        <v>5</v>
      </c>
      <c r="J53" s="130">
        <v>5</v>
      </c>
    </row>
    <row r="54" spans="1:10" x14ac:dyDescent="0.2">
      <c r="A54" s="106" t="s">
        <v>19</v>
      </c>
      <c r="B54" s="107"/>
      <c r="C54" s="108"/>
      <c r="D54" s="11">
        <f>COUNTIF($E$13:$E$16,"No")</f>
        <v>0</v>
      </c>
      <c r="E54" s="11">
        <f>COUNTIF($E$13:$E$16,"Partially")</f>
        <v>0</v>
      </c>
      <c r="F54" s="11">
        <f t="shared" ref="F54" si="2">COUNTIF($E$13:$E$16,"Yes")</f>
        <v>0</v>
      </c>
      <c r="G54" s="12" t="str">
        <f t="shared" si="1"/>
        <v>N/A</v>
      </c>
      <c r="H54" s="123"/>
      <c r="I54" s="129">
        <f>COUNTIF($E$13:$E$16,"N/A")</f>
        <v>4</v>
      </c>
      <c r="J54" s="130">
        <v>4</v>
      </c>
    </row>
    <row r="55" spans="1:10" x14ac:dyDescent="0.2">
      <c r="A55" s="106" t="s">
        <v>24</v>
      </c>
      <c r="B55" s="107"/>
      <c r="C55" s="108"/>
      <c r="D55" s="11">
        <f>COUNTIF($E$18:$E$22,"No")</f>
        <v>0</v>
      </c>
      <c r="E55" s="11">
        <f>COUNTIF($E$18:$E$22,"Partially")</f>
        <v>0</v>
      </c>
      <c r="F55" s="11">
        <f t="shared" ref="F55" si="3">COUNTIF($E$18:$E$22,"Yes")</f>
        <v>0</v>
      </c>
      <c r="G55" s="12" t="str">
        <f t="shared" si="1"/>
        <v>N/A</v>
      </c>
      <c r="H55" s="123"/>
      <c r="I55" s="129">
        <f>COUNTIF($E$18:$E$22,"N/A")</f>
        <v>5</v>
      </c>
      <c r="J55" s="130">
        <v>5</v>
      </c>
    </row>
    <row r="56" spans="1:10" x14ac:dyDescent="0.2">
      <c r="A56" s="106" t="s">
        <v>30</v>
      </c>
      <c r="B56" s="107"/>
      <c r="C56" s="108"/>
      <c r="D56" s="11">
        <f>COUNTIF($E$2:$E$24,"No")</f>
        <v>0</v>
      </c>
      <c r="E56" s="11">
        <f>COUNTIF($E$2:$E$24,"Partially")</f>
        <v>0</v>
      </c>
      <c r="F56" s="11">
        <f>COUNTIF($E$24:$E$25,"Yes")</f>
        <v>0</v>
      </c>
      <c r="G56" s="12" t="str">
        <f t="shared" si="1"/>
        <v>N/A</v>
      </c>
      <c r="H56" s="123"/>
      <c r="I56" s="129">
        <f>COUNTIF($E$24:$E$25,"N/A")</f>
        <v>2</v>
      </c>
      <c r="J56" s="130">
        <v>2</v>
      </c>
    </row>
    <row r="57" spans="1:10" x14ac:dyDescent="0.2">
      <c r="A57" s="106" t="s">
        <v>33</v>
      </c>
      <c r="B57" s="107"/>
      <c r="C57" s="108"/>
      <c r="D57" s="11">
        <f>COUNTIF($E$27:$E$35,"No")</f>
        <v>0</v>
      </c>
      <c r="E57" s="11">
        <f>COUNTIF($E$27:$E$35,"Partially")</f>
        <v>0</v>
      </c>
      <c r="F57" s="11">
        <f t="shared" ref="F57" si="4">COUNTIF($E$27:$E$35,"Yes")</f>
        <v>0</v>
      </c>
      <c r="G57" s="12" t="str">
        <f t="shared" si="1"/>
        <v>N/A</v>
      </c>
      <c r="H57" s="123"/>
      <c r="I57" s="129">
        <f>COUNTIF($E$27:$E$35,"N/A")</f>
        <v>8</v>
      </c>
      <c r="J57" s="130">
        <v>8</v>
      </c>
    </row>
    <row r="58" spans="1:10" x14ac:dyDescent="0.2">
      <c r="A58" s="106" t="s">
        <v>42</v>
      </c>
      <c r="B58" s="107"/>
      <c r="C58" s="108"/>
      <c r="D58" s="11">
        <f>COUNTIF($E$37:$E$41,"No")</f>
        <v>0</v>
      </c>
      <c r="E58" s="11">
        <f>COUNTIF($E$37:$E$41,"Partially")</f>
        <v>0</v>
      </c>
      <c r="F58" s="11">
        <f t="shared" ref="F58" si="5">COUNTIF($E$37:$E$41,"Yes")</f>
        <v>0</v>
      </c>
      <c r="G58" s="12" t="str">
        <f t="shared" si="1"/>
        <v>N/A</v>
      </c>
      <c r="H58" s="123"/>
      <c r="I58" s="129">
        <f>COUNTIF($E$37:$E$41,"N/A")</f>
        <v>5</v>
      </c>
      <c r="J58" s="130">
        <v>5</v>
      </c>
    </row>
    <row r="59" spans="1:10" x14ac:dyDescent="0.2">
      <c r="A59" s="109" t="s">
        <v>48</v>
      </c>
      <c r="B59" s="110"/>
      <c r="C59" s="111"/>
      <c r="D59" s="11">
        <f>COUNTIF($E$43:$E$47,"No")</f>
        <v>0</v>
      </c>
      <c r="E59" s="11">
        <f>COUNTIF($E$43:$E$47,"Partially")</f>
        <v>0</v>
      </c>
      <c r="F59" s="11">
        <f t="shared" ref="F59" si="6">COUNTIF($E$43:$E$47,"Yes")</f>
        <v>0</v>
      </c>
      <c r="G59" s="12" t="str">
        <f t="shared" si="1"/>
        <v>N/A</v>
      </c>
      <c r="H59" s="124"/>
      <c r="I59" s="131">
        <f>COUNTIF($E$43:$E$47,"N/A")</f>
        <v>5</v>
      </c>
      <c r="J59" s="132">
        <v>5</v>
      </c>
    </row>
    <row r="60" spans="1:10" ht="78" customHeight="1" thickBot="1" x14ac:dyDescent="0.25">
      <c r="A60" s="101" t="s">
        <v>58</v>
      </c>
      <c r="B60" s="102"/>
      <c r="C60" s="55"/>
      <c r="D60" s="55"/>
      <c r="E60" s="55"/>
      <c r="F60" s="55"/>
      <c r="G60" s="55"/>
      <c r="H60" s="55"/>
      <c r="I60" s="55"/>
      <c r="J60" s="56"/>
    </row>
  </sheetData>
  <mergeCells count="86">
    <mergeCell ref="B50:D50"/>
    <mergeCell ref="G50:J50"/>
    <mergeCell ref="N3:O3"/>
    <mergeCell ref="B49:D49"/>
    <mergeCell ref="G49:J49"/>
    <mergeCell ref="A60:B60"/>
    <mergeCell ref="A53:C53"/>
    <mergeCell ref="H53:H59"/>
    <mergeCell ref="A54:C54"/>
    <mergeCell ref="A55:C55"/>
    <mergeCell ref="A56:C56"/>
    <mergeCell ref="A57:C57"/>
    <mergeCell ref="A58:C58"/>
    <mergeCell ref="A59:C59"/>
    <mergeCell ref="B45:D45"/>
    <mergeCell ref="G45:J45"/>
    <mergeCell ref="B46:D46"/>
    <mergeCell ref="G46:J46"/>
    <mergeCell ref="B47:D47"/>
    <mergeCell ref="G47:J47"/>
    <mergeCell ref="B41:D41"/>
    <mergeCell ref="G41:J41"/>
    <mergeCell ref="B43:D43"/>
    <mergeCell ref="G43:J43"/>
    <mergeCell ref="B44:D44"/>
    <mergeCell ref="G44:J44"/>
    <mergeCell ref="B38:D38"/>
    <mergeCell ref="G38:J38"/>
    <mergeCell ref="B39:D39"/>
    <mergeCell ref="G39:J39"/>
    <mergeCell ref="B40:D40"/>
    <mergeCell ref="G40:J40"/>
    <mergeCell ref="B34:D34"/>
    <mergeCell ref="G34:J34"/>
    <mergeCell ref="B35:D35"/>
    <mergeCell ref="G35:J35"/>
    <mergeCell ref="B37:D37"/>
    <mergeCell ref="G37:J37"/>
    <mergeCell ref="B30:D30"/>
    <mergeCell ref="G30:J30"/>
    <mergeCell ref="B32:D32"/>
    <mergeCell ref="G32:J32"/>
    <mergeCell ref="B33:D33"/>
    <mergeCell ref="G33:J33"/>
    <mergeCell ref="B27:D27"/>
    <mergeCell ref="G27:J27"/>
    <mergeCell ref="B28:D28"/>
    <mergeCell ref="G28:J28"/>
    <mergeCell ref="B29:D29"/>
    <mergeCell ref="G29:J29"/>
    <mergeCell ref="B22:D22"/>
    <mergeCell ref="G22:J22"/>
    <mergeCell ref="B24:D24"/>
    <mergeCell ref="G24:J24"/>
    <mergeCell ref="B25:D25"/>
    <mergeCell ref="G25:J25"/>
    <mergeCell ref="B19:D19"/>
    <mergeCell ref="G19:J19"/>
    <mergeCell ref="B20:D20"/>
    <mergeCell ref="G20:J20"/>
    <mergeCell ref="B21:D21"/>
    <mergeCell ref="G21:J21"/>
    <mergeCell ref="B15:D15"/>
    <mergeCell ref="G15:J15"/>
    <mergeCell ref="B16:D16"/>
    <mergeCell ref="G16:J16"/>
    <mergeCell ref="B18:D18"/>
    <mergeCell ref="G18:J18"/>
    <mergeCell ref="B11:D11"/>
    <mergeCell ref="G11:J11"/>
    <mergeCell ref="B13:D13"/>
    <mergeCell ref="G13:J13"/>
    <mergeCell ref="B14:D14"/>
    <mergeCell ref="G14:J14"/>
    <mergeCell ref="B8:D8"/>
    <mergeCell ref="G8:J8"/>
    <mergeCell ref="B9:D9"/>
    <mergeCell ref="G9:J9"/>
    <mergeCell ref="B10:D10"/>
    <mergeCell ref="G10:J10"/>
    <mergeCell ref="G7:J7"/>
    <mergeCell ref="B3:C3"/>
    <mergeCell ref="B4:C4"/>
    <mergeCell ref="A5:C5"/>
    <mergeCell ref="A6:B6"/>
    <mergeCell ref="B7:D7"/>
  </mergeCells>
  <dataValidations count="1">
    <dataValidation type="list" allowBlank="1" showInputMessage="1" showErrorMessage="1" sqref="E7:E11 E37:E41 E13:E16 E18:E22 E24:E25 E32:E35 E27:E30 E43:E47 E49:E50" xr:uid="{00000000-0002-0000-0100-000000000000}">
      <formula1>"Yes,Partially,No,N/A"</formula1>
    </dataValidation>
  </dataValidations>
  <pageMargins left="0.7" right="0.7" top="0.75" bottom="0.75" header="0.3" footer="0.3"/>
  <pageSetup scale="7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205B762F15854C81144B19535345C1" ma:contentTypeVersion="7" ma:contentTypeDescription="Create a new document." ma:contentTypeScope="" ma:versionID="28d14e5700a79a3b132b1c226812ddfa">
  <xsd:schema xmlns:xsd="http://www.w3.org/2001/XMLSchema" xmlns:xs="http://www.w3.org/2001/XMLSchema" xmlns:p="http://schemas.microsoft.com/office/2006/metadata/properties" xmlns:ns2="213d213f-ad18-4d9f-82f7-ebb375ec8dfe" targetNamespace="http://schemas.microsoft.com/office/2006/metadata/properties" ma:root="true" ma:fieldsID="803f6f2f9fdf2b6fbe18db1c01a9d671" ns2:_="">
    <xsd:import namespace="213d213f-ad18-4d9f-82f7-ebb375ec8d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d213f-ad18-4d9f-82f7-ebb375ec8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0ABF77-77DD-4F55-BC9E-EB003F54C59C}">
  <ds:schemaRefs>
    <ds:schemaRef ds:uri="http://schemas.microsoft.com/office/2006/documentManagement/types"/>
    <ds:schemaRef ds:uri="http://www.w3.org/XML/1998/namespace"/>
    <ds:schemaRef ds:uri="http://purl.org/dc/dcmitype/"/>
    <ds:schemaRef ds:uri="213d213f-ad18-4d9f-82f7-ebb375ec8dfe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D26E04F-39DB-4756-BF77-9F3A604857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8F0C89-9800-4C81-90A7-AD61C9BC74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d213f-ad18-4d9f-82f7-ebb375ec8d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claim 1</vt:lpstr>
      <vt:lpstr>'claim 1'!Print_Area</vt:lpstr>
    </vt:vector>
  </TitlesOfParts>
  <Manager/>
  <Company>Edgewood Partners Insurance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Grady</dc:creator>
  <cp:keywords/>
  <dc:description/>
  <cp:lastModifiedBy>Chris Knight</cp:lastModifiedBy>
  <cp:revision/>
  <dcterms:created xsi:type="dcterms:W3CDTF">2019-10-08T16:54:14Z</dcterms:created>
  <dcterms:modified xsi:type="dcterms:W3CDTF">2022-12-21T20:21:35Z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0x010100E5205B762F15854C81144B19535345C1</vt:lpwstr>
  </property>
</Properties>
</file>