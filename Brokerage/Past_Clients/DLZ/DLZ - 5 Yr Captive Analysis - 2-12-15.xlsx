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48" windowWidth="7440" windowHeight="11700"/>
  </bookViews>
  <sheets>
    <sheet name="Comparison" sheetId="1" r:id="rId1"/>
    <sheet name="What If" sheetId="5" r:id="rId2"/>
    <sheet name="Premium - Rates" sheetId="2" r:id="rId3"/>
    <sheet name="Losses" sheetId="3" r:id="rId4"/>
    <sheet name="Calcs" sheetId="4" r:id="rId5"/>
    <sheet name="Quote" sheetId="7" r:id="rId6"/>
    <sheet name="Sheet1" sheetId="8" r:id="rId7"/>
  </sheets>
  <calcPr calcId="145621"/>
</workbook>
</file>

<file path=xl/calcChain.xml><?xml version="1.0" encoding="utf-8"?>
<calcChain xmlns="http://schemas.openxmlformats.org/spreadsheetml/2006/main">
  <c r="E16" i="8" l="1"/>
  <c r="E14" i="8"/>
  <c r="I6" i="2"/>
  <c r="I13" i="2"/>
  <c r="I20" i="2"/>
  <c r="I27" i="2"/>
  <c r="H27" i="2"/>
  <c r="G27" i="2"/>
  <c r="H20" i="2"/>
  <c r="G20" i="2"/>
  <c r="H13" i="2"/>
  <c r="G13" i="2"/>
  <c r="H6" i="2"/>
  <c r="G6" i="2"/>
  <c r="F28" i="2"/>
  <c r="F21" i="2"/>
  <c r="F14" i="2"/>
  <c r="F7" i="2"/>
  <c r="E28" i="2"/>
  <c r="E27" i="2"/>
  <c r="E21" i="2"/>
  <c r="E20" i="2"/>
  <c r="F27" i="2"/>
  <c r="F20" i="2"/>
  <c r="E14" i="2"/>
  <c r="E13" i="2"/>
  <c r="E7" i="2"/>
  <c r="E6" i="2"/>
  <c r="F6" i="2"/>
  <c r="F13" i="2"/>
  <c r="O3" i="2"/>
  <c r="C19" i="4" l="1"/>
  <c r="H21" i="4"/>
  <c r="G21" i="4"/>
  <c r="F21" i="4"/>
  <c r="E21" i="4"/>
  <c r="D21" i="4"/>
  <c r="C21" i="4"/>
  <c r="H13" i="3"/>
  <c r="C21" i="1"/>
  <c r="O18" i="2"/>
  <c r="H31" i="1" s="1"/>
  <c r="O17" i="2"/>
  <c r="G31" i="4" s="1"/>
  <c r="O16" i="2"/>
  <c r="F31" i="1" s="1"/>
  <c r="O15" i="2"/>
  <c r="O14" i="2"/>
  <c r="D31" i="4" s="1"/>
  <c r="F31" i="4" l="1"/>
  <c r="O20" i="2"/>
  <c r="E6" i="5" s="1"/>
  <c r="F18" i="5" s="1"/>
  <c r="D31" i="1"/>
  <c r="H31" i="4"/>
  <c r="E31" i="1"/>
  <c r="E31" i="4"/>
  <c r="G31" i="1"/>
  <c r="D25" i="4"/>
  <c r="H25" i="4"/>
  <c r="E25" i="4"/>
  <c r="F25" i="4"/>
  <c r="H21" i="1"/>
  <c r="G21" i="1"/>
  <c r="F21" i="1"/>
  <c r="E21" i="1"/>
  <c r="D21" i="1"/>
  <c r="H20" i="1"/>
  <c r="F20" i="1"/>
  <c r="E20" i="1"/>
  <c r="D20" i="1"/>
  <c r="H19" i="1"/>
  <c r="F19" i="1"/>
  <c r="E19" i="1"/>
  <c r="D19" i="1"/>
  <c r="D25" i="1" s="1"/>
  <c r="D15" i="7"/>
  <c r="E29" i="2"/>
  <c r="E22" i="2"/>
  <c r="N6" i="2"/>
  <c r="M6" i="2"/>
  <c r="E8" i="2" s="1"/>
  <c r="L6" i="2"/>
  <c r="D14" i="7"/>
  <c r="D13" i="7"/>
  <c r="D9" i="7"/>
  <c r="D6" i="7"/>
  <c r="D5" i="7"/>
  <c r="C16" i="7"/>
  <c r="C10" i="7"/>
  <c r="C14" i="7"/>
  <c r="J8" i="7"/>
  <c r="J7" i="7"/>
  <c r="J6" i="7"/>
  <c r="J5" i="7"/>
  <c r="I7" i="7"/>
  <c r="I6" i="7"/>
  <c r="I5" i="7"/>
  <c r="G8" i="7"/>
  <c r="G6" i="7"/>
  <c r="C7" i="7"/>
  <c r="G11" i="3"/>
  <c r="E11" i="3"/>
  <c r="D11" i="3"/>
  <c r="C11" i="3"/>
  <c r="C31" i="1" l="1"/>
  <c r="E14" i="5"/>
  <c r="J23" i="4" s="1"/>
  <c r="E17" i="5"/>
  <c r="J24" i="4" s="1"/>
  <c r="E11" i="5"/>
  <c r="J22" i="4" s="1"/>
  <c r="H21" i="2"/>
  <c r="F15" i="5"/>
  <c r="F12" i="5"/>
  <c r="C31" i="4"/>
  <c r="G28" i="2"/>
  <c r="D35" i="2"/>
  <c r="O6" i="2"/>
  <c r="G7" i="2"/>
  <c r="H28" i="2"/>
  <c r="I28" i="2" s="1"/>
  <c r="H7" i="2"/>
  <c r="G21" i="2"/>
  <c r="E30" i="2"/>
  <c r="E31" i="2" s="1"/>
  <c r="F31" i="2" s="1"/>
  <c r="F29" i="2"/>
  <c r="D9" i="3"/>
  <c r="E9" i="3"/>
  <c r="F9" i="3"/>
  <c r="G9" i="3"/>
  <c r="I21" i="2" l="1"/>
  <c r="I7" i="2"/>
  <c r="D14" i="4"/>
  <c r="D16" i="4"/>
  <c r="D13" i="4"/>
  <c r="D15" i="4"/>
  <c r="D22" i="4" s="1"/>
  <c r="E15" i="2"/>
  <c r="H14" i="2"/>
  <c r="D37" i="2" s="1"/>
  <c r="F30" i="2"/>
  <c r="H30" i="2" s="1"/>
  <c r="G14" i="2"/>
  <c r="D14" i="1"/>
  <c r="D15" i="1"/>
  <c r="D13" i="1"/>
  <c r="D16" i="1"/>
  <c r="G29" i="2"/>
  <c r="H29" i="2"/>
  <c r="G31" i="2"/>
  <c r="H31" i="2"/>
  <c r="E32" i="2"/>
  <c r="F32" i="2" s="1"/>
  <c r="I31" i="2" l="1"/>
  <c r="G30" i="2"/>
  <c r="I30" i="2" s="1"/>
  <c r="I14" i="2"/>
  <c r="D36" i="2"/>
  <c r="D22" i="1"/>
  <c r="D23" i="4"/>
  <c r="I29" i="2"/>
  <c r="D23" i="1"/>
  <c r="D17" i="1"/>
  <c r="D34" i="1" s="1"/>
  <c r="D35" i="1" s="1"/>
  <c r="D26" i="4"/>
  <c r="D24" i="4"/>
  <c r="D17" i="4"/>
  <c r="D34" i="4" s="1"/>
  <c r="D35" i="4" s="1"/>
  <c r="H32" i="2"/>
  <c r="G32" i="2"/>
  <c r="D24" i="1"/>
  <c r="D26" i="1"/>
  <c r="I32" i="2" l="1"/>
  <c r="D27" i="1"/>
  <c r="D38" i="1" s="1"/>
  <c r="D39" i="1" s="1"/>
  <c r="D27" i="4"/>
  <c r="D38" i="4" s="1"/>
  <c r="D39" i="4" s="1"/>
  <c r="F22" i="2"/>
  <c r="F15" i="2"/>
  <c r="F8" i="2"/>
  <c r="L7" i="2" l="1"/>
  <c r="G8" i="2"/>
  <c r="H8" i="2"/>
  <c r="E35" i="2"/>
  <c r="M7" i="2"/>
  <c r="G15" i="2"/>
  <c r="H15" i="2"/>
  <c r="N7" i="2"/>
  <c r="G22" i="2"/>
  <c r="H22" i="2"/>
  <c r="I15" i="2" l="1"/>
  <c r="O7" i="2"/>
  <c r="E16" i="4"/>
  <c r="E13" i="4"/>
  <c r="E15" i="4"/>
  <c r="E14" i="4"/>
  <c r="E37" i="2"/>
  <c r="I22" i="2"/>
  <c r="I8" i="2"/>
  <c r="E36" i="2"/>
  <c r="D38" i="2" s="1"/>
  <c r="E14" i="1"/>
  <c r="E13" i="1"/>
  <c r="E16" i="1"/>
  <c r="E15" i="1"/>
  <c r="E17" i="1" l="1"/>
  <c r="E34" i="1" s="1"/>
  <c r="E35" i="1" s="1"/>
  <c r="E22" i="4"/>
  <c r="E22" i="1"/>
  <c r="E24" i="4"/>
  <c r="E17" i="4"/>
  <c r="E34" i="4" s="1"/>
  <c r="E35" i="4" s="1"/>
  <c r="E26" i="4"/>
  <c r="E23" i="4"/>
  <c r="E23" i="1"/>
  <c r="E27" i="4" l="1"/>
  <c r="E38" i="4" s="1"/>
  <c r="E39" i="4" s="1"/>
  <c r="H8" i="3"/>
  <c r="H7" i="3"/>
  <c r="H6" i="3"/>
  <c r="C9" i="3" l="1"/>
  <c r="H9" i="3" l="1"/>
  <c r="E16" i="2" l="1"/>
  <c r="F16" i="2" s="1"/>
  <c r="M8" i="2" l="1"/>
  <c r="H16" i="2"/>
  <c r="G16" i="2"/>
  <c r="E17" i="2"/>
  <c r="F17" i="2" s="1"/>
  <c r="I16" i="2" l="1"/>
  <c r="M9" i="2"/>
  <c r="H17" i="2"/>
  <c r="G17" i="2"/>
  <c r="E18" i="2"/>
  <c r="I17" i="2" l="1"/>
  <c r="F18" i="2"/>
  <c r="M10" i="2" l="1"/>
  <c r="H18" i="2"/>
  <c r="G18" i="2"/>
  <c r="E9" i="2"/>
  <c r="F9" i="2" s="1"/>
  <c r="I18" i="2" l="1"/>
  <c r="L8" i="2"/>
  <c r="H9" i="2"/>
  <c r="G9" i="2"/>
  <c r="E10" i="2"/>
  <c r="I9" i="2" l="1"/>
  <c r="E11" i="2"/>
  <c r="F10" i="2"/>
  <c r="L9" i="2" l="1"/>
  <c r="G10" i="2"/>
  <c r="H10" i="2"/>
  <c r="F11" i="2"/>
  <c r="E23" i="2"/>
  <c r="F23" i="2" s="1"/>
  <c r="I10" i="2" l="1"/>
  <c r="N8" i="2"/>
  <c r="O8" i="2" s="1"/>
  <c r="G23" i="2"/>
  <c r="F36" i="2" s="1"/>
  <c r="E38" i="2" s="1"/>
  <c r="H23" i="2"/>
  <c r="F37" i="2" s="1"/>
  <c r="F35" i="2"/>
  <c r="L10" i="2"/>
  <c r="H11" i="2"/>
  <c r="G11" i="2"/>
  <c r="E24" i="2"/>
  <c r="F13" i="4" l="1"/>
  <c r="F15" i="4"/>
  <c r="F14" i="4"/>
  <c r="F16" i="4"/>
  <c r="I11" i="2"/>
  <c r="I23" i="2"/>
  <c r="F14" i="1"/>
  <c r="F13" i="1"/>
  <c r="F16" i="1"/>
  <c r="F15" i="1"/>
  <c r="F24" i="2"/>
  <c r="E25" i="2"/>
  <c r="F22" i="4" l="1"/>
  <c r="F17" i="1"/>
  <c r="F23" i="4"/>
  <c r="F26" i="4"/>
  <c r="F17" i="4"/>
  <c r="F34" i="4" s="1"/>
  <c r="F35" i="4" s="1"/>
  <c r="F24" i="4"/>
  <c r="F22" i="1"/>
  <c r="N9" i="2"/>
  <c r="O9" i="2" s="1"/>
  <c r="H24" i="2"/>
  <c r="G37" i="2" s="1"/>
  <c r="G24" i="2"/>
  <c r="G35" i="2"/>
  <c r="F23" i="1"/>
  <c r="F25" i="2"/>
  <c r="G15" i="4" l="1"/>
  <c r="G14" i="4"/>
  <c r="G16" i="4"/>
  <c r="G13" i="4"/>
  <c r="I24" i="2"/>
  <c r="G36" i="2"/>
  <c r="F27" i="4"/>
  <c r="F38" i="4" s="1"/>
  <c r="F39" i="4" s="1"/>
  <c r="N10" i="2"/>
  <c r="O10" i="2" s="1"/>
  <c r="G25" i="2"/>
  <c r="H36" i="2" s="1"/>
  <c r="H25" i="2"/>
  <c r="H37" i="2" s="1"/>
  <c r="I37" i="2" s="1"/>
  <c r="H35" i="2"/>
  <c r="F34" i="1"/>
  <c r="F35" i="1" s="1"/>
  <c r="G14" i="1"/>
  <c r="G15" i="1"/>
  <c r="G13" i="1"/>
  <c r="G16" i="1"/>
  <c r="E24" i="1"/>
  <c r="E26" i="1"/>
  <c r="G38" i="2" l="1"/>
  <c r="F38" i="2"/>
  <c r="I36" i="2"/>
  <c r="I25" i="2"/>
  <c r="G22" i="1"/>
  <c r="G26" i="4"/>
  <c r="G17" i="4"/>
  <c r="G34" i="4" s="1"/>
  <c r="G35" i="4" s="1"/>
  <c r="G24" i="4"/>
  <c r="G17" i="1"/>
  <c r="H14" i="4"/>
  <c r="C14" i="4" s="1"/>
  <c r="H38" i="2"/>
  <c r="H16" i="4"/>
  <c r="H23" i="4" s="1"/>
  <c r="H13" i="4"/>
  <c r="H15" i="4"/>
  <c r="H22" i="4" s="1"/>
  <c r="I35" i="2"/>
  <c r="I38" i="2" s="1"/>
  <c r="G22" i="4"/>
  <c r="G23" i="4"/>
  <c r="G23" i="1"/>
  <c r="H14" i="1"/>
  <c r="C14" i="1" s="1"/>
  <c r="H13" i="1"/>
  <c r="C13" i="1" s="1"/>
  <c r="H16" i="1"/>
  <c r="H15" i="1"/>
  <c r="H22" i="1" s="1"/>
  <c r="F11" i="3"/>
  <c r="F26" i="1"/>
  <c r="F24" i="1"/>
  <c r="E25" i="1"/>
  <c r="C16" i="4" l="1"/>
  <c r="C22" i="1"/>
  <c r="C15" i="4"/>
  <c r="H26" i="4"/>
  <c r="C26" i="4" s="1"/>
  <c r="H17" i="4"/>
  <c r="H34" i="4" s="1"/>
  <c r="H35" i="4" s="1"/>
  <c r="H24" i="4"/>
  <c r="C24" i="4" s="1"/>
  <c r="H17" i="1"/>
  <c r="C22" i="4"/>
  <c r="C23" i="4"/>
  <c r="H23" i="1"/>
  <c r="C23" i="1" s="1"/>
  <c r="C16" i="1"/>
  <c r="G19" i="1"/>
  <c r="C19" i="1" s="1"/>
  <c r="H11" i="3"/>
  <c r="C13" i="4"/>
  <c r="C15" i="1"/>
  <c r="C17" i="1" s="1"/>
  <c r="E27" i="1"/>
  <c r="E38" i="1" s="1"/>
  <c r="E39" i="1" s="1"/>
  <c r="G34" i="1"/>
  <c r="G35" i="1" s="1"/>
  <c r="F12" i="3"/>
  <c r="F25" i="1"/>
  <c r="F27" i="1" s="1"/>
  <c r="F38" i="1" s="1"/>
  <c r="F39" i="1" s="1"/>
  <c r="G24" i="1"/>
  <c r="G26" i="1"/>
  <c r="C17" i="4" l="1"/>
  <c r="C34" i="4" s="1"/>
  <c r="C35" i="4" s="1"/>
  <c r="H27" i="4"/>
  <c r="H38" i="4" s="1"/>
  <c r="H39" i="4" s="1"/>
  <c r="G20" i="1"/>
  <c r="C20" i="1" s="1"/>
  <c r="H12" i="3"/>
  <c r="H15" i="3" s="1"/>
  <c r="H34" i="1"/>
  <c r="H35" i="1" s="1"/>
  <c r="C34" i="1"/>
  <c r="C35" i="1" s="1"/>
  <c r="H25" i="1"/>
  <c r="H26" i="1"/>
  <c r="C26" i="1" s="1"/>
  <c r="H24" i="1"/>
  <c r="C24" i="1" s="1"/>
  <c r="C20" i="4" l="1"/>
  <c r="J20" i="4" s="1"/>
  <c r="K20" i="4" s="1"/>
  <c r="G25" i="4"/>
  <c r="C25" i="4" s="1"/>
  <c r="H27" i="1"/>
  <c r="H38" i="1" s="1"/>
  <c r="H39" i="1" s="1"/>
  <c r="G25" i="1"/>
  <c r="E7" i="5"/>
  <c r="C27" i="4" l="1"/>
  <c r="C38" i="4" s="1"/>
  <c r="C39" i="4" s="1"/>
  <c r="G27" i="4"/>
  <c r="G38" i="4" s="1"/>
  <c r="G39" i="4" s="1"/>
  <c r="G27" i="1"/>
  <c r="G38" i="1" s="1"/>
  <c r="G39" i="1" s="1"/>
  <c r="C25" i="1"/>
  <c r="C27" i="1" s="1"/>
  <c r="C38" i="1" s="1"/>
  <c r="C39" i="1" s="1"/>
  <c r="E8" i="5"/>
  <c r="E9" i="5" l="1"/>
  <c r="F9" i="5" s="1"/>
</calcChain>
</file>

<file path=xl/comments1.xml><?xml version="1.0" encoding="utf-8"?>
<comments xmlns="http://schemas.openxmlformats.org/spreadsheetml/2006/main">
  <authors>
    <author>Bob</author>
  </authors>
  <commentList>
    <comment ref="M15" authorId="0">
      <text>
        <r>
          <rPr>
            <b/>
            <sz val="9"/>
            <color indexed="81"/>
            <rFont val="Tahoma"/>
            <family val="2"/>
          </rPr>
          <t>Bob:</t>
        </r>
        <r>
          <rPr>
            <sz val="9"/>
            <color indexed="81"/>
            <rFont val="Tahoma"/>
            <family val="2"/>
          </rPr>
          <t xml:space="preserve">
this is from the 2014-2014 Info document.  Previously was $107,958.</t>
        </r>
      </text>
    </comment>
  </commentList>
</comments>
</file>

<file path=xl/sharedStrings.xml><?xml version="1.0" encoding="utf-8"?>
<sst xmlns="http://schemas.openxmlformats.org/spreadsheetml/2006/main" count="215" uniqueCount="91">
  <si>
    <t>Policy Year</t>
  </si>
  <si>
    <t>Exposure</t>
  </si>
  <si>
    <t>Rate</t>
  </si>
  <si>
    <t>Premium</t>
  </si>
  <si>
    <t>Captive</t>
  </si>
  <si>
    <t xml:space="preserve"> 12/13</t>
  </si>
  <si>
    <t xml:space="preserve"> 11/12</t>
  </si>
  <si>
    <t xml:space="preserve"> 10/11</t>
  </si>
  <si>
    <t>Assumptions</t>
  </si>
  <si>
    <t>Close-Out Costs</t>
  </si>
  <si>
    <t>Dollar Amount</t>
  </si>
  <si>
    <t>Percentage</t>
  </si>
  <si>
    <t>Total</t>
  </si>
  <si>
    <t>Investment Income</t>
  </si>
  <si>
    <t>Notes</t>
  </si>
  <si>
    <t>Date:</t>
  </si>
  <si>
    <t>of A and B Fund</t>
  </si>
  <si>
    <r>
      <t xml:space="preserve">Initial Cost difference: </t>
    </r>
    <r>
      <rPr>
        <sz val="11"/>
        <color theme="1"/>
        <rFont val="Calibri"/>
        <family val="2"/>
        <scheme val="minor"/>
      </rPr>
      <t>Pay-In Premium Vs. Actual Prior Premiums</t>
    </r>
  </si>
  <si>
    <r>
      <t xml:space="preserve">Final Cost Difference: </t>
    </r>
    <r>
      <rPr>
        <sz val="11"/>
        <color theme="1"/>
        <rFont val="Calibri"/>
        <family val="2"/>
        <scheme val="minor"/>
      </rPr>
      <t>After Assessments, Dividends, Close-Out Costs and Investment Income</t>
    </r>
  </si>
  <si>
    <t>Final Cost</t>
  </si>
  <si>
    <t>Total Pay-In Amount</t>
  </si>
  <si>
    <t>Initial A Fund</t>
  </si>
  <si>
    <t>Initial B Fund</t>
  </si>
  <si>
    <t>Risk Sharing</t>
  </si>
  <si>
    <t>GL</t>
  </si>
  <si>
    <r>
      <rPr>
        <b/>
        <sz val="11"/>
        <color theme="1"/>
        <rFont val="Calibri"/>
        <family val="2"/>
        <scheme val="minor"/>
      </rPr>
      <t xml:space="preserve">Cost of Capital </t>
    </r>
    <r>
      <rPr>
        <sz val="11"/>
        <color theme="1"/>
        <rFont val="Calibri"/>
        <family val="2"/>
        <scheme val="minor"/>
      </rPr>
      <t>is not reflected in the exhibit below. The collateral would have been two times the average A Fund, collected over the first three years in the program.</t>
    </r>
  </si>
  <si>
    <t>General Liab.</t>
  </si>
  <si>
    <t>Workers Comp.</t>
  </si>
  <si>
    <t>Auto Liab.</t>
  </si>
  <si>
    <t>WC</t>
  </si>
  <si>
    <t>Auto</t>
  </si>
  <si>
    <t>Coverage</t>
  </si>
  <si>
    <t>Gen. Liab.</t>
  </si>
  <si>
    <t>Captive Premium Totals</t>
  </si>
  <si>
    <t>Actual Prior Premium</t>
  </si>
  <si>
    <t>B Fund</t>
  </si>
  <si>
    <t>Losses in 1st A Fund</t>
  </si>
  <si>
    <t>Losses in 2nd A Fund</t>
  </si>
  <si>
    <t>Actual Premiums for Prior Programs</t>
  </si>
  <si>
    <t>A Fund</t>
  </si>
  <si>
    <t>Tail Fund</t>
  </si>
  <si>
    <r>
      <rPr>
        <b/>
        <sz val="11"/>
        <color theme="1"/>
        <rFont val="Calibri"/>
        <family val="2"/>
        <scheme val="minor"/>
      </rPr>
      <t>Cash Flow</t>
    </r>
    <r>
      <rPr>
        <sz val="11"/>
        <color theme="1"/>
        <rFont val="Calibri"/>
        <family val="2"/>
        <scheme val="minor"/>
      </rPr>
      <t xml:space="preserve"> is not reflected in the exhibit below. The Pay-In premium is paid in quarterly installments during each policy year. Dividends for each policy year normally start three years after inception and are fully paid five to seven years after inception.</t>
    </r>
  </si>
  <si>
    <r>
      <rPr>
        <b/>
        <sz val="11"/>
        <color theme="1"/>
        <rFont val="Calibri"/>
        <family val="2"/>
        <scheme val="minor"/>
      </rPr>
      <t xml:space="preserve">Tail Fund </t>
    </r>
    <r>
      <rPr>
        <sz val="11"/>
        <color theme="1"/>
        <rFont val="Calibri"/>
        <family val="2"/>
        <scheme val="minor"/>
      </rPr>
      <t>payment is made when the group captive closes a policy year.</t>
    </r>
  </si>
  <si>
    <t>Total Loss Fund</t>
  </si>
  <si>
    <t>Losses</t>
  </si>
  <si>
    <r>
      <rPr>
        <b/>
        <sz val="11"/>
        <color theme="1"/>
        <rFont val="Calibri"/>
        <family val="2"/>
        <scheme val="minor"/>
      </rPr>
      <t xml:space="preserve">Stock </t>
    </r>
    <r>
      <rPr>
        <sz val="11"/>
        <color theme="1"/>
        <rFont val="Calibri"/>
        <family val="2"/>
        <scheme val="minor"/>
      </rPr>
      <t>cost of $36,000 would have been incurred in 2009.</t>
    </r>
  </si>
  <si>
    <t xml:space="preserve"> 13/14</t>
  </si>
  <si>
    <t>A Fund 1</t>
  </si>
  <si>
    <t>A Fund 2</t>
  </si>
  <si>
    <t>What Captive Premiums would have been the past 5 years if your firm had been in the captive.</t>
  </si>
  <si>
    <t>Losses in B Fund</t>
  </si>
  <si>
    <t>DLZ</t>
  </si>
  <si>
    <t>1/1/2013 - 1/1/2014</t>
  </si>
  <si>
    <t>1/1/2012 -1/1/2013</t>
  </si>
  <si>
    <t>1/1/2011 - 1/1/2012</t>
  </si>
  <si>
    <t>1/1/2010 - 1/1/2011</t>
  </si>
  <si>
    <t>Loss Ratio</t>
  </si>
  <si>
    <t>DLZ paid and reserved losses over the past five years:</t>
  </si>
  <si>
    <t>DLZ premium paid over the past five years:</t>
  </si>
  <si>
    <t>Loss Ratio:</t>
  </si>
  <si>
    <t>Post-Dividend Savings vs. Traditional Insurance:</t>
  </si>
  <si>
    <r>
      <t xml:space="preserve">What losses would have been at a </t>
    </r>
    <r>
      <rPr>
        <b/>
        <sz val="11"/>
        <color theme="1"/>
        <rFont val="Calibri"/>
        <family val="2"/>
        <scheme val="minor"/>
      </rPr>
      <t>30% loss ratio</t>
    </r>
    <r>
      <rPr>
        <sz val="11"/>
        <color theme="1"/>
        <rFont val="Calibri"/>
        <family val="2"/>
        <scheme val="minor"/>
      </rPr>
      <t>:</t>
    </r>
  </si>
  <si>
    <r>
      <t xml:space="preserve">What losses would have been at a </t>
    </r>
    <r>
      <rPr>
        <b/>
        <sz val="11"/>
        <color theme="1"/>
        <rFont val="Calibri"/>
        <family val="2"/>
        <scheme val="minor"/>
      </rPr>
      <t>20% loss ratio</t>
    </r>
    <r>
      <rPr>
        <sz val="11"/>
        <color theme="1"/>
        <rFont val="Calibri"/>
        <family val="2"/>
        <scheme val="minor"/>
      </rPr>
      <t>:</t>
    </r>
  </si>
  <si>
    <r>
      <t xml:space="preserve">What losses would have been at a </t>
    </r>
    <r>
      <rPr>
        <b/>
        <sz val="11"/>
        <color theme="1"/>
        <rFont val="Calibri"/>
        <family val="2"/>
        <scheme val="minor"/>
      </rPr>
      <t>10% loss ratio</t>
    </r>
    <r>
      <rPr>
        <sz val="11"/>
        <color theme="1"/>
        <rFont val="Calibri"/>
        <family val="2"/>
        <scheme val="minor"/>
      </rPr>
      <t>:</t>
    </r>
  </si>
  <si>
    <t>1/1/2014 - 1/1/2015</t>
  </si>
  <si>
    <t>14/15</t>
  </si>
  <si>
    <t>Quote</t>
  </si>
  <si>
    <t>Operating Costs</t>
  </si>
  <si>
    <t>Surcharges</t>
  </si>
  <si>
    <t>Sub total</t>
  </si>
  <si>
    <t>Broker Fee</t>
  </si>
  <si>
    <t>Auto PD</t>
  </si>
  <si>
    <t>Auto Liab</t>
  </si>
  <si>
    <t>Surcharges and Broker Fee</t>
  </si>
  <si>
    <t>Net</t>
  </si>
  <si>
    <t>Based on 15/16 Proposal</t>
  </si>
  <si>
    <r>
      <rPr>
        <b/>
        <sz val="11"/>
        <color theme="1"/>
        <rFont val="Calibri"/>
        <family val="2"/>
        <scheme val="minor"/>
      </rPr>
      <t xml:space="preserve">Group Captive: </t>
    </r>
    <r>
      <rPr>
        <sz val="11"/>
        <color theme="1"/>
        <rFont val="Calibri"/>
        <family val="2"/>
        <scheme val="minor"/>
      </rPr>
      <t>What costs would have been from 2010/2011 to 2014/2015</t>
    </r>
  </si>
  <si>
    <t xml:space="preserve"> 13/14 </t>
  </si>
  <si>
    <t xml:space="preserve"> 11/12 </t>
  </si>
  <si>
    <t xml:space="preserve"> 14/15 </t>
  </si>
  <si>
    <t xml:space="preserve"> 12/13 </t>
  </si>
  <si>
    <t xml:space="preserve"> 10/11 </t>
  </si>
  <si>
    <t>Gross</t>
  </si>
  <si>
    <r>
      <rPr>
        <b/>
        <sz val="11"/>
        <color theme="1"/>
        <rFont val="Calibri"/>
        <family val="2"/>
        <scheme val="minor"/>
      </rPr>
      <t xml:space="preserve">Group Captive: </t>
    </r>
    <r>
      <rPr>
        <sz val="11"/>
        <color theme="1"/>
        <rFont val="Calibri"/>
        <family val="2"/>
        <scheme val="minor"/>
      </rPr>
      <t>What costs would have been from 09/10 to 13/14 at various loss levels.</t>
    </r>
  </si>
  <si>
    <t>Captive 15/16 Quote</t>
  </si>
  <si>
    <t>1/1/2015 - 1/1/2016</t>
  </si>
  <si>
    <t>Losses :</t>
  </si>
  <si>
    <t>Final Cost:</t>
  </si>
  <si>
    <t>Actual Past Five Year Premium:</t>
  </si>
  <si>
    <t>Savings (18%):</t>
  </si>
  <si>
    <t xml:space="preserve">Losses in 1st A Fund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</si>
</sst>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quot;$&quot;#,##0.0000"/>
    <numFmt numFmtId="165" formatCode="&quot;$&quot;#,##0"/>
    <numFmt numFmtId="166" formatCode="&quot;$&quot;#,##0.00"/>
    <numFmt numFmtId="167" formatCode="_-* #,##0.00_-;\-* #,##0.00_-;_-* &quot;-&quot;??_-;_-@_-"/>
    <numFmt numFmtId="168" formatCode="0.0%"/>
    <numFmt numFmtId="169" formatCode="#,##0.00;\(#,##0.00\)"/>
    <numFmt numFmtId="170" formatCode="_-&quot;$&quot;* #,##0.00_-;\-&quot;$&quot;* #,##0.00_-;_-&quot;$&quot;* &quot;-&quot;??_-;_-@_-"/>
  </numFmts>
  <fonts count="105">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u/>
      <sz val="11"/>
      <color theme="1"/>
      <name val="Calibri"/>
      <family val="2"/>
      <scheme val="minor"/>
    </font>
    <font>
      <u/>
      <sz val="11"/>
      <color theme="1"/>
      <name val="Calibri"/>
      <family val="2"/>
      <scheme val="minor"/>
    </font>
    <font>
      <sz val="1"/>
      <color theme="1"/>
      <name val="Calibri"/>
      <family val="2"/>
      <scheme val="minor"/>
    </font>
    <font>
      <sz val="11"/>
      <color theme="0"/>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Arial"/>
      <family val="2"/>
    </font>
    <font>
      <sz val="10"/>
      <name val="Arial"/>
      <family val="2"/>
    </font>
    <font>
      <u/>
      <sz val="7.5"/>
      <color indexed="12"/>
      <name val="Arial"/>
      <family val="2"/>
    </font>
    <font>
      <sz val="10"/>
      <color indexed="8"/>
      <name val="Arial"/>
      <family val="2"/>
    </font>
    <font>
      <sz val="11"/>
      <color indexed="8"/>
      <name val="Calibri"/>
      <family val="2"/>
    </font>
    <font>
      <sz val="10"/>
      <color indexed="8"/>
      <name val="MS Sans Serif"/>
      <family val="2"/>
    </font>
    <font>
      <b/>
      <sz val="14.05"/>
      <color indexed="8"/>
      <name val="Times New Roman"/>
      <family val="1"/>
    </font>
    <font>
      <sz val="10"/>
      <name val="Courier"/>
      <family val="3"/>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1"/>
      <color theme="1"/>
      <name val="Arial"/>
      <family val="2"/>
    </font>
    <font>
      <b/>
      <sz val="10"/>
      <color rgb="FF3F3F3F"/>
      <name val="Arial"/>
      <family val="2"/>
    </font>
    <font>
      <b/>
      <sz val="10"/>
      <color theme="1"/>
      <name val="Arial"/>
      <family val="2"/>
    </font>
    <font>
      <sz val="10"/>
      <color rgb="FFFF0000"/>
      <name val="Arial"/>
      <family val="2"/>
    </font>
    <font>
      <b/>
      <sz val="15"/>
      <color indexed="56"/>
      <name val="Calibri"/>
      <family val="2"/>
      <scheme val="minor"/>
    </font>
    <font>
      <b/>
      <sz val="11"/>
      <color indexed="56"/>
      <name val="Calibri"/>
      <family val="2"/>
      <scheme val="minor"/>
    </font>
    <font>
      <b/>
      <sz val="11"/>
      <color indexed="52"/>
      <name val="Calibri"/>
      <family val="2"/>
      <scheme val="minor"/>
    </font>
    <font>
      <sz val="11"/>
      <color indexed="60"/>
      <name val="Calibri"/>
      <family val="2"/>
      <scheme val="minor"/>
    </font>
    <font>
      <b/>
      <sz val="13"/>
      <color indexed="56"/>
      <name val="Calibri"/>
      <family val="2"/>
      <scheme val="minor"/>
    </font>
    <font>
      <b/>
      <sz val="18"/>
      <color indexed="56"/>
      <name val="Cambria"/>
      <family val="2"/>
      <scheme val="major"/>
    </font>
    <font>
      <sz val="11"/>
      <color indexed="52"/>
      <name val="Calibri"/>
      <family val="2"/>
      <scheme val="minor"/>
    </font>
    <font>
      <b/>
      <sz val="18"/>
      <color indexed="62"/>
      <name val="Cambria"/>
      <family val="2"/>
    </font>
    <font>
      <b/>
      <sz val="10"/>
      <color indexed="10"/>
      <name val="Arial"/>
      <family val="2"/>
    </font>
    <font>
      <b/>
      <sz val="15"/>
      <color indexed="62"/>
      <name val="Arial"/>
      <family val="2"/>
    </font>
    <font>
      <b/>
      <sz val="13"/>
      <color indexed="62"/>
      <name val="Arial"/>
      <family val="2"/>
    </font>
    <font>
      <b/>
      <sz val="11"/>
      <color indexed="62"/>
      <name val="Arial"/>
      <family val="2"/>
    </font>
    <font>
      <sz val="10"/>
      <color indexed="10"/>
      <name val="Arial"/>
      <family val="2"/>
    </font>
    <font>
      <sz val="10"/>
      <color indexed="19"/>
      <name val="Arial"/>
      <family val="2"/>
    </font>
    <font>
      <sz val="11"/>
      <color indexed="8"/>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LinePrinter"/>
    </font>
    <font>
      <sz val="11"/>
      <color theme="1"/>
      <name val="Calibri"/>
      <family val="2"/>
    </font>
    <font>
      <sz val="11"/>
      <color theme="0"/>
      <name val="Calibri"/>
      <family val="2"/>
    </font>
    <font>
      <sz val="11"/>
      <color rgb="FF9C0006"/>
      <name val="Calibri"/>
      <family val="2"/>
    </font>
    <font>
      <b/>
      <sz val="11"/>
      <color indexed="10"/>
      <name val="Calibri"/>
      <family val="2"/>
      <scheme val="minor"/>
    </font>
    <font>
      <b/>
      <sz val="11"/>
      <color theme="0"/>
      <name val="Calibri"/>
      <family val="2"/>
    </font>
    <font>
      <i/>
      <sz val="11"/>
      <color rgb="FF7F7F7F"/>
      <name val="Calibri"/>
      <family val="2"/>
    </font>
    <font>
      <sz val="11"/>
      <color rgb="FF006100"/>
      <name val="Calibri"/>
      <family val="2"/>
    </font>
    <font>
      <b/>
      <sz val="15"/>
      <color indexed="62"/>
      <name val="Calibri"/>
      <family val="2"/>
      <scheme val="minor"/>
    </font>
    <font>
      <b/>
      <sz val="13"/>
      <color indexed="62"/>
      <name val="Calibri"/>
      <family val="2"/>
      <scheme val="minor"/>
    </font>
    <font>
      <b/>
      <sz val="11"/>
      <color indexed="62"/>
      <name val="Calibri"/>
      <family val="2"/>
      <scheme val="minor"/>
    </font>
    <font>
      <sz val="11"/>
      <color rgb="FF3F3F76"/>
      <name val="Calibri"/>
      <family val="2"/>
    </font>
    <font>
      <sz val="11"/>
      <color indexed="10"/>
      <name val="Calibri"/>
      <family val="2"/>
      <scheme val="minor"/>
    </font>
    <font>
      <sz val="11"/>
      <color indexed="19"/>
      <name val="Calibri"/>
      <family val="2"/>
      <scheme val="minor"/>
    </font>
    <font>
      <sz val="10"/>
      <color theme="1"/>
      <name val="Calibri"/>
      <family val="2"/>
    </font>
    <font>
      <b/>
      <sz val="11"/>
      <color rgb="FF3F3F3F"/>
      <name val="Calibri"/>
      <family val="2"/>
    </font>
    <font>
      <b/>
      <sz val="18"/>
      <color indexed="62"/>
      <name val="Cambria"/>
      <family val="2"/>
      <scheme val="major"/>
    </font>
    <font>
      <b/>
      <sz val="11"/>
      <color theme="1"/>
      <name val="Calibri"/>
      <family val="2"/>
    </font>
    <font>
      <sz val="11"/>
      <color rgb="FFFF0000"/>
      <name val="Calibri"/>
      <family val="2"/>
    </font>
    <font>
      <sz val="9"/>
      <color indexed="81"/>
      <name val="Tahoma"/>
      <family val="2"/>
    </font>
    <font>
      <b/>
      <sz val="9"/>
      <color indexed="81"/>
      <name val="Tahoma"/>
      <family val="2"/>
    </font>
    <font>
      <sz val="11"/>
      <color rgb="FF000000"/>
      <name val="Calibri"/>
      <family val="2"/>
      <scheme val="minor"/>
    </font>
    <font>
      <sz val="10"/>
      <name val="Tahoma"/>
      <family val="2"/>
    </font>
    <font>
      <u/>
      <sz val="10"/>
      <color theme="10"/>
      <name val="Arial"/>
      <family val="2"/>
    </font>
    <font>
      <sz val="15"/>
      <color rgb="FF000000"/>
      <name val="News Gothic"/>
    </font>
    <font>
      <u/>
      <sz val="15"/>
      <color rgb="FFFF0000"/>
      <name val="News Gothic"/>
    </font>
    <font>
      <b/>
      <sz val="15"/>
      <color rgb="FF000000"/>
      <name val="News Gothic"/>
    </font>
  </fonts>
  <fills count="60">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22"/>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56"/>
      </patternFill>
    </fill>
    <fill>
      <patternFill patternType="solid">
        <fgColor indexed="54"/>
      </patternFill>
    </fill>
    <fill>
      <patternFill patternType="solid">
        <fgColor indexed="9"/>
      </patternFill>
    </fill>
  </fills>
  <borders count="57">
    <border>
      <left/>
      <right/>
      <top/>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right/>
      <top/>
      <bottom style="thin">
        <color theme="0" tint="-0.24994659260841701"/>
      </bottom>
      <diagonal/>
    </border>
    <border>
      <left/>
      <right/>
      <top style="thin">
        <color theme="0" tint="-0.24994659260841701"/>
      </top>
      <bottom/>
      <diagonal/>
    </border>
    <border>
      <left style="thin">
        <color theme="0"/>
      </left>
      <right/>
      <top/>
      <bottom style="thin">
        <color theme="0"/>
      </bottom>
      <diagonal/>
    </border>
    <border>
      <left style="thin">
        <color theme="0"/>
      </left>
      <right style="thin">
        <color theme="0"/>
      </right>
      <top style="thin">
        <color theme="0"/>
      </top>
      <bottom/>
      <diagonal/>
    </border>
    <border>
      <left style="medium">
        <color rgb="FF808080"/>
      </left>
      <right/>
      <top/>
      <bottom style="medium">
        <color rgb="FF808080"/>
      </bottom>
      <diagonal/>
    </border>
    <border>
      <left style="medium">
        <color rgb="FF808080"/>
      </left>
      <right/>
      <top style="medium">
        <color rgb="FF808080"/>
      </top>
      <bottom style="medium">
        <color rgb="FF808080"/>
      </bottom>
      <diagonal/>
    </border>
    <border>
      <left style="medium">
        <color rgb="FF808080"/>
      </left>
      <right/>
      <top style="medium">
        <color rgb="FF808080"/>
      </top>
      <bottom/>
      <diagonal/>
    </border>
    <border>
      <left/>
      <right style="medium">
        <color rgb="FF808080"/>
      </right>
      <top/>
      <bottom style="medium">
        <color rgb="FF808080"/>
      </bottom>
      <diagonal/>
    </border>
    <border>
      <left/>
      <right style="medium">
        <color rgb="FF808080"/>
      </right>
      <top style="medium">
        <color rgb="FF808080"/>
      </top>
      <bottom style="medium">
        <color rgb="FF808080"/>
      </bottom>
      <diagonal/>
    </border>
    <border>
      <left/>
      <right style="medium">
        <color rgb="FF808080"/>
      </right>
      <top style="medium">
        <color rgb="FF808080"/>
      </top>
      <bottom/>
      <diagonal/>
    </border>
  </borders>
  <cellStyleXfs count="799">
    <xf numFmtId="0" fontId="0" fillId="0" borderId="0"/>
    <xf numFmtId="0" fontId="9" fillId="0" borderId="0" applyNumberFormat="0" applyFill="0" applyBorder="0" applyAlignment="0" applyProtection="0"/>
    <xf numFmtId="0" fontId="17" fillId="0" borderId="0"/>
    <xf numFmtId="0" fontId="41" fillId="12" borderId="0" applyNumberFormat="0" applyBorder="0" applyAlignment="0" applyProtection="0"/>
    <xf numFmtId="0" fontId="21" fillId="36" borderId="0" applyNumberFormat="0" applyBorder="0" applyAlignment="0" applyProtection="0"/>
    <xf numFmtId="0" fontId="8" fillId="36" borderId="0" applyNumberFormat="0" applyBorder="0" applyAlignment="0" applyProtection="0"/>
    <xf numFmtId="0" fontId="41" fillId="16" borderId="0" applyNumberFormat="0" applyBorder="0" applyAlignment="0" applyProtection="0"/>
    <xf numFmtId="0" fontId="21" fillId="38" borderId="0" applyNumberFormat="0" applyBorder="0" applyAlignment="0" applyProtection="0"/>
    <xf numFmtId="0" fontId="8" fillId="38" borderId="0" applyNumberFormat="0" applyBorder="0" applyAlignment="0" applyProtection="0"/>
    <xf numFmtId="0" fontId="41" fillId="20" borderId="0" applyNumberFormat="0" applyBorder="0" applyAlignment="0" applyProtection="0"/>
    <xf numFmtId="0" fontId="21" fillId="40" borderId="0" applyNumberFormat="0" applyBorder="0" applyAlignment="0" applyProtection="0"/>
    <xf numFmtId="0" fontId="8" fillId="40" borderId="0" applyNumberFormat="0" applyBorder="0" applyAlignment="0" applyProtection="0"/>
    <xf numFmtId="0" fontId="41" fillId="24" borderId="0" applyNumberFormat="0" applyBorder="0" applyAlignment="0" applyProtection="0"/>
    <xf numFmtId="0" fontId="21" fillId="42" borderId="0" applyNumberFormat="0" applyBorder="0" applyAlignment="0" applyProtection="0"/>
    <xf numFmtId="0" fontId="8" fillId="42" borderId="0" applyNumberFormat="0" applyBorder="0" applyAlignment="0" applyProtection="0"/>
    <xf numFmtId="0" fontId="41" fillId="28" borderId="0" applyNumberFormat="0" applyBorder="0" applyAlignment="0" applyProtection="0"/>
    <xf numFmtId="0" fontId="21" fillId="43" borderId="0" applyNumberFormat="0" applyBorder="0" applyAlignment="0" applyProtection="0"/>
    <xf numFmtId="0" fontId="8" fillId="28" borderId="0" applyNumberFormat="0" applyBorder="0" applyAlignment="0" applyProtection="0"/>
    <xf numFmtId="0" fontId="41" fillId="32" borderId="0" applyNumberFormat="0" applyBorder="0" applyAlignment="0" applyProtection="0"/>
    <xf numFmtId="0" fontId="21" fillId="41" borderId="0" applyNumberFormat="0" applyBorder="0" applyAlignment="0" applyProtection="0"/>
    <xf numFmtId="0" fontId="8" fillId="44" borderId="0" applyNumberFormat="0" applyBorder="0" applyAlignment="0" applyProtection="0"/>
    <xf numFmtId="0" fontId="41" fillId="13" borderId="0" applyNumberFormat="0" applyBorder="0" applyAlignment="0" applyProtection="0"/>
    <xf numFmtId="0" fontId="21" fillId="35" borderId="0" applyNumberFormat="0" applyBorder="0" applyAlignment="0" applyProtection="0"/>
    <xf numFmtId="0" fontId="8" fillId="35" borderId="0" applyNumberFormat="0" applyBorder="0" applyAlignment="0" applyProtection="0"/>
    <xf numFmtId="0" fontId="41" fillId="17" borderId="0" applyNumberFormat="0" applyBorder="0" applyAlignment="0" applyProtection="0"/>
    <xf numFmtId="0" fontId="21" fillId="37" borderId="0" applyNumberFormat="0" applyBorder="0" applyAlignment="0" applyProtection="0"/>
    <xf numFmtId="0" fontId="8" fillId="17" borderId="0" applyNumberFormat="0" applyBorder="0" applyAlignment="0" applyProtection="0"/>
    <xf numFmtId="0" fontId="41" fillId="21" borderId="0" applyNumberFormat="0" applyBorder="0" applyAlignment="0" applyProtection="0"/>
    <xf numFmtId="0" fontId="21" fillId="46" borderId="0" applyNumberFormat="0" applyBorder="0" applyAlignment="0" applyProtection="0"/>
    <xf numFmtId="0" fontId="8" fillId="46" borderId="0" applyNumberFormat="0" applyBorder="0" applyAlignment="0" applyProtection="0"/>
    <xf numFmtId="0" fontId="41" fillId="25" borderId="0" applyNumberFormat="0" applyBorder="0" applyAlignment="0" applyProtection="0"/>
    <xf numFmtId="0" fontId="21" fillId="42" borderId="0" applyNumberFormat="0" applyBorder="0" applyAlignment="0" applyProtection="0"/>
    <xf numFmtId="0" fontId="8" fillId="42" borderId="0" applyNumberFormat="0" applyBorder="0" applyAlignment="0" applyProtection="0"/>
    <xf numFmtId="0" fontId="41" fillId="29" borderId="0" applyNumberFormat="0" applyBorder="0" applyAlignment="0" applyProtection="0"/>
    <xf numFmtId="0" fontId="21" fillId="35" borderId="0" applyNumberFormat="0" applyBorder="0" applyAlignment="0" applyProtection="0"/>
    <xf numFmtId="0" fontId="8" fillId="35" borderId="0" applyNumberFormat="0" applyBorder="0" applyAlignment="0" applyProtection="0"/>
    <xf numFmtId="0" fontId="41" fillId="33" borderId="0" applyNumberFormat="0" applyBorder="0" applyAlignment="0" applyProtection="0"/>
    <xf numFmtId="0" fontId="21" fillId="47" borderId="0" applyNumberFormat="0" applyBorder="0" applyAlignment="0" applyProtection="0"/>
    <xf numFmtId="0" fontId="8" fillId="47" borderId="0" applyNumberFormat="0" applyBorder="0" applyAlignment="0" applyProtection="0"/>
    <xf numFmtId="0" fontId="42" fillId="14" borderId="0" applyNumberFormat="0" applyBorder="0" applyAlignment="0" applyProtection="0"/>
    <xf numFmtId="0" fontId="25" fillId="48" borderId="0" applyNumberFormat="0" applyBorder="0" applyAlignment="0" applyProtection="0"/>
    <xf numFmtId="0" fontId="7" fillId="48" borderId="0" applyNumberFormat="0" applyBorder="0" applyAlignment="0" applyProtection="0"/>
    <xf numFmtId="0" fontId="42" fillId="18" borderId="0" applyNumberFormat="0" applyBorder="0" applyAlignment="0" applyProtection="0"/>
    <xf numFmtId="0" fontId="25" fillId="37" borderId="0" applyNumberFormat="0" applyBorder="0" applyAlignment="0" applyProtection="0"/>
    <xf numFmtId="0" fontId="7" fillId="37" borderId="0" applyNumberFormat="0" applyBorder="0" applyAlignment="0" applyProtection="0"/>
    <xf numFmtId="0" fontId="42" fillId="22" borderId="0" applyNumberFormat="0" applyBorder="0" applyAlignment="0" applyProtection="0"/>
    <xf numFmtId="0" fontId="25" fillId="46" borderId="0" applyNumberFormat="0" applyBorder="0" applyAlignment="0" applyProtection="0"/>
    <xf numFmtId="0" fontId="7" fillId="46" borderId="0" applyNumberFormat="0" applyBorder="0" applyAlignment="0" applyProtection="0"/>
    <xf numFmtId="0" fontId="42" fillId="26" borderId="0" applyNumberFormat="0" applyBorder="0" applyAlignment="0" applyProtection="0"/>
    <xf numFmtId="0" fontId="25" fillId="50" borderId="0" applyNumberFormat="0" applyBorder="0" applyAlignment="0" applyProtection="0"/>
    <xf numFmtId="0" fontId="7" fillId="50" borderId="0" applyNumberFormat="0" applyBorder="0" applyAlignment="0" applyProtection="0"/>
    <xf numFmtId="0" fontId="42" fillId="30" borderId="0" applyNumberFormat="0" applyBorder="0" applyAlignment="0" applyProtection="0"/>
    <xf numFmtId="0" fontId="25" fillId="51" borderId="0" applyNumberFormat="0" applyBorder="0" applyAlignment="0" applyProtection="0"/>
    <xf numFmtId="0" fontId="7" fillId="51" borderId="0" applyNumberFormat="0" applyBorder="0" applyAlignment="0" applyProtection="0"/>
    <xf numFmtId="0" fontId="42" fillId="34" borderId="0" applyNumberFormat="0" applyBorder="0" applyAlignment="0" applyProtection="0"/>
    <xf numFmtId="0" fontId="25" fillId="52" borderId="0" applyNumberFormat="0" applyBorder="0" applyAlignment="0" applyProtection="0"/>
    <xf numFmtId="0" fontId="7" fillId="52" borderId="0" applyNumberFormat="0" applyBorder="0" applyAlignment="0" applyProtection="0"/>
    <xf numFmtId="0" fontId="42" fillId="11" borderId="0" applyNumberFormat="0" applyBorder="0" applyAlignment="0" applyProtection="0"/>
    <xf numFmtId="0" fontId="25" fillId="53" borderId="0" applyNumberFormat="0" applyBorder="0" applyAlignment="0" applyProtection="0"/>
    <xf numFmtId="0" fontId="7" fillId="53" borderId="0" applyNumberFormat="0" applyBorder="0" applyAlignment="0" applyProtection="0"/>
    <xf numFmtId="0" fontId="42" fillId="15" borderId="0" applyNumberFormat="0" applyBorder="0" applyAlignment="0" applyProtection="0"/>
    <xf numFmtId="0" fontId="25" fillId="54" borderId="0" applyNumberFormat="0" applyBorder="0" applyAlignment="0" applyProtection="0"/>
    <xf numFmtId="0" fontId="7" fillId="54" borderId="0" applyNumberFormat="0" applyBorder="0" applyAlignment="0" applyProtection="0"/>
    <xf numFmtId="0" fontId="42" fillId="19" borderId="0" applyNumberFormat="0" applyBorder="0" applyAlignment="0" applyProtection="0"/>
    <xf numFmtId="0" fontId="25" fillId="55" borderId="0" applyNumberFormat="0" applyBorder="0" applyAlignment="0" applyProtection="0"/>
    <xf numFmtId="0" fontId="7" fillId="55" borderId="0" applyNumberFormat="0" applyBorder="0" applyAlignment="0" applyProtection="0"/>
    <xf numFmtId="0" fontId="42" fillId="23" borderId="0" applyNumberFormat="0" applyBorder="0" applyAlignment="0" applyProtection="0"/>
    <xf numFmtId="0" fontId="25" fillId="50" borderId="0" applyNumberFormat="0" applyBorder="0" applyAlignment="0" applyProtection="0"/>
    <xf numFmtId="0" fontId="7" fillId="50" borderId="0" applyNumberFormat="0" applyBorder="0" applyAlignment="0" applyProtection="0"/>
    <xf numFmtId="0" fontId="42" fillId="27" borderId="0" applyNumberFormat="0" applyBorder="0" applyAlignment="0" applyProtection="0"/>
    <xf numFmtId="0" fontId="25" fillId="51" borderId="0" applyNumberFormat="0" applyBorder="0" applyAlignment="0" applyProtection="0"/>
    <xf numFmtId="0" fontId="7" fillId="27" borderId="0" applyNumberFormat="0" applyBorder="0" applyAlignment="0" applyProtection="0"/>
    <xf numFmtId="0" fontId="42" fillId="31" borderId="0" applyNumberFormat="0" applyBorder="0" applyAlignment="0" applyProtection="0"/>
    <xf numFmtId="0" fontId="25" fillId="49" borderId="0" applyNumberFormat="0" applyBorder="0" applyAlignment="0" applyProtection="0"/>
    <xf numFmtId="0" fontId="7" fillId="49" borderId="0" applyNumberFormat="0" applyBorder="0" applyAlignment="0" applyProtection="0"/>
    <xf numFmtId="0" fontId="43" fillId="5" borderId="0" applyNumberFormat="0" applyBorder="0" applyAlignment="0" applyProtection="0"/>
    <xf numFmtId="0" fontId="26" fillId="38" borderId="0" applyNumberFormat="0" applyBorder="0" applyAlignment="0" applyProtection="0"/>
    <xf numFmtId="0" fontId="11" fillId="38" borderId="0" applyNumberFormat="0" applyBorder="0" applyAlignment="0" applyProtection="0"/>
    <xf numFmtId="0" fontId="44" fillId="8" borderId="15" applyNumberFormat="0" applyAlignment="0" applyProtection="0"/>
    <xf numFmtId="0" fontId="27" fillId="44" borderId="21" applyNumberFormat="0" applyAlignment="0" applyProtection="0"/>
    <xf numFmtId="0" fontId="60" fillId="44" borderId="15" applyNumberFormat="0" applyAlignment="0" applyProtection="0"/>
    <xf numFmtId="0" fontId="45" fillId="9" borderId="18" applyNumberFormat="0" applyAlignment="0" applyProtection="0"/>
    <xf numFmtId="0" fontId="28" fillId="56" borderId="22" applyNumberFormat="0" applyAlignment="0" applyProtection="0"/>
    <xf numFmtId="0" fontId="14" fillId="9" borderId="18" applyNumberFormat="0" applyAlignment="0" applyProtection="0"/>
    <xf numFmtId="43" fontId="18" fillId="0" borderId="0" applyFont="0" applyFill="0" applyBorder="0" applyAlignment="0" applyProtection="0"/>
    <xf numFmtId="167" fontId="20" fillId="0" borderId="0" applyFont="0" applyFill="0" applyBorder="0" applyAlignment="0" applyProtection="0"/>
    <xf numFmtId="43" fontId="18" fillId="0" borderId="0" applyFont="0" applyFill="0" applyBorder="0" applyAlignment="0" applyProtection="0"/>
    <xf numFmtId="167" fontId="2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23" fillId="0" borderId="0" applyFont="0" applyFill="0" applyBorder="0" applyAlignment="0" applyProtection="0"/>
    <xf numFmtId="44" fontId="21"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21" fillId="0" borderId="0" applyFont="0" applyFill="0" applyBorder="0" applyAlignment="0" applyProtection="0"/>
    <xf numFmtId="0" fontId="46" fillId="0" borderId="0" applyNumberFormat="0" applyFill="0" applyBorder="0" applyAlignment="0" applyProtection="0"/>
    <xf numFmtId="0" fontId="29" fillId="0" borderId="0" applyNumberFormat="0" applyFill="0" applyBorder="0" applyAlignment="0" applyProtection="0"/>
    <xf numFmtId="0" fontId="16" fillId="0" borderId="0" applyNumberFormat="0" applyFill="0" applyBorder="0" applyAlignment="0" applyProtection="0"/>
    <xf numFmtId="0" fontId="47" fillId="4" borderId="0" applyNumberFormat="0" applyBorder="0" applyAlignment="0" applyProtection="0"/>
    <xf numFmtId="0" fontId="30" fillId="40" borderId="0" applyNumberFormat="0" applyBorder="0" applyAlignment="0" applyProtection="0"/>
    <xf numFmtId="0" fontId="10" fillId="40" borderId="0" applyNumberFormat="0" applyBorder="0" applyAlignment="0" applyProtection="0"/>
    <xf numFmtId="0" fontId="48" fillId="0" borderId="12" applyNumberFormat="0" applyFill="0" applyAlignment="0" applyProtection="0"/>
    <xf numFmtId="0" fontId="31" fillId="0" borderId="23" applyNumberFormat="0" applyFill="0" applyAlignment="0" applyProtection="0"/>
    <xf numFmtId="0" fontId="58" fillId="0" borderId="23" applyNumberFormat="0" applyFill="0" applyAlignment="0" applyProtection="0"/>
    <xf numFmtId="0" fontId="49" fillId="0" borderId="13" applyNumberFormat="0" applyFill="0" applyAlignment="0" applyProtection="0"/>
    <xf numFmtId="0" fontId="32" fillId="0" borderId="24" applyNumberFormat="0" applyFill="0" applyAlignment="0" applyProtection="0"/>
    <xf numFmtId="0" fontId="62" fillId="0" borderId="24" applyNumberFormat="0" applyFill="0" applyAlignment="0" applyProtection="0"/>
    <xf numFmtId="0" fontId="50" fillId="0" borderId="14" applyNumberFormat="0" applyFill="0" applyAlignment="0" applyProtection="0"/>
    <xf numFmtId="0" fontId="33" fillId="0" borderId="25" applyNumberFormat="0" applyFill="0" applyAlignment="0" applyProtection="0"/>
    <xf numFmtId="0" fontId="59" fillId="0" borderId="25" applyNumberFormat="0" applyFill="0" applyAlignment="0" applyProtection="0"/>
    <xf numFmtId="0" fontId="59" fillId="0" borderId="25" applyNumberFormat="0" applyFill="0" applyAlignment="0" applyProtection="0"/>
    <xf numFmtId="0" fontId="50" fillId="0" borderId="0" applyNumberFormat="0" applyFill="0" applyBorder="0" applyAlignment="0" applyProtection="0"/>
    <xf numFmtId="0" fontId="33" fillId="0" borderId="0" applyNumberFormat="0" applyFill="0" applyBorder="0" applyAlignment="0" applyProtection="0"/>
    <xf numFmtId="0" fontId="59" fillId="0" borderId="0" applyNumberFormat="0" applyFill="0" applyBorder="0" applyAlignment="0" applyProtection="0"/>
    <xf numFmtId="0" fontId="19" fillId="0" borderId="0" applyNumberFormat="0" applyFill="0" applyBorder="0" applyAlignment="0" applyProtection="0">
      <alignment vertical="top"/>
      <protection locked="0"/>
    </xf>
    <xf numFmtId="0" fontId="51" fillId="7" borderId="15" applyNumberFormat="0" applyAlignment="0" applyProtection="0"/>
    <xf numFmtId="0" fontId="34" fillId="41" borderId="21" applyNumberFormat="0" applyAlignment="0" applyProtection="0"/>
    <xf numFmtId="0" fontId="12" fillId="44" borderId="15" applyNumberFormat="0" applyAlignment="0" applyProtection="0"/>
    <xf numFmtId="0" fontId="52" fillId="0" borderId="17" applyNumberFormat="0" applyFill="0" applyAlignment="0" applyProtection="0"/>
    <xf numFmtId="0" fontId="35"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53" fillId="6" borderId="0" applyNumberFormat="0" applyBorder="0" applyAlignment="0" applyProtection="0"/>
    <xf numFmtId="0" fontId="36" fillId="45" borderId="0" applyNumberFormat="0" applyBorder="0" applyAlignment="0" applyProtection="0"/>
    <xf numFmtId="0" fontId="61" fillId="6" borderId="0" applyNumberFormat="0" applyBorder="0" applyAlignment="0" applyProtection="0"/>
    <xf numFmtId="0" fontId="20" fillId="0" borderId="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alignment vertical="top"/>
    </xf>
    <xf numFmtId="0" fontId="18" fillId="0" borderId="0"/>
    <xf numFmtId="0" fontId="20" fillId="0" borderId="0">
      <alignment vertical="top"/>
    </xf>
    <xf numFmtId="0" fontId="20" fillId="0" borderId="0">
      <alignment vertical="top"/>
    </xf>
    <xf numFmtId="0" fontId="22" fillId="0" borderId="0"/>
    <xf numFmtId="0" fontId="1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alignment vertical="top"/>
    </xf>
    <xf numFmtId="0" fontId="20" fillId="0" borderId="0">
      <alignment vertical="top"/>
    </xf>
    <xf numFmtId="0" fontId="20" fillId="0" borderId="0">
      <alignment vertical="top"/>
    </xf>
    <xf numFmtId="0" fontId="8" fillId="0" borderId="0"/>
    <xf numFmtId="0" fontId="8" fillId="0" borderId="0"/>
    <xf numFmtId="0" fontId="8" fillId="0" borderId="0"/>
    <xf numFmtId="0" fontId="8" fillId="0" borderId="0"/>
    <xf numFmtId="0" fontId="8" fillId="0" borderId="0"/>
    <xf numFmtId="0" fontId="20" fillId="0" borderId="0">
      <alignment vertical="top"/>
    </xf>
    <xf numFmtId="0" fontId="8" fillId="0" borderId="0"/>
    <xf numFmtId="0" fontId="20" fillId="0" borderId="0">
      <alignment vertical="top"/>
    </xf>
    <xf numFmtId="0" fontId="20" fillId="0" borderId="0">
      <alignment vertical="top"/>
    </xf>
    <xf numFmtId="0" fontId="20" fillId="0" borderId="0">
      <alignment vertical="top"/>
    </xf>
    <xf numFmtId="0" fontId="8" fillId="0" borderId="0"/>
    <xf numFmtId="0" fontId="20" fillId="0" borderId="0">
      <alignment vertical="top"/>
    </xf>
    <xf numFmtId="0" fontId="20" fillId="0" borderId="0">
      <alignment vertical="top"/>
    </xf>
    <xf numFmtId="0" fontId="20" fillId="0" borderId="0">
      <alignment vertical="top"/>
    </xf>
    <xf numFmtId="0" fontId="8" fillId="0" borderId="0"/>
    <xf numFmtId="0" fontId="18" fillId="0" borderId="0"/>
    <xf numFmtId="0" fontId="18" fillId="0" borderId="0"/>
    <xf numFmtId="0" fontId="18" fillId="0" borderId="0"/>
    <xf numFmtId="0" fontId="20" fillId="0" borderId="0">
      <alignment vertical="top"/>
    </xf>
    <xf numFmtId="0" fontId="8" fillId="0" borderId="0"/>
    <xf numFmtId="0" fontId="8" fillId="0" borderId="0"/>
    <xf numFmtId="0" fontId="8" fillId="0" borderId="0"/>
    <xf numFmtId="0" fontId="18"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8" fillId="0" borderId="0"/>
    <xf numFmtId="0" fontId="18" fillId="0" borderId="0"/>
    <xf numFmtId="0" fontId="18" fillId="0" borderId="0"/>
    <xf numFmtId="0" fontId="41"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54" fillId="0" borderId="0"/>
    <xf numFmtId="0" fontId="24" fillId="0" borderId="0"/>
    <xf numFmtId="0" fontId="18" fillId="0" borderId="0"/>
    <xf numFmtId="0" fontId="18"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18" fillId="0" borderId="0"/>
    <xf numFmtId="0" fontId="20" fillId="10" borderId="19" applyNumberFormat="0" applyFont="0" applyAlignment="0" applyProtection="0"/>
    <xf numFmtId="0" fontId="18" fillId="39" borderId="27" applyNumberFormat="0" applyFont="0" applyAlignment="0" applyProtection="0"/>
    <xf numFmtId="0" fontId="21" fillId="10" borderId="19" applyNumberFormat="0" applyFont="0" applyAlignment="0" applyProtection="0"/>
    <xf numFmtId="0" fontId="55" fillId="8" borderId="16" applyNumberFormat="0" applyAlignment="0" applyProtection="0"/>
    <xf numFmtId="0" fontId="37" fillId="44" borderId="28" applyNumberFormat="0" applyAlignment="0" applyProtection="0"/>
    <xf numFmtId="0" fontId="13" fillId="44" borderId="16"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38" fillId="0" borderId="0" applyNumberFormat="0" applyFill="0" applyBorder="0" applyAlignment="0" applyProtection="0"/>
    <xf numFmtId="0" fontId="63" fillId="0" borderId="0" applyNumberFormat="0" applyFill="0" applyBorder="0" applyAlignment="0" applyProtection="0"/>
    <xf numFmtId="0" fontId="56" fillId="0" borderId="20" applyNumberFormat="0" applyFill="0" applyAlignment="0" applyProtection="0"/>
    <xf numFmtId="0" fontId="39" fillId="0" borderId="29" applyNumberFormat="0" applyFill="0" applyAlignment="0" applyProtection="0"/>
    <xf numFmtId="0" fontId="1" fillId="0" borderId="29" applyNumberFormat="0" applyFill="0" applyAlignment="0" applyProtection="0"/>
    <xf numFmtId="0" fontId="1" fillId="0" borderId="29" applyNumberFormat="0" applyFill="0" applyAlignment="0" applyProtection="0"/>
    <xf numFmtId="0" fontId="57" fillId="0" borderId="0" applyNumberFormat="0" applyFill="0" applyBorder="0" applyAlignment="0" applyProtection="0"/>
    <xf numFmtId="0" fontId="40" fillId="0" borderId="0" applyNumberFormat="0" applyFill="0" applyBorder="0" applyAlignment="0" applyProtection="0"/>
    <xf numFmtId="0" fontId="15" fillId="0" borderId="0" applyNumberFormat="0" applyFill="0" applyBorder="0" applyAlignment="0" applyProtection="0"/>
    <xf numFmtId="0" fontId="41" fillId="35" borderId="0" applyNumberFormat="0" applyBorder="0" applyAlignment="0" applyProtection="0"/>
    <xf numFmtId="0" fontId="8" fillId="36" borderId="0" applyNumberFormat="0" applyBorder="0" applyAlignment="0" applyProtection="0"/>
    <xf numFmtId="0" fontId="41" fillId="35" borderId="0" applyNumberFormat="0" applyBorder="0" applyAlignment="0" applyProtection="0"/>
    <xf numFmtId="0" fontId="79"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41" fillId="37" borderId="0" applyNumberFormat="0" applyBorder="0" applyAlignment="0" applyProtection="0"/>
    <xf numFmtId="0" fontId="8" fillId="38" borderId="0" applyNumberFormat="0" applyBorder="0" applyAlignment="0" applyProtection="0"/>
    <xf numFmtId="0" fontId="41" fillId="37" borderId="0" applyNumberFormat="0" applyBorder="0" applyAlignment="0" applyProtection="0"/>
    <xf numFmtId="0" fontId="79" fillId="37" borderId="0" applyNumberFormat="0" applyBorder="0" applyAlignment="0" applyProtection="0"/>
    <xf numFmtId="0" fontId="8" fillId="37" borderId="0" applyNumberFormat="0" applyBorder="0" applyAlignment="0" applyProtection="0"/>
    <xf numFmtId="0" fontId="8" fillId="37" borderId="0" applyNumberFormat="0" applyBorder="0" applyAlignment="0" applyProtection="0"/>
    <xf numFmtId="0" fontId="41" fillId="39" borderId="0" applyNumberFormat="0" applyBorder="0" applyAlignment="0" applyProtection="0"/>
    <xf numFmtId="0" fontId="8" fillId="40" borderId="0" applyNumberFormat="0" applyBorder="0" applyAlignment="0" applyProtection="0"/>
    <xf numFmtId="0" fontId="41" fillId="39" borderId="0" applyNumberFormat="0" applyBorder="0" applyAlignment="0" applyProtection="0"/>
    <xf numFmtId="0" fontId="79"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41" fillId="41" borderId="0" applyNumberFormat="0" applyBorder="0" applyAlignment="0" applyProtection="0"/>
    <xf numFmtId="0" fontId="8" fillId="42" borderId="0" applyNumberFormat="0" applyBorder="0" applyAlignment="0" applyProtection="0"/>
    <xf numFmtId="0" fontId="41" fillId="41" borderId="0" applyNumberFormat="0" applyBorder="0" applyAlignment="0" applyProtection="0"/>
    <xf numFmtId="0" fontId="79"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79" fillId="28" borderId="0" applyNumberFormat="0" applyBorder="0" applyAlignment="0" applyProtection="0"/>
    <xf numFmtId="0" fontId="8" fillId="28" borderId="0" applyNumberFormat="0" applyBorder="0" applyAlignment="0" applyProtection="0"/>
    <xf numFmtId="0" fontId="41" fillId="39" borderId="0" applyNumberFormat="0" applyBorder="0" applyAlignment="0" applyProtection="0"/>
    <xf numFmtId="0" fontId="8" fillId="44" borderId="0" applyNumberFormat="0" applyBorder="0" applyAlignment="0" applyProtection="0"/>
    <xf numFmtId="0" fontId="41" fillId="39" borderId="0" applyNumberFormat="0" applyBorder="0" applyAlignment="0" applyProtection="0"/>
    <xf numFmtId="0" fontId="79"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41" fillId="43" borderId="0" applyNumberFormat="0" applyBorder="0" applyAlignment="0" applyProtection="0"/>
    <xf numFmtId="0" fontId="8" fillId="35" borderId="0" applyNumberFormat="0" applyBorder="0" applyAlignment="0" applyProtection="0"/>
    <xf numFmtId="0" fontId="41" fillId="43" borderId="0" applyNumberFormat="0" applyBorder="0" applyAlignment="0" applyProtection="0"/>
    <xf numFmtId="0" fontId="79"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79" fillId="17" borderId="0" applyNumberFormat="0" applyBorder="0" applyAlignment="0" applyProtection="0"/>
    <xf numFmtId="0" fontId="8" fillId="17" borderId="0" applyNumberFormat="0" applyBorder="0" applyAlignment="0" applyProtection="0"/>
    <xf numFmtId="0" fontId="41" fillId="45" borderId="0" applyNumberFormat="0" applyBorder="0" applyAlignment="0" applyProtection="0"/>
    <xf numFmtId="0" fontId="8" fillId="46" borderId="0" applyNumberFormat="0" applyBorder="0" applyAlignment="0" applyProtection="0"/>
    <xf numFmtId="0" fontId="41" fillId="45" borderId="0" applyNumberFormat="0" applyBorder="0" applyAlignment="0" applyProtection="0"/>
    <xf numFmtId="0" fontId="79"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41" fillId="38" borderId="0" applyNumberFormat="0" applyBorder="0" applyAlignment="0" applyProtection="0"/>
    <xf numFmtId="0" fontId="8" fillId="42" borderId="0" applyNumberFormat="0" applyBorder="0" applyAlignment="0" applyProtection="0"/>
    <xf numFmtId="0" fontId="41" fillId="38" borderId="0" applyNumberFormat="0" applyBorder="0" applyAlignment="0" applyProtection="0"/>
    <xf numFmtId="0" fontId="79"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41" fillId="43" borderId="0" applyNumberFormat="0" applyBorder="0" applyAlignment="0" applyProtection="0"/>
    <xf numFmtId="0" fontId="8" fillId="35" borderId="0" applyNumberFormat="0" applyBorder="0" applyAlignment="0" applyProtection="0"/>
    <xf numFmtId="0" fontId="41" fillId="43" borderId="0" applyNumberFormat="0" applyBorder="0" applyAlignment="0" applyProtection="0"/>
    <xf numFmtId="0" fontId="79"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41" fillId="39" borderId="0" applyNumberFormat="0" applyBorder="0" applyAlignment="0" applyProtection="0"/>
    <xf numFmtId="0" fontId="8" fillId="47" borderId="0" applyNumberFormat="0" applyBorder="0" applyAlignment="0" applyProtection="0"/>
    <xf numFmtId="0" fontId="41" fillId="39" borderId="0" applyNumberFormat="0" applyBorder="0" applyAlignment="0" applyProtection="0"/>
    <xf numFmtId="0" fontId="79"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42" fillId="43" borderId="0" applyNumberFormat="0" applyBorder="0" applyAlignment="0" applyProtection="0"/>
    <xf numFmtId="0" fontId="7" fillId="48" borderId="0" applyNumberFormat="0" applyBorder="0" applyAlignment="0" applyProtection="0"/>
    <xf numFmtId="0" fontId="42" fillId="43" borderId="0" applyNumberFormat="0" applyBorder="0" applyAlignment="0" applyProtection="0"/>
    <xf numFmtId="0" fontId="80" fillId="43" borderId="0" applyNumberFormat="0" applyBorder="0" applyAlignment="0" applyProtection="0"/>
    <xf numFmtId="0" fontId="7" fillId="43" borderId="0" applyNumberFormat="0" applyBorder="0" applyAlignment="0" applyProtection="0"/>
    <xf numFmtId="0" fontId="42" fillId="49" borderId="0" applyNumberFormat="0" applyBorder="0" applyAlignment="0" applyProtection="0"/>
    <xf numFmtId="0" fontId="7" fillId="37" borderId="0" applyNumberFormat="0" applyBorder="0" applyAlignment="0" applyProtection="0"/>
    <xf numFmtId="0" fontId="42" fillId="49" borderId="0" applyNumberFormat="0" applyBorder="0" applyAlignment="0" applyProtection="0"/>
    <xf numFmtId="0" fontId="80" fillId="49" borderId="0" applyNumberFormat="0" applyBorder="0" applyAlignment="0" applyProtection="0"/>
    <xf numFmtId="0" fontId="7" fillId="49" borderId="0" applyNumberFormat="0" applyBorder="0" applyAlignment="0" applyProtection="0"/>
    <xf numFmtId="0" fontId="42" fillId="47" borderId="0" applyNumberFormat="0" applyBorder="0" applyAlignment="0" applyProtection="0"/>
    <xf numFmtId="0" fontId="7" fillId="46" borderId="0" applyNumberFormat="0" applyBorder="0" applyAlignment="0" applyProtection="0"/>
    <xf numFmtId="0" fontId="42" fillId="47" borderId="0" applyNumberFormat="0" applyBorder="0" applyAlignment="0" applyProtection="0"/>
    <xf numFmtId="0" fontId="80" fillId="47" borderId="0" applyNumberFormat="0" applyBorder="0" applyAlignment="0" applyProtection="0"/>
    <xf numFmtId="0" fontId="7" fillId="47" borderId="0" applyNumberFormat="0" applyBorder="0" applyAlignment="0" applyProtection="0"/>
    <xf numFmtId="0" fontId="42" fillId="38" borderId="0" applyNumberFormat="0" applyBorder="0" applyAlignment="0" applyProtection="0"/>
    <xf numFmtId="0" fontId="7" fillId="50" borderId="0" applyNumberFormat="0" applyBorder="0" applyAlignment="0" applyProtection="0"/>
    <xf numFmtId="0" fontId="42" fillId="38" borderId="0" applyNumberFormat="0" applyBorder="0" applyAlignment="0" applyProtection="0"/>
    <xf numFmtId="0" fontId="80" fillId="38" borderId="0" applyNumberFormat="0" applyBorder="0" applyAlignment="0" applyProtection="0"/>
    <xf numFmtId="0" fontId="7" fillId="38" borderId="0" applyNumberFormat="0" applyBorder="0" applyAlignment="0" applyProtection="0"/>
    <xf numFmtId="0" fontId="42" fillId="43" borderId="0" applyNumberFormat="0" applyBorder="0" applyAlignment="0" applyProtection="0"/>
    <xf numFmtId="0" fontId="7" fillId="51" borderId="0" applyNumberFormat="0" applyBorder="0" applyAlignment="0" applyProtection="0"/>
    <xf numFmtId="0" fontId="42" fillId="43" borderId="0" applyNumberFormat="0" applyBorder="0" applyAlignment="0" applyProtection="0"/>
    <xf numFmtId="0" fontId="80" fillId="43" borderId="0" applyNumberFormat="0" applyBorder="0" applyAlignment="0" applyProtection="0"/>
    <xf numFmtId="0" fontId="7" fillId="43" borderId="0" applyNumberFormat="0" applyBorder="0" applyAlignment="0" applyProtection="0"/>
    <xf numFmtId="0" fontId="42" fillId="37" borderId="0" applyNumberFormat="0" applyBorder="0" applyAlignment="0" applyProtection="0"/>
    <xf numFmtId="0" fontId="7" fillId="52" borderId="0" applyNumberFormat="0" applyBorder="0" applyAlignment="0" applyProtection="0"/>
    <xf numFmtId="0" fontId="42" fillId="37" borderId="0" applyNumberFormat="0" applyBorder="0" applyAlignment="0" applyProtection="0"/>
    <xf numFmtId="0" fontId="80" fillId="37" borderId="0" applyNumberFormat="0" applyBorder="0" applyAlignment="0" applyProtection="0"/>
    <xf numFmtId="0" fontId="7" fillId="37" borderId="0" applyNumberFormat="0" applyBorder="0" applyAlignment="0" applyProtection="0"/>
    <xf numFmtId="0" fontId="42" fillId="57" borderId="0" applyNumberFormat="0" applyBorder="0" applyAlignment="0" applyProtection="0"/>
    <xf numFmtId="0" fontId="7" fillId="53" borderId="0" applyNumberFormat="0" applyBorder="0" applyAlignment="0" applyProtection="0"/>
    <xf numFmtId="0" fontId="42" fillId="57" borderId="0" applyNumberFormat="0" applyBorder="0" applyAlignment="0" applyProtection="0"/>
    <xf numFmtId="0" fontId="80" fillId="57" borderId="0" applyNumberFormat="0" applyBorder="0" applyAlignment="0" applyProtection="0"/>
    <xf numFmtId="0" fontId="7" fillId="57" borderId="0" applyNumberFormat="0" applyBorder="0" applyAlignment="0" applyProtection="0"/>
    <xf numFmtId="0" fontId="42" fillId="49" borderId="0" applyNumberFormat="0" applyBorder="0" applyAlignment="0" applyProtection="0"/>
    <xf numFmtId="0" fontId="7" fillId="54" borderId="0" applyNumberFormat="0" applyBorder="0" applyAlignment="0" applyProtection="0"/>
    <xf numFmtId="0" fontId="42" fillId="49" borderId="0" applyNumberFormat="0" applyBorder="0" applyAlignment="0" applyProtection="0"/>
    <xf numFmtId="0" fontId="80" fillId="49" borderId="0" applyNumberFormat="0" applyBorder="0" applyAlignment="0" applyProtection="0"/>
    <xf numFmtId="0" fontId="7" fillId="49" borderId="0" applyNumberFormat="0" applyBorder="0" applyAlignment="0" applyProtection="0"/>
    <xf numFmtId="0" fontId="42" fillId="47" borderId="0" applyNumberFormat="0" applyBorder="0" applyAlignment="0" applyProtection="0"/>
    <xf numFmtId="0" fontId="7" fillId="55" borderId="0" applyNumberFormat="0" applyBorder="0" applyAlignment="0" applyProtection="0"/>
    <xf numFmtId="0" fontId="42" fillId="47" borderId="0" applyNumberFormat="0" applyBorder="0" applyAlignment="0" applyProtection="0"/>
    <xf numFmtId="0" fontId="80" fillId="47" borderId="0" applyNumberFormat="0" applyBorder="0" applyAlignment="0" applyProtection="0"/>
    <xf numFmtId="0" fontId="7" fillId="47" borderId="0" applyNumberFormat="0" applyBorder="0" applyAlignment="0" applyProtection="0"/>
    <xf numFmtId="0" fontId="42" fillId="58" borderId="0" applyNumberFormat="0" applyBorder="0" applyAlignment="0" applyProtection="0"/>
    <xf numFmtId="0" fontId="7" fillId="50" borderId="0" applyNumberFormat="0" applyBorder="0" applyAlignment="0" applyProtection="0"/>
    <xf numFmtId="0" fontId="42" fillId="58" borderId="0" applyNumberFormat="0" applyBorder="0" applyAlignment="0" applyProtection="0"/>
    <xf numFmtId="0" fontId="80" fillId="58" borderId="0" applyNumberFormat="0" applyBorder="0" applyAlignment="0" applyProtection="0"/>
    <xf numFmtId="0" fontId="7" fillId="58" borderId="0" applyNumberFormat="0" applyBorder="0" applyAlignment="0" applyProtection="0"/>
    <xf numFmtId="0" fontId="80" fillId="27" borderId="0" applyNumberFormat="0" applyBorder="0" applyAlignment="0" applyProtection="0"/>
    <xf numFmtId="0" fontId="42" fillId="54" borderId="0" applyNumberFormat="0" applyBorder="0" applyAlignment="0" applyProtection="0"/>
    <xf numFmtId="0" fontId="7" fillId="49" borderId="0" applyNumberFormat="0" applyBorder="0" applyAlignment="0" applyProtection="0"/>
    <xf numFmtId="0" fontId="42" fillId="54" borderId="0" applyNumberFormat="0" applyBorder="0" applyAlignment="0" applyProtection="0"/>
    <xf numFmtId="0" fontId="80" fillId="54" borderId="0" applyNumberFormat="0" applyBorder="0" applyAlignment="0" applyProtection="0"/>
    <xf numFmtId="0" fontId="7" fillId="54" borderId="0" applyNumberFormat="0" applyBorder="0" applyAlignment="0" applyProtection="0"/>
    <xf numFmtId="0" fontId="43" fillId="42" borderId="0" applyNumberFormat="0" applyBorder="0" applyAlignment="0" applyProtection="0"/>
    <xf numFmtId="0" fontId="11" fillId="38" borderId="0" applyNumberFormat="0" applyBorder="0" applyAlignment="0" applyProtection="0"/>
    <xf numFmtId="0" fontId="43" fillId="42" borderId="0" applyNumberFormat="0" applyBorder="0" applyAlignment="0" applyProtection="0"/>
    <xf numFmtId="0" fontId="81" fillId="42" borderId="0" applyNumberFormat="0" applyBorder="0" applyAlignment="0" applyProtection="0"/>
    <xf numFmtId="0" fontId="11" fillId="42" borderId="0" applyNumberFormat="0" applyBorder="0" applyAlignment="0" applyProtection="0"/>
    <xf numFmtId="0" fontId="66" fillId="59" borderId="15" applyNumberFormat="0" applyAlignment="0" applyProtection="0"/>
    <xf numFmtId="0" fontId="60" fillId="44" borderId="15" applyNumberFormat="0" applyAlignment="0" applyProtection="0"/>
    <xf numFmtId="0" fontId="66" fillId="59" borderId="15" applyNumberFormat="0" applyAlignment="0" applyProtection="0"/>
    <xf numFmtId="0" fontId="73" fillId="59" borderId="15" applyNumberFormat="0" applyAlignment="0" applyProtection="0"/>
    <xf numFmtId="0" fontId="82" fillId="59" borderId="15" applyNumberFormat="0" applyAlignment="0" applyProtection="0"/>
    <xf numFmtId="0" fontId="83" fillId="9" borderId="18" applyNumberFormat="0" applyAlignment="0" applyProtection="0"/>
    <xf numFmtId="43" fontId="21" fillId="0" borderId="0" applyFont="0" applyFill="0" applyBorder="0" applyAlignment="0" applyProtection="0"/>
    <xf numFmtId="167" fontId="20" fillId="0" borderId="0" applyFont="0" applyFill="0" applyBorder="0" applyAlignment="0" applyProtection="0">
      <alignment vertical="top"/>
    </xf>
    <xf numFmtId="167" fontId="20" fillId="0" borderId="0" applyFont="0" applyFill="0" applyBorder="0" applyAlignment="0" applyProtection="0"/>
    <xf numFmtId="169" fontId="1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alignment vertical="top"/>
    </xf>
    <xf numFmtId="167" fontId="20" fillId="0" borderId="0" applyFont="0" applyFill="0" applyBorder="0" applyAlignment="0" applyProtection="0"/>
    <xf numFmtId="167" fontId="20" fillId="0" borderId="0" applyFont="0" applyFill="0" applyBorder="0" applyAlignment="0" applyProtection="0">
      <alignment vertical="top"/>
    </xf>
    <xf numFmtId="167" fontId="20" fillId="0" borderId="0" applyFont="0" applyFill="0" applyBorder="0" applyAlignment="0" applyProtection="0"/>
    <xf numFmtId="167" fontId="20" fillId="0" borderId="0" applyFont="0" applyFill="0" applyBorder="0" applyAlignment="0" applyProtection="0"/>
    <xf numFmtId="169" fontId="18" fillId="0" borderId="0" applyFont="0" applyFill="0" applyBorder="0" applyAlignment="0" applyProtection="0"/>
    <xf numFmtId="169" fontId="18" fillId="0" borderId="0" applyFont="0" applyFill="0" applyBorder="0" applyAlignment="0" applyProtection="0"/>
    <xf numFmtId="167" fontId="20" fillId="0" borderId="0" applyFont="0" applyFill="0" applyBorder="0" applyAlignment="0" applyProtection="0"/>
    <xf numFmtId="43" fontId="18"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alignment vertical="top"/>
    </xf>
    <xf numFmtId="169" fontId="18" fillId="0" borderId="0" applyFont="0" applyFill="0" applyBorder="0" applyAlignment="0" applyProtection="0"/>
    <xf numFmtId="167" fontId="20" fillId="0" borderId="0" applyFont="0" applyFill="0" applyBorder="0" applyAlignment="0" applyProtection="0">
      <alignment vertical="top"/>
    </xf>
    <xf numFmtId="167" fontId="21" fillId="0" borderId="0" applyFont="0" applyFill="0" applyBorder="0" applyAlignment="0" applyProtection="0"/>
    <xf numFmtId="167" fontId="20" fillId="0" borderId="0" applyFont="0" applyFill="0" applyBorder="0" applyAlignment="0" applyProtection="0">
      <alignment vertical="top"/>
    </xf>
    <xf numFmtId="169" fontId="18" fillId="0" borderId="0" applyFont="0" applyFill="0" applyBorder="0" applyAlignment="0" applyProtection="0"/>
    <xf numFmtId="167" fontId="20" fillId="0" borderId="0" applyFont="0" applyFill="0" applyBorder="0" applyAlignment="0" applyProtection="0">
      <alignment vertical="top"/>
    </xf>
    <xf numFmtId="169" fontId="18" fillId="0" borderId="0" applyFont="0" applyFill="0" applyBorder="0" applyAlignment="0" applyProtection="0"/>
    <xf numFmtId="167" fontId="20" fillId="0" borderId="0" applyFont="0" applyFill="0" applyBorder="0" applyAlignment="0" applyProtection="0">
      <alignment vertical="top"/>
    </xf>
    <xf numFmtId="169" fontId="18" fillId="0" borderId="0" applyFont="0" applyFill="0" applyBorder="0" applyAlignment="0" applyProtection="0"/>
    <xf numFmtId="169" fontId="18" fillId="0" borderId="0" applyFont="0" applyFill="0" applyBorder="0" applyAlignment="0" applyProtection="0"/>
    <xf numFmtId="169" fontId="18" fillId="0" borderId="0" applyFont="0" applyFill="0" applyBorder="0" applyAlignment="0" applyProtection="0"/>
    <xf numFmtId="43" fontId="72" fillId="0" borderId="0" applyFont="0" applyFill="0" applyBorder="0" applyAlignment="0" applyProtection="0"/>
    <xf numFmtId="167" fontId="21" fillId="0" borderId="0" applyFont="0" applyFill="0" applyBorder="0" applyAlignment="0" applyProtection="0"/>
    <xf numFmtId="44" fontId="18" fillId="0" borderId="0" applyFont="0" applyFill="0" applyBorder="0" applyAlignment="0" applyProtection="0"/>
    <xf numFmtId="0" fontId="84" fillId="0" borderId="0" applyNumberFormat="0" applyFill="0" applyBorder="0" applyAlignment="0" applyProtection="0"/>
    <xf numFmtId="0" fontId="47" fillId="43" borderId="0" applyNumberFormat="0" applyBorder="0" applyAlignment="0" applyProtection="0"/>
    <xf numFmtId="0" fontId="10" fillId="40" borderId="0" applyNumberFormat="0" applyBorder="0" applyAlignment="0" applyProtection="0"/>
    <xf numFmtId="0" fontId="47" fillId="43" borderId="0" applyNumberFormat="0" applyBorder="0" applyAlignment="0" applyProtection="0"/>
    <xf numFmtId="0" fontId="85" fillId="43" borderId="0" applyNumberFormat="0" applyBorder="0" applyAlignment="0" applyProtection="0"/>
    <xf numFmtId="0" fontId="10" fillId="43" borderId="0" applyNumberFormat="0" applyBorder="0" applyAlignment="0" applyProtection="0"/>
    <xf numFmtId="0" fontId="67" fillId="0" borderId="30" applyNumberFormat="0" applyFill="0" applyAlignment="0" applyProtection="0"/>
    <xf numFmtId="0" fontId="67" fillId="0" borderId="30" applyNumberFormat="0" applyFill="0" applyAlignment="0" applyProtection="0"/>
    <xf numFmtId="0" fontId="58" fillId="0" borderId="23" applyNumberFormat="0" applyFill="0" applyAlignment="0" applyProtection="0"/>
    <xf numFmtId="0" fontId="74" fillId="0" borderId="30" applyNumberFormat="0" applyFill="0" applyAlignment="0" applyProtection="0"/>
    <xf numFmtId="0" fontId="86" fillId="0" borderId="30" applyNumberFormat="0" applyFill="0" applyAlignment="0" applyProtection="0"/>
    <xf numFmtId="0" fontId="68" fillId="0" borderId="31" applyNumberFormat="0" applyFill="0" applyAlignment="0" applyProtection="0"/>
    <xf numFmtId="0" fontId="68" fillId="0" borderId="31" applyNumberFormat="0" applyFill="0" applyAlignment="0" applyProtection="0"/>
    <xf numFmtId="0" fontId="62" fillId="0" borderId="24" applyNumberFormat="0" applyFill="0" applyAlignment="0" applyProtection="0"/>
    <xf numFmtId="0" fontId="75" fillId="0" borderId="31" applyNumberFormat="0" applyFill="0" applyAlignment="0" applyProtection="0"/>
    <xf numFmtId="0" fontId="87" fillId="0" borderId="31" applyNumberFormat="0" applyFill="0" applyAlignment="0" applyProtection="0"/>
    <xf numFmtId="0" fontId="69" fillId="0" borderId="32" applyNumberFormat="0" applyFill="0" applyAlignment="0" applyProtection="0"/>
    <xf numFmtId="0" fontId="69" fillId="0" borderId="32" applyNumberFormat="0" applyFill="0" applyAlignment="0" applyProtection="0"/>
    <xf numFmtId="0" fontId="33" fillId="0" borderId="25" applyNumberFormat="0" applyFill="0" applyAlignment="0" applyProtection="0"/>
    <xf numFmtId="0" fontId="59" fillId="0" borderId="25" applyNumberFormat="0" applyFill="0" applyAlignment="0" applyProtection="0"/>
    <xf numFmtId="0" fontId="76" fillId="0" borderId="32" applyNumberFormat="0" applyFill="0" applyAlignment="0" applyProtection="0"/>
    <xf numFmtId="0" fontId="88" fillId="0" borderId="32"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59" fillId="0" borderId="0" applyNumberFormat="0" applyFill="0" applyBorder="0" applyAlignment="0" applyProtection="0"/>
    <xf numFmtId="0" fontId="76" fillId="0" borderId="0" applyNumberFormat="0" applyFill="0" applyBorder="0" applyAlignment="0" applyProtection="0"/>
    <xf numFmtId="0" fontId="88" fillId="0" borderId="0" applyNumberFormat="0" applyFill="0" applyBorder="0" applyAlignment="0" applyProtection="0"/>
    <xf numFmtId="0" fontId="51" fillId="45" borderId="15" applyNumberFormat="0" applyAlignment="0" applyProtection="0"/>
    <xf numFmtId="0" fontId="12" fillId="44" borderId="15" applyNumberFormat="0" applyAlignment="0" applyProtection="0"/>
    <xf numFmtId="0" fontId="51" fillId="45" borderId="15" applyNumberFormat="0" applyAlignment="0" applyProtection="0"/>
    <xf numFmtId="0" fontId="89" fillId="45" borderId="15" applyNumberFormat="0" applyAlignment="0" applyProtection="0"/>
    <xf numFmtId="0" fontId="12" fillId="45" borderId="15" applyNumberFormat="0" applyAlignment="0" applyProtection="0"/>
    <xf numFmtId="0" fontId="70" fillId="0" borderId="33" applyNumberFormat="0" applyFill="0" applyAlignment="0" applyProtection="0"/>
    <xf numFmtId="0" fontId="70" fillId="0" borderId="33" applyNumberFormat="0" applyFill="0" applyAlignment="0" applyProtection="0"/>
    <xf numFmtId="0" fontId="35" fillId="0" borderId="26" applyNumberFormat="0" applyFill="0" applyAlignment="0" applyProtection="0"/>
    <xf numFmtId="0" fontId="64" fillId="0" borderId="26" applyNumberFormat="0" applyFill="0" applyAlignment="0" applyProtection="0"/>
    <xf numFmtId="0" fontId="40" fillId="0" borderId="33" applyNumberFormat="0" applyFill="0" applyAlignment="0" applyProtection="0"/>
    <xf numFmtId="0" fontId="90" fillId="0" borderId="33" applyNumberFormat="0" applyFill="0" applyAlignment="0" applyProtection="0"/>
    <xf numFmtId="0" fontId="71" fillId="6" borderId="0" applyNumberFormat="0" applyBorder="0" applyAlignment="0" applyProtection="0"/>
    <xf numFmtId="0" fontId="61" fillId="6" borderId="0" applyNumberFormat="0" applyBorder="0" applyAlignment="0" applyProtection="0"/>
    <xf numFmtId="0" fontId="71" fillId="6" borderId="0" applyNumberFormat="0" applyBorder="0" applyAlignment="0" applyProtection="0"/>
    <xf numFmtId="0" fontId="77" fillId="6" borderId="0" applyNumberFormat="0" applyBorder="0" applyAlignment="0" applyProtection="0"/>
    <xf numFmtId="0" fontId="91" fillId="6" borderId="0" applyNumberFormat="0" applyBorder="0" applyAlignment="0" applyProtection="0"/>
    <xf numFmtId="0" fontId="18" fillId="0" borderId="0">
      <alignment vertical="top"/>
    </xf>
    <xf numFmtId="0" fontId="20" fillId="0" borderId="0">
      <alignment vertical="top"/>
    </xf>
    <xf numFmtId="0" fontId="8" fillId="0" borderId="0"/>
    <xf numFmtId="0" fontId="8" fillId="0" borderId="0"/>
    <xf numFmtId="0" fontId="20" fillId="0" borderId="0">
      <alignment vertical="top"/>
    </xf>
    <xf numFmtId="0" fontId="20" fillId="0" borderId="0">
      <alignment vertical="top"/>
    </xf>
    <xf numFmtId="0" fontId="20" fillId="0" borderId="0">
      <alignment vertical="top"/>
    </xf>
    <xf numFmtId="0" fontId="8" fillId="0" borderId="0"/>
    <xf numFmtId="0" fontId="8" fillId="0" borderId="0"/>
    <xf numFmtId="0" fontId="20" fillId="0" borderId="0">
      <alignment vertical="top"/>
    </xf>
    <xf numFmtId="0" fontId="18" fillId="0" borderId="0">
      <alignment vertical="top"/>
    </xf>
    <xf numFmtId="0" fontId="79" fillId="0" borderId="0"/>
    <xf numFmtId="0" fontId="8"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20" fillId="0" borderId="0">
      <alignment vertical="top"/>
    </xf>
    <xf numFmtId="0" fontId="78" fillId="0" borderId="0"/>
    <xf numFmtId="0" fontId="20" fillId="0" borderId="0">
      <alignment vertical="top"/>
    </xf>
    <xf numFmtId="0" fontId="18" fillId="0" borderId="0"/>
    <xf numFmtId="0" fontId="18" fillId="0" borderId="0"/>
    <xf numFmtId="0" fontId="20" fillId="0" borderId="0">
      <alignment vertical="top"/>
    </xf>
    <xf numFmtId="0" fontId="92" fillId="0" borderId="0"/>
    <xf numFmtId="0" fontId="20" fillId="0" borderId="0">
      <alignment vertical="top"/>
    </xf>
    <xf numFmtId="0" fontId="18" fillId="0" borderId="0"/>
    <xf numFmtId="0" fontId="8" fillId="0" borderId="0"/>
    <xf numFmtId="0" fontId="8" fillId="0" borderId="0"/>
    <xf numFmtId="0" fontId="18" fillId="0" borderId="0"/>
    <xf numFmtId="0" fontId="18"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79" fillId="0" borderId="0"/>
    <xf numFmtId="0" fontId="18" fillId="0" borderId="0"/>
    <xf numFmtId="0" fontId="18" fillId="0" borderId="0">
      <alignment vertical="top"/>
    </xf>
    <xf numFmtId="0" fontId="20" fillId="0" borderId="0">
      <alignment vertical="top"/>
    </xf>
    <xf numFmtId="0" fontId="8" fillId="0" borderId="0"/>
    <xf numFmtId="0" fontId="20" fillId="0" borderId="0">
      <alignment vertical="top"/>
    </xf>
    <xf numFmtId="0" fontId="20" fillId="0" borderId="0">
      <alignment vertical="top"/>
    </xf>
    <xf numFmtId="0" fontId="8" fillId="0" borderId="0"/>
    <xf numFmtId="0" fontId="8" fillId="0" borderId="0"/>
    <xf numFmtId="0" fontId="20" fillId="0" borderId="0">
      <alignment vertical="top"/>
    </xf>
    <xf numFmtId="0" fontId="20" fillId="0" borderId="0">
      <alignment vertical="top"/>
    </xf>
    <xf numFmtId="0" fontId="20" fillId="0" borderId="0">
      <alignment vertical="top"/>
    </xf>
    <xf numFmtId="0" fontId="8" fillId="0" borderId="0"/>
    <xf numFmtId="0" fontId="20" fillId="0" borderId="0">
      <alignment vertical="top"/>
    </xf>
    <xf numFmtId="0" fontId="20" fillId="0" borderId="0">
      <alignment vertical="top"/>
    </xf>
    <xf numFmtId="0" fontId="8" fillId="0" borderId="0"/>
    <xf numFmtId="0" fontId="20" fillId="0" borderId="0">
      <alignment vertical="top"/>
    </xf>
    <xf numFmtId="0" fontId="8" fillId="0" borderId="0"/>
    <xf numFmtId="0" fontId="8" fillId="0" borderId="0"/>
    <xf numFmtId="0" fontId="20" fillId="0" borderId="0">
      <alignment vertical="top"/>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2" fillId="0" borderId="0"/>
    <xf numFmtId="0" fontId="41" fillId="0" borderId="0"/>
    <xf numFmtId="0" fontId="18"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8" fillId="0" borderId="0"/>
    <xf numFmtId="0" fontId="18" fillId="0" borderId="0">
      <alignment vertical="top"/>
    </xf>
    <xf numFmtId="0" fontId="54" fillId="0" borderId="0"/>
    <xf numFmtId="0" fontId="18" fillId="0" borderId="0">
      <alignment vertical="top"/>
    </xf>
    <xf numFmtId="0" fontId="18" fillId="0" borderId="0"/>
    <xf numFmtId="0" fontId="18" fillId="0" borderId="0">
      <alignment vertical="top"/>
    </xf>
    <xf numFmtId="0" fontId="18" fillId="0" borderId="0"/>
    <xf numFmtId="0" fontId="18" fillId="0" borderId="0">
      <alignment vertical="top"/>
    </xf>
    <xf numFmtId="0" fontId="18" fillId="0" borderId="0"/>
    <xf numFmtId="0" fontId="41" fillId="0" borderId="0"/>
    <xf numFmtId="0" fontId="18" fillId="0" borderId="0"/>
    <xf numFmtId="0" fontId="21" fillId="10" borderId="19" applyNumberFormat="0" applyFont="0" applyAlignment="0" applyProtection="0"/>
    <xf numFmtId="0" fontId="20" fillId="10" borderId="19" applyNumberFormat="0" applyFont="0" applyAlignment="0" applyProtection="0"/>
    <xf numFmtId="0" fontId="21" fillId="10" borderId="19" applyNumberFormat="0" applyFont="0" applyAlignment="0" applyProtection="0"/>
    <xf numFmtId="0" fontId="21" fillId="10" borderId="19" applyNumberFormat="0" applyFont="0" applyAlignment="0" applyProtection="0"/>
    <xf numFmtId="0" fontId="21" fillId="10" borderId="19" applyNumberFormat="0" applyFont="0" applyAlignment="0" applyProtection="0"/>
    <xf numFmtId="0" fontId="55" fillId="59" borderId="16" applyNumberFormat="0" applyAlignment="0" applyProtection="0"/>
    <xf numFmtId="0" fontId="13" fillId="44" borderId="16" applyNumberFormat="0" applyAlignment="0" applyProtection="0"/>
    <xf numFmtId="0" fontId="55" fillId="59" borderId="16" applyNumberFormat="0" applyAlignment="0" applyProtection="0"/>
    <xf numFmtId="0" fontId="93" fillId="59" borderId="16" applyNumberFormat="0" applyAlignment="0" applyProtection="0"/>
    <xf numFmtId="0" fontId="13" fillId="59" borderId="16" applyNumberFormat="0" applyAlignment="0" applyProtection="0"/>
    <xf numFmtId="9" fontId="72"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94" fillId="0" borderId="0" applyNumberFormat="0" applyFill="0" applyBorder="0" applyAlignment="0" applyProtection="0"/>
    <xf numFmtId="0" fontId="65" fillId="0" borderId="0" applyNumberFormat="0" applyFill="0" applyBorder="0" applyAlignment="0" applyProtection="0"/>
    <xf numFmtId="0" fontId="56" fillId="0" borderId="34" applyNumberFormat="0" applyFill="0" applyAlignment="0" applyProtection="0"/>
    <xf numFmtId="0" fontId="1" fillId="0" borderId="29" applyNumberFormat="0" applyFill="0" applyAlignment="0" applyProtection="0"/>
    <xf numFmtId="0" fontId="56" fillId="0" borderId="34" applyNumberFormat="0" applyFill="0" applyAlignment="0" applyProtection="0"/>
    <xf numFmtId="0" fontId="56" fillId="0" borderId="34" applyNumberFormat="0" applyFill="0" applyAlignment="0" applyProtection="0"/>
    <xf numFmtId="0" fontId="95" fillId="0" borderId="34" applyNumberFormat="0" applyFill="0" applyAlignment="0" applyProtection="0"/>
    <xf numFmtId="0" fontId="1" fillId="0" borderId="34" applyNumberFormat="0" applyFill="0" applyAlignment="0" applyProtection="0"/>
    <xf numFmtId="0" fontId="96" fillId="0" borderId="0" applyNumberFormat="0" applyFill="0" applyBorder="0" applyAlignment="0" applyProtection="0"/>
    <xf numFmtId="0" fontId="41" fillId="12" borderId="0" applyNumberFormat="0" applyBorder="0" applyAlignment="0" applyProtection="0"/>
    <xf numFmtId="0" fontId="41" fillId="16" borderId="0" applyNumberFormat="0" applyBorder="0" applyAlignment="0" applyProtection="0"/>
    <xf numFmtId="0" fontId="41" fillId="20" borderId="0" applyNumberFormat="0" applyBorder="0" applyAlignment="0" applyProtection="0"/>
    <xf numFmtId="0" fontId="41" fillId="24" borderId="0" applyNumberFormat="0" applyBorder="0" applyAlignment="0" applyProtection="0"/>
    <xf numFmtId="0" fontId="41" fillId="32" borderId="0" applyNumberFormat="0" applyBorder="0" applyAlignment="0" applyProtection="0"/>
    <xf numFmtId="0" fontId="41" fillId="13" borderId="0" applyNumberFormat="0" applyBorder="0" applyAlignment="0" applyProtection="0"/>
    <xf numFmtId="0" fontId="41" fillId="21" borderId="0" applyNumberFormat="0" applyBorder="0" applyAlignment="0" applyProtection="0"/>
    <xf numFmtId="0" fontId="41" fillId="25" borderId="0" applyNumberFormat="0" applyBorder="0" applyAlignment="0" applyProtection="0"/>
    <xf numFmtId="0" fontId="41" fillId="29" borderId="0" applyNumberFormat="0" applyBorder="0" applyAlignment="0" applyProtection="0"/>
    <xf numFmtId="0" fontId="41" fillId="33" borderId="0" applyNumberFormat="0" applyBorder="0" applyAlignment="0" applyProtection="0"/>
    <xf numFmtId="0" fontId="42" fillId="14" borderId="0" applyNumberFormat="0" applyBorder="0" applyAlignment="0" applyProtection="0"/>
    <xf numFmtId="0" fontId="42" fillId="18" borderId="0" applyNumberFormat="0" applyBorder="0" applyAlignment="0" applyProtection="0"/>
    <xf numFmtId="0" fontId="42" fillId="22" borderId="0" applyNumberFormat="0" applyBorder="0" applyAlignment="0" applyProtection="0"/>
    <xf numFmtId="0" fontId="42" fillId="26" borderId="0" applyNumberFormat="0" applyBorder="0" applyAlignment="0" applyProtection="0"/>
    <xf numFmtId="0" fontId="42" fillId="30" borderId="0" applyNumberFormat="0" applyBorder="0" applyAlignment="0" applyProtection="0"/>
    <xf numFmtId="0" fontId="42" fillId="34" borderId="0" applyNumberFormat="0" applyBorder="0" applyAlignment="0" applyProtection="0"/>
    <xf numFmtId="0" fontId="42" fillId="11" borderId="0" applyNumberFormat="0" applyBorder="0" applyAlignment="0" applyProtection="0"/>
    <xf numFmtId="0" fontId="42" fillId="15" borderId="0" applyNumberFormat="0" applyBorder="0" applyAlignment="0" applyProtection="0"/>
    <xf numFmtId="0" fontId="42" fillId="19" borderId="0" applyNumberFormat="0" applyBorder="0" applyAlignment="0" applyProtection="0"/>
    <xf numFmtId="0" fontId="42" fillId="23" borderId="0" applyNumberFormat="0" applyBorder="0" applyAlignment="0" applyProtection="0"/>
    <xf numFmtId="0" fontId="42" fillId="31" borderId="0" applyNumberFormat="0" applyBorder="0" applyAlignment="0" applyProtection="0"/>
    <xf numFmtId="0" fontId="43" fillId="5" borderId="0" applyNumberFormat="0" applyBorder="0" applyAlignment="0" applyProtection="0"/>
    <xf numFmtId="0" fontId="44" fillId="8" borderId="15"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9" fontId="17" fillId="0" borderId="0" applyFont="0" applyFill="0" applyBorder="0" applyAlignment="0" applyProtection="0"/>
    <xf numFmtId="43" fontId="17" fillId="0" borderId="0" applyFont="0" applyFill="0" applyBorder="0" applyAlignment="0" applyProtection="0"/>
    <xf numFmtId="167" fontId="8"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43" fontId="100" fillId="0" borderId="0" applyFont="0" applyFill="0" applyBorder="0" applyAlignment="0" applyProtection="0"/>
    <xf numFmtId="43"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43" fontId="17" fillId="0" borderId="0" applyFont="0" applyFill="0" applyBorder="0" applyAlignment="0" applyProtection="0"/>
    <xf numFmtId="43" fontId="8" fillId="0" borderId="0" applyFont="0" applyFill="0" applyBorder="0" applyAlignment="0" applyProtection="0"/>
    <xf numFmtId="167" fontId="2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9"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170" fontId="8" fillId="0" borderId="0" applyFont="0" applyFill="0" applyBorder="0" applyAlignment="0" applyProtection="0"/>
    <xf numFmtId="44" fontId="17" fillId="0" borderId="0" applyFont="0" applyFill="0" applyBorder="0" applyAlignment="0" applyProtection="0"/>
    <xf numFmtId="0" fontId="47" fillId="4" borderId="0" applyNumberFormat="0" applyBorder="0" applyAlignment="0" applyProtection="0"/>
    <xf numFmtId="0" fontId="58" fillId="0" borderId="23" applyNumberFormat="0" applyFill="0" applyAlignment="0" applyProtection="0"/>
    <xf numFmtId="0" fontId="58" fillId="0" borderId="23" applyNumberFormat="0" applyFill="0" applyAlignment="0" applyProtection="0"/>
    <xf numFmtId="0" fontId="48" fillId="0" borderId="12" applyNumberFormat="0" applyFill="0" applyAlignment="0" applyProtection="0"/>
    <xf numFmtId="0" fontId="62" fillId="0" borderId="24" applyNumberFormat="0" applyFill="0" applyAlignment="0" applyProtection="0"/>
    <xf numFmtId="0" fontId="62" fillId="0" borderId="24" applyNumberFormat="0" applyFill="0" applyAlignment="0" applyProtection="0"/>
    <xf numFmtId="0" fontId="49" fillId="0" borderId="13" applyNumberFormat="0" applyFill="0" applyAlignment="0" applyProtection="0"/>
    <xf numFmtId="0" fontId="33" fillId="0" borderId="25" applyNumberFormat="0" applyFill="0" applyAlignment="0" applyProtection="0"/>
    <xf numFmtId="0" fontId="59" fillId="0" borderId="25" applyNumberFormat="0" applyFill="0" applyAlignment="0" applyProtection="0"/>
    <xf numFmtId="0" fontId="50" fillId="0" borderId="14"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0" fillId="0" borderId="0" applyNumberFormat="0" applyFill="0" applyBorder="0" applyAlignment="0" applyProtection="0"/>
    <xf numFmtId="0" fontId="101" fillId="0" borderId="0" applyNumberFormat="0" applyFill="0" applyBorder="0" applyAlignment="0" applyProtection="0">
      <alignment vertical="top"/>
      <protection locked="0"/>
    </xf>
    <xf numFmtId="0" fontId="51" fillId="7" borderId="15" applyNumberFormat="0" applyAlignment="0" applyProtection="0"/>
    <xf numFmtId="0" fontId="64" fillId="0" borderId="26" applyNumberFormat="0" applyFill="0" applyAlignment="0" applyProtection="0"/>
    <xf numFmtId="0" fontId="52" fillId="0" borderId="17" applyNumberFormat="0" applyFill="0" applyAlignment="0" applyProtection="0"/>
    <xf numFmtId="0" fontId="53" fillId="6" borderId="0" applyNumberFormat="0" applyBorder="0" applyAlignment="0" applyProtection="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xf numFmtId="0" fontId="8" fillId="0" borderId="0"/>
    <xf numFmtId="0" fontId="17" fillId="0" borderId="0"/>
    <xf numFmtId="0" fontId="17" fillId="0" borderId="0">
      <alignment vertical="top"/>
    </xf>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7" fillId="0" borderId="0"/>
    <xf numFmtId="0" fontId="17" fillId="0" borderId="0">
      <alignment vertical="top"/>
    </xf>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alignment vertical="top"/>
    </xf>
    <xf numFmtId="0" fontId="17" fillId="0" borderId="0">
      <alignment vertical="top"/>
    </xf>
    <xf numFmtId="0" fontId="17" fillId="0" borderId="0"/>
    <xf numFmtId="0" fontId="17" fillId="0" borderId="0"/>
    <xf numFmtId="0" fontId="17" fillId="0" borderId="0">
      <alignment vertical="top"/>
    </xf>
    <xf numFmtId="0" fontId="41" fillId="10" borderId="19" applyNumberFormat="0" applyFont="0" applyAlignment="0" applyProtection="0"/>
    <xf numFmtId="0" fontId="20" fillId="10" borderId="19" applyNumberFormat="0" applyFont="0" applyAlignment="0" applyProtection="0"/>
    <xf numFmtId="0" fontId="21" fillId="10" borderId="19" applyNumberFormat="0" applyFont="0" applyAlignment="0" applyProtection="0"/>
    <xf numFmtId="0" fontId="21" fillId="10" borderId="19" applyNumberFormat="0" applyFont="0" applyAlignment="0" applyProtection="0"/>
    <xf numFmtId="0" fontId="21" fillId="10" borderId="19" applyNumberFormat="0" applyFont="0" applyAlignment="0" applyProtection="0"/>
    <xf numFmtId="0" fontId="55" fillId="8" borderId="16"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00"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65" fillId="0" borderId="0" applyNumberFormat="0" applyFill="0" applyBorder="0" applyAlignment="0" applyProtection="0"/>
    <xf numFmtId="0" fontId="9" fillId="0" borderId="0" applyNumberFormat="0" applyFill="0" applyBorder="0" applyAlignment="0" applyProtection="0"/>
    <xf numFmtId="0" fontId="94" fillId="0" borderId="0" applyNumberFormat="0" applyFill="0" applyBorder="0" applyAlignment="0" applyProtection="0"/>
    <xf numFmtId="0" fontId="1" fillId="0" borderId="29" applyNumberFormat="0" applyFill="0" applyAlignment="0" applyProtection="0"/>
    <xf numFmtId="0" fontId="56" fillId="0" borderId="34" applyNumberFormat="0" applyFill="0" applyAlignment="0" applyProtection="0"/>
    <xf numFmtId="0" fontId="1" fillId="0" borderId="29" applyNumberFormat="0" applyFill="0" applyAlignment="0" applyProtection="0"/>
    <xf numFmtId="0" fontId="1" fillId="0" borderId="29" applyNumberFormat="0" applyFill="0" applyAlignment="0" applyProtection="0"/>
    <xf numFmtId="0" fontId="56" fillId="0" borderId="20" applyNumberFormat="0" applyFill="0" applyAlignment="0" applyProtection="0"/>
  </cellStyleXfs>
  <cellXfs count="116">
    <xf numFmtId="0" fontId="0" fillId="0" borderId="0" xfId="0"/>
    <xf numFmtId="0" fontId="0" fillId="0" borderId="0" xfId="0" applyFont="1"/>
    <xf numFmtId="0" fontId="1" fillId="0" borderId="0" xfId="0" applyFont="1"/>
    <xf numFmtId="0" fontId="1" fillId="0" borderId="0" xfId="0" applyFont="1" applyAlignment="1">
      <alignment horizontal="center"/>
    </xf>
    <xf numFmtId="0" fontId="2" fillId="0" borderId="0" xfId="0" applyFont="1"/>
    <xf numFmtId="0" fontId="1" fillId="0" borderId="0" xfId="0" applyFont="1" applyAlignment="1">
      <alignment horizontal="left"/>
    </xf>
    <xf numFmtId="0" fontId="0" fillId="0" borderId="0" xfId="0" applyFont="1" applyAlignment="1">
      <alignment horizontal="center"/>
    </xf>
    <xf numFmtId="0" fontId="0" fillId="0" borderId="0" xfId="0" applyFont="1" applyAlignment="1">
      <alignment horizontal="center" vertical="center"/>
    </xf>
    <xf numFmtId="6" fontId="0" fillId="0" borderId="0" xfId="0" applyNumberFormat="1" applyFont="1" applyAlignment="1">
      <alignment horizontal="center" vertical="center"/>
    </xf>
    <xf numFmtId="164" fontId="0" fillId="0" borderId="0" xfId="0" applyNumberFormat="1" applyFont="1" applyAlignment="1">
      <alignment horizontal="center"/>
    </xf>
    <xf numFmtId="165" fontId="0" fillId="0" borderId="0" xfId="0" applyNumberFormat="1" applyFont="1" applyAlignment="1">
      <alignment horizontal="center"/>
    </xf>
    <xf numFmtId="6" fontId="0" fillId="0" borderId="0" xfId="0" applyNumberFormat="1" applyFont="1" applyAlignment="1">
      <alignment horizontal="center"/>
    </xf>
    <xf numFmtId="0" fontId="3" fillId="0" borderId="0" xfId="0" applyFont="1"/>
    <xf numFmtId="10" fontId="0" fillId="0" borderId="0" xfId="0" applyNumberFormat="1" applyFont="1" applyAlignment="1">
      <alignment horizontal="center"/>
    </xf>
    <xf numFmtId="0" fontId="4" fillId="0" borderId="0" xfId="0" applyFont="1"/>
    <xf numFmtId="0" fontId="6" fillId="0" borderId="0" xfId="0" applyFont="1"/>
    <xf numFmtId="0" fontId="6" fillId="0" borderId="0" xfId="0" applyFont="1" applyAlignment="1">
      <alignment horizontal="right"/>
    </xf>
    <xf numFmtId="14" fontId="6" fillId="0" borderId="0" xfId="0" applyNumberFormat="1" applyFont="1"/>
    <xf numFmtId="14" fontId="1" fillId="0" borderId="0" xfId="0" applyNumberFormat="1" applyFont="1" applyAlignment="1">
      <alignment horizontal="right"/>
    </xf>
    <xf numFmtId="6" fontId="6" fillId="0" borderId="0" xfId="0" applyNumberFormat="1" applyFont="1" applyAlignment="1">
      <alignment horizontal="center"/>
    </xf>
    <xf numFmtId="6" fontId="0" fillId="3" borderId="1" xfId="0" applyNumberFormat="1" applyFont="1" applyFill="1" applyBorder="1" applyAlignment="1">
      <alignment horizontal="center"/>
    </xf>
    <xf numFmtId="166" fontId="0" fillId="0" borderId="0" xfId="0" applyNumberFormat="1" applyFont="1" applyAlignment="1">
      <alignment horizontal="center"/>
    </xf>
    <xf numFmtId="165" fontId="0" fillId="0" borderId="0" xfId="0" applyNumberFormat="1"/>
    <xf numFmtId="0" fontId="0" fillId="0" borderId="0" xfId="0" applyAlignment="1">
      <alignment horizontal="center"/>
    </xf>
    <xf numFmtId="0" fontId="1" fillId="0" borderId="4" xfId="0" applyFont="1" applyBorder="1" applyAlignment="1">
      <alignment horizontal="center" vertical="center" wrapText="1"/>
    </xf>
    <xf numFmtId="0" fontId="1" fillId="0" borderId="5" xfId="0" applyFont="1" applyBorder="1" applyAlignment="1">
      <alignment horizontal="center" vertical="center"/>
    </xf>
    <xf numFmtId="0" fontId="0" fillId="0" borderId="0" xfId="0" applyAlignment="1">
      <alignment vertical="top" wrapText="1"/>
    </xf>
    <xf numFmtId="0" fontId="1" fillId="0" borderId="3" xfId="0" applyFont="1" applyBorder="1"/>
    <xf numFmtId="0" fontId="0" fillId="0" borderId="0" xfId="0" applyAlignment="1">
      <alignment horizontal="center" vertical="center"/>
    </xf>
    <xf numFmtId="0" fontId="1" fillId="0" borderId="6" xfId="0" applyFont="1" applyBorder="1" applyAlignment="1">
      <alignment horizontal="center" vertical="center"/>
    </xf>
    <xf numFmtId="0" fontId="0" fillId="0" borderId="0" xfId="0" applyAlignment="1">
      <alignment vertical="center"/>
    </xf>
    <xf numFmtId="0" fontId="1" fillId="0" borderId="9" xfId="0" applyFont="1" applyBorder="1" applyAlignment="1">
      <alignment horizontal="center" vertical="center"/>
    </xf>
    <xf numFmtId="165" fontId="0" fillId="0" borderId="0" xfId="0" applyNumberFormat="1" applyAlignment="1">
      <alignment horizontal="center"/>
    </xf>
    <xf numFmtId="6" fontId="0" fillId="0" borderId="0" xfId="0" applyNumberFormat="1"/>
    <xf numFmtId="0" fontId="6" fillId="0" borderId="0" xfId="0" applyFont="1" applyBorder="1" applyAlignment="1">
      <alignment horizontal="right"/>
    </xf>
    <xf numFmtId="6" fontId="6" fillId="0" borderId="0" xfId="0" applyNumberFormat="1" applyFont="1" applyBorder="1" applyAlignment="1">
      <alignment horizontal="center"/>
    </xf>
    <xf numFmtId="0" fontId="0" fillId="0" borderId="0" xfId="0" applyFont="1" applyAlignment="1">
      <alignment horizontal="right" vertical="center"/>
    </xf>
    <xf numFmtId="10" fontId="0" fillId="0" borderId="0" xfId="0" applyNumberFormat="1" applyFont="1" applyAlignment="1">
      <alignment horizontal="center" vertical="center"/>
    </xf>
    <xf numFmtId="14" fontId="0" fillId="0" borderId="0" xfId="0" applyNumberFormat="1" applyFont="1" applyAlignment="1">
      <alignment horizontal="left"/>
    </xf>
    <xf numFmtId="10" fontId="0" fillId="0" borderId="0" xfId="0" applyNumberFormat="1"/>
    <xf numFmtId="6" fontId="5" fillId="0" borderId="0" xfId="0" applyNumberFormat="1" applyFont="1"/>
    <xf numFmtId="168" fontId="0" fillId="3" borderId="2" xfId="0" applyNumberFormat="1" applyFont="1" applyFill="1" applyBorder="1" applyAlignment="1">
      <alignment horizontal="center"/>
    </xf>
    <xf numFmtId="6" fontId="0" fillId="0" borderId="11" xfId="0" applyNumberFormat="1" applyBorder="1" applyAlignment="1">
      <alignment horizontal="center" vertical="center"/>
    </xf>
    <xf numFmtId="6" fontId="0" fillId="0" borderId="10" xfId="0" applyNumberFormat="1" applyBorder="1" applyAlignment="1">
      <alignment horizontal="center" vertical="center"/>
    </xf>
    <xf numFmtId="6" fontId="0" fillId="0" borderId="8" xfId="0" applyNumberFormat="1" applyBorder="1" applyAlignment="1">
      <alignment horizontal="center" vertical="center"/>
    </xf>
    <xf numFmtId="6" fontId="0" fillId="0" borderId="7" xfId="0" applyNumberFormat="1" applyBorder="1" applyAlignment="1">
      <alignment horizontal="center" vertical="center"/>
    </xf>
    <xf numFmtId="8" fontId="0" fillId="0" borderId="0" xfId="0" applyNumberFormat="1"/>
    <xf numFmtId="10" fontId="0" fillId="0" borderId="0" xfId="0" applyNumberFormat="1" applyFont="1"/>
    <xf numFmtId="6" fontId="0" fillId="0" borderId="0" xfId="0" applyNumberFormat="1" applyFont="1"/>
    <xf numFmtId="0" fontId="0" fillId="0" borderId="0" xfId="0" applyFont="1" applyAlignment="1">
      <alignment horizontal="right"/>
    </xf>
    <xf numFmtId="9" fontId="0" fillId="0" borderId="0" xfId="0" applyNumberFormat="1"/>
    <xf numFmtId="165" fontId="0" fillId="0" borderId="0" xfId="0" applyNumberFormat="1" applyFont="1"/>
    <xf numFmtId="0" fontId="0" fillId="0" borderId="0" xfId="0" applyAlignment="1">
      <alignment vertical="top" wrapText="1"/>
    </xf>
    <xf numFmtId="0" fontId="0" fillId="0" borderId="0" xfId="0" applyAlignment="1">
      <alignment horizontal="right"/>
    </xf>
    <xf numFmtId="10" fontId="0" fillId="0" borderId="0" xfId="0" applyNumberFormat="1" applyFont="1" applyAlignment="1">
      <alignment horizontal="right"/>
    </xf>
    <xf numFmtId="8" fontId="0" fillId="0" borderId="0" xfId="0" applyNumberFormat="1" applyFont="1" applyAlignment="1">
      <alignment horizontal="center"/>
    </xf>
    <xf numFmtId="0" fontId="1" fillId="0" borderId="0" xfId="0" applyFont="1" applyAlignment="1">
      <alignment horizontal="center" vertical="center" textRotation="90"/>
    </xf>
    <xf numFmtId="0" fontId="0" fillId="0" borderId="0" xfId="0" applyAlignment="1"/>
    <xf numFmtId="165" fontId="5" fillId="0" borderId="0" xfId="0" applyNumberFormat="1" applyFont="1" applyAlignment="1">
      <alignment horizontal="center"/>
    </xf>
    <xf numFmtId="165" fontId="5" fillId="0" borderId="0" xfId="0" applyNumberFormat="1" applyFont="1"/>
    <xf numFmtId="0" fontId="1" fillId="0" borderId="35" xfId="0" applyFont="1" applyBorder="1"/>
    <xf numFmtId="0" fontId="1" fillId="0" borderId="36" xfId="0" applyFont="1" applyBorder="1" applyAlignment="1">
      <alignment horizontal="center"/>
    </xf>
    <xf numFmtId="0" fontId="1" fillId="0" borderId="37" xfId="0" applyFont="1" applyBorder="1" applyAlignment="1">
      <alignment horizontal="center"/>
    </xf>
    <xf numFmtId="0" fontId="0" fillId="0" borderId="38" xfId="0" applyFont="1" applyBorder="1" applyAlignment="1">
      <alignment horizontal="right"/>
    </xf>
    <xf numFmtId="6" fontId="0" fillId="0" borderId="39" xfId="0" applyNumberFormat="1" applyFont="1" applyBorder="1" applyAlignment="1">
      <alignment horizontal="center"/>
    </xf>
    <xf numFmtId="6" fontId="0" fillId="0" borderId="40" xfId="0" applyNumberFormat="1" applyFont="1" applyBorder="1" applyAlignment="1">
      <alignment horizontal="center"/>
    </xf>
    <xf numFmtId="0" fontId="0" fillId="0" borderId="41" xfId="0" applyFont="1" applyBorder="1" applyAlignment="1">
      <alignment horizontal="right"/>
    </xf>
    <xf numFmtId="6" fontId="0" fillId="0" borderId="42" xfId="0" applyNumberFormat="1" applyFont="1" applyBorder="1" applyAlignment="1">
      <alignment horizontal="center"/>
    </xf>
    <xf numFmtId="6" fontId="0" fillId="0" borderId="43" xfId="0" applyNumberFormat="1" applyFont="1" applyBorder="1" applyAlignment="1">
      <alignment horizontal="center"/>
    </xf>
    <xf numFmtId="0" fontId="0" fillId="0" borderId="35" xfId="0" applyFont="1" applyBorder="1" applyAlignment="1">
      <alignment horizontal="right"/>
    </xf>
    <xf numFmtId="6" fontId="0" fillId="0" borderId="36" xfId="0" applyNumberFormat="1" applyFont="1" applyBorder="1" applyAlignment="1">
      <alignment horizontal="center"/>
    </xf>
    <xf numFmtId="6" fontId="0" fillId="0" borderId="37" xfId="0" applyNumberFormat="1" applyFont="1" applyBorder="1" applyAlignment="1">
      <alignment horizontal="center"/>
    </xf>
    <xf numFmtId="6" fontId="5" fillId="0" borderId="39" xfId="0" applyNumberFormat="1" applyFont="1" applyBorder="1" applyAlignment="1">
      <alignment horizontal="center"/>
    </xf>
    <xf numFmtId="6" fontId="5" fillId="0" borderId="40" xfId="0" applyNumberFormat="1" applyFont="1" applyBorder="1" applyAlignment="1">
      <alignment horizontal="center"/>
    </xf>
    <xf numFmtId="6" fontId="0" fillId="0" borderId="0" xfId="0" applyNumberFormat="1" applyFont="1" applyBorder="1" applyAlignment="1">
      <alignment horizontal="center"/>
    </xf>
    <xf numFmtId="6" fontId="0" fillId="0" borderId="44" xfId="0" applyNumberFormat="1" applyFont="1" applyBorder="1" applyAlignment="1">
      <alignment horizontal="center"/>
    </xf>
    <xf numFmtId="6" fontId="0" fillId="0" borderId="45" xfId="0" applyNumberFormat="1" applyFont="1" applyBorder="1" applyAlignment="1">
      <alignment horizontal="center"/>
    </xf>
    <xf numFmtId="6" fontId="0" fillId="0" borderId="46" xfId="0" applyNumberFormat="1" applyFont="1" applyBorder="1" applyAlignment="1">
      <alignment horizontal="center"/>
    </xf>
    <xf numFmtId="10" fontId="0" fillId="0" borderId="42" xfId="0" applyNumberFormat="1" applyFont="1" applyBorder="1" applyAlignment="1">
      <alignment horizontal="center"/>
    </xf>
    <xf numFmtId="10" fontId="0" fillId="0" borderId="43" xfId="0" applyNumberFormat="1" applyFont="1" applyBorder="1" applyAlignment="1">
      <alignment horizontal="center"/>
    </xf>
    <xf numFmtId="0" fontId="0" fillId="0" borderId="47" xfId="0" applyFont="1" applyBorder="1" applyAlignment="1">
      <alignment horizontal="right"/>
    </xf>
    <xf numFmtId="0" fontId="0" fillId="0" borderId="48" xfId="0" applyFont="1" applyBorder="1" applyAlignment="1">
      <alignment horizontal="right"/>
    </xf>
    <xf numFmtId="6" fontId="0" fillId="3" borderId="49" xfId="0" applyNumberFormat="1" applyFont="1" applyFill="1" applyBorder="1" applyAlignment="1">
      <alignment horizontal="center"/>
    </xf>
    <xf numFmtId="168" fontId="0" fillId="3" borderId="50" xfId="0" applyNumberFormat="1" applyFont="1" applyFill="1" applyBorder="1" applyAlignment="1">
      <alignment horizontal="center"/>
    </xf>
    <xf numFmtId="168" fontId="0" fillId="0" borderId="0" xfId="0" applyNumberFormat="1" applyFont="1" applyAlignment="1">
      <alignment horizontal="center"/>
    </xf>
    <xf numFmtId="0" fontId="0" fillId="0" borderId="0" xfId="0" applyFill="1"/>
    <xf numFmtId="6" fontId="0" fillId="0" borderId="0" xfId="0" applyNumberFormat="1" applyFill="1" applyAlignment="1">
      <alignment horizontal="center"/>
    </xf>
    <xf numFmtId="0" fontId="1" fillId="0" borderId="0" xfId="0" applyFont="1" applyFill="1" applyBorder="1" applyAlignment="1">
      <alignment horizontal="center" vertical="center"/>
    </xf>
    <xf numFmtId="0" fontId="1" fillId="0" borderId="0" xfId="0" applyFont="1" applyFill="1" applyAlignment="1">
      <alignment horizontal="right"/>
    </xf>
    <xf numFmtId="0" fontId="1" fillId="0" borderId="0" xfId="0" applyFont="1" applyAlignment="1">
      <alignment horizontal="center" wrapText="1"/>
    </xf>
    <xf numFmtId="0" fontId="0" fillId="0" borderId="0" xfId="0" applyFont="1" applyAlignment="1">
      <alignment vertical="top" wrapText="1"/>
    </xf>
    <xf numFmtId="0" fontId="0" fillId="0" borderId="0" xfId="0" applyAlignment="1">
      <alignmen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Font="1" applyAlignment="1">
      <alignment wrapText="1"/>
    </xf>
    <xf numFmtId="0" fontId="0" fillId="0" borderId="0" xfId="0" applyAlignment="1">
      <alignment wrapText="1"/>
    </xf>
    <xf numFmtId="0" fontId="1" fillId="2" borderId="0" xfId="0" applyFont="1" applyFill="1" applyAlignment="1">
      <alignment horizontal="center" wrapText="1"/>
    </xf>
    <xf numFmtId="165" fontId="0" fillId="0" borderId="0" xfId="0" applyNumberFormat="1" applyFont="1" applyAlignment="1">
      <alignment horizontal="center" vertical="center"/>
    </xf>
    <xf numFmtId="165" fontId="0" fillId="0" borderId="0" xfId="0" applyNumberFormat="1" applyAlignment="1">
      <alignment horizontal="center" vertical="center"/>
    </xf>
    <xf numFmtId="165" fontId="0" fillId="0" borderId="0" xfId="0" applyNumberFormat="1" applyAlignment="1">
      <alignment vertical="center"/>
    </xf>
    <xf numFmtId="0" fontId="1" fillId="0" borderId="0" xfId="0" applyFont="1" applyAlignment="1">
      <alignment horizontal="center" vertical="center" textRotation="90" wrapText="1"/>
    </xf>
    <xf numFmtId="0" fontId="0" fillId="3" borderId="0" xfId="0" applyFont="1" applyFill="1" applyAlignment="1">
      <alignment horizontal="center" vertical="center"/>
    </xf>
    <xf numFmtId="6" fontId="0" fillId="3" borderId="0" xfId="0" applyNumberFormat="1" applyFont="1" applyFill="1" applyAlignment="1">
      <alignment horizontal="center"/>
    </xf>
    <xf numFmtId="164" fontId="0" fillId="3" borderId="0" xfId="0" applyNumberFormat="1" applyFont="1" applyFill="1" applyAlignment="1">
      <alignment horizontal="center"/>
    </xf>
    <xf numFmtId="165" fontId="0" fillId="3" borderId="0" xfId="0" applyNumberFormat="1" applyFont="1" applyFill="1" applyAlignment="1">
      <alignment horizontal="center"/>
    </xf>
    <xf numFmtId="0" fontId="0" fillId="3" borderId="0" xfId="0" applyFont="1" applyFill="1" applyAlignment="1">
      <alignment horizontal="center"/>
    </xf>
    <xf numFmtId="8" fontId="0" fillId="3" borderId="0" xfId="0" applyNumberFormat="1" applyFont="1" applyFill="1" applyAlignment="1">
      <alignment horizontal="center"/>
    </xf>
    <xf numFmtId="6" fontId="102" fillId="0" borderId="51" xfId="0" applyNumberFormat="1" applyFont="1" applyBorder="1" applyAlignment="1">
      <alignment horizontal="center" vertical="center" wrapText="1" readingOrder="1"/>
    </xf>
    <xf numFmtId="6" fontId="102" fillId="0" borderId="52" xfId="0" applyNumberFormat="1" applyFont="1" applyBorder="1" applyAlignment="1">
      <alignment horizontal="center" vertical="center" wrapText="1" readingOrder="1"/>
    </xf>
    <xf numFmtId="6" fontId="102" fillId="0" borderId="53" xfId="0" applyNumberFormat="1" applyFont="1" applyBorder="1" applyAlignment="1">
      <alignment horizontal="center" vertical="center" wrapText="1" readingOrder="1"/>
    </xf>
    <xf numFmtId="0" fontId="104" fillId="0" borderId="54" xfId="0" applyFont="1" applyBorder="1" applyAlignment="1">
      <alignment horizontal="right" vertical="center" wrapText="1" readingOrder="1"/>
    </xf>
    <xf numFmtId="0" fontId="104" fillId="0" borderId="55" xfId="0" applyFont="1" applyBorder="1" applyAlignment="1">
      <alignment horizontal="right" vertical="center" wrapText="1" readingOrder="1"/>
    </xf>
    <xf numFmtId="0" fontId="104" fillId="0" borderId="56" xfId="0" applyFont="1" applyBorder="1" applyAlignment="1">
      <alignment horizontal="right" vertical="center" wrapText="1" readingOrder="1"/>
    </xf>
    <xf numFmtId="0" fontId="102" fillId="0" borderId="55" xfId="0" applyFont="1" applyBorder="1" applyAlignment="1">
      <alignment horizontal="right" wrapText="1" readingOrder="1"/>
    </xf>
    <xf numFmtId="6" fontId="102" fillId="0" borderId="52" xfId="0" applyNumberFormat="1" applyFont="1" applyBorder="1" applyAlignment="1">
      <alignment horizontal="center" wrapText="1" readingOrder="1"/>
    </xf>
    <xf numFmtId="6" fontId="103" fillId="0" borderId="52" xfId="0" applyNumberFormat="1" applyFont="1" applyBorder="1" applyAlignment="1">
      <alignment horizontal="center" wrapText="1" readingOrder="1"/>
    </xf>
  </cellXfs>
  <cellStyles count="799">
    <cellStyle name="20% - Accent1 2" xfId="3"/>
    <cellStyle name="20% - Accent1 2 2" xfId="4"/>
    <cellStyle name="20% - Accent1 2 2 2" xfId="261"/>
    <cellStyle name="20% - Accent1 2 3" xfId="5"/>
    <cellStyle name="20% - Accent1 2 3 2" xfId="262"/>
    <cellStyle name="20% - Accent1 2 3 3" xfId="597"/>
    <cellStyle name="20% - Accent1 2 4" xfId="260"/>
    <cellStyle name="20% - Accent1 3" xfId="263"/>
    <cellStyle name="20% - Accent1 4" xfId="264"/>
    <cellStyle name="20% - Accent1 5" xfId="265"/>
    <cellStyle name="20% - Accent2 2" xfId="6"/>
    <cellStyle name="20% - Accent2 2 2" xfId="7"/>
    <cellStyle name="20% - Accent2 2 2 2" xfId="267"/>
    <cellStyle name="20% - Accent2 2 3" xfId="8"/>
    <cellStyle name="20% - Accent2 2 3 2" xfId="268"/>
    <cellStyle name="20% - Accent2 2 3 3" xfId="598"/>
    <cellStyle name="20% - Accent2 2 4" xfId="266"/>
    <cellStyle name="20% - Accent2 3" xfId="269"/>
    <cellStyle name="20% - Accent2 4" xfId="270"/>
    <cellStyle name="20% - Accent2 5" xfId="271"/>
    <cellStyle name="20% - Accent3 2" xfId="9"/>
    <cellStyle name="20% - Accent3 2 2" xfId="10"/>
    <cellStyle name="20% - Accent3 2 2 2" xfId="273"/>
    <cellStyle name="20% - Accent3 2 3" xfId="11"/>
    <cellStyle name="20% - Accent3 2 3 2" xfId="274"/>
    <cellStyle name="20% - Accent3 2 3 3" xfId="599"/>
    <cellStyle name="20% - Accent3 2 4" xfId="272"/>
    <cellStyle name="20% - Accent3 3" xfId="275"/>
    <cellStyle name="20% - Accent3 4" xfId="276"/>
    <cellStyle name="20% - Accent3 5" xfId="277"/>
    <cellStyle name="20% - Accent4 2" xfId="12"/>
    <cellStyle name="20% - Accent4 2 2" xfId="13"/>
    <cellStyle name="20% - Accent4 2 2 2" xfId="279"/>
    <cellStyle name="20% - Accent4 2 3" xfId="14"/>
    <cellStyle name="20% - Accent4 2 3 2" xfId="280"/>
    <cellStyle name="20% - Accent4 2 3 3" xfId="600"/>
    <cellStyle name="20% - Accent4 2 4" xfId="278"/>
    <cellStyle name="20% - Accent4 3" xfId="281"/>
    <cellStyle name="20% - Accent4 4" xfId="282"/>
    <cellStyle name="20% - Accent4 5" xfId="283"/>
    <cellStyle name="20% - Accent5 2" xfId="15"/>
    <cellStyle name="20% - Accent5 2 2" xfId="16"/>
    <cellStyle name="20% - Accent5 3" xfId="17"/>
    <cellStyle name="20% - Accent5 3 2" xfId="284"/>
    <cellStyle name="20% - Accent5 4" xfId="285"/>
    <cellStyle name="20% - Accent6 2" xfId="18"/>
    <cellStyle name="20% - Accent6 2 2" xfId="19"/>
    <cellStyle name="20% - Accent6 2 2 2" xfId="287"/>
    <cellStyle name="20% - Accent6 2 3" xfId="20"/>
    <cellStyle name="20% - Accent6 2 3 2" xfId="288"/>
    <cellStyle name="20% - Accent6 2 3 3" xfId="601"/>
    <cellStyle name="20% - Accent6 2 4" xfId="286"/>
    <cellStyle name="20% - Accent6 3" xfId="289"/>
    <cellStyle name="20% - Accent6 4" xfId="290"/>
    <cellStyle name="20% - Accent6 5" xfId="291"/>
    <cellStyle name="40% - Accent1 2" xfId="21"/>
    <cellStyle name="40% - Accent1 2 2" xfId="22"/>
    <cellStyle name="40% - Accent1 2 2 2" xfId="293"/>
    <cellStyle name="40% - Accent1 2 3" xfId="23"/>
    <cellStyle name="40% - Accent1 2 3 2" xfId="294"/>
    <cellStyle name="40% - Accent1 2 3 3" xfId="602"/>
    <cellStyle name="40% - Accent1 2 4" xfId="292"/>
    <cellStyle name="40% - Accent1 3" xfId="295"/>
    <cellStyle name="40% - Accent1 4" xfId="296"/>
    <cellStyle name="40% - Accent1 5" xfId="297"/>
    <cellStyle name="40% - Accent2 2" xfId="24"/>
    <cellStyle name="40% - Accent2 2 2" xfId="25"/>
    <cellStyle name="40% - Accent2 3" xfId="26"/>
    <cellStyle name="40% - Accent2 3 2" xfId="298"/>
    <cellStyle name="40% - Accent2 4" xfId="299"/>
    <cellStyle name="40% - Accent3 2" xfId="27"/>
    <cellStyle name="40% - Accent3 2 2" xfId="28"/>
    <cellStyle name="40% - Accent3 2 2 2" xfId="301"/>
    <cellStyle name="40% - Accent3 2 3" xfId="29"/>
    <cellStyle name="40% - Accent3 2 3 2" xfId="302"/>
    <cellStyle name="40% - Accent3 2 3 3" xfId="603"/>
    <cellStyle name="40% - Accent3 2 4" xfId="300"/>
    <cellStyle name="40% - Accent3 3" xfId="303"/>
    <cellStyle name="40% - Accent3 4" xfId="304"/>
    <cellStyle name="40% - Accent3 5" xfId="305"/>
    <cellStyle name="40% - Accent4 2" xfId="30"/>
    <cellStyle name="40% - Accent4 2 2" xfId="31"/>
    <cellStyle name="40% - Accent4 2 2 2" xfId="307"/>
    <cellStyle name="40% - Accent4 2 3" xfId="32"/>
    <cellStyle name="40% - Accent4 2 3 2" xfId="308"/>
    <cellStyle name="40% - Accent4 2 3 3" xfId="604"/>
    <cellStyle name="40% - Accent4 2 4" xfId="306"/>
    <cellStyle name="40% - Accent4 3" xfId="309"/>
    <cellStyle name="40% - Accent4 4" xfId="310"/>
    <cellStyle name="40% - Accent4 5" xfId="311"/>
    <cellStyle name="40% - Accent5 2" xfId="33"/>
    <cellStyle name="40% - Accent5 2 2" xfId="34"/>
    <cellStyle name="40% - Accent5 2 2 2" xfId="313"/>
    <cellStyle name="40% - Accent5 2 3" xfId="35"/>
    <cellStyle name="40% - Accent5 2 3 2" xfId="314"/>
    <cellStyle name="40% - Accent5 2 3 3" xfId="605"/>
    <cellStyle name="40% - Accent5 2 4" xfId="312"/>
    <cellStyle name="40% - Accent5 3" xfId="315"/>
    <cellStyle name="40% - Accent5 4" xfId="316"/>
    <cellStyle name="40% - Accent5 5" xfId="317"/>
    <cellStyle name="40% - Accent6 2" xfId="36"/>
    <cellStyle name="40% - Accent6 2 2" xfId="37"/>
    <cellStyle name="40% - Accent6 2 2 2" xfId="319"/>
    <cellStyle name="40% - Accent6 2 3" xfId="38"/>
    <cellStyle name="40% - Accent6 2 3 2" xfId="320"/>
    <cellStyle name="40% - Accent6 2 3 3" xfId="606"/>
    <cellStyle name="40% - Accent6 2 4" xfId="318"/>
    <cellStyle name="40% - Accent6 3" xfId="321"/>
    <cellStyle name="40% - Accent6 4" xfId="322"/>
    <cellStyle name="40% - Accent6 5" xfId="323"/>
    <cellStyle name="60% - Accent1 2" xfId="39"/>
    <cellStyle name="60% - Accent1 2 2" xfId="40"/>
    <cellStyle name="60% - Accent1 2 2 2" xfId="325"/>
    <cellStyle name="60% - Accent1 2 3" xfId="41"/>
    <cellStyle name="60% - Accent1 2 3 2" xfId="326"/>
    <cellStyle name="60% - Accent1 2 3 3" xfId="607"/>
    <cellStyle name="60% - Accent1 2 4" xfId="324"/>
    <cellStyle name="60% - Accent1 3" xfId="327"/>
    <cellStyle name="60% - Accent1 4" xfId="328"/>
    <cellStyle name="60% - Accent2 2" xfId="42"/>
    <cellStyle name="60% - Accent2 2 2" xfId="43"/>
    <cellStyle name="60% - Accent2 2 2 2" xfId="330"/>
    <cellStyle name="60% - Accent2 2 3" xfId="44"/>
    <cellStyle name="60% - Accent2 2 3 2" xfId="331"/>
    <cellStyle name="60% - Accent2 2 3 3" xfId="608"/>
    <cellStyle name="60% - Accent2 2 4" xfId="329"/>
    <cellStyle name="60% - Accent2 3" xfId="332"/>
    <cellStyle name="60% - Accent2 4" xfId="333"/>
    <cellStyle name="60% - Accent3 2" xfId="45"/>
    <cellStyle name="60% - Accent3 2 2" xfId="46"/>
    <cellStyle name="60% - Accent3 2 2 2" xfId="335"/>
    <cellStyle name="60% - Accent3 2 3" xfId="47"/>
    <cellStyle name="60% - Accent3 2 3 2" xfId="336"/>
    <cellStyle name="60% - Accent3 2 3 3" xfId="609"/>
    <cellStyle name="60% - Accent3 2 4" xfId="334"/>
    <cellStyle name="60% - Accent3 3" xfId="337"/>
    <cellStyle name="60% - Accent3 4" xfId="338"/>
    <cellStyle name="60% - Accent4 2" xfId="48"/>
    <cellStyle name="60% - Accent4 2 2" xfId="49"/>
    <cellStyle name="60% - Accent4 2 2 2" xfId="340"/>
    <cellStyle name="60% - Accent4 2 3" xfId="50"/>
    <cellStyle name="60% - Accent4 2 3 2" xfId="341"/>
    <cellStyle name="60% - Accent4 2 3 3" xfId="610"/>
    <cellStyle name="60% - Accent4 2 4" xfId="339"/>
    <cellStyle name="60% - Accent4 3" xfId="342"/>
    <cellStyle name="60% - Accent4 4" xfId="343"/>
    <cellStyle name="60% - Accent5 2" xfId="51"/>
    <cellStyle name="60% - Accent5 2 2" xfId="52"/>
    <cellStyle name="60% - Accent5 2 2 2" xfId="345"/>
    <cellStyle name="60% - Accent5 2 3" xfId="53"/>
    <cellStyle name="60% - Accent5 2 3 2" xfId="346"/>
    <cellStyle name="60% - Accent5 2 3 3" xfId="611"/>
    <cellStyle name="60% - Accent5 2 4" xfId="344"/>
    <cellStyle name="60% - Accent5 3" xfId="347"/>
    <cellStyle name="60% - Accent5 4" xfId="348"/>
    <cellStyle name="60% - Accent6 2" xfId="54"/>
    <cellStyle name="60% - Accent6 2 2" xfId="55"/>
    <cellStyle name="60% - Accent6 2 2 2" xfId="350"/>
    <cellStyle name="60% - Accent6 2 3" xfId="56"/>
    <cellStyle name="60% - Accent6 2 3 2" xfId="351"/>
    <cellStyle name="60% - Accent6 2 3 3" xfId="612"/>
    <cellStyle name="60% - Accent6 2 4" xfId="349"/>
    <cellStyle name="60% - Accent6 3" xfId="352"/>
    <cellStyle name="60% - Accent6 4" xfId="353"/>
    <cellStyle name="Accent1 2" xfId="57"/>
    <cellStyle name="Accent1 2 2" xfId="58"/>
    <cellStyle name="Accent1 2 2 2" xfId="355"/>
    <cellStyle name="Accent1 2 3" xfId="59"/>
    <cellStyle name="Accent1 2 3 2" xfId="356"/>
    <cellStyle name="Accent1 2 3 3" xfId="613"/>
    <cellStyle name="Accent1 2 4" xfId="354"/>
    <cellStyle name="Accent1 3" xfId="357"/>
    <cellStyle name="Accent1 4" xfId="358"/>
    <cellStyle name="Accent2 2" xfId="60"/>
    <cellStyle name="Accent2 2 2" xfId="61"/>
    <cellStyle name="Accent2 2 2 2" xfId="360"/>
    <cellStyle name="Accent2 2 3" xfId="62"/>
    <cellStyle name="Accent2 2 3 2" xfId="361"/>
    <cellStyle name="Accent2 2 3 3" xfId="614"/>
    <cellStyle name="Accent2 2 4" xfId="359"/>
    <cellStyle name="Accent2 3" xfId="362"/>
    <cellStyle name="Accent2 4" xfId="363"/>
    <cellStyle name="Accent3 2" xfId="63"/>
    <cellStyle name="Accent3 2 2" xfId="64"/>
    <cellStyle name="Accent3 2 2 2" xfId="365"/>
    <cellStyle name="Accent3 2 3" xfId="65"/>
    <cellStyle name="Accent3 2 3 2" xfId="366"/>
    <cellStyle name="Accent3 2 3 3" xfId="615"/>
    <cellStyle name="Accent3 2 4" xfId="364"/>
    <cellStyle name="Accent3 3" xfId="367"/>
    <cellStyle name="Accent3 4" xfId="368"/>
    <cellStyle name="Accent4 2" xfId="66"/>
    <cellStyle name="Accent4 2 2" xfId="67"/>
    <cellStyle name="Accent4 2 2 2" xfId="370"/>
    <cellStyle name="Accent4 2 3" xfId="68"/>
    <cellStyle name="Accent4 2 3 2" xfId="371"/>
    <cellStyle name="Accent4 2 3 3" xfId="616"/>
    <cellStyle name="Accent4 2 4" xfId="369"/>
    <cellStyle name="Accent4 3" xfId="372"/>
    <cellStyle name="Accent4 4" xfId="373"/>
    <cellStyle name="Accent5 2" xfId="69"/>
    <cellStyle name="Accent5 2 2" xfId="70"/>
    <cellStyle name="Accent5 3" xfId="71"/>
    <cellStyle name="Accent5 3 2" xfId="374"/>
    <cellStyle name="Accent6 2" xfId="72"/>
    <cellStyle name="Accent6 2 2" xfId="73"/>
    <cellStyle name="Accent6 2 2 2" xfId="376"/>
    <cellStyle name="Accent6 2 3" xfId="74"/>
    <cellStyle name="Accent6 2 3 2" xfId="377"/>
    <cellStyle name="Accent6 2 3 3" xfId="617"/>
    <cellStyle name="Accent6 2 4" xfId="375"/>
    <cellStyle name="Accent6 3" xfId="378"/>
    <cellStyle name="Accent6 4" xfId="379"/>
    <cellStyle name="Bad 2" xfId="75"/>
    <cellStyle name="Bad 2 2" xfId="76"/>
    <cellStyle name="Bad 2 2 2" xfId="381"/>
    <cellStyle name="Bad 2 3" xfId="77"/>
    <cellStyle name="Bad 2 3 2" xfId="382"/>
    <cellStyle name="Bad 2 3 3" xfId="618"/>
    <cellStyle name="Bad 2 4" xfId="380"/>
    <cellStyle name="Bad 3" xfId="383"/>
    <cellStyle name="Bad 4" xfId="384"/>
    <cellStyle name="Calculation 2" xfId="78"/>
    <cellStyle name="Calculation 2 2" xfId="79"/>
    <cellStyle name="Calculation 2 2 2" xfId="386"/>
    <cellStyle name="Calculation 2 3" xfId="80"/>
    <cellStyle name="Calculation 2 3 2" xfId="387"/>
    <cellStyle name="Calculation 2 3 3" xfId="619"/>
    <cellStyle name="Calculation 2 4" xfId="385"/>
    <cellStyle name="Calculation 3" xfId="388"/>
    <cellStyle name="Calculation 4" xfId="389"/>
    <cellStyle name="Check Cell 2" xfId="81"/>
    <cellStyle name="Check Cell 2 2" xfId="82"/>
    <cellStyle name="Check Cell 3" xfId="83"/>
    <cellStyle name="Check Cell 3 2" xfId="390"/>
    <cellStyle name="Comma 2" xfId="85"/>
    <cellStyle name="Comma 2 2" xfId="86"/>
    <cellStyle name="Comma 2 2 2" xfId="392"/>
    <cellStyle name="Comma 2 2 2 2" xfId="393"/>
    <cellStyle name="Comma 2 2 3" xfId="394"/>
    <cellStyle name="Comma 2 2 3 2" xfId="395"/>
    <cellStyle name="Comma 2 2 3 3" xfId="622"/>
    <cellStyle name="Comma 2 2 4" xfId="396"/>
    <cellStyle name="Comma 2 2 5" xfId="397"/>
    <cellStyle name="Comma 2 2 6" xfId="398"/>
    <cellStyle name="Comma 2 2 7" xfId="621"/>
    <cellStyle name="Comma 2 3" xfId="399"/>
    <cellStyle name="Comma 2 3 2" xfId="400"/>
    <cellStyle name="Comma 2 3 3" xfId="401"/>
    <cellStyle name="Comma 2 3 3 2" xfId="623"/>
    <cellStyle name="Comma 2 4" xfId="402"/>
    <cellStyle name="Comma 2 4 2" xfId="624"/>
    <cellStyle name="Comma 2 5" xfId="403"/>
    <cellStyle name="Comma 2 6" xfId="404"/>
    <cellStyle name="Comma 2 6 2" xfId="625"/>
    <cellStyle name="Comma 2 7" xfId="405"/>
    <cellStyle name="Comma 2 8" xfId="391"/>
    <cellStyle name="Comma 3" xfId="87"/>
    <cellStyle name="Comma 3 2" xfId="88"/>
    <cellStyle name="Comma 3 2 2" xfId="406"/>
    <cellStyle name="Comma 3 2 3" xfId="407"/>
    <cellStyle name="Comma 3 2 3 2" xfId="627"/>
    <cellStyle name="Comma 3 2 4" xfId="408"/>
    <cellStyle name="Comma 3 2 5" xfId="628"/>
    <cellStyle name="Comma 3 2 6" xfId="629"/>
    <cellStyle name="Comma 3 2 7" xfId="626"/>
    <cellStyle name="Comma 3 3" xfId="409"/>
    <cellStyle name="Comma 3 3 2" xfId="410"/>
    <cellStyle name="Comma 3 3 3" xfId="411"/>
    <cellStyle name="Comma 3 3 3 2" xfId="630"/>
    <cellStyle name="Comma 3 4" xfId="412"/>
    <cellStyle name="Comma 3 5" xfId="413"/>
    <cellStyle name="Comma 3 5 2" xfId="631"/>
    <cellStyle name="Comma 3 6" xfId="414"/>
    <cellStyle name="Comma 3 7" xfId="632"/>
    <cellStyle name="Comma 4" xfId="89"/>
    <cellStyle name="Comma 4 2" xfId="415"/>
    <cellStyle name="Comma 4 2 2" xfId="634"/>
    <cellStyle name="Comma 4 3" xfId="416"/>
    <cellStyle name="Comma 4 3 2" xfId="635"/>
    <cellStyle name="Comma 4 4" xfId="417"/>
    <cellStyle name="Comma 4 4 2" xfId="636"/>
    <cellStyle name="Comma 4 5" xfId="633"/>
    <cellStyle name="Comma 5" xfId="90"/>
    <cellStyle name="Comma 5 2" xfId="418"/>
    <cellStyle name="Comma 5 3" xfId="638"/>
    <cellStyle name="Comma 5 4" xfId="637"/>
    <cellStyle name="Comma 6" xfId="84"/>
    <cellStyle name="Comma 6 2" xfId="419"/>
    <cellStyle name="Comma 6 3" xfId="639"/>
    <cellStyle name="Comma 6 4" xfId="640"/>
    <cellStyle name="Comma 7" xfId="641"/>
    <cellStyle name="Comma 7 2" xfId="642"/>
    <cellStyle name="Comma 8" xfId="643"/>
    <cellStyle name="Comma 9" xfId="620"/>
    <cellStyle name="Currency 2" xfId="92"/>
    <cellStyle name="Currency 2 2" xfId="93"/>
    <cellStyle name="Currency 2 3" xfId="94"/>
    <cellStyle name="Currency 2 4" xfId="420"/>
    <cellStyle name="Currency 2 4 2" xfId="646"/>
    <cellStyle name="Currency 2 5" xfId="645"/>
    <cellStyle name="Currency 3" xfId="95"/>
    <cellStyle name="Currency 3 2" xfId="96"/>
    <cellStyle name="Currency 3 2 2" xfId="648"/>
    <cellStyle name="Currency 3 3" xfId="649"/>
    <cellStyle name="Currency 3 3 2" xfId="650"/>
    <cellStyle name="Currency 3 4" xfId="647"/>
    <cellStyle name="Currency 4" xfId="97"/>
    <cellStyle name="Currency 4 2" xfId="651"/>
    <cellStyle name="Currency 5" xfId="91"/>
    <cellStyle name="Currency 5 2" xfId="653"/>
    <cellStyle name="Currency 5 3" xfId="652"/>
    <cellStyle name="Currency 6" xfId="654"/>
    <cellStyle name="Currency 7" xfId="644"/>
    <cellStyle name="Explanatory Text 2" xfId="98"/>
    <cellStyle name="Explanatory Text 2 2" xfId="99"/>
    <cellStyle name="Explanatory Text 3" xfId="100"/>
    <cellStyle name="Explanatory Text 3 2" xfId="421"/>
    <cellStyle name="Good 2" xfId="101"/>
    <cellStyle name="Good 2 2" xfId="102"/>
    <cellStyle name="Good 2 2 2" xfId="423"/>
    <cellStyle name="Good 2 3" xfId="103"/>
    <cellStyle name="Good 2 3 2" xfId="424"/>
    <cellStyle name="Good 2 3 3" xfId="655"/>
    <cellStyle name="Good 2 4" xfId="422"/>
    <cellStyle name="Good 3" xfId="425"/>
    <cellStyle name="Good 4" xfId="426"/>
    <cellStyle name="Heading 1 2" xfId="104"/>
    <cellStyle name="Heading 1 2 2" xfId="105"/>
    <cellStyle name="Heading 1 2 3" xfId="106"/>
    <cellStyle name="Heading 1 2 3 2" xfId="428"/>
    <cellStyle name="Heading 1 2 3 3" xfId="656"/>
    <cellStyle name="Heading 1 2 4" xfId="429"/>
    <cellStyle name="Heading 1 2 4 2" xfId="657"/>
    <cellStyle name="Heading 1 2 4 3" xfId="658"/>
    <cellStyle name="Heading 1 2 5" xfId="427"/>
    <cellStyle name="Heading 1 3" xfId="430"/>
    <cellStyle name="Heading 1 4" xfId="431"/>
    <cellStyle name="Heading 2 2" xfId="107"/>
    <cellStyle name="Heading 2 2 2" xfId="108"/>
    <cellStyle name="Heading 2 2 3" xfId="109"/>
    <cellStyle name="Heading 2 2 3 2" xfId="433"/>
    <cellStyle name="Heading 2 2 3 3" xfId="659"/>
    <cellStyle name="Heading 2 2 4" xfId="434"/>
    <cellStyle name="Heading 2 2 4 2" xfId="660"/>
    <cellStyle name="Heading 2 2 4 3" xfId="661"/>
    <cellStyle name="Heading 2 2 5" xfId="432"/>
    <cellStyle name="Heading 2 3" xfId="435"/>
    <cellStyle name="Heading 2 4" xfId="436"/>
    <cellStyle name="Heading 3 2" xfId="110"/>
    <cellStyle name="Heading 3 2 2" xfId="111"/>
    <cellStyle name="Heading 3 2 3" xfId="112"/>
    <cellStyle name="Heading 3 2 3 2" xfId="438"/>
    <cellStyle name="Heading 3 2 3 3" xfId="662"/>
    <cellStyle name="Heading 3 2 4" xfId="113"/>
    <cellStyle name="Heading 3 2 4 2" xfId="439"/>
    <cellStyle name="Heading 3 2 4 3" xfId="663"/>
    <cellStyle name="Heading 3 2 5" xfId="440"/>
    <cellStyle name="Heading 3 2 6" xfId="437"/>
    <cellStyle name="Heading 3 2 6 2" xfId="664"/>
    <cellStyle name="Heading 3 3" xfId="441"/>
    <cellStyle name="Heading 3 4" xfId="442"/>
    <cellStyle name="Heading 4 2" xfId="114"/>
    <cellStyle name="Heading 4 2 2" xfId="115"/>
    <cellStyle name="Heading 4 2 3" xfId="116"/>
    <cellStyle name="Heading 4 2 3 2" xfId="444"/>
    <cellStyle name="Heading 4 2 3 3" xfId="665"/>
    <cellStyle name="Heading 4 2 4" xfId="445"/>
    <cellStyle name="Heading 4 2 4 2" xfId="666"/>
    <cellStyle name="Heading 4 2 4 3" xfId="667"/>
    <cellStyle name="Heading 4 2 5" xfId="443"/>
    <cellStyle name="Heading 4 3" xfId="446"/>
    <cellStyle name="Heading 4 4" xfId="447"/>
    <cellStyle name="Hyperlink 2" xfId="117"/>
    <cellStyle name="Hyperlink 3" xfId="668"/>
    <cellStyle name="Input 2" xfId="118"/>
    <cellStyle name="Input 2 2" xfId="119"/>
    <cellStyle name="Input 2 2 2" xfId="449"/>
    <cellStyle name="Input 2 3" xfId="120"/>
    <cellStyle name="Input 2 3 2" xfId="450"/>
    <cellStyle name="Input 2 3 3" xfId="669"/>
    <cellStyle name="Input 2 4" xfId="448"/>
    <cellStyle name="Input 3" xfId="451"/>
    <cellStyle name="Input 4" xfId="452"/>
    <cellStyle name="Linked Cell 2" xfId="121"/>
    <cellStyle name="Linked Cell 2 2" xfId="122"/>
    <cellStyle name="Linked Cell 2 3" xfId="123"/>
    <cellStyle name="Linked Cell 2 3 2" xfId="454"/>
    <cellStyle name="Linked Cell 2 3 3" xfId="670"/>
    <cellStyle name="Linked Cell 2 4" xfId="124"/>
    <cellStyle name="Linked Cell 2 4 2" xfId="455"/>
    <cellStyle name="Linked Cell 2 4 3" xfId="671"/>
    <cellStyle name="Linked Cell 2 5" xfId="456"/>
    <cellStyle name="Linked Cell 2 6" xfId="453"/>
    <cellStyle name="Linked Cell 3" xfId="457"/>
    <cellStyle name="Linked Cell 4" xfId="458"/>
    <cellStyle name="Neutral 2" xfId="125"/>
    <cellStyle name="Neutral 2 2" xfId="126"/>
    <cellStyle name="Neutral 2 2 2" xfId="460"/>
    <cellStyle name="Neutral 2 3" xfId="127"/>
    <cellStyle name="Neutral 2 3 2" xfId="461"/>
    <cellStyle name="Neutral 2 3 3" xfId="672"/>
    <cellStyle name="Neutral 2 4" xfId="459"/>
    <cellStyle name="Neutral 3" xfId="462"/>
    <cellStyle name="Neutral 4" xfId="463"/>
    <cellStyle name="Normal" xfId="0" builtinId="0"/>
    <cellStyle name="Normal 10" xfId="128"/>
    <cellStyle name="Normal 10 2" xfId="465"/>
    <cellStyle name="Normal 10 2 2" xfId="466"/>
    <cellStyle name="Normal 10 2 3" xfId="467"/>
    <cellStyle name="Normal 10 3" xfId="468"/>
    <cellStyle name="Normal 10 3 2" xfId="469"/>
    <cellStyle name="Normal 10 4" xfId="470"/>
    <cellStyle name="Normal 10 5" xfId="471"/>
    <cellStyle name="Normal 10 6" xfId="472"/>
    <cellStyle name="Normal 10 7" xfId="473"/>
    <cellStyle name="Normal 10 8" xfId="464"/>
    <cellStyle name="Normal 10 8 2" xfId="674"/>
    <cellStyle name="Normal 10 9" xfId="673"/>
    <cellStyle name="Normal 11" xfId="474"/>
    <cellStyle name="Normal 11 2" xfId="475"/>
    <cellStyle name="Normal 11 3" xfId="476"/>
    <cellStyle name="Normal 11 4" xfId="676"/>
    <cellStyle name="Normal 11 5" xfId="675"/>
    <cellStyle name="Normal 12" xfId="477"/>
    <cellStyle name="Normal 12 10" xfId="129"/>
    <cellStyle name="Normal 12 10 2" xfId="130"/>
    <cellStyle name="Normal 12 10 2 2" xfId="679"/>
    <cellStyle name="Normal 12 10 3" xfId="678"/>
    <cellStyle name="Normal 12 11" xfId="131"/>
    <cellStyle name="Normal 12 11 2" xfId="132"/>
    <cellStyle name="Normal 12 11 2 2" xfId="681"/>
    <cellStyle name="Normal 12 11 3" xfId="680"/>
    <cellStyle name="Normal 12 12" xfId="133"/>
    <cellStyle name="Normal 12 12 2" xfId="134"/>
    <cellStyle name="Normal 12 12 2 2" xfId="683"/>
    <cellStyle name="Normal 12 12 3" xfId="682"/>
    <cellStyle name="Normal 12 13" xfId="135"/>
    <cellStyle name="Normal 12 13 2" xfId="136"/>
    <cellStyle name="Normal 12 13 2 2" xfId="685"/>
    <cellStyle name="Normal 12 13 3" xfId="684"/>
    <cellStyle name="Normal 12 14" xfId="686"/>
    <cellStyle name="Normal 12 15" xfId="137"/>
    <cellStyle name="Normal 12 15 2" xfId="138"/>
    <cellStyle name="Normal 12 15 2 2" xfId="688"/>
    <cellStyle name="Normal 12 15 3" xfId="687"/>
    <cellStyle name="Normal 12 16" xfId="139"/>
    <cellStyle name="Normal 12 16 2" xfId="140"/>
    <cellStyle name="Normal 12 16 2 2" xfId="690"/>
    <cellStyle name="Normal 12 16 3" xfId="689"/>
    <cellStyle name="Normal 12 17" xfId="141"/>
    <cellStyle name="Normal 12 17 2" xfId="142"/>
    <cellStyle name="Normal 12 17 2 2" xfId="692"/>
    <cellStyle name="Normal 12 17 3" xfId="691"/>
    <cellStyle name="Normal 12 18" xfId="143"/>
    <cellStyle name="Normal 12 18 2" xfId="144"/>
    <cellStyle name="Normal 12 18 2 2" xfId="694"/>
    <cellStyle name="Normal 12 18 3" xfId="693"/>
    <cellStyle name="Normal 12 19" xfId="145"/>
    <cellStyle name="Normal 12 19 2" xfId="146"/>
    <cellStyle name="Normal 12 19 2 2" xfId="696"/>
    <cellStyle name="Normal 12 19 3" xfId="695"/>
    <cellStyle name="Normal 12 2" xfId="147"/>
    <cellStyle name="Normal 12 2 2" xfId="148"/>
    <cellStyle name="Normal 12 2 2 2" xfId="698"/>
    <cellStyle name="Normal 12 2 3" xfId="697"/>
    <cellStyle name="Normal 12 20" xfId="677"/>
    <cellStyle name="Normal 12 3" xfId="149"/>
    <cellStyle name="Normal 12 3 2" xfId="150"/>
    <cellStyle name="Normal 12 3 2 2" xfId="700"/>
    <cellStyle name="Normal 12 3 3" xfId="699"/>
    <cellStyle name="Normal 12 4" xfId="151"/>
    <cellStyle name="Normal 12 4 2" xfId="152"/>
    <cellStyle name="Normal 12 4 2 2" xfId="702"/>
    <cellStyle name="Normal 12 4 3" xfId="701"/>
    <cellStyle name="Normal 12 5" xfId="703"/>
    <cellStyle name="Normal 12 6" xfId="153"/>
    <cellStyle name="Normal 12 6 2" xfId="154"/>
    <cellStyle name="Normal 12 6 2 2" xfId="705"/>
    <cellStyle name="Normal 12 6 3" xfId="704"/>
    <cellStyle name="Normal 12 7" xfId="155"/>
    <cellStyle name="Normal 12 7 2" xfId="156"/>
    <cellStyle name="Normal 12 7 2 2" xfId="707"/>
    <cellStyle name="Normal 12 7 3" xfId="706"/>
    <cellStyle name="Normal 12 8" xfId="157"/>
    <cellStyle name="Normal 12 8 2" xfId="158"/>
    <cellStyle name="Normal 12 8 2 2" xfId="709"/>
    <cellStyle name="Normal 12 8 3" xfId="708"/>
    <cellStyle name="Normal 12 9" xfId="159"/>
    <cellStyle name="Normal 12 9 2" xfId="160"/>
    <cellStyle name="Normal 12 9 2 2" xfId="711"/>
    <cellStyle name="Normal 12 9 3" xfId="710"/>
    <cellStyle name="Normal 13" xfId="478"/>
    <cellStyle name="Normal 13 2" xfId="713"/>
    <cellStyle name="Normal 13 3" xfId="712"/>
    <cellStyle name="Normal 14" xfId="479"/>
    <cellStyle name="Normal 14 2" xfId="715"/>
    <cellStyle name="Normal 14 3" xfId="714"/>
    <cellStyle name="Normal 15" xfId="480"/>
    <cellStyle name="Normal 15 2" xfId="717"/>
    <cellStyle name="Normal 15 3" xfId="716"/>
    <cellStyle name="Normal 16" xfId="481"/>
    <cellStyle name="Normal 16 2" xfId="719"/>
    <cellStyle name="Normal 16 3" xfId="718"/>
    <cellStyle name="Normal 17" xfId="482"/>
    <cellStyle name="Normal 17 2" xfId="721"/>
    <cellStyle name="Normal 17 3" xfId="720"/>
    <cellStyle name="Normal 18" xfId="483"/>
    <cellStyle name="Normal 18 2" xfId="723"/>
    <cellStyle name="Normal 18 3" xfId="722"/>
    <cellStyle name="Normal 19" xfId="484"/>
    <cellStyle name="Normal 19 2" xfId="724"/>
    <cellStyle name="Normal 2" xfId="161"/>
    <cellStyle name="Normal 2 10" xfId="162"/>
    <cellStyle name="Normal 2 11" xfId="163"/>
    <cellStyle name="Normal 2 12" xfId="164"/>
    <cellStyle name="Normal 2 13" xfId="165"/>
    <cellStyle name="Normal 2 14" xfId="166"/>
    <cellStyle name="Normal 2 15" xfId="167"/>
    <cellStyle name="Normal 2 16" xfId="168"/>
    <cellStyle name="Normal 2 17" xfId="169"/>
    <cellStyle name="Normal 2 18" xfId="170"/>
    <cellStyle name="Normal 2 19" xfId="171"/>
    <cellStyle name="Normal 2 2" xfId="172"/>
    <cellStyle name="Normal 2 2 2" xfId="173"/>
    <cellStyle name="Normal 2 2 2 2" xfId="174"/>
    <cellStyle name="Normal 2 2 2 2 2" xfId="485"/>
    <cellStyle name="Normal 2 2 2 2 3" xfId="725"/>
    <cellStyle name="Normal 2 2 3" xfId="175"/>
    <cellStyle name="Normal 2 2 4" xfId="176"/>
    <cellStyle name="Normal 2 2 5" xfId="177"/>
    <cellStyle name="Normal 2 2 5 2" xfId="486"/>
    <cellStyle name="Normal 2 2 6" xfId="178"/>
    <cellStyle name="Normal 2 2 6 2" xfId="726"/>
    <cellStyle name="Normal 2 20" xfId="179"/>
    <cellStyle name="Normal 2 21" xfId="180"/>
    <cellStyle name="Normal 2 22" xfId="181"/>
    <cellStyle name="Normal 2 23" xfId="182"/>
    <cellStyle name="Normal 2 24" xfId="183"/>
    <cellStyle name="Normal 2 25" xfId="184"/>
    <cellStyle name="Normal 2 26" xfId="185"/>
    <cellStyle name="Normal 2 27" xfId="186"/>
    <cellStyle name="Normal 2 28" xfId="187"/>
    <cellStyle name="Normal 2 29" xfId="188"/>
    <cellStyle name="Normal 2 3" xfId="189"/>
    <cellStyle name="Normal 2 3 2" xfId="190"/>
    <cellStyle name="Normal 2 3 2 2" xfId="487"/>
    <cellStyle name="Normal 2 3 3" xfId="191"/>
    <cellStyle name="Normal 2 3 4" xfId="192"/>
    <cellStyle name="Normal 2 3 5" xfId="488"/>
    <cellStyle name="Normal 2 3 5 2" xfId="727"/>
    <cellStyle name="Normal 2 30" xfId="193"/>
    <cellStyle name="Normal 2 31" xfId="194"/>
    <cellStyle name="Normal 2 32" xfId="195"/>
    <cellStyle name="Normal 2 33" xfId="196"/>
    <cellStyle name="Normal 2 34" xfId="197"/>
    <cellStyle name="Normal 2 35" xfId="198"/>
    <cellStyle name="Normal 2 36" xfId="489"/>
    <cellStyle name="Normal 2 36 2" xfId="728"/>
    <cellStyle name="Normal 2 4" xfId="199"/>
    <cellStyle name="Normal 2 4 2" xfId="200"/>
    <cellStyle name="Normal 2 4 2 2" xfId="490"/>
    <cellStyle name="Normal 2 4 3" xfId="201"/>
    <cellStyle name="Normal 2 4 4" xfId="202"/>
    <cellStyle name="Normal 2 4 5" xfId="491"/>
    <cellStyle name="Normal 2 5" xfId="203"/>
    <cellStyle name="Normal 2 5 2" xfId="204"/>
    <cellStyle name="Normal 2 5 2 2" xfId="492"/>
    <cellStyle name="Normal 2 5 3" xfId="205"/>
    <cellStyle name="Normal 2 5 4" xfId="206"/>
    <cellStyle name="Normal 2 6" xfId="207"/>
    <cellStyle name="Normal 2 6 2" xfId="208"/>
    <cellStyle name="Normal 2 6 2 2" xfId="209"/>
    <cellStyle name="Normal 2 6 2 2 2" xfId="730"/>
    <cellStyle name="Normal 2 6 2 3" xfId="729"/>
    <cellStyle name="Normal 2 6 3" xfId="210"/>
    <cellStyle name="Normal 2 6 3 2" xfId="493"/>
    <cellStyle name="Normal 2 6 3 2 2" xfId="732"/>
    <cellStyle name="Normal 2 6 3 3" xfId="731"/>
    <cellStyle name="Normal 2 7" xfId="211"/>
    <cellStyle name="Normal 2 7 2" xfId="212"/>
    <cellStyle name="Normal 2 7 3" xfId="494"/>
    <cellStyle name="Normal 2 7 4" xfId="495"/>
    <cellStyle name="Normal 2 8" xfId="213"/>
    <cellStyle name="Normal 2 9" xfId="214"/>
    <cellStyle name="Normal 20" xfId="496"/>
    <cellStyle name="Normal 20 2" xfId="733"/>
    <cellStyle name="Normal 21" xfId="734"/>
    <cellStyle name="Normal 22" xfId="735"/>
    <cellStyle name="Normal 3" xfId="215"/>
    <cellStyle name="Normal 3 2" xfId="216"/>
    <cellStyle name="Normal 3 2 2" xfId="217"/>
    <cellStyle name="Normal 3 2 2 2" xfId="498"/>
    <cellStyle name="Normal 3 2 2 2 2" xfId="499"/>
    <cellStyle name="Normal 3 2 2 3" xfId="500"/>
    <cellStyle name="Normal 3 2 2 3 2" xfId="501"/>
    <cellStyle name="Normal 3 2 2 4" xfId="502"/>
    <cellStyle name="Normal 3 2 3" xfId="218"/>
    <cellStyle name="Normal 3 2 3 2" xfId="503"/>
    <cellStyle name="Normal 3 2 3 2 2" xfId="504"/>
    <cellStyle name="Normal 3 2 3 3" xfId="505"/>
    <cellStyle name="Normal 3 2 4" xfId="219"/>
    <cellStyle name="Normal 3 2 5" xfId="737"/>
    <cellStyle name="Normal 3 3" xfId="220"/>
    <cellStyle name="Normal 3 3 2" xfId="506"/>
    <cellStyle name="Normal 3 3 2 2" xfId="738"/>
    <cellStyle name="Normal 3 4" xfId="221"/>
    <cellStyle name="Normal 3 4 2" xfId="740"/>
    <cellStyle name="Normal 3 4 3" xfId="739"/>
    <cellStyle name="Normal 3 5" xfId="507"/>
    <cellStyle name="Normal 3 6" xfId="508"/>
    <cellStyle name="Normal 3 6 2" xfId="741"/>
    <cellStyle name="Normal 3 7" xfId="497"/>
    <cellStyle name="Normal 3 7 2" xfId="742"/>
    <cellStyle name="Normal 3 8" xfId="736"/>
    <cellStyle name="Normal 39" xfId="222"/>
    <cellStyle name="Normal 39 2" xfId="743"/>
    <cellStyle name="Normal 4" xfId="223"/>
    <cellStyle name="Normal 4 10" xfId="509"/>
    <cellStyle name="Normal 4 10 2" xfId="745"/>
    <cellStyle name="Normal 4 11" xfId="744"/>
    <cellStyle name="Normal 4 2" xfId="224"/>
    <cellStyle name="Normal 4 2 2" xfId="225"/>
    <cellStyle name="Normal 4 2 2 2" xfId="510"/>
    <cellStyle name="Normal 4 2 2 2 2" xfId="511"/>
    <cellStyle name="Normal 4 2 2 2 2 2" xfId="512"/>
    <cellStyle name="Normal 4 2 2 2 3" xfId="513"/>
    <cellStyle name="Normal 4 2 2 2 4" xfId="514"/>
    <cellStyle name="Normal 4 2 2 3" xfId="515"/>
    <cellStyle name="Normal 4 2 2 3 2" xfId="516"/>
    <cellStyle name="Normal 4 2 2 3 3" xfId="517"/>
    <cellStyle name="Normal 4 2 2 4" xfId="518"/>
    <cellStyle name="Normal 4 2 2 5" xfId="519"/>
    <cellStyle name="Normal 4 2 3" xfId="226"/>
    <cellStyle name="Normal 4 2 3 2" xfId="520"/>
    <cellStyle name="Normal 4 2 3 2 2" xfId="521"/>
    <cellStyle name="Normal 4 2 3 2 3" xfId="522"/>
    <cellStyle name="Normal 4 2 3 3" xfId="523"/>
    <cellStyle name="Normal 4 2 3 4" xfId="524"/>
    <cellStyle name="Normal 4 2 4" xfId="227"/>
    <cellStyle name="Normal 4 2 4 2" xfId="525"/>
    <cellStyle name="Normal 4 2 5" xfId="526"/>
    <cellStyle name="Normal 4 2 6" xfId="527"/>
    <cellStyle name="Normal 4 3" xfId="228"/>
    <cellStyle name="Normal 4 3 2" xfId="528"/>
    <cellStyle name="Normal 4 3 2 2" xfId="529"/>
    <cellStyle name="Normal 4 3 2 2 2" xfId="530"/>
    <cellStyle name="Normal 4 3 2 3" xfId="531"/>
    <cellStyle name="Normal 4 3 3" xfId="532"/>
    <cellStyle name="Normal 4 3 3 2" xfId="533"/>
    <cellStyle name="Normal 4 3 4" xfId="534"/>
    <cellStyle name="Normal 4 3 5" xfId="535"/>
    <cellStyle name="Normal 4 4" xfId="229"/>
    <cellStyle name="Normal 4 4 2" xfId="537"/>
    <cellStyle name="Normal 4 4 2 2" xfId="538"/>
    <cellStyle name="Normal 4 4 3" xfId="539"/>
    <cellStyle name="Normal 4 4 4" xfId="536"/>
    <cellStyle name="Normal 4 5" xfId="540"/>
    <cellStyle name="Normal 4 5 2" xfId="541"/>
    <cellStyle name="Normal 4 6" xfId="542"/>
    <cellStyle name="Normal 4 7" xfId="543"/>
    <cellStyle name="Normal 4 8" xfId="544"/>
    <cellStyle name="Normal 4 9" xfId="545"/>
    <cellStyle name="Normal 4 9 2" xfId="746"/>
    <cellStyle name="Normal 40" xfId="230"/>
    <cellStyle name="Normal 40 2" xfId="747"/>
    <cellStyle name="Normal 5" xfId="231"/>
    <cellStyle name="Normal 5 2" xfId="232"/>
    <cellStyle name="Normal 5 2 2" xfId="233"/>
    <cellStyle name="Normal 5 2 2 2" xfId="547"/>
    <cellStyle name="Normal 5 2 2 2 2" xfId="548"/>
    <cellStyle name="Normal 5 2 2 3" xfId="549"/>
    <cellStyle name="Normal 5 2 2 3 2" xfId="550"/>
    <cellStyle name="Normal 5 2 2 4" xfId="551"/>
    <cellStyle name="Normal 5 2 3" xfId="234"/>
    <cellStyle name="Normal 5 2 3 2" xfId="552"/>
    <cellStyle name="Normal 5 2 3 2 2" xfId="553"/>
    <cellStyle name="Normal 5 2 3 3" xfId="554"/>
    <cellStyle name="Normal 5 2 4" xfId="235"/>
    <cellStyle name="Normal 5 3" xfId="555"/>
    <cellStyle name="Normal 5 4" xfId="546"/>
    <cellStyle name="Normal 5 4 2" xfId="749"/>
    <cellStyle name="Normal 5 5" xfId="748"/>
    <cellStyle name="Normal 6" xfId="2"/>
    <cellStyle name="Normal 6 2" xfId="557"/>
    <cellStyle name="Normal 6 3" xfId="556"/>
    <cellStyle name="Normal 6 3 2" xfId="751"/>
    <cellStyle name="Normal 6 4" xfId="752"/>
    <cellStyle name="Normal 6 5" xfId="750"/>
    <cellStyle name="Normal 7" xfId="558"/>
    <cellStyle name="Normal 7 2" xfId="559"/>
    <cellStyle name="Normal 7 2 2" xfId="754"/>
    <cellStyle name="Normal 7 3" xfId="755"/>
    <cellStyle name="Normal 7 4" xfId="753"/>
    <cellStyle name="Normal 8" xfId="560"/>
    <cellStyle name="Normal 8 2" xfId="236"/>
    <cellStyle name="Normal 8 2 2" xfId="757"/>
    <cellStyle name="Normal 8 3" xfId="561"/>
    <cellStyle name="Normal 8 3 2" xfId="758"/>
    <cellStyle name="Normal 8 4" xfId="759"/>
    <cellStyle name="Normal 8 5" xfId="756"/>
    <cellStyle name="Normal 9" xfId="237"/>
    <cellStyle name="Normal 9 2" xfId="563"/>
    <cellStyle name="Normal 9 2 2" xfId="761"/>
    <cellStyle name="Normal 9 3" xfId="564"/>
    <cellStyle name="Normal 9 4" xfId="565"/>
    <cellStyle name="Normal 9 4 2" xfId="762"/>
    <cellStyle name="Normal 9 5" xfId="562"/>
    <cellStyle name="Normal 9 5 2" xfId="763"/>
    <cellStyle name="Normal 9 6" xfId="760"/>
    <cellStyle name="Note 2" xfId="238"/>
    <cellStyle name="Note 2 2" xfId="239"/>
    <cellStyle name="Note 2 2 2" xfId="566"/>
    <cellStyle name="Note 2 3" xfId="240"/>
    <cellStyle name="Note 2 3 2" xfId="567"/>
    <cellStyle name="Note 2 3 3" xfId="764"/>
    <cellStyle name="Note 2 4" xfId="765"/>
    <cellStyle name="Note 3" xfId="568"/>
    <cellStyle name="Note 3 2" xfId="569"/>
    <cellStyle name="Note 3 2 2" xfId="766"/>
    <cellStyle name="Note 3 3" xfId="767"/>
    <cellStyle name="Note 4" xfId="570"/>
    <cellStyle name="Note 4 2" xfId="768"/>
    <cellStyle name="Output 2" xfId="241"/>
    <cellStyle name="Output 2 2" xfId="242"/>
    <cellStyle name="Output 2 2 2" xfId="572"/>
    <cellStyle name="Output 2 3" xfId="243"/>
    <cellStyle name="Output 2 3 2" xfId="573"/>
    <cellStyle name="Output 2 3 3" xfId="769"/>
    <cellStyle name="Output 2 4" xfId="571"/>
    <cellStyle name="Output 3" xfId="574"/>
    <cellStyle name="Output 4" xfId="575"/>
    <cellStyle name="Percent 10" xfId="770"/>
    <cellStyle name="Percent 2" xfId="245"/>
    <cellStyle name="Percent 2 2" xfId="576"/>
    <cellStyle name="Percent 2 3" xfId="577"/>
    <cellStyle name="Percent 2 3 2" xfId="772"/>
    <cellStyle name="Percent 2 4" xfId="773"/>
    <cellStyle name="Percent 2 5" xfId="771"/>
    <cellStyle name="Percent 3" xfId="244"/>
    <cellStyle name="Percent 3 2" xfId="246"/>
    <cellStyle name="Percent 3 2 2" xfId="775"/>
    <cellStyle name="Percent 3 3" xfId="774"/>
    <cellStyle name="Percent 4" xfId="578"/>
    <cellStyle name="Percent 4 2" xfId="247"/>
    <cellStyle name="Percent 4 2 2" xfId="777"/>
    <cellStyle name="Percent 4 3" xfId="579"/>
    <cellStyle name="Percent 4 3 2" xfId="778"/>
    <cellStyle name="Percent 4 4" xfId="776"/>
    <cellStyle name="Percent 5" xfId="580"/>
    <cellStyle name="Percent 5 2" xfId="248"/>
    <cellStyle name="Percent 5 2 2" xfId="780"/>
    <cellStyle name="Percent 5 3" xfId="581"/>
    <cellStyle name="Percent 5 3 2" xfId="781"/>
    <cellStyle name="Percent 5 4" xfId="779"/>
    <cellStyle name="Percent 6" xfId="249"/>
    <cellStyle name="Percent 6 2" xfId="582"/>
    <cellStyle name="Percent 6 2 2" xfId="783"/>
    <cellStyle name="Percent 6 3" xfId="583"/>
    <cellStyle name="Percent 6 3 2" xfId="784"/>
    <cellStyle name="Percent 6 4" xfId="782"/>
    <cellStyle name="Percent 7" xfId="250"/>
    <cellStyle name="Percent 7 2" xfId="584"/>
    <cellStyle name="Percent 7 2 2" xfId="786"/>
    <cellStyle name="Percent 7 3" xfId="585"/>
    <cellStyle name="Percent 7 3 2" xfId="787"/>
    <cellStyle name="Percent 7 4" xfId="785"/>
    <cellStyle name="Percent 8" xfId="586"/>
    <cellStyle name="Percent 8 2" xfId="587"/>
    <cellStyle name="Percent 8 2 2" xfId="789"/>
    <cellStyle name="Percent 8 3" xfId="788"/>
    <cellStyle name="Percent 9" xfId="790"/>
    <cellStyle name="Title" xfId="1" builtinId="15" customBuiltin="1"/>
    <cellStyle name="Title 2" xfId="251"/>
    <cellStyle name="Title 2 2" xfId="252"/>
    <cellStyle name="Title 3" xfId="589"/>
    <cellStyle name="Title 3 2" xfId="791"/>
    <cellStyle name="Title 3 3" xfId="792"/>
    <cellStyle name="Title 4" xfId="588"/>
    <cellStyle name="Title 5" xfId="793"/>
    <cellStyle name="Total 2" xfId="253"/>
    <cellStyle name="Total 2 2" xfId="254"/>
    <cellStyle name="Total 2 2 2" xfId="591"/>
    <cellStyle name="Total 2 3" xfId="255"/>
    <cellStyle name="Total 2 3 2" xfId="592"/>
    <cellStyle name="Total 2 3 3" xfId="794"/>
    <cellStyle name="Total 2 4" xfId="256"/>
    <cellStyle name="Total 2 5" xfId="593"/>
    <cellStyle name="Total 2 5 2" xfId="795"/>
    <cellStyle name="Total 2 5 3" xfId="796"/>
    <cellStyle name="Total 2 6" xfId="590"/>
    <cellStyle name="Total 2 6 2" xfId="797"/>
    <cellStyle name="Total 2 7" xfId="798"/>
    <cellStyle name="Total 3" xfId="594"/>
    <cellStyle name="Total 4" xfId="595"/>
    <cellStyle name="Warning Text 2" xfId="257"/>
    <cellStyle name="Warning Text 2 2" xfId="258"/>
    <cellStyle name="Warning Text 3" xfId="259"/>
    <cellStyle name="Warning Text 3 2" xfId="596"/>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533399</xdr:colOff>
      <xdr:row>45</xdr:row>
      <xdr:rowOff>95728</xdr:rowOff>
    </xdr:from>
    <xdr:to>
      <xdr:col>8</xdr:col>
      <xdr:colOff>708660</xdr:colOff>
      <xdr:row>48</xdr:row>
      <xdr:rowOff>7619</xdr:rowOff>
    </xdr:to>
    <xdr:pic>
      <xdr:nvPicPr>
        <xdr:cNvPr id="2" name="Picture 1"/>
        <xdr:cNvPicPr>
          <a:picLocks noChangeAspect="1" noChangeArrowheads="1"/>
        </xdr:cNvPicPr>
      </xdr:nvPicPr>
      <xdr:blipFill rotWithShape="1">
        <a:blip xmlns:r="http://schemas.openxmlformats.org/officeDocument/2006/relationships" r:embed="rId1" cstate="print"/>
        <a:srcRect b="25150"/>
        <a:stretch/>
      </xdr:blipFill>
      <xdr:spPr bwMode="auto">
        <a:xfrm>
          <a:off x="4465319" y="8020528"/>
          <a:ext cx="1653541" cy="460531"/>
        </a:xfrm>
        <a:prstGeom prst="rect">
          <a:avLst/>
        </a:prstGeom>
        <a:noFill/>
        <a:ln w="9525">
          <a:noFill/>
          <a:miter lim="800000"/>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45</xdr:row>
      <xdr:rowOff>95728</xdr:rowOff>
    </xdr:from>
    <xdr:to>
      <xdr:col>1</xdr:col>
      <xdr:colOff>1546861</xdr:colOff>
      <xdr:row>48</xdr:row>
      <xdr:rowOff>7619</xdr:rowOff>
    </xdr:to>
    <xdr:pic>
      <xdr:nvPicPr>
        <xdr:cNvPr id="2" name="Picture 1"/>
        <xdr:cNvPicPr>
          <a:picLocks noChangeAspect="1" noChangeArrowheads="1"/>
        </xdr:cNvPicPr>
      </xdr:nvPicPr>
      <xdr:blipFill rotWithShape="1">
        <a:blip xmlns:r="http://schemas.openxmlformats.org/officeDocument/2006/relationships" r:embed="rId1" cstate="print"/>
        <a:srcRect b="25150"/>
        <a:stretch/>
      </xdr:blipFill>
      <xdr:spPr bwMode="auto">
        <a:xfrm>
          <a:off x="4465319" y="7837648"/>
          <a:ext cx="1653541" cy="460531"/>
        </a:xfrm>
        <a:prstGeom prst="rect">
          <a:avLst/>
        </a:prstGeom>
        <a:noFill/>
        <a:ln w="9525">
          <a:noFill/>
          <a:miter lim="800000"/>
          <a:headEnd/>
          <a:tailEnd/>
        </a:ln>
        <a:effectLst/>
      </xdr:spPr>
    </xdr:pic>
    <xdr:clientData/>
  </xdr:twoCellAnchor>
  <xdr:twoCellAnchor editAs="oneCell">
    <xdr:from>
      <xdr:col>6</xdr:col>
      <xdr:colOff>533399</xdr:colOff>
      <xdr:row>45</xdr:row>
      <xdr:rowOff>95728</xdr:rowOff>
    </xdr:from>
    <xdr:to>
      <xdr:col>8</xdr:col>
      <xdr:colOff>365760</xdr:colOff>
      <xdr:row>48</xdr:row>
      <xdr:rowOff>7619</xdr:rowOff>
    </xdr:to>
    <xdr:pic>
      <xdr:nvPicPr>
        <xdr:cNvPr id="3" name="Picture 2"/>
        <xdr:cNvPicPr>
          <a:picLocks noChangeAspect="1" noChangeArrowheads="1"/>
        </xdr:cNvPicPr>
      </xdr:nvPicPr>
      <xdr:blipFill rotWithShape="1">
        <a:blip xmlns:r="http://schemas.openxmlformats.org/officeDocument/2006/relationships" r:embed="rId1" cstate="print"/>
        <a:srcRect b="25150"/>
        <a:stretch/>
      </xdr:blipFill>
      <xdr:spPr bwMode="auto">
        <a:xfrm>
          <a:off x="5173979" y="8485348"/>
          <a:ext cx="1638301" cy="460531"/>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8"/>
  <sheetViews>
    <sheetView showGridLines="0" tabSelected="1" zoomScaleNormal="100" zoomScaleSheetLayoutView="100" workbookViewId="0"/>
  </sheetViews>
  <sheetFormatPr defaultColWidth="8.88671875" defaultRowHeight="14.4"/>
  <cols>
    <col min="1" max="1" width="1.6640625" style="1" customWidth="1"/>
    <col min="2" max="2" width="23.33203125" style="1" bestFit="1" customWidth="1"/>
    <col min="3" max="9" width="10.6640625" style="1" customWidth="1"/>
    <col min="10" max="12" width="9.33203125" style="1" bestFit="1" customWidth="1"/>
    <col min="13" max="16384" width="8.88671875" style="1"/>
  </cols>
  <sheetData>
    <row r="1" spans="2:9" s="15" customFormat="1" ht="4.2">
      <c r="H1" s="17"/>
    </row>
    <row r="2" spans="2:9" ht="23.4">
      <c r="B2" s="12" t="s">
        <v>51</v>
      </c>
    </row>
    <row r="3" spans="2:9">
      <c r="B3" s="1" t="s">
        <v>76</v>
      </c>
      <c r="H3" s="18" t="s">
        <v>15</v>
      </c>
      <c r="I3" s="38">
        <v>42095</v>
      </c>
    </row>
    <row r="4" spans="2:9" s="15" customFormat="1" ht="4.2">
      <c r="H4" s="17"/>
    </row>
    <row r="5" spans="2:9">
      <c r="B5" s="14" t="s">
        <v>14</v>
      </c>
    </row>
    <row r="6" spans="2:9" ht="44.4" customHeight="1">
      <c r="B6" s="90" t="s">
        <v>41</v>
      </c>
      <c r="C6" s="91"/>
      <c r="D6" s="91"/>
      <c r="E6" s="91"/>
      <c r="F6" s="91"/>
      <c r="G6" s="91"/>
      <c r="H6" s="91"/>
      <c r="I6" s="91"/>
    </row>
    <row r="7" spans="2:9" ht="28.95" customHeight="1">
      <c r="B7" s="90" t="s">
        <v>25</v>
      </c>
      <c r="C7" s="91"/>
      <c r="D7" s="91"/>
      <c r="E7" s="91"/>
      <c r="F7" s="91"/>
      <c r="G7" s="91"/>
      <c r="H7" s="91"/>
      <c r="I7" s="91"/>
    </row>
    <row r="8" spans="2:9">
      <c r="B8" s="90" t="s">
        <v>45</v>
      </c>
      <c r="C8" s="91"/>
      <c r="D8" s="91"/>
      <c r="E8" s="91"/>
      <c r="F8" s="91"/>
      <c r="G8" s="91"/>
      <c r="H8" s="91"/>
      <c r="I8" s="91"/>
    </row>
    <row r="9" spans="2:9">
      <c r="B9" s="90" t="s">
        <v>42</v>
      </c>
      <c r="C9" s="91"/>
      <c r="D9" s="91"/>
      <c r="E9" s="91"/>
      <c r="F9" s="91"/>
      <c r="G9" s="91"/>
      <c r="H9" s="91"/>
      <c r="I9" s="91"/>
    </row>
    <row r="10" spans="2:9" s="15" customFormat="1" ht="4.2">
      <c r="B10" s="16"/>
      <c r="C10" s="19"/>
      <c r="D10" s="19"/>
      <c r="E10" s="19"/>
      <c r="F10" s="19"/>
      <c r="G10" s="19"/>
      <c r="H10" s="19"/>
      <c r="I10" s="19"/>
    </row>
    <row r="11" spans="2:9">
      <c r="E11" s="89" t="s">
        <v>0</v>
      </c>
      <c r="F11" s="89"/>
      <c r="G11" s="89"/>
      <c r="H11" s="89"/>
      <c r="I11" s="89"/>
    </row>
    <row r="12" spans="2:9">
      <c r="B12" s="60" t="s">
        <v>4</v>
      </c>
      <c r="C12" s="61" t="s">
        <v>12</v>
      </c>
      <c r="D12" s="61" t="s">
        <v>65</v>
      </c>
      <c r="E12" s="61" t="s">
        <v>46</v>
      </c>
      <c r="F12" s="61" t="s">
        <v>5</v>
      </c>
      <c r="G12" s="61" t="s">
        <v>6</v>
      </c>
      <c r="H12" s="62" t="s">
        <v>7</v>
      </c>
    </row>
    <row r="13" spans="2:9">
      <c r="B13" s="63" t="s">
        <v>21</v>
      </c>
      <c r="C13" s="64">
        <f>SUM(D13:H13)</f>
        <v>808380.07734203991</v>
      </c>
      <c r="D13" s="64">
        <f>'Premium - Rates'!D35*Quote!$D$5</f>
        <v>187265.80111360515</v>
      </c>
      <c r="E13" s="64">
        <f>'Premium - Rates'!E35*Quote!$D$5</f>
        <v>177954.38890867267</v>
      </c>
      <c r="F13" s="64">
        <f>'Premium - Rates'!F35*Quote!$D$5</f>
        <v>152188.39734132498</v>
      </c>
      <c r="G13" s="64">
        <f>'Premium - Rates'!G35*Quote!$D$5</f>
        <v>146385.78887130498</v>
      </c>
      <c r="H13" s="65">
        <f>'Premium - Rates'!H35*Quote!$D$5</f>
        <v>144585.7011071321</v>
      </c>
    </row>
    <row r="14" spans="2:9">
      <c r="B14" s="63" t="s">
        <v>22</v>
      </c>
      <c r="C14" s="64">
        <f>SUM(D14:H14)</f>
        <v>236841.11574581175</v>
      </c>
      <c r="D14" s="64">
        <f>'Premium - Rates'!D35*Quote!$D$6</f>
        <v>54865.579348033963</v>
      </c>
      <c r="E14" s="64">
        <f>'Premium - Rates'!E35*Quote!$D$6</f>
        <v>52137.499676604522</v>
      </c>
      <c r="F14" s="64">
        <f>'Premium - Rates'!F35*Quote!$D$6</f>
        <v>44588.518248001419</v>
      </c>
      <c r="G14" s="64">
        <f>'Premium - Rates'!G35*Quote!$D$6</f>
        <v>42888.456231636126</v>
      </c>
      <c r="H14" s="65">
        <f>'Premium - Rates'!H35*Quote!$D$6</f>
        <v>42361.062241535728</v>
      </c>
    </row>
    <row r="15" spans="2:9">
      <c r="B15" s="63" t="s">
        <v>67</v>
      </c>
      <c r="C15" s="64">
        <f>SUM(D15:H15)</f>
        <v>496405.05594777432</v>
      </c>
      <c r="D15" s="64">
        <f>'Premium - Rates'!D35*Quote!$D$9</f>
        <v>114995.02905187389</v>
      </c>
      <c r="E15" s="64">
        <f>'Premium - Rates'!E35*Quote!$D$9</f>
        <v>109277.1344301506</v>
      </c>
      <c r="F15" s="64">
        <f>'Premium - Rates'!F35*Quote!$D$9</f>
        <v>93454.913121092701</v>
      </c>
      <c r="G15" s="64">
        <f>'Premium - Rates'!G35*Quote!$D$9</f>
        <v>89891.683072581072</v>
      </c>
      <c r="H15" s="65">
        <f>'Premium - Rates'!H35*Quote!$D$9</f>
        <v>88786.296272076012</v>
      </c>
    </row>
    <row r="16" spans="2:9">
      <c r="B16" s="63" t="s">
        <v>73</v>
      </c>
      <c r="C16" s="64">
        <f>SUM(D16:H16)</f>
        <v>238314.3846483446</v>
      </c>
      <c r="D16" s="64">
        <f>'Premium - Rates'!D35*Quote!$D$15</f>
        <v>55206.870392953962</v>
      </c>
      <c r="E16" s="64">
        <f>'Premium - Rates'!E35*Quote!$D$15</f>
        <v>52461.820716418384</v>
      </c>
      <c r="F16" s="64">
        <f>'Premium - Rates'!F35*Quote!$D$15</f>
        <v>44865.880888934509</v>
      </c>
      <c r="G16" s="64">
        <f>'Premium - Rates'!G35*Quote!$D$15</f>
        <v>43155.243645826173</v>
      </c>
      <c r="H16" s="65">
        <f>'Premium - Rates'!H35*Quote!$D$15</f>
        <v>42624.569004211568</v>
      </c>
    </row>
    <row r="17" spans="2:9">
      <c r="B17" s="66" t="s">
        <v>20</v>
      </c>
      <c r="C17" s="67">
        <f t="shared" ref="C17:H17" si="0">SUM(C13:C16)</f>
        <v>1779940.6336839707</v>
      </c>
      <c r="D17" s="67">
        <f t="shared" si="0"/>
        <v>412333.27990646695</v>
      </c>
      <c r="E17" s="67">
        <f t="shared" si="0"/>
        <v>391830.84373184619</v>
      </c>
      <c r="F17" s="67">
        <f t="shared" si="0"/>
        <v>335097.70959935361</v>
      </c>
      <c r="G17" s="67">
        <f t="shared" si="0"/>
        <v>322321.17182134837</v>
      </c>
      <c r="H17" s="68">
        <f t="shared" si="0"/>
        <v>318357.62862495543</v>
      </c>
    </row>
    <row r="18" spans="2:9">
      <c r="B18" s="34"/>
      <c r="C18" s="35"/>
      <c r="D18" s="35"/>
      <c r="E18" s="35"/>
      <c r="F18" s="35"/>
      <c r="G18" s="35"/>
      <c r="H18" s="35"/>
      <c r="I18" s="48"/>
    </row>
    <row r="19" spans="2:9" s="15" customFormat="1">
      <c r="B19" s="69" t="s">
        <v>36</v>
      </c>
      <c r="C19" s="70">
        <f t="shared" ref="C19:C26" si="1">SUM(D19:H19)</f>
        <v>513341.78887130495</v>
      </c>
      <c r="D19" s="70">
        <f>Losses!C11</f>
        <v>78394</v>
      </c>
      <c r="E19" s="70">
        <f>Losses!D11</f>
        <v>96441</v>
      </c>
      <c r="F19" s="70">
        <f>Losses!E11</f>
        <v>129287</v>
      </c>
      <c r="G19" s="70">
        <f>Losses!F11</f>
        <v>146385.78887130498</v>
      </c>
      <c r="H19" s="71">
        <f>Losses!G11</f>
        <v>62834</v>
      </c>
    </row>
    <row r="20" spans="2:9">
      <c r="B20" s="63" t="s">
        <v>37</v>
      </c>
      <c r="C20" s="64">
        <f t="shared" si="1"/>
        <v>43050.211128695024</v>
      </c>
      <c r="D20" s="64">
        <f>Losses!C12</f>
        <v>0</v>
      </c>
      <c r="E20" s="64">
        <f>Losses!D12</f>
        <v>0</v>
      </c>
      <c r="F20" s="64">
        <f>Losses!E12</f>
        <v>0</v>
      </c>
      <c r="G20" s="64">
        <f>Losses!F12</f>
        <v>43050.211128695024</v>
      </c>
      <c r="H20" s="65">
        <f>Losses!G12</f>
        <v>0</v>
      </c>
    </row>
    <row r="21" spans="2:9">
      <c r="B21" s="63" t="s">
        <v>50</v>
      </c>
      <c r="C21" s="64">
        <f t="shared" si="1"/>
        <v>0</v>
      </c>
      <c r="D21" s="64">
        <f>Losses!C13</f>
        <v>0</v>
      </c>
      <c r="E21" s="64">
        <f>Losses!D13</f>
        <v>0</v>
      </c>
      <c r="F21" s="64">
        <f>Losses!E13</f>
        <v>0</v>
      </c>
      <c r="G21" s="64">
        <f>Losses!F13</f>
        <v>0</v>
      </c>
      <c r="H21" s="65">
        <f>Losses!G13</f>
        <v>0</v>
      </c>
    </row>
    <row r="22" spans="2:9">
      <c r="B22" s="63" t="s">
        <v>67</v>
      </c>
      <c r="C22" s="64">
        <f t="shared" si="1"/>
        <v>496405.05594777432</v>
      </c>
      <c r="D22" s="64">
        <f t="shared" ref="D22:H23" si="2">D15</f>
        <v>114995.02905187389</v>
      </c>
      <c r="E22" s="64">
        <f t="shared" si="2"/>
        <v>109277.1344301506</v>
      </c>
      <c r="F22" s="64">
        <f t="shared" si="2"/>
        <v>93454.913121092701</v>
      </c>
      <c r="G22" s="64">
        <f t="shared" si="2"/>
        <v>89891.683072581072</v>
      </c>
      <c r="H22" s="65">
        <f t="shared" si="2"/>
        <v>88786.296272076012</v>
      </c>
    </row>
    <row r="23" spans="2:9">
      <c r="B23" s="63" t="s">
        <v>73</v>
      </c>
      <c r="C23" s="64">
        <f t="shared" si="1"/>
        <v>238314.3846483446</v>
      </c>
      <c r="D23" s="64">
        <f t="shared" si="2"/>
        <v>55206.870392953962</v>
      </c>
      <c r="E23" s="64">
        <f t="shared" si="2"/>
        <v>52461.820716418384</v>
      </c>
      <c r="F23" s="64">
        <f t="shared" si="2"/>
        <v>44865.880888934509</v>
      </c>
      <c r="G23" s="64">
        <f t="shared" si="2"/>
        <v>43155.243645826173</v>
      </c>
      <c r="H23" s="65">
        <f t="shared" si="2"/>
        <v>42624.569004211568</v>
      </c>
    </row>
    <row r="24" spans="2:9">
      <c r="B24" s="63" t="s">
        <v>23</v>
      </c>
      <c r="C24" s="64">
        <f t="shared" si="1"/>
        <v>77081.312451781298</v>
      </c>
      <c r="D24" s="64">
        <f>SUM(D13:D15)*$C$44</f>
        <v>17856.32047567565</v>
      </c>
      <c r="E24" s="64">
        <f>SUM(E13:E15)*$C$44</f>
        <v>16968.451150771391</v>
      </c>
      <c r="F24" s="64">
        <f>SUM(F13:F15)*$C$44</f>
        <v>14511.591435520957</v>
      </c>
      <c r="G24" s="64">
        <f>SUM(G13:G15)*$C$44</f>
        <v>13958.29640877611</v>
      </c>
      <c r="H24" s="65">
        <f>SUM(H13:H15)*$C$44</f>
        <v>13786.652981037194</v>
      </c>
    </row>
    <row r="25" spans="2:9">
      <c r="B25" s="63" t="s">
        <v>40</v>
      </c>
      <c r="C25" s="64">
        <f t="shared" si="1"/>
        <v>16691.759999999998</v>
      </c>
      <c r="D25" s="64">
        <f>SUM(D19:D21)*$C$43</f>
        <v>2351.8199999999997</v>
      </c>
      <c r="E25" s="64">
        <f>SUM(E19:E21)*$C$43</f>
        <v>2893.23</v>
      </c>
      <c r="F25" s="64">
        <f>SUM(F19:F21)*$C$43</f>
        <v>3878.6099999999997</v>
      </c>
      <c r="G25" s="64">
        <f>SUM(G19:G21)*$C$43</f>
        <v>5683.08</v>
      </c>
      <c r="H25" s="65">
        <f>SUM(H19:H21)*$C$43</f>
        <v>1885.02</v>
      </c>
    </row>
    <row r="26" spans="2:9">
      <c r="B26" s="63" t="s">
        <v>13</v>
      </c>
      <c r="C26" s="72">
        <f t="shared" si="1"/>
        <v>-125426.54317054219</v>
      </c>
      <c r="D26" s="72">
        <f>-(D13+D14)*$C$42*2</f>
        <v>-29055.765655396692</v>
      </c>
      <c r="E26" s="72">
        <f>-(E13+E14)*$C$42*2</f>
        <v>-27611.026630233264</v>
      </c>
      <c r="F26" s="72">
        <f>-(F13+F14)*$C$42*2</f>
        <v>-23613.229870719169</v>
      </c>
      <c r="G26" s="72">
        <f>-(G13+G14)*$C$42*2</f>
        <v>-22712.909412352932</v>
      </c>
      <c r="H26" s="73">
        <f>-(H13+H14)*$C$42*2</f>
        <v>-22433.611601840137</v>
      </c>
    </row>
    <row r="27" spans="2:9">
      <c r="B27" s="66" t="s">
        <v>19</v>
      </c>
      <c r="C27" s="67">
        <f t="shared" ref="C27:H27" si="3">SUM(C19:C26)</f>
        <v>1259457.9698773581</v>
      </c>
      <c r="D27" s="67">
        <f t="shared" si="3"/>
        <v>239748.27426510683</v>
      </c>
      <c r="E27" s="67">
        <f t="shared" si="3"/>
        <v>250430.60966710711</v>
      </c>
      <c r="F27" s="67">
        <f t="shared" si="3"/>
        <v>262384.76557482895</v>
      </c>
      <c r="G27" s="67">
        <f t="shared" si="3"/>
        <v>319411.39371483045</v>
      </c>
      <c r="H27" s="68">
        <f t="shared" si="3"/>
        <v>187482.92665548465</v>
      </c>
    </row>
    <row r="28" spans="2:9">
      <c r="B28" s="16"/>
      <c r="C28" s="19"/>
      <c r="D28" s="19"/>
      <c r="E28" s="19"/>
      <c r="F28" s="19"/>
      <c r="G28" s="19"/>
      <c r="H28" s="19"/>
    </row>
    <row r="29" spans="2:9" s="15" customFormat="1" ht="4.2">
      <c r="B29" s="16"/>
      <c r="C29" s="19"/>
      <c r="D29" s="19"/>
      <c r="E29" s="19"/>
      <c r="F29" s="19"/>
      <c r="G29" s="19"/>
      <c r="H29" s="19"/>
    </row>
    <row r="30" spans="2:9" s="15" customFormat="1">
      <c r="B30" s="5" t="s">
        <v>38</v>
      </c>
      <c r="C30" s="3"/>
      <c r="D30" s="3"/>
      <c r="E30" s="6"/>
      <c r="F30" s="6"/>
      <c r="G30" s="6"/>
      <c r="H30" s="6"/>
    </row>
    <row r="31" spans="2:9">
      <c r="C31" s="74">
        <f>SUM(D31:H31)</f>
        <v>1828314</v>
      </c>
      <c r="D31" s="75">
        <f>'Premium - Rates'!O14</f>
        <v>404250</v>
      </c>
      <c r="E31" s="76">
        <f>'Premium - Rates'!O15</f>
        <v>394550</v>
      </c>
      <c r="F31" s="76">
        <f>'Premium - Rates'!O16</f>
        <v>332792</v>
      </c>
      <c r="G31" s="76">
        <f>'Premium - Rates'!O17</f>
        <v>339335</v>
      </c>
      <c r="H31" s="77">
        <f>'Premium - Rates'!O18</f>
        <v>357387</v>
      </c>
    </row>
    <row r="32" spans="2:9">
      <c r="B32" s="16"/>
      <c r="C32" s="19"/>
      <c r="D32" s="19"/>
      <c r="E32" s="19"/>
      <c r="F32" s="19"/>
      <c r="G32" s="19"/>
      <c r="H32" s="19"/>
    </row>
    <row r="33" spans="2:9" s="15" customFormat="1">
      <c r="B33" s="2" t="s">
        <v>17</v>
      </c>
      <c r="C33" s="13"/>
      <c r="D33" s="13"/>
      <c r="E33" s="13"/>
      <c r="F33" s="13"/>
      <c r="G33" s="13"/>
      <c r="H33" s="13"/>
    </row>
    <row r="34" spans="2:9">
      <c r="B34" s="69" t="s">
        <v>10</v>
      </c>
      <c r="C34" s="70">
        <f t="shared" ref="C34:H34" si="4">C17-C31</f>
        <v>-48373.366316029336</v>
      </c>
      <c r="D34" s="70">
        <f t="shared" si="4"/>
        <v>8083.2799064669525</v>
      </c>
      <c r="E34" s="70">
        <f t="shared" si="4"/>
        <v>-2719.1562681538053</v>
      </c>
      <c r="F34" s="70">
        <f t="shared" si="4"/>
        <v>2305.7095993536059</v>
      </c>
      <c r="G34" s="70">
        <f t="shared" si="4"/>
        <v>-17013.828178651631</v>
      </c>
      <c r="H34" s="71">
        <f t="shared" si="4"/>
        <v>-39029.371375044575</v>
      </c>
    </row>
    <row r="35" spans="2:9">
      <c r="B35" s="66" t="s">
        <v>11</v>
      </c>
      <c r="C35" s="78">
        <f t="shared" ref="C35:H35" si="5">C34/C31</f>
        <v>-2.6457909481647758E-2</v>
      </c>
      <c r="D35" s="78">
        <f t="shared" si="5"/>
        <v>1.999574497579951E-2</v>
      </c>
      <c r="E35" s="78">
        <f t="shared" si="5"/>
        <v>-6.8917913272178565E-3</v>
      </c>
      <c r="F35" s="78">
        <f t="shared" si="5"/>
        <v>6.9283804879732864E-3</v>
      </c>
      <c r="G35" s="78">
        <f t="shared" si="5"/>
        <v>-5.0138736583764221E-2</v>
      </c>
      <c r="H35" s="79">
        <f t="shared" si="5"/>
        <v>-0.10920758554464649</v>
      </c>
    </row>
    <row r="36" spans="2:9">
      <c r="B36" s="16"/>
      <c r="C36" s="19"/>
      <c r="D36" s="19"/>
      <c r="E36" s="19"/>
      <c r="F36" s="19"/>
      <c r="G36" s="19"/>
      <c r="H36" s="19"/>
    </row>
    <row r="37" spans="2:9" s="15" customFormat="1">
      <c r="B37" s="2" t="s">
        <v>18</v>
      </c>
      <c r="C37" s="6"/>
      <c r="D37" s="6"/>
      <c r="E37" s="6"/>
      <c r="F37" s="6"/>
      <c r="G37" s="6"/>
      <c r="H37" s="6"/>
    </row>
    <row r="38" spans="2:9">
      <c r="B38" s="80" t="s">
        <v>10</v>
      </c>
      <c r="C38" s="20">
        <f t="shared" ref="C38:H38" si="6">C27-C31</f>
        <v>-568856.03012264194</v>
      </c>
      <c r="D38" s="20">
        <f t="shared" si="6"/>
        <v>-164501.72573489317</v>
      </c>
      <c r="E38" s="20">
        <f t="shared" si="6"/>
        <v>-144119.39033289289</v>
      </c>
      <c r="F38" s="20">
        <f t="shared" si="6"/>
        <v>-70407.234425171046</v>
      </c>
      <c r="G38" s="20">
        <f t="shared" si="6"/>
        <v>-19923.606285169546</v>
      </c>
      <c r="H38" s="82">
        <f t="shared" si="6"/>
        <v>-169904.07334451535</v>
      </c>
    </row>
    <row r="39" spans="2:9">
      <c r="B39" s="81" t="s">
        <v>11</v>
      </c>
      <c r="C39" s="83">
        <f t="shared" ref="C39:H39" si="7">C38/C31</f>
        <v>-0.31113694372117806</v>
      </c>
      <c r="D39" s="83">
        <f t="shared" si="7"/>
        <v>-0.40693067590573451</v>
      </c>
      <c r="E39" s="83">
        <f t="shared" si="7"/>
        <v>-0.36527535251018345</v>
      </c>
      <c r="F39" s="83">
        <f t="shared" si="7"/>
        <v>-0.21156528529883845</v>
      </c>
      <c r="G39" s="83">
        <f t="shared" si="7"/>
        <v>-5.8713679063962E-2</v>
      </c>
      <c r="H39" s="41">
        <f t="shared" si="7"/>
        <v>-0.47540641753761426</v>
      </c>
    </row>
    <row r="40" spans="2:9">
      <c r="B40" s="16"/>
      <c r="C40" s="19"/>
      <c r="D40" s="19"/>
      <c r="E40" s="19"/>
      <c r="F40" s="19"/>
      <c r="G40" s="19"/>
      <c r="H40" s="19"/>
    </row>
    <row r="41" spans="2:9" s="15" customFormat="1">
      <c r="B41" s="2" t="s">
        <v>8</v>
      </c>
      <c r="C41" s="6"/>
      <c r="D41" s="6"/>
      <c r="E41" s="92" t="s">
        <v>75</v>
      </c>
      <c r="F41" s="6"/>
      <c r="G41" s="6"/>
      <c r="H41" s="6"/>
    </row>
    <row r="42" spans="2:9">
      <c r="B42" s="36" t="s">
        <v>13</v>
      </c>
      <c r="C42" s="37">
        <v>0.06</v>
      </c>
      <c r="D42" s="37"/>
      <c r="E42" s="92"/>
      <c r="F42" s="6"/>
      <c r="G42" s="6"/>
      <c r="H42" s="6"/>
    </row>
    <row r="43" spans="2:9">
      <c r="B43" s="36" t="s">
        <v>9</v>
      </c>
      <c r="C43" s="37">
        <v>0.03</v>
      </c>
      <c r="D43" s="37"/>
      <c r="E43" s="92"/>
      <c r="F43" s="6"/>
      <c r="G43" s="6"/>
      <c r="H43" s="6"/>
      <c r="I43" s="6"/>
    </row>
    <row r="44" spans="2:9">
      <c r="B44" s="36" t="s">
        <v>23</v>
      </c>
      <c r="C44" s="37">
        <v>0.05</v>
      </c>
      <c r="D44" s="37"/>
      <c r="E44" s="92"/>
      <c r="F44" s="6"/>
      <c r="G44" s="6"/>
      <c r="H44" s="6"/>
      <c r="I44" s="6"/>
    </row>
    <row r="45" spans="2:9">
      <c r="B45" s="54" t="s">
        <v>16</v>
      </c>
      <c r="D45" s="37"/>
      <c r="E45" s="93"/>
      <c r="F45" s="6"/>
      <c r="G45" s="6"/>
      <c r="H45" s="6"/>
      <c r="I45" s="6"/>
    </row>
    <row r="46" spans="2:9">
      <c r="D46" s="37"/>
      <c r="F46" s="6"/>
      <c r="G46" s="6"/>
      <c r="H46" s="6"/>
      <c r="I46" s="6"/>
    </row>
    <row r="47" spans="2:9">
      <c r="D47" s="37"/>
      <c r="F47" s="6"/>
      <c r="G47" s="6"/>
      <c r="H47" s="6"/>
      <c r="I47" s="6"/>
    </row>
    <row r="48" spans="2:9">
      <c r="D48" s="37"/>
      <c r="I48" s="6"/>
    </row>
  </sheetData>
  <mergeCells count="6">
    <mergeCell ref="E11:I11"/>
    <mergeCell ref="B6:I6"/>
    <mergeCell ref="B9:I9"/>
    <mergeCell ref="E41:E45"/>
    <mergeCell ref="B7:I7"/>
    <mergeCell ref="B8:I8"/>
  </mergeCells>
  <pageMargins left="0.7" right="0.7"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showGridLines="0" workbookViewId="0">
      <selection activeCell="E9" sqref="E9"/>
    </sheetView>
  </sheetViews>
  <sheetFormatPr defaultColWidth="8.88671875" defaultRowHeight="14.4"/>
  <cols>
    <col min="1" max="1" width="1.6640625" style="1" customWidth="1"/>
    <col min="2" max="2" width="23.33203125" style="1" bestFit="1" customWidth="1"/>
    <col min="3" max="8" width="10.6640625" style="1" customWidth="1"/>
    <col min="9" max="16384" width="8.88671875" style="1"/>
  </cols>
  <sheetData>
    <row r="1" spans="2:8" s="15" customFormat="1" ht="4.2">
      <c r="G1" s="17"/>
    </row>
    <row r="2" spans="2:8" ht="23.4">
      <c r="B2" s="12" t="s">
        <v>51</v>
      </c>
    </row>
    <row r="3" spans="2:8">
      <c r="B3" s="94" t="s">
        <v>83</v>
      </c>
      <c r="C3" s="95"/>
      <c r="D3" s="95"/>
      <c r="E3" s="95"/>
      <c r="F3" s="95"/>
      <c r="G3" s="18" t="s">
        <v>15</v>
      </c>
      <c r="H3" s="38">
        <v>41730</v>
      </c>
    </row>
    <row r="4" spans="2:8">
      <c r="B4" s="95"/>
      <c r="C4" s="95"/>
      <c r="D4" s="95"/>
      <c r="E4" s="95"/>
      <c r="F4" s="95"/>
    </row>
    <row r="5" spans="2:8">
      <c r="B5" s="2"/>
    </row>
    <row r="6" spans="2:8">
      <c r="D6" s="49" t="s">
        <v>58</v>
      </c>
      <c r="E6" s="51">
        <f>'Premium - Rates'!O20</f>
        <v>1828314</v>
      </c>
    </row>
    <row r="7" spans="2:8">
      <c r="D7" s="49" t="s">
        <v>57</v>
      </c>
      <c r="E7" s="51">
        <f>Losses!H15</f>
        <v>556392</v>
      </c>
    </row>
    <row r="8" spans="2:8">
      <c r="D8" s="1" t="s">
        <v>59</v>
      </c>
      <c r="E8" s="47">
        <f>E7/E6</f>
        <v>0.30431971751023074</v>
      </c>
    </row>
    <row r="9" spans="2:8">
      <c r="D9" s="49" t="s">
        <v>60</v>
      </c>
      <c r="E9" s="48">
        <f>Comparison!C38</f>
        <v>-568856.03012264194</v>
      </c>
      <c r="F9" s="84">
        <f>E9/E6</f>
        <v>-0.31113694372117806</v>
      </c>
    </row>
    <row r="10" spans="2:8">
      <c r="E10" s="48"/>
      <c r="F10" s="84"/>
    </row>
    <row r="11" spans="2:8">
      <c r="D11" s="49" t="s">
        <v>61</v>
      </c>
      <c r="E11" s="48">
        <f>E6*0.3</f>
        <v>548494.19999999995</v>
      </c>
      <c r="F11" s="84"/>
    </row>
    <row r="12" spans="2:8">
      <c r="D12" s="49" t="s">
        <v>60</v>
      </c>
      <c r="E12" s="48">
        <v>-576990.97012264188</v>
      </c>
      <c r="F12" s="84">
        <f>E12/E6</f>
        <v>-0.31558636542882779</v>
      </c>
    </row>
    <row r="13" spans="2:8">
      <c r="E13" s="48"/>
      <c r="F13" s="84"/>
    </row>
    <row r="14" spans="2:8">
      <c r="D14" s="49" t="s">
        <v>62</v>
      </c>
      <c r="E14" s="48">
        <f>E6*0.2</f>
        <v>365662.80000000005</v>
      </c>
      <c r="F14" s="84"/>
    </row>
    <row r="15" spans="2:8">
      <c r="D15" s="49" t="s">
        <v>60</v>
      </c>
      <c r="E15" s="48">
        <v>-765306.90012264205</v>
      </c>
      <c r="F15" s="84">
        <f>E15/E6</f>
        <v>-0.41858614008460365</v>
      </c>
    </row>
    <row r="16" spans="2:8">
      <c r="E16" s="48"/>
      <c r="F16" s="84"/>
    </row>
    <row r="17" spans="4:6">
      <c r="D17" s="49" t="s">
        <v>63</v>
      </c>
      <c r="E17" s="48">
        <f>E6*0.1</f>
        <v>182831.40000000002</v>
      </c>
      <c r="F17" s="84"/>
    </row>
    <row r="18" spans="4:6">
      <c r="D18" s="49" t="s">
        <v>60</v>
      </c>
      <c r="E18" s="48">
        <v>-953623.64266008616</v>
      </c>
      <c r="F18" s="84">
        <f>E18/E6</f>
        <v>-0.52158635915936002</v>
      </c>
    </row>
  </sheetData>
  <mergeCells count="1">
    <mergeCell ref="B3: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39"/>
  <sheetViews>
    <sheetView showGridLines="0" workbookViewId="0"/>
  </sheetViews>
  <sheetFormatPr defaultRowHeight="14.4"/>
  <cols>
    <col min="1" max="1" width="1.6640625" customWidth="1"/>
    <col min="2" max="2" width="4.33203125" customWidth="1"/>
    <col min="3" max="3" width="17.88671875" style="1" customWidth="1"/>
    <col min="4" max="4" width="11.44140625" style="1" customWidth="1"/>
    <col min="5" max="6" width="9" style="1" customWidth="1"/>
    <col min="7" max="7" width="10.21875" style="1" customWidth="1"/>
    <col min="8" max="8" width="9.88671875" style="1" customWidth="1"/>
    <col min="9" max="9" width="10.44140625" style="1" bestFit="1" customWidth="1"/>
    <col min="10" max="10" width="1.77734375" style="1" customWidth="1"/>
    <col min="11" max="11" width="19.88671875" bestFit="1" customWidth="1"/>
    <col min="12" max="12" width="9.88671875" customWidth="1"/>
    <col min="13" max="13" width="14.109375" bestFit="1" customWidth="1"/>
    <col min="14" max="14" width="9.5546875" customWidth="1"/>
    <col min="15" max="15" width="9.88671875" bestFit="1" customWidth="1"/>
  </cols>
  <sheetData>
    <row r="2" spans="2:15" ht="21">
      <c r="C2" s="4" t="s">
        <v>51</v>
      </c>
      <c r="K2" s="96" t="s">
        <v>84</v>
      </c>
      <c r="L2" s="96"/>
      <c r="M2" s="95"/>
      <c r="N2" s="95"/>
      <c r="O2" s="95"/>
    </row>
    <row r="3" spans="2:15" ht="30" customHeight="1">
      <c r="C3" s="90" t="s">
        <v>49</v>
      </c>
      <c r="D3" s="91"/>
      <c r="E3" s="91"/>
      <c r="F3" s="91"/>
      <c r="G3" s="52"/>
      <c r="H3" s="52"/>
      <c r="I3" s="52"/>
      <c r="J3" s="26"/>
      <c r="K3" s="7" t="s">
        <v>85</v>
      </c>
      <c r="L3" s="97">
        <v>115260</v>
      </c>
      <c r="M3" s="98">
        <v>106287</v>
      </c>
      <c r="N3" s="98">
        <v>154042</v>
      </c>
      <c r="O3" s="99">
        <f>SUM(L3:N3)</f>
        <v>375589</v>
      </c>
    </row>
    <row r="4" spans="2:15">
      <c r="K4" s="96" t="s">
        <v>33</v>
      </c>
      <c r="L4" s="96"/>
      <c r="M4" s="95"/>
      <c r="N4" s="95"/>
      <c r="O4" s="95"/>
    </row>
    <row r="5" spans="2:15">
      <c r="B5" s="56"/>
      <c r="C5" s="3" t="s">
        <v>0</v>
      </c>
      <c r="D5" s="3" t="s">
        <v>1</v>
      </c>
      <c r="E5" s="3" t="s">
        <v>2</v>
      </c>
      <c r="F5" s="3" t="s">
        <v>3</v>
      </c>
      <c r="G5" s="3" t="s">
        <v>68</v>
      </c>
      <c r="H5" s="3" t="s">
        <v>70</v>
      </c>
      <c r="I5" s="3" t="s">
        <v>12</v>
      </c>
      <c r="J5" s="3"/>
      <c r="K5" s="3" t="s">
        <v>0</v>
      </c>
      <c r="L5" s="3" t="s">
        <v>32</v>
      </c>
      <c r="M5" s="3" t="s">
        <v>27</v>
      </c>
      <c r="N5" s="3" t="s">
        <v>30</v>
      </c>
      <c r="O5" s="3" t="s">
        <v>12</v>
      </c>
    </row>
    <row r="6" spans="2:15" ht="14.4" customHeight="1">
      <c r="B6" s="100" t="s">
        <v>27</v>
      </c>
      <c r="C6" s="101" t="s">
        <v>85</v>
      </c>
      <c r="D6" s="102">
        <v>30014700</v>
      </c>
      <c r="E6" s="103">
        <f>F6/D6*100</f>
        <v>0.35411648292336756</v>
      </c>
      <c r="F6" s="104">
        <f>M3</f>
        <v>106287</v>
      </c>
      <c r="G6" s="104">
        <f>F6*Quote!$D$13</f>
        <v>1398.8073159757075</v>
      </c>
      <c r="H6" s="104">
        <f>F6*Quote!$D$14</f>
        <v>15031.712738391407</v>
      </c>
      <c r="I6" s="104">
        <f>F6+G6+H6</f>
        <v>122717.52005436711</v>
      </c>
      <c r="J6" s="10"/>
      <c r="K6" s="6" t="s">
        <v>64</v>
      </c>
      <c r="L6" s="10">
        <f>Quote!G5</f>
        <v>115260</v>
      </c>
      <c r="M6" s="32">
        <f>Quote!G7</f>
        <v>106287</v>
      </c>
      <c r="N6" s="32">
        <f>Quote!G6</f>
        <v>154042</v>
      </c>
      <c r="O6" s="22">
        <f>SUM(L6:N6)</f>
        <v>375589</v>
      </c>
    </row>
    <row r="7" spans="2:15" ht="14.4" customHeight="1">
      <c r="B7" s="95"/>
      <c r="C7" s="6" t="s">
        <v>64</v>
      </c>
      <c r="D7" s="11">
        <v>30273871</v>
      </c>
      <c r="E7" s="9">
        <f>E6</f>
        <v>0.35411648292336756</v>
      </c>
      <c r="F7" s="10">
        <f>D7*E7/100</f>
        <v>107204.76722995732</v>
      </c>
      <c r="G7" s="10">
        <f>F7*Quote!$D$13</f>
        <v>1410.8857405772774</v>
      </c>
      <c r="H7" s="10">
        <f>F7*Quote!$D$14</f>
        <v>15161.50860582042</v>
      </c>
      <c r="I7" s="10">
        <f>F7+G7+H7</f>
        <v>123777.16157635501</v>
      </c>
      <c r="J7" s="10"/>
      <c r="K7" s="7" t="s">
        <v>52</v>
      </c>
      <c r="L7" s="10">
        <f>F8</f>
        <v>80119.505835740492</v>
      </c>
      <c r="M7" s="32">
        <f>F15</f>
        <v>101937.97054945055</v>
      </c>
      <c r="N7" s="32">
        <f>F22</f>
        <v>102887.36885245901</v>
      </c>
      <c r="O7" s="22">
        <f>SUM(L7:N7)</f>
        <v>284944.84523765004</v>
      </c>
    </row>
    <row r="8" spans="2:15">
      <c r="B8" s="95"/>
      <c r="C8" s="7" t="s">
        <v>52</v>
      </c>
      <c r="D8" s="8">
        <v>22625184</v>
      </c>
      <c r="E8" s="9">
        <f>E7</f>
        <v>0.35411648292336756</v>
      </c>
      <c r="F8" s="10">
        <f>D8*E8/100</f>
        <v>80119.505835740492</v>
      </c>
      <c r="G8" s="10">
        <f>F8*Quote!$D$13</f>
        <v>1054.4257615267359</v>
      </c>
      <c r="H8" s="10">
        <f>F8*Quote!$D$14</f>
        <v>11330.956715917515</v>
      </c>
      <c r="I8" s="10">
        <f>F8+G8+H8</f>
        <v>92504.888313184754</v>
      </c>
      <c r="J8" s="10"/>
      <c r="K8" s="7" t="s">
        <v>53</v>
      </c>
      <c r="L8" s="10">
        <f>F9</f>
        <v>98245.205895711115</v>
      </c>
      <c r="M8" s="32">
        <f>F16</f>
        <v>51145.041758241758</v>
      </c>
      <c r="N8" s="32">
        <f>F23</f>
        <v>91819.803278688516</v>
      </c>
      <c r="O8" s="22">
        <f>SUM(L8:N8)</f>
        <v>241210.05093264137</v>
      </c>
    </row>
    <row r="9" spans="2:15">
      <c r="B9" s="95"/>
      <c r="C9" s="7" t="s">
        <v>53</v>
      </c>
      <c r="D9" s="8">
        <v>27743754</v>
      </c>
      <c r="E9" s="9">
        <f>E8</f>
        <v>0.35411648292336756</v>
      </c>
      <c r="F9" s="10">
        <f>D9*E9/100</f>
        <v>98245.205895711115</v>
      </c>
      <c r="G9" s="10">
        <f>F9*Quote!$D$13</f>
        <v>1292.9719793244744</v>
      </c>
      <c r="H9" s="10">
        <f>F9*Quote!$D$14</f>
        <v>13894.396426171095</v>
      </c>
      <c r="I9" s="10">
        <f>F9+G9+H9</f>
        <v>113432.57430120668</v>
      </c>
      <c r="J9" s="10"/>
      <c r="K9" s="7" t="s">
        <v>54</v>
      </c>
      <c r="L9" s="10">
        <f>F10</f>
        <v>92793.072713370449</v>
      </c>
      <c r="M9" s="32">
        <f>F17</f>
        <v>34141.387520439559</v>
      </c>
      <c r="N9" s="32">
        <f>F24</f>
        <v>99608.090163934423</v>
      </c>
      <c r="O9" s="22">
        <f>SUM(L9:N9)</f>
        <v>226542.55039774443</v>
      </c>
    </row>
    <row r="10" spans="2:15">
      <c r="B10" s="95"/>
      <c r="C10" s="7" t="s">
        <v>54</v>
      </c>
      <c r="D10" s="8">
        <v>26204110</v>
      </c>
      <c r="E10" s="9">
        <f>E9</f>
        <v>0.35411648292336756</v>
      </c>
      <c r="F10" s="10">
        <f>D10*E10/100</f>
        <v>92793.072713370449</v>
      </c>
      <c r="G10" s="10">
        <f>F10*Quote!$D$13</f>
        <v>1221.2182955895676</v>
      </c>
      <c r="H10" s="10">
        <f>F10*Quote!$D$14</f>
        <v>13123.324707067191</v>
      </c>
      <c r="I10" s="10">
        <f>F10+G10+H10</f>
        <v>107137.61571602721</v>
      </c>
      <c r="J10" s="10"/>
      <c r="K10" s="7" t="s">
        <v>55</v>
      </c>
      <c r="L10" s="10">
        <f>F11</f>
        <v>89572.748041159823</v>
      </c>
      <c r="M10" s="32">
        <f>F18</f>
        <v>25627.878610549451</v>
      </c>
      <c r="N10" s="32">
        <f>F25</f>
        <v>103707.18852459016</v>
      </c>
      <c r="O10" s="22">
        <f>SUM(L10:N10)</f>
        <v>218907.81517629942</v>
      </c>
    </row>
    <row r="11" spans="2:15">
      <c r="B11" s="95"/>
      <c r="C11" s="7" t="s">
        <v>55</v>
      </c>
      <c r="D11" s="8">
        <v>25294713</v>
      </c>
      <c r="E11" s="9">
        <f>E10</f>
        <v>0.35411648292336756</v>
      </c>
      <c r="F11" s="10">
        <f>D11*E11/100</f>
        <v>89572.748041159823</v>
      </c>
      <c r="G11" s="10">
        <f>F11*Quote!$D$13</f>
        <v>1178.8366900187518</v>
      </c>
      <c r="H11" s="10">
        <f>F11*Quote!$D$14</f>
        <v>12667.888055388015</v>
      </c>
      <c r="I11" s="10">
        <f>F11+G11+H11</f>
        <v>103419.47278656659</v>
      </c>
      <c r="J11" s="10"/>
      <c r="K11" s="7"/>
      <c r="L11" s="10"/>
      <c r="M11" s="32"/>
      <c r="N11" s="32"/>
    </row>
    <row r="12" spans="2:15">
      <c r="B12" s="56"/>
      <c r="C12" s="7"/>
      <c r="D12" s="8"/>
      <c r="E12" s="9"/>
      <c r="F12" s="10"/>
      <c r="G12" s="10"/>
      <c r="H12" s="10"/>
      <c r="I12" s="10"/>
      <c r="J12" s="6"/>
      <c r="K12" s="96" t="s">
        <v>34</v>
      </c>
      <c r="L12" s="96"/>
      <c r="M12" s="95"/>
      <c r="N12" s="95"/>
      <c r="O12" s="95"/>
    </row>
    <row r="13" spans="2:15">
      <c r="B13" s="100" t="s">
        <v>26</v>
      </c>
      <c r="C13" s="101" t="s">
        <v>85</v>
      </c>
      <c r="D13" s="102">
        <v>45500000</v>
      </c>
      <c r="E13" s="103">
        <f>F13/D13*1000</f>
        <v>2.5331868131868132</v>
      </c>
      <c r="F13" s="104">
        <f>L3</f>
        <v>115260</v>
      </c>
      <c r="G13" s="104">
        <f>F13*Quote!$D$13</f>
        <v>1516.8979389705237</v>
      </c>
      <c r="H13" s="104">
        <f>F13*Quote!D13</f>
        <v>1516.8979389705237</v>
      </c>
      <c r="I13" s="104">
        <f>F13+G13+H13</f>
        <v>118293.79587794104</v>
      </c>
      <c r="J13" s="10"/>
      <c r="K13" s="3" t="s">
        <v>0</v>
      </c>
      <c r="L13" s="3" t="s">
        <v>32</v>
      </c>
      <c r="M13" s="3" t="s">
        <v>27</v>
      </c>
      <c r="N13" s="3" t="s">
        <v>30</v>
      </c>
    </row>
    <row r="14" spans="2:15" ht="14.4" customHeight="1">
      <c r="B14" s="95"/>
      <c r="C14" s="6" t="s">
        <v>64</v>
      </c>
      <c r="D14" s="11">
        <v>41615592</v>
      </c>
      <c r="E14" s="9">
        <f>E13</f>
        <v>2.5331868131868132</v>
      </c>
      <c r="F14" s="10">
        <f>D14*E14/1000</f>
        <v>105420.06887736263</v>
      </c>
      <c r="G14" s="10">
        <f>F14*Quote!$D$13</f>
        <v>1387.3979282162243</v>
      </c>
      <c r="H14" s="10">
        <f>F14*Quote!D14</f>
        <v>14909.106402720476</v>
      </c>
      <c r="I14" s="10">
        <f>F14+G14+H14</f>
        <v>121716.57320829932</v>
      </c>
      <c r="J14" s="10"/>
      <c r="K14" s="6" t="s">
        <v>64</v>
      </c>
      <c r="L14" s="10">
        <v>68517</v>
      </c>
      <c r="M14" s="10">
        <v>148135</v>
      </c>
      <c r="N14" s="10">
        <v>187598</v>
      </c>
      <c r="O14" s="22">
        <f>SUM(L14:N14)</f>
        <v>404250</v>
      </c>
    </row>
    <row r="15" spans="2:15">
      <c r="B15" s="95"/>
      <c r="C15" s="7" t="s">
        <v>52</v>
      </c>
      <c r="D15" s="11">
        <v>40241000</v>
      </c>
      <c r="E15" s="9">
        <f>E14</f>
        <v>2.5331868131868132</v>
      </c>
      <c r="F15" s="10">
        <f>D15*E15/1000</f>
        <v>101937.97054945055</v>
      </c>
      <c r="G15" s="10">
        <f>F15*Quote!$D$13</f>
        <v>1341.5712079585239</v>
      </c>
      <c r="H15" s="10">
        <f>F15*Quote!$D$14</f>
        <v>14416.64823011228</v>
      </c>
      <c r="I15" s="10">
        <f>F15+G15+H15</f>
        <v>117696.18998752134</v>
      </c>
      <c r="J15" s="10"/>
      <c r="K15" s="7" t="s">
        <v>52</v>
      </c>
      <c r="L15" s="10">
        <v>71130</v>
      </c>
      <c r="M15" s="10">
        <v>125070</v>
      </c>
      <c r="N15" s="10">
        <v>198350</v>
      </c>
      <c r="O15" s="22">
        <f>SUM(L15:N15)</f>
        <v>394550</v>
      </c>
    </row>
    <row r="16" spans="2:15">
      <c r="B16" s="95"/>
      <c r="C16" s="7" t="s">
        <v>53</v>
      </c>
      <c r="D16" s="8">
        <v>20190000</v>
      </c>
      <c r="E16" s="9">
        <f>E15</f>
        <v>2.5331868131868132</v>
      </c>
      <c r="F16" s="10">
        <f>D16*E16/1000</f>
        <v>51145.041758241758</v>
      </c>
      <c r="G16" s="10">
        <f>F16*Quote!$D$13</f>
        <v>673.10262390801915</v>
      </c>
      <c r="H16" s="10">
        <f>F16*Quote!$D$14</f>
        <v>7233.2230254210117</v>
      </c>
      <c r="I16" s="10">
        <f>F16+G16+H16</f>
        <v>59051.367407570782</v>
      </c>
      <c r="J16" s="10"/>
      <c r="K16" s="7" t="s">
        <v>53</v>
      </c>
      <c r="L16" s="10">
        <v>63244</v>
      </c>
      <c r="M16" s="10">
        <v>114316</v>
      </c>
      <c r="N16" s="10">
        <v>155232</v>
      </c>
      <c r="O16" s="22">
        <f>SUM(L16:N16)</f>
        <v>332792</v>
      </c>
    </row>
    <row r="17" spans="2:15">
      <c r="B17" s="95"/>
      <c r="C17" s="7" t="s">
        <v>54</v>
      </c>
      <c r="D17" s="8">
        <v>13477643</v>
      </c>
      <c r="E17" s="9">
        <f>E16</f>
        <v>2.5331868131868132</v>
      </c>
      <c r="F17" s="10">
        <f>D17*E17/1000</f>
        <v>34141.387520439559</v>
      </c>
      <c r="G17" s="10">
        <f>F17*Quote!$D$13</f>
        <v>449.32327228308799</v>
      </c>
      <c r="H17" s="10">
        <f>F17*Quote!$D$14</f>
        <v>4828.4694242696542</v>
      </c>
      <c r="I17" s="10">
        <f>F17+G17+H17</f>
        <v>39419.180216992303</v>
      </c>
      <c r="J17" s="10"/>
      <c r="K17" s="7" t="s">
        <v>54</v>
      </c>
      <c r="L17" s="10">
        <v>58529</v>
      </c>
      <c r="M17" s="10">
        <v>115566</v>
      </c>
      <c r="N17" s="10">
        <v>165240</v>
      </c>
      <c r="O17" s="22">
        <f>SUM(L17:N17)</f>
        <v>339335</v>
      </c>
    </row>
    <row r="18" spans="2:15">
      <c r="B18" s="95"/>
      <c r="C18" s="7" t="s">
        <v>55</v>
      </c>
      <c r="D18" s="8">
        <v>10116853</v>
      </c>
      <c r="E18" s="9">
        <f>E17</f>
        <v>2.5331868131868132</v>
      </c>
      <c r="F18" s="10">
        <f>D18*E18/1000</f>
        <v>25627.878610549451</v>
      </c>
      <c r="G18" s="10">
        <f>F18*Quote!$D$13</f>
        <v>337.27985636412654</v>
      </c>
      <c r="H18" s="10">
        <f>F18*Quote!$D$14</f>
        <v>3624.4405182961682</v>
      </c>
      <c r="I18" s="10">
        <f>F18+G18+H18</f>
        <v>29589.598985209745</v>
      </c>
      <c r="J18" s="10"/>
      <c r="K18" s="7" t="s">
        <v>55</v>
      </c>
      <c r="L18" s="10">
        <v>65543</v>
      </c>
      <c r="M18" s="10">
        <v>122587</v>
      </c>
      <c r="N18" s="10">
        <v>169257</v>
      </c>
      <c r="O18" s="22">
        <f>SUM(L18:N18)</f>
        <v>357387</v>
      </c>
    </row>
    <row r="19" spans="2:15">
      <c r="B19" s="57"/>
      <c r="C19" s="7"/>
      <c r="D19" s="8"/>
      <c r="E19" s="9"/>
      <c r="F19" s="10"/>
      <c r="G19" s="10"/>
      <c r="H19" s="10"/>
      <c r="I19" s="10"/>
      <c r="J19" s="6"/>
      <c r="K19" s="7"/>
      <c r="L19" s="10"/>
      <c r="M19" s="10"/>
      <c r="N19" s="10"/>
    </row>
    <row r="20" spans="2:15">
      <c r="B20" s="100" t="s">
        <v>28</v>
      </c>
      <c r="C20" s="101" t="s">
        <v>85</v>
      </c>
      <c r="D20" s="105">
        <v>244</v>
      </c>
      <c r="E20" s="106">
        <f>F20/D20</f>
        <v>409.90983606557376</v>
      </c>
      <c r="F20" s="102">
        <f>Quote!H13</f>
        <v>100018</v>
      </c>
      <c r="G20" s="104">
        <f>F20*Quote!$D$13</f>
        <v>1316.3031238934047</v>
      </c>
      <c r="H20" s="104">
        <f>F20*Quote!$D$14</f>
        <v>14145.115062692819</v>
      </c>
      <c r="I20" s="104">
        <f>F20+G20+H20</f>
        <v>115479.41818658622</v>
      </c>
      <c r="J20" s="10"/>
      <c r="K20" s="23"/>
      <c r="L20" s="32"/>
      <c r="M20" s="32"/>
      <c r="N20" s="32" t="s">
        <v>12</v>
      </c>
      <c r="O20" s="22">
        <f>SUM(O14:O19)</f>
        <v>1828314</v>
      </c>
    </row>
    <row r="21" spans="2:15" ht="14.4" customHeight="1">
      <c r="B21" s="95"/>
      <c r="C21" s="6" t="s">
        <v>64</v>
      </c>
      <c r="D21" s="6">
        <v>230</v>
      </c>
      <c r="E21" s="55">
        <f>E20</f>
        <v>409.90983606557376</v>
      </c>
      <c r="F21" s="10">
        <f>D21*E21</f>
        <v>94279.262295081964</v>
      </c>
      <c r="G21" s="10">
        <f>F21*Quote!$D$13</f>
        <v>1240.7775348175535</v>
      </c>
      <c r="H21" s="10">
        <f>F21*Quote!$D$14</f>
        <v>13333.510100079297</v>
      </c>
      <c r="I21" s="10">
        <f>F21+G21+H21</f>
        <v>108853.54992997881</v>
      </c>
      <c r="J21" s="10"/>
    </row>
    <row r="22" spans="2:15">
      <c r="B22" s="95"/>
      <c r="C22" s="7" t="s">
        <v>52</v>
      </c>
      <c r="D22" s="6">
        <v>251</v>
      </c>
      <c r="E22" s="21">
        <f>E21</f>
        <v>409.90983606557376</v>
      </c>
      <c r="F22" s="10">
        <f>D22*E22</f>
        <v>102887.36885245901</v>
      </c>
      <c r="G22" s="10">
        <f>F22*Quote!$D$13</f>
        <v>1354.0659184313301</v>
      </c>
      <c r="H22" s="10">
        <f>F22*Quote!$D$14</f>
        <v>14550.91754399958</v>
      </c>
      <c r="I22" s="10">
        <f>F22+G22+H22</f>
        <v>118792.35231488991</v>
      </c>
      <c r="J22" s="10"/>
    </row>
    <row r="23" spans="2:15">
      <c r="B23" s="95"/>
      <c r="C23" s="7" t="s">
        <v>53</v>
      </c>
      <c r="D23" s="6">
        <v>224</v>
      </c>
      <c r="E23" s="21">
        <f>E22</f>
        <v>409.90983606557376</v>
      </c>
      <c r="F23" s="10">
        <f>D23*E23</f>
        <v>91819.803278688516</v>
      </c>
      <c r="G23" s="10">
        <f>F23*Quote!$D$13</f>
        <v>1208.4094252136174</v>
      </c>
      <c r="H23" s="10">
        <f>F23*Quote!$D$14</f>
        <v>12985.679401816356</v>
      </c>
      <c r="I23" s="10">
        <f>F23+G23+H23</f>
        <v>106013.89210571849</v>
      </c>
      <c r="J23" s="10"/>
    </row>
    <row r="24" spans="2:15">
      <c r="B24" s="95"/>
      <c r="C24" s="7" t="s">
        <v>54</v>
      </c>
      <c r="D24" s="6">
        <v>243</v>
      </c>
      <c r="E24" s="21">
        <f>E23</f>
        <v>409.90983606557376</v>
      </c>
      <c r="F24" s="10">
        <f>D24*E24</f>
        <v>99608.090163934423</v>
      </c>
      <c r="G24" s="10">
        <f>F24*Quote!$D$13</f>
        <v>1310.9084389594152</v>
      </c>
      <c r="H24" s="10">
        <f>F24*Quote!$D$14</f>
        <v>14087.143279648995</v>
      </c>
      <c r="I24" s="10">
        <f>F24+G24+H24</f>
        <v>115006.14188254284</v>
      </c>
      <c r="J24" s="10"/>
    </row>
    <row r="25" spans="2:15">
      <c r="B25" s="95"/>
      <c r="C25" s="7" t="s">
        <v>55</v>
      </c>
      <c r="D25" s="6">
        <v>253</v>
      </c>
      <c r="E25" s="21">
        <f>E24</f>
        <v>409.90983606557376</v>
      </c>
      <c r="F25" s="10">
        <f>D25*E25</f>
        <v>103707.18852459016</v>
      </c>
      <c r="G25" s="10">
        <f>F25*Quote!$D$13</f>
        <v>1364.855288299309</v>
      </c>
      <c r="H25" s="10">
        <f>F25*Quote!$D$14</f>
        <v>14666.861110087226</v>
      </c>
      <c r="I25" s="10">
        <f>F25+G25+H25</f>
        <v>119738.9049229767</v>
      </c>
      <c r="J25" s="10"/>
      <c r="N25" s="50"/>
    </row>
    <row r="26" spans="2:15">
      <c r="B26" s="57"/>
      <c r="C26" s="7"/>
      <c r="D26" s="6"/>
      <c r="E26" s="21"/>
      <c r="F26" s="10"/>
      <c r="G26" s="10"/>
      <c r="H26" s="10"/>
      <c r="I26" s="10"/>
      <c r="J26" s="10"/>
      <c r="N26" s="50"/>
    </row>
    <row r="27" spans="2:15">
      <c r="B27" s="100" t="s">
        <v>71</v>
      </c>
      <c r="C27" s="101" t="s">
        <v>85</v>
      </c>
      <c r="D27" s="105">
        <v>270</v>
      </c>
      <c r="E27" s="106">
        <f>F27/D27</f>
        <v>200.0888888888889</v>
      </c>
      <c r="F27" s="102">
        <f>Quote!H12</f>
        <v>54024</v>
      </c>
      <c r="G27" s="104">
        <f>F27*Quote!$D$13</f>
        <v>710.99162116036405</v>
      </c>
      <c r="H27" s="104">
        <f>F27*Quote!$D$14</f>
        <v>7640.3816927644712</v>
      </c>
      <c r="I27" s="104">
        <f>F27+G27+H27</f>
        <v>62375.373313924836</v>
      </c>
      <c r="J27" s="10"/>
      <c r="N27" s="50"/>
    </row>
    <row r="28" spans="2:15">
      <c r="B28" s="95"/>
      <c r="C28" s="6" t="s">
        <v>64</v>
      </c>
      <c r="D28" s="6">
        <v>251</v>
      </c>
      <c r="E28" s="55">
        <f>E27</f>
        <v>200.0888888888889</v>
      </c>
      <c r="F28" s="10">
        <f>D28*E28</f>
        <v>50222.311111111114</v>
      </c>
      <c r="G28" s="10">
        <f>F28*Quote!$D$13</f>
        <v>660.9588774490793</v>
      </c>
      <c r="H28" s="10">
        <f>F28*Quote!$D$14</f>
        <v>7102.7252032736378</v>
      </c>
      <c r="I28" s="10">
        <f>F28+G28+H28</f>
        <v>57985.995191833827</v>
      </c>
    </row>
    <row r="29" spans="2:15">
      <c r="B29" s="95"/>
      <c r="C29" s="7" t="s">
        <v>52</v>
      </c>
      <c r="D29" s="6">
        <v>272</v>
      </c>
      <c r="E29" s="21">
        <f>E28</f>
        <v>200.0888888888889</v>
      </c>
      <c r="F29" s="10">
        <f>D29*E29</f>
        <v>54424.177777777782</v>
      </c>
      <c r="G29" s="10">
        <f>F29*Quote!$D$13</f>
        <v>716.25822576155201</v>
      </c>
      <c r="H29" s="10">
        <f>F29*Quote!$D$14</f>
        <v>7696.9771127108752</v>
      </c>
      <c r="I29" s="10">
        <f>F29+G29+H29</f>
        <v>62837.413116250209</v>
      </c>
      <c r="K29" s="7"/>
      <c r="L29" s="10"/>
      <c r="M29" s="10"/>
      <c r="N29" s="10"/>
    </row>
    <row r="30" spans="2:15">
      <c r="B30" s="95"/>
      <c r="C30" s="7" t="s">
        <v>53</v>
      </c>
      <c r="D30" s="6">
        <v>245</v>
      </c>
      <c r="E30" s="21">
        <f>E29</f>
        <v>200.0888888888889</v>
      </c>
      <c r="F30" s="10">
        <f>D30*E30</f>
        <v>49021.777777777781</v>
      </c>
      <c r="G30" s="10">
        <f>F30*Quote!$D$13</f>
        <v>645.15906364551563</v>
      </c>
      <c r="H30" s="10">
        <f>F30*Quote!$D$14</f>
        <v>6932.9389434344275</v>
      </c>
      <c r="I30" s="10">
        <f>F30+G30+H30</f>
        <v>56599.875784857722</v>
      </c>
    </row>
    <row r="31" spans="2:15">
      <c r="B31" s="95"/>
      <c r="C31" s="7" t="s">
        <v>54</v>
      </c>
      <c r="D31" s="6">
        <v>263</v>
      </c>
      <c r="E31" s="21">
        <f>E30</f>
        <v>200.0888888888889</v>
      </c>
      <c r="F31" s="10">
        <f>D31*E31</f>
        <v>52623.37777777778</v>
      </c>
      <c r="G31" s="10">
        <f>F31*Quote!$D$13</f>
        <v>692.55850505620651</v>
      </c>
      <c r="H31" s="10">
        <f>F31*Quote!$D$14</f>
        <v>7442.2977229520593</v>
      </c>
      <c r="I31" s="10">
        <f>F31+G31+H31</f>
        <v>60758.234005786049</v>
      </c>
    </row>
    <row r="32" spans="2:15">
      <c r="B32" s="95"/>
      <c r="C32" s="7" t="s">
        <v>55</v>
      </c>
      <c r="D32" s="6">
        <v>284</v>
      </c>
      <c r="E32" s="21">
        <f>E31</f>
        <v>200.0888888888889</v>
      </c>
      <c r="F32" s="10">
        <f>D32*E32</f>
        <v>56825.244444444448</v>
      </c>
      <c r="G32" s="10">
        <f>F32*Quote!$D$13</f>
        <v>747.85785336867934</v>
      </c>
      <c r="H32" s="10">
        <f>F32*Quote!$D$14</f>
        <v>8036.5496323892958</v>
      </c>
      <c r="I32" s="10">
        <f>F32+G32+H32</f>
        <v>65609.651930202424</v>
      </c>
    </row>
    <row r="33" spans="2:9">
      <c r="B33" s="57"/>
    </row>
    <row r="34" spans="2:9">
      <c r="B34" s="100" t="s">
        <v>12</v>
      </c>
      <c r="C34" s="6"/>
      <c r="D34" s="6" t="s">
        <v>79</v>
      </c>
      <c r="E34" s="7" t="s">
        <v>77</v>
      </c>
      <c r="F34" s="7" t="s">
        <v>80</v>
      </c>
      <c r="G34" s="7" t="s">
        <v>78</v>
      </c>
      <c r="H34" s="7" t="s">
        <v>81</v>
      </c>
      <c r="I34" s="7" t="s">
        <v>12</v>
      </c>
    </row>
    <row r="35" spans="2:9">
      <c r="B35" s="95"/>
      <c r="C35" s="6" t="s">
        <v>74</v>
      </c>
      <c r="D35" s="11">
        <f>F7+F14+F21+F28</f>
        <v>357126.40951351303</v>
      </c>
      <c r="E35" s="10">
        <f>F8+F15+F22+F29</f>
        <v>339369.02301542781</v>
      </c>
      <c r="F35" s="10">
        <f>F9+F16+F23+F30</f>
        <v>290231.82871041913</v>
      </c>
      <c r="G35" s="10">
        <f>F10+F17+F24+F31</f>
        <v>279165.92817552219</v>
      </c>
      <c r="H35" s="10">
        <f>F11+F18+F25+F32</f>
        <v>275733.05962074385</v>
      </c>
      <c r="I35" s="51">
        <f>SUM(D35:H35)</f>
        <v>1541626.249035626</v>
      </c>
    </row>
    <row r="36" spans="2:9">
      <c r="B36" s="95"/>
      <c r="C36" s="7" t="s">
        <v>68</v>
      </c>
      <c r="D36" s="10">
        <f>G7+G14+G21+G28</f>
        <v>4700.0200810601345</v>
      </c>
      <c r="E36" s="10">
        <f>G8+G15+G22+G29</f>
        <v>4466.321113678142</v>
      </c>
      <c r="F36" s="10">
        <f>G9+G16+G23+G30</f>
        <v>3819.6430920916268</v>
      </c>
      <c r="G36" s="10">
        <f>G10+G17+G24+G31</f>
        <v>3674.0085118882771</v>
      </c>
      <c r="H36" s="10">
        <f>G11+G18+G25+G32</f>
        <v>3628.8296880508669</v>
      </c>
      <c r="I36" s="51">
        <f>SUM(D36:H36)</f>
        <v>20288.822486769048</v>
      </c>
    </row>
    <row r="37" spans="2:9">
      <c r="B37" s="95"/>
      <c r="C37" s="7" t="s">
        <v>70</v>
      </c>
      <c r="D37" s="58">
        <f>H7+H14+H21+H28</f>
        <v>50506.850311893832</v>
      </c>
      <c r="E37" s="58">
        <f>H8+H15+H22+H29</f>
        <v>47995.499602740252</v>
      </c>
      <c r="F37" s="58">
        <f>H9+H16+H23+H30</f>
        <v>41046.237796842892</v>
      </c>
      <c r="G37" s="58">
        <f>H10+H17+H24+H31</f>
        <v>39481.235133937902</v>
      </c>
      <c r="H37" s="58">
        <f>H11+H18+H25+H32</f>
        <v>38995.739316160703</v>
      </c>
      <c r="I37" s="59">
        <f>SUM(D37:H37)</f>
        <v>218025.56216157557</v>
      </c>
    </row>
    <row r="38" spans="2:9">
      <c r="B38" s="95"/>
      <c r="C38" s="7" t="s">
        <v>82</v>
      </c>
      <c r="D38" s="11">
        <f t="shared" ref="D38:I38" si="0">SUM(D35:D37)</f>
        <v>412333.27990646701</v>
      </c>
      <c r="E38" s="11">
        <f t="shared" si="0"/>
        <v>391830.84373184619</v>
      </c>
      <c r="F38" s="11">
        <f t="shared" si="0"/>
        <v>335097.70959935361</v>
      </c>
      <c r="G38" s="11">
        <f t="shared" si="0"/>
        <v>322321.17182134837</v>
      </c>
      <c r="H38" s="11">
        <f t="shared" si="0"/>
        <v>318357.62862495543</v>
      </c>
      <c r="I38" s="11">
        <f t="shared" si="0"/>
        <v>1779940.6336839704</v>
      </c>
    </row>
    <row r="39" spans="2:9">
      <c r="C39" s="7"/>
      <c r="F39" s="51"/>
      <c r="I39" s="51"/>
    </row>
  </sheetData>
  <mergeCells count="9">
    <mergeCell ref="K4:O4"/>
    <mergeCell ref="K12:O12"/>
    <mergeCell ref="K2:O2"/>
    <mergeCell ref="B6:B11"/>
    <mergeCell ref="C3:F3"/>
    <mergeCell ref="B13:B18"/>
    <mergeCell ref="B20:B25"/>
    <mergeCell ref="B27:B32"/>
    <mergeCell ref="B34:B38"/>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6"/>
  <sheetViews>
    <sheetView showGridLines="0" workbookViewId="0">
      <selection activeCell="H11" sqref="H11:H12"/>
    </sheetView>
  </sheetViews>
  <sheetFormatPr defaultRowHeight="14.4"/>
  <cols>
    <col min="1" max="1" width="1.6640625" customWidth="1"/>
    <col min="2" max="2" width="8.88671875" bestFit="1" customWidth="1"/>
    <col min="3" max="5" width="12.6640625" customWidth="1"/>
    <col min="6" max="6" width="14.33203125" customWidth="1"/>
    <col min="7" max="8" width="12.6640625" customWidth="1"/>
    <col min="12" max="14" width="8.88671875" customWidth="1"/>
  </cols>
  <sheetData>
    <row r="2" spans="1:9" ht="21">
      <c r="B2" s="4" t="s">
        <v>51</v>
      </c>
      <c r="C2" s="1"/>
      <c r="D2" s="1"/>
      <c r="E2" s="1"/>
      <c r="F2" s="1"/>
      <c r="G2" s="1"/>
    </row>
    <row r="3" spans="1:9">
      <c r="B3" s="1" t="s">
        <v>44</v>
      </c>
      <c r="C3" s="1"/>
    </row>
    <row r="5" spans="1:9">
      <c r="A5" s="2"/>
      <c r="B5" s="27" t="s">
        <v>31</v>
      </c>
      <c r="C5" s="24" t="s">
        <v>65</v>
      </c>
      <c r="D5" s="24" t="s">
        <v>46</v>
      </c>
      <c r="E5" s="24" t="s">
        <v>5</v>
      </c>
      <c r="F5" s="24" t="s">
        <v>6</v>
      </c>
      <c r="G5" s="24" t="s">
        <v>7</v>
      </c>
      <c r="H5" s="25" t="s">
        <v>12</v>
      </c>
      <c r="I5" s="2"/>
    </row>
    <row r="6" spans="1:9" s="30" customFormat="1" ht="18" customHeight="1">
      <c r="A6" s="28"/>
      <c r="B6" s="29" t="s">
        <v>24</v>
      </c>
      <c r="C6" s="45">
        <v>2816</v>
      </c>
      <c r="D6" s="45">
        <v>0</v>
      </c>
      <c r="E6" s="45">
        <v>0</v>
      </c>
      <c r="F6" s="45">
        <v>69500</v>
      </c>
      <c r="G6" s="45">
        <v>0</v>
      </c>
      <c r="H6" s="44">
        <f>SUM(C6:G6)</f>
        <v>72316</v>
      </c>
    </row>
    <row r="7" spans="1:9" s="30" customFormat="1" ht="18" customHeight="1">
      <c r="A7" s="28"/>
      <c r="B7" s="29" t="s">
        <v>29</v>
      </c>
      <c r="C7" s="45">
        <v>23788</v>
      </c>
      <c r="D7" s="45">
        <v>4616</v>
      </c>
      <c r="E7" s="45">
        <v>87967</v>
      </c>
      <c r="F7" s="45">
        <v>61324</v>
      </c>
      <c r="G7" s="45">
        <v>2653</v>
      </c>
      <c r="H7" s="44">
        <f>SUM(C7:G7)</f>
        <v>180348</v>
      </c>
    </row>
    <row r="8" spans="1:9" s="30" customFormat="1" ht="18" customHeight="1">
      <c r="A8" s="28"/>
      <c r="B8" s="29" t="s">
        <v>30</v>
      </c>
      <c r="C8" s="45">
        <v>51790</v>
      </c>
      <c r="D8" s="45">
        <v>91825</v>
      </c>
      <c r="E8" s="45">
        <v>41320</v>
      </c>
      <c r="F8" s="45">
        <v>58612</v>
      </c>
      <c r="G8" s="45">
        <v>60181</v>
      </c>
      <c r="H8" s="44">
        <f>SUM(C8:G8)</f>
        <v>303728</v>
      </c>
    </row>
    <row r="9" spans="1:9" s="30" customFormat="1" ht="18" customHeight="1">
      <c r="A9" s="28"/>
      <c r="B9" s="31" t="s">
        <v>12</v>
      </c>
      <c r="C9" s="43">
        <f>SUM(C6:C8)</f>
        <v>78394</v>
      </c>
      <c r="D9" s="43">
        <f>SUM(D6:D8)</f>
        <v>96441</v>
      </c>
      <c r="E9" s="43">
        <f>SUM(E6:E8)</f>
        <v>129287</v>
      </c>
      <c r="F9" s="43">
        <f>SUM(F6:F8)</f>
        <v>189436</v>
      </c>
      <c r="G9" s="43">
        <f>SUM(G6:G8)</f>
        <v>62834</v>
      </c>
      <c r="H9" s="42">
        <f>SUM(C9:G9)</f>
        <v>556392</v>
      </c>
    </row>
    <row r="10" spans="1:9">
      <c r="B10" s="85"/>
      <c r="C10" s="86"/>
      <c r="D10" s="86"/>
      <c r="E10" s="86"/>
      <c r="F10" s="86"/>
      <c r="G10" s="86"/>
      <c r="H10" s="86"/>
      <c r="I10" s="85"/>
    </row>
    <row r="11" spans="1:9">
      <c r="B11" s="87" t="s">
        <v>47</v>
      </c>
      <c r="C11" s="86">
        <f>C9</f>
        <v>78394</v>
      </c>
      <c r="D11" s="86">
        <f>D9</f>
        <v>96441</v>
      </c>
      <c r="E11" s="86">
        <f>E9</f>
        <v>129287</v>
      </c>
      <c r="F11" s="86">
        <f>Comparison!G13</f>
        <v>146385.78887130498</v>
      </c>
      <c r="G11" s="86">
        <f>G9</f>
        <v>62834</v>
      </c>
      <c r="H11" s="86">
        <f>SUM(C11:G11)</f>
        <v>513341.78887130495</v>
      </c>
      <c r="I11" s="85"/>
    </row>
    <row r="12" spans="1:9">
      <c r="B12" s="87" t="s">
        <v>48</v>
      </c>
      <c r="C12" s="86">
        <v>0</v>
      </c>
      <c r="D12" s="86">
        <v>0</v>
      </c>
      <c r="E12" s="86">
        <v>0</v>
      </c>
      <c r="F12" s="86">
        <f>F9-F11</f>
        <v>43050.211128695024</v>
      </c>
      <c r="G12" s="86">
        <v>0</v>
      </c>
      <c r="H12" s="86">
        <f>SUM(C12:G12)</f>
        <v>43050.211128695024</v>
      </c>
      <c r="I12" s="85"/>
    </row>
    <row r="13" spans="1:9">
      <c r="B13" s="87" t="s">
        <v>35</v>
      </c>
      <c r="C13" s="86">
        <v>0</v>
      </c>
      <c r="D13" s="86">
        <v>0</v>
      </c>
      <c r="E13" s="86">
        <v>0</v>
      </c>
      <c r="F13" s="86">
        <v>0</v>
      </c>
      <c r="G13" s="86">
        <v>0</v>
      </c>
      <c r="H13" s="86">
        <f>SUM(C13:G13)</f>
        <v>0</v>
      </c>
      <c r="I13" s="85"/>
    </row>
    <row r="14" spans="1:9">
      <c r="B14" s="85"/>
      <c r="C14" s="85"/>
      <c r="D14" s="85"/>
      <c r="E14" s="85"/>
      <c r="F14" s="85"/>
      <c r="G14" s="85"/>
      <c r="H14" s="85"/>
      <c r="I14" s="85"/>
    </row>
    <row r="15" spans="1:9">
      <c r="B15" s="85"/>
      <c r="C15" s="85"/>
      <c r="D15" s="85"/>
      <c r="E15" s="85"/>
      <c r="F15" s="85"/>
      <c r="G15" s="88" t="s">
        <v>12</v>
      </c>
      <c r="H15" s="86">
        <f>SUM(H11:H14)</f>
        <v>556392</v>
      </c>
      <c r="I15" s="85"/>
    </row>
    <row r="16" spans="1:9">
      <c r="B16" s="85"/>
      <c r="C16" s="85"/>
      <c r="D16" s="85"/>
      <c r="E16" s="85"/>
      <c r="F16" s="85"/>
      <c r="G16" s="85"/>
      <c r="H16" s="85"/>
      <c r="I16" s="85"/>
    </row>
  </sheetData>
  <pageMargins left="0.7" right="0.7" top="0.75" bottom="0.75" header="0.3" footer="0.3"/>
  <pageSetup orientation="portrait" r:id="rId1"/>
  <ignoredErrors>
    <ignoredError sqref="F1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8"/>
  <sheetViews>
    <sheetView showGridLines="0" topLeftCell="A16" workbookViewId="0"/>
  </sheetViews>
  <sheetFormatPr defaultColWidth="8.88671875" defaultRowHeight="14.4"/>
  <cols>
    <col min="1" max="1" width="1.6640625" style="1" customWidth="1"/>
    <col min="2" max="2" width="23.33203125" style="1" bestFit="1" customWidth="1"/>
    <col min="3" max="9" width="10.6640625" style="1" customWidth="1"/>
    <col min="10" max="12" width="9.33203125" style="1" bestFit="1" customWidth="1"/>
    <col min="13" max="16384" width="8.88671875" style="1"/>
  </cols>
  <sheetData>
    <row r="1" spans="2:9" s="15" customFormat="1" ht="4.2">
      <c r="H1" s="17"/>
    </row>
    <row r="2" spans="2:9" ht="23.4">
      <c r="B2" s="12" t="s">
        <v>51</v>
      </c>
    </row>
    <row r="3" spans="2:9">
      <c r="B3" s="1" t="s">
        <v>76</v>
      </c>
      <c r="H3" s="18" t="s">
        <v>15</v>
      </c>
      <c r="I3" s="38">
        <v>42095</v>
      </c>
    </row>
    <row r="4" spans="2:9" s="15" customFormat="1" ht="4.2">
      <c r="H4" s="17"/>
    </row>
    <row r="5" spans="2:9">
      <c r="B5" s="14" t="s">
        <v>14</v>
      </c>
    </row>
    <row r="6" spans="2:9" ht="44.4" customHeight="1">
      <c r="B6" s="90" t="s">
        <v>41</v>
      </c>
      <c r="C6" s="91"/>
      <c r="D6" s="91"/>
      <c r="E6" s="91"/>
      <c r="F6" s="91"/>
      <c r="G6" s="91"/>
      <c r="H6" s="91"/>
      <c r="I6" s="91"/>
    </row>
    <row r="7" spans="2:9" ht="28.95" customHeight="1">
      <c r="B7" s="90" t="s">
        <v>25</v>
      </c>
      <c r="C7" s="91"/>
      <c r="D7" s="91"/>
      <c r="E7" s="91"/>
      <c r="F7" s="91"/>
      <c r="G7" s="91"/>
      <c r="H7" s="91"/>
      <c r="I7" s="91"/>
    </row>
    <row r="8" spans="2:9" ht="14.4" customHeight="1">
      <c r="B8" s="90" t="s">
        <v>45</v>
      </c>
      <c r="C8" s="91"/>
      <c r="D8" s="91"/>
      <c r="E8" s="91"/>
      <c r="F8" s="91"/>
      <c r="G8" s="91"/>
      <c r="H8" s="91"/>
      <c r="I8" s="91"/>
    </row>
    <row r="9" spans="2:9" ht="14.4" customHeight="1">
      <c r="B9" s="90" t="s">
        <v>42</v>
      </c>
      <c r="C9" s="91"/>
      <c r="D9" s="91"/>
      <c r="E9" s="91"/>
      <c r="F9" s="91"/>
      <c r="G9" s="91"/>
      <c r="H9" s="91"/>
      <c r="I9" s="91"/>
    </row>
    <row r="10" spans="2:9" s="15" customFormat="1" ht="4.2">
      <c r="B10" s="16"/>
      <c r="C10" s="19"/>
      <c r="D10" s="19"/>
      <c r="E10" s="19"/>
      <c r="F10" s="19"/>
      <c r="G10" s="19"/>
      <c r="H10" s="19"/>
      <c r="I10" s="19"/>
    </row>
    <row r="11" spans="2:9" ht="14.4" customHeight="1">
      <c r="E11" s="89" t="s">
        <v>0</v>
      </c>
      <c r="F11" s="89"/>
      <c r="G11" s="89"/>
      <c r="H11" s="89"/>
      <c r="I11" s="89"/>
    </row>
    <row r="12" spans="2:9">
      <c r="B12" s="60" t="s">
        <v>4</v>
      </c>
      <c r="C12" s="61" t="s">
        <v>12</v>
      </c>
      <c r="D12" s="61" t="s">
        <v>65</v>
      </c>
      <c r="E12" s="61" t="s">
        <v>46</v>
      </c>
      <c r="F12" s="61" t="s">
        <v>5</v>
      </c>
      <c r="G12" s="61" t="s">
        <v>6</v>
      </c>
      <c r="H12" s="62" t="s">
        <v>7</v>
      </c>
    </row>
    <row r="13" spans="2:9">
      <c r="B13" s="63" t="s">
        <v>21</v>
      </c>
      <c r="C13" s="64">
        <f>SUM(D13:H13)</f>
        <v>808380.07734203991</v>
      </c>
      <c r="D13" s="64">
        <f>'Premium - Rates'!D35*Quote!$D$5</f>
        <v>187265.80111360515</v>
      </c>
      <c r="E13" s="64">
        <f>'Premium - Rates'!E35*Quote!$D$5</f>
        <v>177954.38890867267</v>
      </c>
      <c r="F13" s="64">
        <f>'Premium - Rates'!F35*Quote!$D$5</f>
        <v>152188.39734132498</v>
      </c>
      <c r="G13" s="64">
        <f>'Premium - Rates'!G35*Quote!$D$5</f>
        <v>146385.78887130498</v>
      </c>
      <c r="H13" s="65">
        <f>'Premium - Rates'!H35*Quote!$D$5</f>
        <v>144585.7011071321</v>
      </c>
    </row>
    <row r="14" spans="2:9">
      <c r="B14" s="63" t="s">
        <v>22</v>
      </c>
      <c r="C14" s="64">
        <f>SUM(D14:H14)</f>
        <v>236841.11574581175</v>
      </c>
      <c r="D14" s="64">
        <f>'Premium - Rates'!D35*Quote!$D$6</f>
        <v>54865.579348033963</v>
      </c>
      <c r="E14" s="64">
        <f>'Premium - Rates'!E35*Quote!$D$6</f>
        <v>52137.499676604522</v>
      </c>
      <c r="F14" s="64">
        <f>'Premium - Rates'!F35*Quote!$D$6</f>
        <v>44588.518248001419</v>
      </c>
      <c r="G14" s="64">
        <f>'Premium - Rates'!G35*Quote!$D$6</f>
        <v>42888.456231636126</v>
      </c>
      <c r="H14" s="65">
        <f>'Premium - Rates'!H35*Quote!$D$6</f>
        <v>42361.062241535728</v>
      </c>
    </row>
    <row r="15" spans="2:9">
      <c r="B15" s="63" t="s">
        <v>67</v>
      </c>
      <c r="C15" s="64">
        <f>SUM(D15:H15)</f>
        <v>496405.05594777432</v>
      </c>
      <c r="D15" s="64">
        <f>'Premium - Rates'!D35*Quote!$D$9</f>
        <v>114995.02905187389</v>
      </c>
      <c r="E15" s="64">
        <f>'Premium - Rates'!E35*Quote!$D$9</f>
        <v>109277.1344301506</v>
      </c>
      <c r="F15" s="64">
        <f>'Premium - Rates'!F35*Quote!$D$9</f>
        <v>93454.913121092701</v>
      </c>
      <c r="G15" s="64">
        <f>'Premium - Rates'!G35*Quote!$D$9</f>
        <v>89891.683072581072</v>
      </c>
      <c r="H15" s="65">
        <f>'Premium - Rates'!H35*Quote!$D$9</f>
        <v>88786.296272076012</v>
      </c>
    </row>
    <row r="16" spans="2:9">
      <c r="B16" s="63" t="s">
        <v>73</v>
      </c>
      <c r="C16" s="64">
        <f>SUM(D16:H16)</f>
        <v>238314.3846483446</v>
      </c>
      <c r="D16" s="64">
        <f>'Premium - Rates'!D35*Quote!$D$15</f>
        <v>55206.870392953962</v>
      </c>
      <c r="E16" s="64">
        <f>'Premium - Rates'!E35*Quote!$D$15</f>
        <v>52461.820716418384</v>
      </c>
      <c r="F16" s="64">
        <f>'Premium - Rates'!F35*Quote!$D$15</f>
        <v>44865.880888934509</v>
      </c>
      <c r="G16" s="64">
        <f>'Premium - Rates'!G35*Quote!$D$15</f>
        <v>43155.243645826173</v>
      </c>
      <c r="H16" s="65">
        <f>'Premium - Rates'!H35*Quote!$D$15</f>
        <v>42624.569004211568</v>
      </c>
    </row>
    <row r="17" spans="2:11">
      <c r="B17" s="66" t="s">
        <v>20</v>
      </c>
      <c r="C17" s="67">
        <f t="shared" ref="C17:H17" si="0">SUM(C13:C16)</f>
        <v>1779940.6336839707</v>
      </c>
      <c r="D17" s="67">
        <f t="shared" si="0"/>
        <v>412333.27990646695</v>
      </c>
      <c r="E17" s="67">
        <f t="shared" si="0"/>
        <v>391830.84373184619</v>
      </c>
      <c r="F17" s="67">
        <f t="shared" si="0"/>
        <v>335097.70959935361</v>
      </c>
      <c r="G17" s="67">
        <f t="shared" si="0"/>
        <v>322321.17182134837</v>
      </c>
      <c r="H17" s="68">
        <f t="shared" si="0"/>
        <v>318357.62862495543</v>
      </c>
    </row>
    <row r="18" spans="2:11">
      <c r="B18" s="34"/>
      <c r="C18" s="35"/>
      <c r="D18" s="35"/>
      <c r="E18" s="35"/>
      <c r="F18" s="35"/>
      <c r="G18" s="35"/>
      <c r="H18" s="35"/>
      <c r="I18" s="48"/>
    </row>
    <row r="19" spans="2:11" s="15" customFormat="1">
      <c r="B19" s="69" t="s">
        <v>36</v>
      </c>
      <c r="C19" s="70">
        <f t="shared" ref="C19:C26" si="1">SUM(D19:H19)</f>
        <v>365663</v>
      </c>
      <c r="D19" s="70">
        <v>70496</v>
      </c>
      <c r="E19" s="70">
        <v>75000</v>
      </c>
      <c r="F19" s="70">
        <v>82333</v>
      </c>
      <c r="G19" s="70">
        <v>75000</v>
      </c>
      <c r="H19" s="71">
        <v>62834</v>
      </c>
      <c r="J19" s="2" t="s">
        <v>56</v>
      </c>
    </row>
    <row r="20" spans="2:11">
      <c r="B20" s="63" t="s">
        <v>37</v>
      </c>
      <c r="C20" s="64">
        <f t="shared" si="1"/>
        <v>0</v>
      </c>
      <c r="D20" s="64">
        <v>0</v>
      </c>
      <c r="E20" s="64">
        <v>0</v>
      </c>
      <c r="F20" s="64">
        <v>0</v>
      </c>
      <c r="G20" s="64">
        <v>0</v>
      </c>
      <c r="H20" s="65">
        <v>0</v>
      </c>
      <c r="J20" s="48">
        <f>SUM(C19:C20)</f>
        <v>365663</v>
      </c>
      <c r="K20" s="84">
        <f>J20/'Premium - Rates'!O20</f>
        <v>0.20000010939040011</v>
      </c>
    </row>
    <row r="21" spans="2:11">
      <c r="B21" s="63" t="s">
        <v>50</v>
      </c>
      <c r="C21" s="64">
        <f t="shared" si="1"/>
        <v>0</v>
      </c>
      <c r="D21" s="64">
        <f>Losses!C13</f>
        <v>0</v>
      </c>
      <c r="E21" s="64">
        <f>Losses!D13</f>
        <v>0</v>
      </c>
      <c r="F21" s="64">
        <f>Losses!E13</f>
        <v>0</v>
      </c>
      <c r="G21" s="64">
        <f>Losses!F13</f>
        <v>0</v>
      </c>
      <c r="H21" s="65">
        <f>Losses!G13</f>
        <v>0</v>
      </c>
    </row>
    <row r="22" spans="2:11">
      <c r="B22" s="63" t="s">
        <v>67</v>
      </c>
      <c r="C22" s="64">
        <f t="shared" si="1"/>
        <v>496405.05594777432</v>
      </c>
      <c r="D22" s="64">
        <f t="shared" ref="D22:H23" si="2">D15</f>
        <v>114995.02905187389</v>
      </c>
      <c r="E22" s="64">
        <f t="shared" si="2"/>
        <v>109277.1344301506</v>
      </c>
      <c r="F22" s="64">
        <f t="shared" si="2"/>
        <v>93454.913121092701</v>
      </c>
      <c r="G22" s="64">
        <f t="shared" si="2"/>
        <v>89891.683072581072</v>
      </c>
      <c r="H22" s="65">
        <f t="shared" si="2"/>
        <v>88786.296272076012</v>
      </c>
      <c r="J22" s="48">
        <f>'What If'!E11</f>
        <v>548494.19999999995</v>
      </c>
      <c r="K22" s="84">
        <v>0.3</v>
      </c>
    </row>
    <row r="23" spans="2:11">
      <c r="B23" s="63" t="s">
        <v>73</v>
      </c>
      <c r="C23" s="64">
        <f t="shared" si="1"/>
        <v>238314.3846483446</v>
      </c>
      <c r="D23" s="64">
        <f t="shared" si="2"/>
        <v>55206.870392953962</v>
      </c>
      <c r="E23" s="64">
        <f t="shared" si="2"/>
        <v>52461.820716418384</v>
      </c>
      <c r="F23" s="64">
        <f t="shared" si="2"/>
        <v>44865.880888934509</v>
      </c>
      <c r="G23" s="64">
        <f t="shared" si="2"/>
        <v>43155.243645826173</v>
      </c>
      <c r="H23" s="65">
        <f t="shared" si="2"/>
        <v>42624.569004211568</v>
      </c>
      <c r="J23" s="48">
        <f>'What If'!E14</f>
        <v>365662.80000000005</v>
      </c>
      <c r="K23" s="84">
        <v>0.2</v>
      </c>
    </row>
    <row r="24" spans="2:11">
      <c r="B24" s="63" t="s">
        <v>23</v>
      </c>
      <c r="C24" s="64">
        <f t="shared" si="1"/>
        <v>77081.312451781298</v>
      </c>
      <c r="D24" s="64">
        <f>SUM(D13:D15)*$C$44</f>
        <v>17856.32047567565</v>
      </c>
      <c r="E24" s="64">
        <f>SUM(E13:E15)*$C$44</f>
        <v>16968.451150771391</v>
      </c>
      <c r="F24" s="64">
        <f>SUM(F13:F15)*$C$44</f>
        <v>14511.591435520957</v>
      </c>
      <c r="G24" s="64">
        <f>SUM(G13:G15)*$C$44</f>
        <v>13958.29640877611</v>
      </c>
      <c r="H24" s="65">
        <f>SUM(H13:H15)*$C$44</f>
        <v>13786.652981037194</v>
      </c>
      <c r="J24" s="48">
        <f>'What If'!E17</f>
        <v>182831.40000000002</v>
      </c>
      <c r="K24" s="84">
        <v>0.1</v>
      </c>
    </row>
    <row r="25" spans="2:11">
      <c r="B25" s="63" t="s">
        <v>40</v>
      </c>
      <c r="C25" s="64">
        <f t="shared" si="1"/>
        <v>10969.89</v>
      </c>
      <c r="D25" s="64">
        <f>SUM(D19:D21)*$C$43</f>
        <v>2114.88</v>
      </c>
      <c r="E25" s="64">
        <f>SUM(E19:E21)*$C$43</f>
        <v>2250</v>
      </c>
      <c r="F25" s="64">
        <f>SUM(F19:F21)*$C$43</f>
        <v>2469.9899999999998</v>
      </c>
      <c r="G25" s="64">
        <f>SUM(G19:G21)*$C$43</f>
        <v>2250</v>
      </c>
      <c r="H25" s="65">
        <f>SUM(H19:H21)*$C$43</f>
        <v>1885.02</v>
      </c>
    </row>
    <row r="26" spans="2:11">
      <c r="B26" s="63" t="s">
        <v>13</v>
      </c>
      <c r="C26" s="72">
        <f t="shared" si="1"/>
        <v>-125426.54317054219</v>
      </c>
      <c r="D26" s="72">
        <f>-(D13+D14)*$C$42*2</f>
        <v>-29055.765655396692</v>
      </c>
      <c r="E26" s="72">
        <f>-(E13+E14)*$C$42*2</f>
        <v>-27611.026630233264</v>
      </c>
      <c r="F26" s="72">
        <f>-(F13+F14)*$C$42*2</f>
        <v>-23613.229870719169</v>
      </c>
      <c r="G26" s="72">
        <f>-(G13+G14)*$C$42*2</f>
        <v>-22712.909412352932</v>
      </c>
      <c r="H26" s="73">
        <f>-(H13+H14)*$C$42*2</f>
        <v>-22433.611601840137</v>
      </c>
    </row>
    <row r="27" spans="2:11">
      <c r="B27" s="66" t="s">
        <v>19</v>
      </c>
      <c r="C27" s="67">
        <f t="shared" ref="C27:H27" si="3">SUM(C19:C26)</f>
        <v>1063007.0998773579</v>
      </c>
      <c r="D27" s="67">
        <f t="shared" si="3"/>
        <v>231613.33426510685</v>
      </c>
      <c r="E27" s="67">
        <f t="shared" si="3"/>
        <v>228346.37966710713</v>
      </c>
      <c r="F27" s="67">
        <f t="shared" si="3"/>
        <v>214022.14557482902</v>
      </c>
      <c r="G27" s="67">
        <f t="shared" si="3"/>
        <v>201542.31371483044</v>
      </c>
      <c r="H27" s="68">
        <f t="shared" si="3"/>
        <v>187482.92665548465</v>
      </c>
    </row>
    <row r="28" spans="2:11">
      <c r="B28" s="16"/>
      <c r="C28" s="19"/>
      <c r="D28" s="19"/>
      <c r="E28" s="19"/>
      <c r="F28" s="19"/>
      <c r="G28" s="19"/>
      <c r="H28" s="19"/>
    </row>
    <row r="29" spans="2:11" s="15" customFormat="1" ht="4.2">
      <c r="B29" s="16"/>
      <c r="C29" s="19"/>
      <c r="D29" s="19"/>
      <c r="E29" s="19"/>
      <c r="F29" s="19"/>
      <c r="G29" s="19"/>
      <c r="H29" s="19"/>
    </row>
    <row r="30" spans="2:11" s="15" customFormat="1">
      <c r="B30" s="5" t="s">
        <v>38</v>
      </c>
      <c r="C30" s="3"/>
      <c r="D30" s="3"/>
      <c r="E30" s="6"/>
      <c r="F30" s="6"/>
      <c r="G30" s="6"/>
      <c r="H30" s="6"/>
    </row>
    <row r="31" spans="2:11">
      <c r="C31" s="74">
        <f>SUM(D31:H31)</f>
        <v>1828314</v>
      </c>
      <c r="D31" s="75">
        <f>'Premium - Rates'!O14</f>
        <v>404250</v>
      </c>
      <c r="E31" s="76">
        <f>'Premium - Rates'!O15</f>
        <v>394550</v>
      </c>
      <c r="F31" s="76">
        <f>'Premium - Rates'!O16</f>
        <v>332792</v>
      </c>
      <c r="G31" s="76">
        <f>'Premium - Rates'!O17</f>
        <v>339335</v>
      </c>
      <c r="H31" s="77">
        <f>'Premium - Rates'!O18</f>
        <v>357387</v>
      </c>
    </row>
    <row r="32" spans="2:11">
      <c r="B32" s="16"/>
      <c r="C32" s="19"/>
      <c r="D32" s="19"/>
      <c r="E32" s="19"/>
      <c r="F32" s="19"/>
      <c r="G32" s="19"/>
      <c r="H32" s="19"/>
    </row>
    <row r="33" spans="2:9" s="15" customFormat="1">
      <c r="B33" s="2" t="s">
        <v>17</v>
      </c>
      <c r="C33" s="13"/>
      <c r="D33" s="13"/>
      <c r="E33" s="13"/>
      <c r="F33" s="13"/>
      <c r="G33" s="13"/>
      <c r="H33" s="13"/>
    </row>
    <row r="34" spans="2:9">
      <c r="B34" s="69" t="s">
        <v>10</v>
      </c>
      <c r="C34" s="70">
        <f t="shared" ref="C34:H34" si="4">C17-C31</f>
        <v>-48373.366316029336</v>
      </c>
      <c r="D34" s="70">
        <f t="shared" si="4"/>
        <v>8083.2799064669525</v>
      </c>
      <c r="E34" s="70">
        <f t="shared" si="4"/>
        <v>-2719.1562681538053</v>
      </c>
      <c r="F34" s="70">
        <f t="shared" si="4"/>
        <v>2305.7095993536059</v>
      </c>
      <c r="G34" s="70">
        <f t="shared" si="4"/>
        <v>-17013.828178651631</v>
      </c>
      <c r="H34" s="71">
        <f t="shared" si="4"/>
        <v>-39029.371375044575</v>
      </c>
    </row>
    <row r="35" spans="2:9">
      <c r="B35" s="66" t="s">
        <v>11</v>
      </c>
      <c r="C35" s="78">
        <f t="shared" ref="C35:H35" si="5">C34/C31</f>
        <v>-2.6457909481647758E-2</v>
      </c>
      <c r="D35" s="78">
        <f t="shared" si="5"/>
        <v>1.999574497579951E-2</v>
      </c>
      <c r="E35" s="78">
        <f t="shared" si="5"/>
        <v>-6.8917913272178565E-3</v>
      </c>
      <c r="F35" s="78">
        <f t="shared" si="5"/>
        <v>6.9283804879732864E-3</v>
      </c>
      <c r="G35" s="78">
        <f t="shared" si="5"/>
        <v>-5.0138736583764221E-2</v>
      </c>
      <c r="H35" s="79">
        <f t="shared" si="5"/>
        <v>-0.10920758554464649</v>
      </c>
    </row>
    <row r="36" spans="2:9">
      <c r="B36" s="16"/>
      <c r="C36" s="19"/>
      <c r="D36" s="19"/>
      <c r="E36" s="19"/>
      <c r="F36" s="19"/>
      <c r="G36" s="19"/>
      <c r="H36" s="19"/>
    </row>
    <row r="37" spans="2:9" s="15" customFormat="1">
      <c r="B37" s="2" t="s">
        <v>18</v>
      </c>
      <c r="C37" s="6"/>
      <c r="D37" s="6"/>
      <c r="E37" s="6"/>
      <c r="F37" s="6"/>
      <c r="G37" s="6"/>
      <c r="H37" s="6"/>
    </row>
    <row r="38" spans="2:9">
      <c r="B38" s="80" t="s">
        <v>10</v>
      </c>
      <c r="C38" s="20">
        <f t="shared" ref="C38:H38" si="6">C27-C31</f>
        <v>-765306.90012264205</v>
      </c>
      <c r="D38" s="20">
        <f t="shared" si="6"/>
        <v>-172636.66573489315</v>
      </c>
      <c r="E38" s="20">
        <f t="shared" si="6"/>
        <v>-166203.62033289287</v>
      </c>
      <c r="F38" s="20">
        <f t="shared" si="6"/>
        <v>-118769.85442517098</v>
      </c>
      <c r="G38" s="20">
        <f t="shared" si="6"/>
        <v>-137792.68628516956</v>
      </c>
      <c r="H38" s="82">
        <f t="shared" si="6"/>
        <v>-169904.07334451535</v>
      </c>
    </row>
    <row r="39" spans="2:9">
      <c r="B39" s="81" t="s">
        <v>11</v>
      </c>
      <c r="C39" s="83">
        <f t="shared" ref="C39:H39" si="7">C38/C31</f>
        <v>-0.41858614008460365</v>
      </c>
      <c r="D39" s="83">
        <f t="shared" si="7"/>
        <v>-0.42705421332070043</v>
      </c>
      <c r="E39" s="83">
        <f t="shared" si="7"/>
        <v>-0.42124856249624348</v>
      </c>
      <c r="F39" s="83">
        <f t="shared" si="7"/>
        <v>-0.35688915125715459</v>
      </c>
      <c r="G39" s="83">
        <f t="shared" si="7"/>
        <v>-0.40606682565950925</v>
      </c>
      <c r="H39" s="41">
        <f t="shared" si="7"/>
        <v>-0.47540641753761426</v>
      </c>
    </row>
    <row r="40" spans="2:9">
      <c r="B40" s="16"/>
      <c r="C40" s="19"/>
      <c r="D40" s="19"/>
      <c r="E40" s="19"/>
      <c r="F40" s="19"/>
      <c r="G40" s="19"/>
      <c r="H40" s="19"/>
    </row>
    <row r="41" spans="2:9" s="15" customFormat="1" ht="14.4" customHeight="1">
      <c r="B41" s="2" t="s">
        <v>8</v>
      </c>
      <c r="C41" s="6"/>
      <c r="D41" s="6"/>
      <c r="E41" s="92" t="s">
        <v>75</v>
      </c>
      <c r="F41" s="6"/>
      <c r="G41" s="6"/>
      <c r="H41" s="6"/>
    </row>
    <row r="42" spans="2:9">
      <c r="B42" s="36" t="s">
        <v>13</v>
      </c>
      <c r="C42" s="37">
        <v>0.06</v>
      </c>
      <c r="D42" s="37"/>
      <c r="E42" s="92"/>
      <c r="F42" s="6"/>
      <c r="G42" s="6"/>
      <c r="H42" s="6"/>
    </row>
    <row r="43" spans="2:9">
      <c r="B43" s="36" t="s">
        <v>9</v>
      </c>
      <c r="C43" s="37">
        <v>0.03</v>
      </c>
      <c r="D43" s="37"/>
      <c r="E43" s="92"/>
      <c r="F43" s="6"/>
      <c r="G43" s="6"/>
      <c r="H43" s="6"/>
      <c r="I43" s="6"/>
    </row>
    <row r="44" spans="2:9">
      <c r="B44" s="36" t="s">
        <v>23</v>
      </c>
      <c r="C44" s="37">
        <v>0.05</v>
      </c>
      <c r="D44" s="37"/>
      <c r="E44" s="92"/>
      <c r="F44" s="6"/>
      <c r="G44" s="6"/>
      <c r="H44" s="6"/>
      <c r="I44" s="6"/>
    </row>
    <row r="45" spans="2:9">
      <c r="B45" s="54" t="s">
        <v>16</v>
      </c>
      <c r="D45" s="37"/>
      <c r="E45" s="93"/>
      <c r="F45" s="6"/>
      <c r="G45" s="6"/>
      <c r="H45" s="6"/>
      <c r="I45" s="6"/>
    </row>
    <row r="46" spans="2:9">
      <c r="D46" s="37"/>
      <c r="F46" s="6"/>
      <c r="G46" s="6"/>
      <c r="H46" s="6"/>
      <c r="I46" s="6"/>
    </row>
    <row r="47" spans="2:9">
      <c r="D47" s="37"/>
      <c r="F47" s="6"/>
      <c r="G47" s="6"/>
      <c r="H47" s="6"/>
      <c r="I47" s="6"/>
    </row>
    <row r="48" spans="2:9">
      <c r="D48" s="37"/>
      <c r="I48" s="6"/>
    </row>
  </sheetData>
  <mergeCells count="6">
    <mergeCell ref="E41:E45"/>
    <mergeCell ref="B6:I6"/>
    <mergeCell ref="B7:I7"/>
    <mergeCell ref="B8:I8"/>
    <mergeCell ref="B9:I9"/>
    <mergeCell ref="E11:I1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16"/>
  <sheetViews>
    <sheetView showGridLines="0" workbookViewId="0">
      <selection activeCell="J17" sqref="J17"/>
    </sheetView>
  </sheetViews>
  <sheetFormatPr defaultRowHeight="14.4"/>
  <cols>
    <col min="9" max="9" width="11.5546875" bestFit="1" customWidth="1"/>
    <col min="10" max="10" width="10.5546875" bestFit="1" customWidth="1"/>
  </cols>
  <sheetData>
    <row r="3" spans="2:10">
      <c r="C3" t="s">
        <v>66</v>
      </c>
    </row>
    <row r="5" spans="2:10">
      <c r="B5" s="53" t="s">
        <v>39</v>
      </c>
      <c r="C5" s="33">
        <v>196947</v>
      </c>
      <c r="D5" s="39">
        <f>C5/C10</f>
        <v>0.52436839204556041</v>
      </c>
      <c r="F5" t="s">
        <v>24</v>
      </c>
      <c r="G5" s="33">
        <v>115260</v>
      </c>
      <c r="H5" s="39">
        <v>0.85</v>
      </c>
      <c r="I5" s="46">
        <f>G5/H5</f>
        <v>135600</v>
      </c>
      <c r="J5" s="46">
        <f>I5-G5</f>
        <v>20340</v>
      </c>
    </row>
    <row r="6" spans="2:10">
      <c r="B6" s="53" t="s">
        <v>35</v>
      </c>
      <c r="C6" s="40">
        <v>57702</v>
      </c>
      <c r="D6" s="39">
        <f>C6/C10</f>
        <v>0.15363069738464119</v>
      </c>
      <c r="F6" t="s">
        <v>30</v>
      </c>
      <c r="G6" s="33">
        <f>100018+54024</f>
        <v>154042</v>
      </c>
      <c r="H6" s="39">
        <v>0.85</v>
      </c>
      <c r="I6" s="46">
        <f>G6/H6</f>
        <v>181225.88235294117</v>
      </c>
      <c r="J6" s="46">
        <f>I6-G6</f>
        <v>27183.882352941175</v>
      </c>
    </row>
    <row r="7" spans="2:10">
      <c r="B7" s="53" t="s">
        <v>43</v>
      </c>
      <c r="C7" s="33">
        <f>SUM(C5:C6)</f>
        <v>254649</v>
      </c>
      <c r="D7" s="33"/>
      <c r="F7" t="s">
        <v>29</v>
      </c>
      <c r="G7" s="40">
        <v>106287</v>
      </c>
      <c r="H7" s="39">
        <v>0.95</v>
      </c>
      <c r="I7" s="46">
        <f>G7/H7</f>
        <v>111881.05263157895</v>
      </c>
      <c r="J7" s="46">
        <f>I7-G7</f>
        <v>5594.0526315789466</v>
      </c>
    </row>
    <row r="8" spans="2:10">
      <c r="B8" s="53"/>
      <c r="G8" s="33">
        <f>SUM(G5:G7)</f>
        <v>375589</v>
      </c>
      <c r="J8" s="33">
        <f>SUM(J5:J7)</f>
        <v>53117.934984520121</v>
      </c>
    </row>
    <row r="9" spans="2:10">
      <c r="B9" s="53" t="s">
        <v>67</v>
      </c>
      <c r="C9" s="40">
        <v>120940</v>
      </c>
      <c r="D9" s="39">
        <f>C9/C10</f>
        <v>0.32200091056979835</v>
      </c>
    </row>
    <row r="10" spans="2:10">
      <c r="B10" s="53" t="s">
        <v>69</v>
      </c>
      <c r="C10" s="33">
        <f>C7+C9</f>
        <v>375589</v>
      </c>
      <c r="D10" s="40"/>
    </row>
    <row r="11" spans="2:10">
      <c r="B11" s="53"/>
      <c r="C11" s="33"/>
      <c r="D11" s="33"/>
    </row>
    <row r="12" spans="2:10">
      <c r="B12" s="53"/>
      <c r="C12" s="33"/>
      <c r="D12" s="33"/>
      <c r="G12" t="s">
        <v>71</v>
      </c>
      <c r="H12" s="33">
        <v>54024</v>
      </c>
    </row>
    <row r="13" spans="2:10">
      <c r="B13" s="53" t="s">
        <v>68</v>
      </c>
      <c r="C13" s="48">
        <v>4943</v>
      </c>
      <c r="D13" s="39">
        <f>C13/C10</f>
        <v>1.3160662319716498E-2</v>
      </c>
      <c r="G13" t="s">
        <v>72</v>
      </c>
      <c r="H13" s="33">
        <v>100018</v>
      </c>
    </row>
    <row r="14" spans="2:10">
      <c r="B14" s="53" t="s">
        <v>70</v>
      </c>
      <c r="C14" s="33">
        <f>J8</f>
        <v>53117.934984520121</v>
      </c>
      <c r="D14" s="39">
        <f>C14/C10</f>
        <v>0.14142569400200783</v>
      </c>
    </row>
    <row r="15" spans="2:10">
      <c r="B15" s="53"/>
      <c r="D15" s="39">
        <f>SUM(D13:D14)</f>
        <v>0.15458635632172432</v>
      </c>
    </row>
    <row r="16" spans="2:10">
      <c r="B16" s="53" t="s">
        <v>12</v>
      </c>
      <c r="C16" s="33">
        <f>C10+C13+C14</f>
        <v>433649.93498452014</v>
      </c>
      <c r="D16"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E16"/>
  <sheetViews>
    <sheetView workbookViewId="0">
      <selection activeCell="E16" sqref="E16"/>
    </sheetView>
  </sheetViews>
  <sheetFormatPr defaultRowHeight="14.4"/>
  <cols>
    <col min="4" max="4" width="54.6640625" customWidth="1"/>
    <col min="5" max="5" width="19.109375" customWidth="1"/>
  </cols>
  <sheetData>
    <row r="5" spans="4:5" ht="19.8" thickBot="1">
      <c r="D5" s="110" t="s">
        <v>86</v>
      </c>
      <c r="E5" s="107">
        <v>556392</v>
      </c>
    </row>
    <row r="6" spans="4:5" ht="19.2" thickBot="1">
      <c r="D6" s="113" t="s">
        <v>90</v>
      </c>
      <c r="E6" s="114">
        <v>513342</v>
      </c>
    </row>
    <row r="7" spans="4:5" ht="19.2" thickBot="1">
      <c r="D7" s="113" t="s">
        <v>37</v>
      </c>
      <c r="E7" s="114">
        <v>43050</v>
      </c>
    </row>
    <row r="8" spans="4:5" ht="19.2" thickBot="1">
      <c r="D8" s="113" t="s">
        <v>50</v>
      </c>
      <c r="E8" s="114">
        <v>0</v>
      </c>
    </row>
    <row r="9" spans="4:5" ht="19.2" thickBot="1">
      <c r="D9" s="113" t="s">
        <v>67</v>
      </c>
      <c r="E9" s="114">
        <v>496405</v>
      </c>
    </row>
    <row r="10" spans="4:5" ht="19.2" thickBot="1">
      <c r="D10" s="113" t="s">
        <v>73</v>
      </c>
      <c r="E10" s="114">
        <v>238314</v>
      </c>
    </row>
    <row r="11" spans="4:5" ht="19.2" thickBot="1">
      <c r="D11" s="113" t="s">
        <v>23</v>
      </c>
      <c r="E11" s="114">
        <v>77081</v>
      </c>
    </row>
    <row r="12" spans="4:5" ht="19.2" thickBot="1">
      <c r="D12" s="113" t="s">
        <v>40</v>
      </c>
      <c r="E12" s="114">
        <v>16692</v>
      </c>
    </row>
    <row r="13" spans="4:5" ht="19.2" thickBot="1">
      <c r="D13" s="113" t="s">
        <v>13</v>
      </c>
      <c r="E13" s="115">
        <v>-125427</v>
      </c>
    </row>
    <row r="14" spans="4:5" ht="19.8" thickBot="1">
      <c r="D14" s="111" t="s">
        <v>87</v>
      </c>
      <c r="E14" s="108">
        <f>SUM(E6:E13)</f>
        <v>1259457</v>
      </c>
    </row>
    <row r="15" spans="4:5" ht="19.8" thickBot="1">
      <c r="D15" s="111" t="s">
        <v>88</v>
      </c>
      <c r="E15" s="108">
        <v>1828314</v>
      </c>
    </row>
    <row r="16" spans="4:5" ht="19.2">
      <c r="D16" s="112" t="s">
        <v>89</v>
      </c>
      <c r="E16" s="109">
        <f>E15-E14</f>
        <v>568857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Comparison</vt:lpstr>
      <vt:lpstr>What If</vt:lpstr>
      <vt:lpstr>Premium - Rates</vt:lpstr>
      <vt:lpstr>Losses</vt:lpstr>
      <vt:lpstr>Calcs</vt:lpstr>
      <vt:lpstr>Quote</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Collings</dc:creator>
  <cp:lastModifiedBy>Dave Collings</cp:lastModifiedBy>
  <cp:lastPrinted>2014-01-30T16:02:00Z</cp:lastPrinted>
  <dcterms:created xsi:type="dcterms:W3CDTF">2012-12-19T20:31:21Z</dcterms:created>
  <dcterms:modified xsi:type="dcterms:W3CDTF">2015-02-12T20:47:05Z</dcterms:modified>
</cp:coreProperties>
</file>