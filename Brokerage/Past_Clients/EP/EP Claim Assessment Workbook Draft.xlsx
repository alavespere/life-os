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I:\Templates\WC Closure Solution Workbook\"/>
    </mc:Choice>
  </mc:AlternateContent>
  <xr:revisionPtr revIDLastSave="0" documentId="13_ncr:1_{2D98E257-2AE9-4BDE-B459-CD9833476C8E}" xr6:coauthVersionLast="47" xr6:coauthVersionMax="47" xr10:uidLastSave="{00000000-0000-0000-0000-000000000000}"/>
  <bookViews>
    <workbookView xWindow="-28920" yWindow="-120" windowWidth="29040" windowHeight="15840" tabRatio="640" xr2:uid="{3755D592-7000-404B-9C12-9C50D57ECDC5}"/>
  </bookViews>
  <sheets>
    <sheet name="claims" sheetId="1" r:id="rId1"/>
    <sheet name="reference" sheetId="3" r:id="rId2"/>
    <sheet name="selections" sheetId="2" state="hidden" r:id="rId3"/>
  </sheets>
  <definedNames>
    <definedName name="_xlnm._FilterDatabase" localSheetId="1" hidden="1">reference!$H$2:$M$61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3" l="1"/>
  <c r="U12" i="3"/>
  <c r="S12" i="3"/>
  <c r="R12" i="3"/>
  <c r="Q12" i="3"/>
  <c r="P11" i="3"/>
  <c r="P10" i="3"/>
  <c r="P9" i="3"/>
  <c r="P8" i="3"/>
  <c r="U8" i="3" s="1"/>
  <c r="P7" i="3"/>
  <c r="P6" i="3"/>
  <c r="P5" i="3"/>
  <c r="P4" i="3"/>
  <c r="S11" i="3"/>
  <c r="R11" i="3"/>
  <c r="Q11" i="3"/>
  <c r="S10" i="3"/>
  <c r="R10" i="3"/>
  <c r="Q10" i="3"/>
  <c r="S9" i="3"/>
  <c r="R9" i="3"/>
  <c r="Q9" i="3"/>
  <c r="S7" i="3"/>
  <c r="R7" i="3"/>
  <c r="Q7" i="3"/>
  <c r="S6" i="3"/>
  <c r="R6" i="3"/>
  <c r="Q6" i="3"/>
  <c r="S5" i="3"/>
  <c r="R5" i="3"/>
  <c r="Q5" i="3"/>
  <c r="S4" i="3"/>
  <c r="R4" i="3"/>
  <c r="Q4" i="3"/>
  <c r="U7" i="3" l="1"/>
  <c r="U5" i="3"/>
  <c r="U6" i="3"/>
  <c r="U10" i="3"/>
  <c r="U11" i="3"/>
  <c r="U9" i="3"/>
  <c r="U4" i="3"/>
</calcChain>
</file>

<file path=xl/sharedStrings.xml><?xml version="1.0" encoding="utf-8"?>
<sst xmlns="http://schemas.openxmlformats.org/spreadsheetml/2006/main" count="401" uniqueCount="136">
  <si>
    <t>Claim Number</t>
  </si>
  <si>
    <t>Claimant</t>
  </si>
  <si>
    <t>Jurisdiction</t>
  </si>
  <si>
    <t>Adjuster</t>
  </si>
  <si>
    <t>Date Reported</t>
  </si>
  <si>
    <t>Paid</t>
  </si>
  <si>
    <t>Outstanding</t>
  </si>
  <si>
    <t>Indemnity Incurred</t>
  </si>
  <si>
    <t>Total Incurred</t>
  </si>
  <si>
    <t>Was the claim properly investigated to include taking recorded statements, obtaining prior medical reports, obtaining witness statements, verifying causation, etc.?</t>
  </si>
  <si>
    <t xml:space="preserve">Does the adjuster re-evaluate causation when new/additional body parts are added? </t>
  </si>
  <si>
    <t>Does the file reflect any evidence of any adjuster rapport tactics such benefit explanation to EE and/ or bi-weekly EE contact during lost time period?</t>
  </si>
  <si>
    <t>Does the adjuster properly address any lag times from the DOI to the date reported to the TPA/carrier? (Late report is defined as greater than 2 days to the time the employee reported the claim to the employer or TPA)</t>
  </si>
  <si>
    <t xml:space="preserve">Are recovery opportunities being realized (subrogation)? </t>
  </si>
  <si>
    <t xml:space="preserve">Do the action plans contain a specific and aggressive plan to bring the claim to closure? </t>
  </si>
  <si>
    <t xml:space="preserve">Does the action plan have completion due dates for any necessary follow up activities? </t>
  </si>
  <si>
    <t>Are the action plans executed in a timely manner that do not hinder the claim outcome? If not, indicate the Opportunity Cost</t>
  </si>
  <si>
    <t>Does the adjuster keep an appropriate diary?</t>
  </si>
  <si>
    <t xml:space="preserve">Are the supervisor reviews completed timely? </t>
  </si>
  <si>
    <t>Do the supervisor review address any missed opportunities for resoultion and provide clear direction/recommendations</t>
  </si>
  <si>
    <t>Does the adjustet take action and or respond to the Supervisor recommendations?</t>
  </si>
  <si>
    <t xml:space="preserve">Does the supervisor hold the adjuster accountable for moving claim to resolution? </t>
  </si>
  <si>
    <t>Does the Superisor update recommendations based on current file status at time of review (does not cut and paste)</t>
  </si>
  <si>
    <t xml:space="preserve">Are the current reserves appropriate to resolve the claim? </t>
  </si>
  <si>
    <t>Are the reserves adjusted timely in accordance with the claim developments?</t>
  </si>
  <si>
    <t xml:space="preserve">Does the adjuster (or nurse) use ODG to manage RTW? </t>
  </si>
  <si>
    <t>Are the RTW target dates being communicated to all parties (i.e. EE, client contact, and treating physician)?</t>
  </si>
  <si>
    <t xml:space="preserve">Did the adjuster obtain the medical information on a timely basis? </t>
  </si>
  <si>
    <t>Is the adjuster pro-active in engaging ancillary resources and programs (TCM/NCM, IME, Pharmacy programs, etc.)</t>
  </si>
  <si>
    <t>If applicable, does the adjuster property manage the UR process to reduce medical delays and administrative denials?</t>
  </si>
  <si>
    <t xml:space="preserve">Is there a causal relationship between the current treatment plan and the accepted WC injury? </t>
  </si>
  <si>
    <t xml:space="preserve">Have early settlement opportunities been realized? If not, indicate amount of leakage. </t>
  </si>
  <si>
    <t xml:space="preserve">Has the adjuster completed his or her own evaluation and negotiations rather than defense counsel? </t>
  </si>
  <si>
    <t xml:space="preserve">Does the settlement evaluation include the future exposure, recommended settlement range, and planned negotiation plan? </t>
  </si>
  <si>
    <t>Upon receipt of settlement authority, has the adjuster/defense counsel made a reasonable offer of resolution within 2 business days?</t>
  </si>
  <si>
    <t xml:space="preserve">Did the adjuster extend a timed initial offer? </t>
  </si>
  <si>
    <t>At the time of the legal referral, did the adjuster outline a recommended legal strategy (Discovery, Settle/Resolve, and Deny/Trial) and claim summary to defense counsel?</t>
  </si>
  <si>
    <t xml:space="preserve">Has defense counsel provided a legal analysis, settlment strategy and defense budget every 90 days? </t>
  </si>
  <si>
    <t xml:space="preserve">Does defense counsel advise adjuster/client of legal proceedings ahead of time? </t>
  </si>
  <si>
    <t>Does the adjuster direct counsel's activities to mitigate litigation cost and duration?</t>
  </si>
  <si>
    <t>Claim Information Valued xx/xx/xx</t>
  </si>
  <si>
    <t>EPIC Assignee</t>
  </si>
  <si>
    <t>Claim Investigation</t>
  </si>
  <si>
    <t>Resolution Plans &amp; Claim Follow Up</t>
  </si>
  <si>
    <t>Supervisor Direction and Special Handling</t>
  </si>
  <si>
    <t>Reserving</t>
  </si>
  <si>
    <t>Return to Work</t>
  </si>
  <si>
    <t>Disability &amp; Medical Management</t>
  </si>
  <si>
    <t>Settlement Disposition</t>
  </si>
  <si>
    <t>Litigation Management</t>
  </si>
  <si>
    <t>Cumulative Trauma</t>
  </si>
  <si>
    <t>Audit Score</t>
  </si>
  <si>
    <t>Scores</t>
  </si>
  <si>
    <t>Supervisor Direction &amp; Special Handling</t>
  </si>
  <si>
    <t>Diary Date</t>
  </si>
  <si>
    <t>Review Date</t>
  </si>
  <si>
    <t>Review Notes (claim summary internal notes)</t>
  </si>
  <si>
    <t>Adjuster Recommendation</t>
  </si>
  <si>
    <t>Claimant Closure Barrier</t>
  </si>
  <si>
    <t>Jurisdiction Closure Barrier</t>
  </si>
  <si>
    <t>Adjuster Closure Barrier</t>
  </si>
  <si>
    <t>Claimant Attorney Barrier</t>
  </si>
  <si>
    <t>Defense Attorney Closure Barrier</t>
  </si>
  <si>
    <t>Medical Closure Barrier</t>
  </si>
  <si>
    <t>Reserve Sufficiency</t>
  </si>
  <si>
    <t>Likelihood of Reserve Change</t>
  </si>
  <si>
    <t>Estimated Reserve Change</t>
  </si>
  <si>
    <t>Note Category</t>
  </si>
  <si>
    <t>Task Category</t>
  </si>
  <si>
    <t>Malingering treatment</t>
  </si>
  <si>
    <t>Outstanding liens</t>
  </si>
  <si>
    <t>Noncompliance</t>
  </si>
  <si>
    <t>Unrealistic settlement demand</t>
  </si>
  <si>
    <t>Passive resolution pursuit</t>
  </si>
  <si>
    <t>Ongoing treatment</t>
  </si>
  <si>
    <t>IMPACT Review</t>
  </si>
  <si>
    <t>Settlement</t>
  </si>
  <si>
    <t>Over-reserved</t>
  </si>
  <si>
    <t>Possible</t>
  </si>
  <si>
    <t>Inactive treatment</t>
  </si>
  <si>
    <t>Jurisdictional nuances</t>
  </si>
  <si>
    <t>Stipulated settlement</t>
  </si>
  <si>
    <t>Unresponsive to offer</t>
  </si>
  <si>
    <t>Claim Review</t>
  </si>
  <si>
    <t>Medical</t>
  </si>
  <si>
    <t>Cost Mitigation Effort</t>
  </si>
  <si>
    <t>Under-reserved</t>
  </si>
  <si>
    <t>Likely</t>
  </si>
  <si>
    <t>Unwilling to settle</t>
  </si>
  <si>
    <t>Tentatively settled, but no release (&gt;30 days)</t>
  </si>
  <si>
    <t>Closure</t>
  </si>
  <si>
    <t>Accountability Check</t>
  </si>
  <si>
    <t>Sufficient</t>
  </si>
  <si>
    <t>Very Likely</t>
  </si>
  <si>
    <t>Non-responsive</t>
  </si>
  <si>
    <t>None</t>
  </si>
  <si>
    <t>Anticipated release to full duty date.</t>
  </si>
  <si>
    <t>Is there an IME, QME, or AME scheduled? If so, include the date(s).</t>
  </si>
  <si>
    <t>Next medical appointment date(s).</t>
  </si>
  <si>
    <t>Has the CT period been established?</t>
  </si>
  <si>
    <t>Do we have a med-legal reporting confirming the CT period for each defendant?</t>
  </si>
  <si>
    <t>Do we have a percentage breakdown of each defendant exposure?</t>
  </si>
  <si>
    <t>Settlement Days</t>
  </si>
  <si>
    <t>0-30</t>
  </si>
  <si>
    <t>30-60</t>
  </si>
  <si>
    <t>60-90</t>
  </si>
  <si>
    <t>90-120</t>
  </si>
  <si>
    <t>120+</t>
  </si>
  <si>
    <t>Do we have an opportunity to settle the claim within the next 0-30, 30-60, 60-90, 90-120, or 120+ days?</t>
  </si>
  <si>
    <t>Is there a pending hearing/trial scheduled? If so, include the date.</t>
  </si>
  <si>
    <t>Is there a pending deposition scheduled? If so, include the date.</t>
  </si>
  <si>
    <t>Does the adjuster complete claim activities (i.e., sending letters to physicians, requesting records--not via subpoena, scheduling IMEs, etc.) rather than counsel?</t>
  </si>
  <si>
    <t>No</t>
  </si>
  <si>
    <t>Partially</t>
  </si>
  <si>
    <t>Yes</t>
  </si>
  <si>
    <t>Score (Scaled)</t>
  </si>
  <si>
    <t># Questions</t>
  </si>
  <si>
    <t>Do we have a med-legal MMI/CT report that can be used for settlement purposes?</t>
  </si>
  <si>
    <t>N/A</t>
  </si>
  <si>
    <t>IF(COUNTIF($E$7:$E$11,"N/A")=5,"N/A",IF(SUM(COUNTIF($E$7:$E$11,"No"),COUNTIF($E$7:$E$11,"Partially"),COUNTIF($E$7:$E$11,"Yes"))=0,0,10*(((COUNTIF($E$7:$E$11,"Yes")*2)+(COUNTIF($E$7:$E$11,"Partially")*1))/(((5-COUNTIF($E$7:$E$11,"N/A"))*2)))))</t>
  </si>
  <si>
    <t>IF(COUNTIF($k$4:$o$4,"N/A")=5,"N/A",IF(SUM(COUNTIF(($k$4:$o$4,"No"),COUNTIF($k$4:$o$4,"Partially"),COUNTIF($k$4:$o$4,"Yes"))=0,0,10*(((COUNTIF(($k$4:$o$4,"Yes")*2)+(COUNTIF(($k$4:$o$4,"Partially")*1))/((5-COUNTIF(($k$4:$o$4,"N/A"))*2)))))</t>
  </si>
  <si>
    <t>Category</t>
  </si>
  <si>
    <t>Questions for advocate</t>
  </si>
  <si>
    <t>Drop-down or free form</t>
  </si>
  <si>
    <t>Included in score</t>
  </si>
  <si>
    <t>Will be uploaded to Origami</t>
  </si>
  <si>
    <t>Y</t>
  </si>
  <si>
    <t>N</t>
  </si>
  <si>
    <t>Does the adjuster (or nurse) pro-actively address expired RTW target dates with the treating physician?</t>
  </si>
  <si>
    <t>Have early settlement opportunities been realized?</t>
  </si>
  <si>
    <t>Impact Risk Partners Quality Claim Assessment</t>
  </si>
  <si>
    <t>Priority Level: Low/ Medium/ High</t>
  </si>
  <si>
    <t>Note Overview/ Subject</t>
  </si>
  <si>
    <t>Drop-down</t>
  </si>
  <si>
    <t>Free-form</t>
  </si>
  <si>
    <t>Closure barriers are defined as the reason the claim is not closed TODAY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</si>
</sst>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0" tint="-4.9989318521683403E-2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D4FC"/>
        <bgColor indexed="64"/>
      </patternFill>
    </fill>
    <fill>
      <patternFill patternType="solid">
        <fgColor rgb="FFF7F0F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7FFD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2" borderId="2" xfId="0" applyFont="1" applyFill="1" applyBorder="1" applyAlignment="1">
      <alignment vertical="center" wrapText="1" readingOrder="1"/>
    </xf>
    <xf numFmtId="0" fontId="2" fillId="2" borderId="3" xfId="0" applyFont="1" applyFill="1" applyBorder="1" applyAlignment="1">
      <alignment vertical="center" wrapText="1" readingOrder="1"/>
    </xf>
    <xf numFmtId="0" fontId="2" fillId="2" borderId="4" xfId="0" applyFont="1" applyFill="1" applyBorder="1" applyAlignment="1">
      <alignment vertical="center" wrapText="1" readingOrder="1"/>
    </xf>
    <xf numFmtId="0" fontId="2" fillId="2" borderId="5" xfId="0" applyFont="1" applyFill="1" applyBorder="1" applyAlignment="1">
      <alignment vertical="center" wrapText="1" readingOrder="1"/>
    </xf>
    <xf numFmtId="0" fontId="2" fillId="2" borderId="6" xfId="0" applyFont="1" applyFill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0" fillId="5" borderId="7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6" borderId="7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8" borderId="7" xfId="0" applyFill="1" applyBorder="1" applyAlignment="1">
      <alignment vertical="center" wrapText="1"/>
    </xf>
    <xf numFmtId="0" fontId="0" fillId="9" borderId="7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10" borderId="7" xfId="0" applyFill="1" applyBorder="1" applyAlignment="1">
      <alignment vertical="center" wrapText="1"/>
    </xf>
    <xf numFmtId="0" fontId="0" fillId="11" borderId="7" xfId="0" applyFill="1" applyBorder="1" applyAlignment="1">
      <alignment vertical="center" wrapText="1"/>
    </xf>
    <xf numFmtId="0" fontId="0" fillId="12" borderId="7" xfId="0" applyFill="1" applyBorder="1" applyAlignment="1">
      <alignment vertical="center" wrapText="1"/>
    </xf>
    <xf numFmtId="0" fontId="0" fillId="13" borderId="7" xfId="0" applyFill="1" applyBorder="1" applyAlignment="1">
      <alignment vertical="center" wrapText="1"/>
    </xf>
    <xf numFmtId="0" fontId="0" fillId="3" borderId="7" xfId="0" applyFill="1" applyBorder="1" applyAlignment="1">
      <alignment vertical="center"/>
    </xf>
    <xf numFmtId="0" fontId="0" fillId="6" borderId="7" xfId="0" applyFill="1" applyBorder="1" applyAlignment="1">
      <alignment horizontal="center" vertical="center" wrapText="1"/>
    </xf>
    <xf numFmtId="0" fontId="0" fillId="9" borderId="7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14" borderId="7" xfId="0" applyFill="1" applyBorder="1" applyAlignment="1">
      <alignment vertical="center" wrapText="1"/>
    </xf>
    <xf numFmtId="0" fontId="0" fillId="4" borderId="7" xfId="0" applyFill="1" applyBorder="1" applyAlignment="1">
      <alignment horizontal="center" vertical="center" wrapText="1"/>
    </xf>
    <xf numFmtId="0" fontId="3" fillId="15" borderId="0" xfId="0" applyFont="1" applyFill="1"/>
    <xf numFmtId="0" fontId="3" fillId="10" borderId="0" xfId="0" applyFont="1" applyFill="1"/>
    <xf numFmtId="0" fontId="4" fillId="0" borderId="0" xfId="0" applyFont="1"/>
    <xf numFmtId="0" fontId="5" fillId="0" borderId="0" xfId="0" applyFont="1"/>
    <xf numFmtId="0" fontId="1" fillId="2" borderId="2" xfId="0" applyFont="1" applyFill="1" applyBorder="1" applyAlignment="1">
      <alignment horizontal="left" wrapText="1" readingOrder="1"/>
    </xf>
    <xf numFmtId="0" fontId="1" fillId="2" borderId="5" xfId="0" applyFont="1" applyFill="1" applyBorder="1" applyAlignment="1">
      <alignment horizontal="left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16" borderId="9" xfId="0" applyFont="1" applyFill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16" borderId="8" xfId="0" applyFont="1" applyFill="1" applyBorder="1" applyAlignment="1">
      <alignment horizontal="center" vertical="center" wrapText="1" readingOrder="1"/>
    </xf>
    <xf numFmtId="0" fontId="0" fillId="0" borderId="10" xfId="0" applyBorder="1"/>
    <xf numFmtId="0" fontId="0" fillId="6" borderId="10" xfId="0" applyFill="1" applyBorder="1" applyAlignment="1">
      <alignment horizontal="center" vertical="center" wrapText="1"/>
    </xf>
    <xf numFmtId="0" fontId="0" fillId="6" borderId="10" xfId="0" applyFill="1" applyBorder="1" applyAlignment="1">
      <alignment vertical="center" wrapText="1"/>
    </xf>
    <xf numFmtId="0" fontId="0" fillId="0" borderId="10" xfId="0" applyFill="1" applyBorder="1" applyAlignment="1">
      <alignment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9" borderId="10" xfId="0" applyFill="1" applyBorder="1" applyAlignment="1">
      <alignment vertical="center" wrapText="1"/>
    </xf>
    <xf numFmtId="0" fontId="0" fillId="7" borderId="10" xfId="0" applyFill="1" applyBorder="1" applyAlignment="1">
      <alignment horizontal="center" vertical="center" wrapText="1"/>
    </xf>
    <xf numFmtId="0" fontId="0" fillId="7" borderId="10" xfId="0" applyFill="1" applyBorder="1" applyAlignment="1">
      <alignment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0" xfId="0" applyFill="1" applyBorder="1" applyAlignment="1">
      <alignment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0" borderId="10" xfId="0" applyFill="1" applyBorder="1" applyAlignment="1">
      <alignment vertical="center" wrapText="1"/>
    </xf>
    <xf numFmtId="0" fontId="0" fillId="17" borderId="10" xfId="0" applyFill="1" applyBorder="1" applyAlignment="1">
      <alignment horizontal="center" vertical="center"/>
    </xf>
    <xf numFmtId="0" fontId="0" fillId="11" borderId="10" xfId="0" applyFill="1" applyBorder="1" applyAlignment="1">
      <alignment vertical="center" wrapText="1"/>
    </xf>
    <xf numFmtId="0" fontId="0" fillId="12" borderId="10" xfId="0" applyFill="1" applyBorder="1" applyAlignment="1">
      <alignment horizontal="center" vertical="center" wrapText="1"/>
    </xf>
    <xf numFmtId="0" fontId="0" fillId="12" borderId="10" xfId="0" applyFill="1" applyBorder="1" applyAlignment="1">
      <alignment vertical="center" wrapText="1"/>
    </xf>
    <xf numFmtId="0" fontId="0" fillId="13" borderId="10" xfId="0" applyFill="1" applyBorder="1" applyAlignment="1">
      <alignment horizontal="center" vertical="center" wrapText="1"/>
    </xf>
    <xf numFmtId="0" fontId="0" fillId="13" borderId="10" xfId="0" applyFill="1" applyBorder="1" applyAlignment="1">
      <alignment vertical="center" wrapText="1"/>
    </xf>
    <xf numFmtId="0" fontId="0" fillId="14" borderId="10" xfId="0" applyFill="1" applyBorder="1" applyAlignment="1">
      <alignment vertical="center" wrapText="1"/>
    </xf>
    <xf numFmtId="0" fontId="0" fillId="8" borderId="10" xfId="0" applyFill="1" applyBorder="1" applyAlignment="1">
      <alignment vertical="center" wrapText="1"/>
    </xf>
    <xf numFmtId="0" fontId="0" fillId="5" borderId="10" xfId="0" applyFill="1" applyBorder="1" applyAlignment="1">
      <alignment vertical="center" wrapText="1"/>
    </xf>
    <xf numFmtId="0" fontId="0" fillId="18" borderId="10" xfId="0" applyFill="1" applyBorder="1" applyAlignment="1">
      <alignment vertical="center" wrapText="1"/>
    </xf>
    <xf numFmtId="0" fontId="0" fillId="19" borderId="10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 wrapText="1"/>
    </xf>
    <xf numFmtId="0" fontId="0" fillId="11" borderId="12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7" borderId="12" xfId="0" applyFill="1" applyBorder="1" applyAlignment="1">
      <alignment horizontal="center" vertical="center" wrapText="1"/>
    </xf>
    <xf numFmtId="0" fontId="0" fillId="7" borderId="13" xfId="0" applyFill="1" applyBorder="1" applyAlignment="1">
      <alignment horizontal="center" vertical="center" wrapText="1"/>
    </xf>
    <xf numFmtId="0" fontId="0" fillId="14" borderId="11" xfId="0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0" fillId="8" borderId="13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8" borderId="7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D4FC"/>
      <color rgb="FFD7FFD5"/>
      <color rgb="FFD5FFEA"/>
      <color rgb="FFF7F0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46FE0-CFEA-47D9-A1C2-E486DEAE62F3}">
  <dimension ref="A1:BV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3" sqref="I3"/>
    </sheetView>
  </sheetViews>
  <sheetFormatPr defaultRowHeight="15" x14ac:dyDescent="0.25"/>
  <cols>
    <col min="1" max="1" width="13.140625" style="7" customWidth="1"/>
    <col min="2" max="2" width="13.85546875" style="8" bestFit="1" customWidth="1"/>
    <col min="3" max="3" width="8.85546875" style="8" bestFit="1" customWidth="1"/>
    <col min="4" max="4" width="11.140625" style="8" bestFit="1" customWidth="1"/>
    <col min="5" max="5" width="8.5703125" style="8" bestFit="1" customWidth="1"/>
    <col min="6" max="6" width="14" style="8" bestFit="1" customWidth="1"/>
    <col min="7" max="7" width="18.28515625" style="8" bestFit="1" customWidth="1"/>
    <col min="8" max="8" width="7.28515625" style="8" customWidth="1"/>
    <col min="9" max="9" width="11.85546875" style="8" bestFit="1" customWidth="1"/>
    <col min="10" max="10" width="13.42578125" style="8" bestFit="1" customWidth="1"/>
    <col min="11" max="11" width="40.5703125" style="10" customWidth="1"/>
    <col min="12" max="13" width="34.85546875" style="10" customWidth="1"/>
    <col min="14" max="14" width="38.42578125" style="10" customWidth="1"/>
    <col min="15" max="15" width="34.85546875" style="10" customWidth="1"/>
    <col min="16" max="18" width="34.85546875" style="13" customWidth="1"/>
    <col min="19" max="19" width="21" style="13" customWidth="1"/>
    <col min="20" max="24" width="34.85546875" style="11" customWidth="1"/>
    <col min="25" max="26" width="34.85546875" style="14" customWidth="1"/>
    <col min="27" max="29" width="34.85546875" style="15" customWidth="1"/>
    <col min="30" max="30" width="22" style="15" customWidth="1"/>
    <col min="31" max="34" width="34.85546875" style="16" customWidth="1"/>
    <col min="35" max="35" width="24.28515625" style="16" customWidth="1"/>
    <col min="36" max="36" width="31.5703125" style="16" customWidth="1"/>
    <col min="37" max="42" width="34.85546875" style="17" customWidth="1"/>
    <col min="43" max="49" width="34.85546875" style="18" customWidth="1"/>
    <col min="50" max="50" width="23.42578125" style="11" customWidth="1"/>
    <col min="51" max="51" width="27.85546875" style="11" customWidth="1"/>
    <col min="52" max="52" width="30.42578125" style="11" customWidth="1"/>
    <col min="53" max="53" width="27.28515625" style="11" customWidth="1"/>
    <col min="54" max="56" width="16" style="25" customWidth="1"/>
    <col min="57" max="57" width="20.5703125" style="25" customWidth="1"/>
    <col min="58" max="58" width="57.42578125" style="25" customWidth="1"/>
    <col min="59" max="59" width="18.28515625" style="11" customWidth="1"/>
    <col min="60" max="65" width="16" style="12" customWidth="1"/>
    <col min="66" max="66" width="18.42578125" style="12" customWidth="1"/>
    <col min="67" max="67" width="16" style="7" customWidth="1"/>
    <col min="68" max="68" width="20.5703125" style="7" customWidth="1"/>
    <col min="69" max="69" width="19.5703125" style="7" customWidth="1"/>
    <col min="70" max="70" width="9.5703125" style="9" customWidth="1"/>
    <col min="71" max="71" width="11.28515625" style="9" customWidth="1"/>
    <col min="72" max="73" width="7.85546875" style="9" customWidth="1"/>
    <col min="74" max="74" width="20.140625" style="9" customWidth="1"/>
    <col min="75" max="16384" width="9.140625" style="9"/>
  </cols>
  <sheetData>
    <row r="1" spans="1:74" ht="30" customHeight="1" x14ac:dyDescent="0.25">
      <c r="A1" s="19" t="s">
        <v>130</v>
      </c>
      <c r="B1" s="19"/>
      <c r="C1" s="14"/>
      <c r="D1" s="14"/>
      <c r="E1" s="26"/>
      <c r="F1" s="26"/>
      <c r="G1" s="26"/>
      <c r="H1" s="26"/>
      <c r="I1" s="26"/>
      <c r="J1" s="26"/>
      <c r="K1" s="20" t="s">
        <v>42</v>
      </c>
      <c r="L1" s="20"/>
      <c r="M1" s="20"/>
      <c r="N1" s="20"/>
      <c r="O1" s="20"/>
      <c r="P1" s="21" t="s">
        <v>43</v>
      </c>
      <c r="Q1" s="21"/>
      <c r="R1" s="21"/>
      <c r="S1" s="21"/>
      <c r="T1" s="22" t="s">
        <v>44</v>
      </c>
      <c r="U1" s="22"/>
      <c r="V1" s="22"/>
      <c r="W1" s="22"/>
      <c r="X1" s="22"/>
      <c r="Y1" s="23" t="s">
        <v>45</v>
      </c>
      <c r="Z1" s="23"/>
      <c r="AA1" s="15" t="s">
        <v>46</v>
      </c>
      <c r="AE1" s="16" t="s">
        <v>47</v>
      </c>
      <c r="AK1" s="17" t="s">
        <v>48</v>
      </c>
      <c r="AQ1" s="18" t="s">
        <v>49</v>
      </c>
      <c r="AX1" s="11" t="s">
        <v>50</v>
      </c>
      <c r="BH1" s="76" t="s">
        <v>135</v>
      </c>
      <c r="BR1" s="9" t="s">
        <v>52</v>
      </c>
    </row>
    <row r="2" spans="1:74" ht="15" customHeight="1" x14ac:dyDescent="0.25">
      <c r="B2" s="24" t="s">
        <v>40</v>
      </c>
      <c r="C2" s="24"/>
      <c r="D2" s="24"/>
      <c r="E2" s="24"/>
      <c r="F2" s="24"/>
      <c r="G2" s="24"/>
      <c r="H2" s="24"/>
      <c r="I2" s="24"/>
      <c r="J2" s="24"/>
      <c r="K2" s="10">
        <v>1</v>
      </c>
      <c r="L2" s="10">
        <v>2</v>
      </c>
      <c r="M2" s="10">
        <v>3</v>
      </c>
      <c r="N2" s="10">
        <v>4</v>
      </c>
      <c r="O2" s="10">
        <v>5</v>
      </c>
      <c r="P2" s="13">
        <v>6</v>
      </c>
      <c r="Q2" s="13">
        <v>7</v>
      </c>
      <c r="R2" s="13">
        <v>8</v>
      </c>
      <c r="S2" s="13">
        <v>9</v>
      </c>
      <c r="T2" s="11">
        <v>10</v>
      </c>
      <c r="U2" s="11">
        <v>11</v>
      </c>
      <c r="V2" s="11">
        <v>12</v>
      </c>
      <c r="W2" s="11">
        <v>13</v>
      </c>
      <c r="X2" s="11">
        <v>14</v>
      </c>
      <c r="Y2" s="14">
        <v>15</v>
      </c>
      <c r="Z2" s="14">
        <v>16</v>
      </c>
      <c r="AA2" s="15">
        <v>17</v>
      </c>
      <c r="AB2" s="15">
        <v>18</v>
      </c>
      <c r="AC2" s="15">
        <v>19</v>
      </c>
      <c r="AD2" s="15">
        <v>20</v>
      </c>
      <c r="AE2" s="16">
        <v>21</v>
      </c>
      <c r="AF2" s="16">
        <v>22</v>
      </c>
      <c r="AG2" s="16">
        <v>23</v>
      </c>
      <c r="AH2" s="16">
        <v>24</v>
      </c>
      <c r="AI2" s="16">
        <v>25</v>
      </c>
      <c r="AJ2" s="16">
        <v>26</v>
      </c>
      <c r="AK2" s="17">
        <v>27</v>
      </c>
      <c r="AL2" s="17">
        <v>28</v>
      </c>
      <c r="AM2" s="17">
        <v>29</v>
      </c>
      <c r="AN2" s="17">
        <v>30</v>
      </c>
      <c r="AO2" s="17">
        <v>31</v>
      </c>
      <c r="AP2" s="17">
        <v>32</v>
      </c>
      <c r="AQ2" s="18">
        <v>33</v>
      </c>
      <c r="AR2" s="18">
        <v>34</v>
      </c>
      <c r="AS2" s="18">
        <v>35</v>
      </c>
      <c r="AT2" s="18">
        <v>36</v>
      </c>
      <c r="AU2" s="18">
        <v>37</v>
      </c>
      <c r="AV2" s="18">
        <v>38</v>
      </c>
      <c r="AW2" s="18">
        <v>39</v>
      </c>
      <c r="AX2" s="11">
        <v>40</v>
      </c>
      <c r="AY2" s="11">
        <v>41</v>
      </c>
      <c r="AZ2" s="11">
        <v>42</v>
      </c>
      <c r="BA2" s="11">
        <v>43</v>
      </c>
      <c r="BB2" s="25">
        <v>44</v>
      </c>
      <c r="BC2" s="25">
        <v>45</v>
      </c>
      <c r="BD2" s="25">
        <v>46</v>
      </c>
      <c r="BE2" s="25">
        <v>47</v>
      </c>
      <c r="BF2" s="25">
        <v>48</v>
      </c>
      <c r="BG2" s="11">
        <v>49</v>
      </c>
      <c r="BH2" s="12">
        <v>50</v>
      </c>
      <c r="BI2" s="12">
        <v>51</v>
      </c>
      <c r="BJ2" s="12">
        <v>52</v>
      </c>
      <c r="BK2" s="12">
        <v>53</v>
      </c>
      <c r="BL2" s="12">
        <v>54</v>
      </c>
      <c r="BM2" s="12">
        <v>55</v>
      </c>
      <c r="BN2" s="12">
        <v>56</v>
      </c>
      <c r="BO2" s="7">
        <v>57</v>
      </c>
      <c r="BP2" s="7">
        <v>58</v>
      </c>
      <c r="BQ2" s="7">
        <v>59</v>
      </c>
    </row>
    <row r="3" spans="1:74" ht="74.25" customHeight="1" x14ac:dyDescent="0.25">
      <c r="A3" s="7" t="s">
        <v>41</v>
      </c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7</v>
      </c>
      <c r="H3" s="8" t="s">
        <v>5</v>
      </c>
      <c r="I3" s="8" t="s">
        <v>6</v>
      </c>
      <c r="J3" s="8" t="s">
        <v>8</v>
      </c>
      <c r="K3" s="10" t="s">
        <v>9</v>
      </c>
      <c r="L3" s="10" t="s">
        <v>10</v>
      </c>
      <c r="M3" s="10" t="s">
        <v>11</v>
      </c>
      <c r="N3" s="10" t="s">
        <v>12</v>
      </c>
      <c r="O3" s="10" t="s">
        <v>13</v>
      </c>
      <c r="P3" s="13" t="s">
        <v>14</v>
      </c>
      <c r="Q3" s="13" t="s">
        <v>15</v>
      </c>
      <c r="R3" s="13" t="s">
        <v>16</v>
      </c>
      <c r="S3" s="13" t="s">
        <v>17</v>
      </c>
      <c r="T3" s="11" t="s">
        <v>18</v>
      </c>
      <c r="U3" s="11" t="s">
        <v>19</v>
      </c>
      <c r="V3" s="11" t="s">
        <v>20</v>
      </c>
      <c r="W3" s="11" t="s">
        <v>21</v>
      </c>
      <c r="X3" s="11" t="s">
        <v>22</v>
      </c>
      <c r="Y3" s="14" t="s">
        <v>23</v>
      </c>
      <c r="Z3" s="14" t="s">
        <v>24</v>
      </c>
      <c r="AA3" s="15" t="s">
        <v>25</v>
      </c>
      <c r="AB3" s="15" t="s">
        <v>26</v>
      </c>
      <c r="AC3" s="15" t="s">
        <v>128</v>
      </c>
      <c r="AD3" s="15" t="s">
        <v>96</v>
      </c>
      <c r="AE3" s="16" t="s">
        <v>27</v>
      </c>
      <c r="AF3" s="16" t="s">
        <v>28</v>
      </c>
      <c r="AG3" s="16" t="s">
        <v>29</v>
      </c>
      <c r="AH3" s="16" t="s">
        <v>30</v>
      </c>
      <c r="AI3" s="16" t="s">
        <v>98</v>
      </c>
      <c r="AJ3" s="16" t="s">
        <v>97</v>
      </c>
      <c r="AK3" s="17" t="s">
        <v>129</v>
      </c>
      <c r="AL3" s="17" t="s">
        <v>32</v>
      </c>
      <c r="AM3" s="17" t="s">
        <v>33</v>
      </c>
      <c r="AN3" s="17" t="s">
        <v>34</v>
      </c>
      <c r="AO3" s="17" t="s">
        <v>35</v>
      </c>
      <c r="AP3" s="17" t="s">
        <v>108</v>
      </c>
      <c r="AQ3" s="18" t="s">
        <v>36</v>
      </c>
      <c r="AR3" s="18" t="s">
        <v>37</v>
      </c>
      <c r="AS3" s="18" t="s">
        <v>38</v>
      </c>
      <c r="AT3" s="18" t="s">
        <v>39</v>
      </c>
      <c r="AU3" s="18" t="s">
        <v>111</v>
      </c>
      <c r="AV3" s="18" t="s">
        <v>109</v>
      </c>
      <c r="AW3" s="18" t="s">
        <v>110</v>
      </c>
      <c r="AX3" s="11" t="s">
        <v>99</v>
      </c>
      <c r="AY3" s="11" t="s">
        <v>100</v>
      </c>
      <c r="AZ3" s="11" t="s">
        <v>101</v>
      </c>
      <c r="BA3" s="11" t="s">
        <v>117</v>
      </c>
      <c r="BB3" s="25" t="s">
        <v>55</v>
      </c>
      <c r="BC3" s="25" t="s">
        <v>54</v>
      </c>
      <c r="BD3" s="25" t="s">
        <v>131</v>
      </c>
      <c r="BE3" s="25" t="s">
        <v>132</v>
      </c>
      <c r="BF3" s="25" t="s">
        <v>56</v>
      </c>
      <c r="BG3" s="11" t="s">
        <v>57</v>
      </c>
      <c r="BH3" s="12" t="s">
        <v>58</v>
      </c>
      <c r="BI3" s="12" t="s">
        <v>59</v>
      </c>
      <c r="BJ3" s="12" t="s">
        <v>60</v>
      </c>
      <c r="BK3" s="12" t="s">
        <v>61</v>
      </c>
      <c r="BL3" s="12" t="s">
        <v>62</v>
      </c>
      <c r="BM3" s="12" t="s">
        <v>63</v>
      </c>
      <c r="BN3" s="12" t="s">
        <v>57</v>
      </c>
      <c r="BO3" s="7" t="s">
        <v>64</v>
      </c>
      <c r="BP3" s="7" t="s">
        <v>65</v>
      </c>
      <c r="BQ3" s="7" t="s">
        <v>66</v>
      </c>
      <c r="BR3" s="9" t="s">
        <v>112</v>
      </c>
      <c r="BS3" s="9" t="s">
        <v>113</v>
      </c>
      <c r="BT3" s="9" t="s">
        <v>114</v>
      </c>
      <c r="BU3" s="9" t="s">
        <v>118</v>
      </c>
      <c r="BV3" s="9" t="s">
        <v>51</v>
      </c>
    </row>
  </sheetData>
  <mergeCells count="6">
    <mergeCell ref="E1:J1"/>
    <mergeCell ref="B2:J2"/>
    <mergeCell ref="K1:O1"/>
    <mergeCell ref="P1:S1"/>
    <mergeCell ref="T1:X1"/>
    <mergeCell ref="Y1:Z1"/>
  </mergeCells>
  <dataValidations count="4">
    <dataValidation type="decimal" errorStyle="warning" allowBlank="1" showInputMessage="1" showErrorMessage="1" error="Please enter a valid number" sqref="BQ4:BQ1048576" xr:uid="{F554927C-7FAB-4A52-82BD-2A0CEECE3477}">
      <formula1>-6000000</formula1>
      <formula2>6000000</formula2>
    </dataValidation>
    <dataValidation type="list" allowBlank="1" showInputMessage="1" showErrorMessage="1" sqref="K4:AC1048576 AK4:AO1048576 AQ4:AU1048576 AE4:AH1048576 AX4:BA1048576" xr:uid="{24FEF6D6-4B24-4B60-89DB-9537F98556C3}">
      <formula1>"Yes, Partially, No, N/A"</formula1>
    </dataValidation>
    <dataValidation type="date" errorStyle="warning" allowBlank="1" showInputMessage="1" showErrorMessage="1" error="Please enter a valid date" sqref="BB4:BC1048576 BD502:BD1048576" xr:uid="{193BF462-7921-4413-82C6-70BF0FCE7B90}">
      <formula1>44927</formula1>
      <formula2>46023</formula2>
    </dataValidation>
    <dataValidation type="list" allowBlank="1" showInputMessage="1" showErrorMessage="1" sqref="BD4:BD501" xr:uid="{F5E57B91-2877-4FCB-B280-D83929D8F246}">
      <formula1>"Low,Medium,High"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errorStyle="warning" allowBlank="1" showInputMessage="1" showErrorMessage="1" xr:uid="{8B8E5AA0-23D7-4A02-A542-D84E3F0D5779}">
          <x14:formula1>
            <xm:f>selections!$A$2:$A$5</xm:f>
          </x14:formula1>
          <xm:sqref>BH4:BH246</xm:sqref>
        </x14:dataValidation>
        <x14:dataValidation type="list" errorStyle="warning" allowBlank="1" showInputMessage="1" showErrorMessage="1" xr:uid="{59A0C1A9-010E-4F89-A734-7DEB2AE746B4}">
          <x14:formula1>
            <xm:f>selections!$B$2:$B$3</xm:f>
          </x14:formula1>
          <xm:sqref>BI4:BI246</xm:sqref>
        </x14:dataValidation>
        <x14:dataValidation type="list" errorStyle="warning" allowBlank="1" showInputMessage="1" showErrorMessage="1" xr:uid="{0483218D-46D3-47BE-9255-9BC948C5D8B6}">
          <x14:formula1>
            <xm:f>selections!$C$2:$C$3</xm:f>
          </x14:formula1>
          <xm:sqref>BJ4:BJ246</xm:sqref>
        </x14:dataValidation>
        <x14:dataValidation type="list" errorStyle="warning" allowBlank="1" showInputMessage="1" showErrorMessage="1" xr:uid="{AFEFE7CA-8B9E-4C58-BAFD-94CEB6E57AA2}">
          <x14:formula1>
            <xm:f>selections!$D$2:$D$5</xm:f>
          </x14:formula1>
          <xm:sqref>BK4:BK246</xm:sqref>
        </x14:dataValidation>
        <x14:dataValidation type="list" errorStyle="warning" allowBlank="1" showInputMessage="1" showErrorMessage="1" xr:uid="{BCB16549-1586-489A-8A7B-E59181CDD3EE}">
          <x14:formula1>
            <xm:f>selections!$E$2</xm:f>
          </x14:formula1>
          <xm:sqref>BL4:BL246</xm:sqref>
        </x14:dataValidation>
        <x14:dataValidation type="list" errorStyle="warning" allowBlank="1" showInputMessage="1" showErrorMessage="1" xr:uid="{A389D756-3719-4909-A145-85C65B03D277}">
          <x14:formula1>
            <xm:f>selections!$F$2</xm:f>
          </x14:formula1>
          <xm:sqref>BM4:BM246</xm:sqref>
        </x14:dataValidation>
        <x14:dataValidation type="list" errorStyle="warning" allowBlank="1" showInputMessage="1" showErrorMessage="1" xr:uid="{C474050D-6F54-4D2F-9769-731B5F1A058F}">
          <x14:formula1>
            <xm:f>selections!$I$2:$I$5</xm:f>
          </x14:formula1>
          <xm:sqref>BG4:BG383</xm:sqref>
        </x14:dataValidation>
        <x14:dataValidation type="list" errorStyle="warning" allowBlank="1" showInputMessage="1" showErrorMessage="1" xr:uid="{C23286AC-2345-47BF-AB54-0796B7194AB8}">
          <x14:formula1>
            <xm:f>selections!$J$2:$J$4</xm:f>
          </x14:formula1>
          <xm:sqref>BO4:BO237</xm:sqref>
        </x14:dataValidation>
        <x14:dataValidation type="list" errorStyle="warning" allowBlank="1" showInputMessage="1" showErrorMessage="1" xr:uid="{EAA3F593-9F26-4138-8FD3-A0EFED09B785}">
          <x14:formula1>
            <xm:f>selections!$K$2:$K$4</xm:f>
          </x14:formula1>
          <xm:sqref>BP4:BP237</xm:sqref>
        </x14:dataValidation>
        <x14:dataValidation type="list" errorStyle="warning" allowBlank="1" showInputMessage="1" showErrorMessage="1" xr:uid="{9B1D5CEB-EA55-46C9-A026-A5DA27647A1A}">
          <x14:formula1>
            <xm:f>selections!$L$2:$L$6</xm:f>
          </x14:formula1>
          <xm:sqref>AP4:AP425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C1B2D-EDE4-49B5-BD47-0AE9566BE1D7}">
  <dimension ref="H1:U61"/>
  <sheetViews>
    <sheetView showGridLines="0" topLeftCell="G1" workbookViewId="0">
      <selection activeCell="J59" sqref="J59"/>
    </sheetView>
  </sheetViews>
  <sheetFormatPr defaultRowHeight="48" customHeight="1" x14ac:dyDescent="0.25"/>
  <cols>
    <col min="8" max="8" width="19.7109375" customWidth="1"/>
    <col min="10" max="10" width="53.28515625" bestFit="1" customWidth="1"/>
    <col min="11" max="11" width="28.42578125" customWidth="1"/>
    <col min="12" max="12" width="16.140625" bestFit="1" customWidth="1"/>
    <col min="13" max="13" width="26.42578125" bestFit="1" customWidth="1"/>
    <col min="15" max="15" width="24.28515625" customWidth="1"/>
    <col min="21" max="21" width="17.42578125" customWidth="1"/>
  </cols>
  <sheetData>
    <row r="1" spans="8:21" ht="48" customHeight="1" x14ac:dyDescent="0.25">
      <c r="U1" t="s">
        <v>120</v>
      </c>
    </row>
    <row r="2" spans="8:21" ht="48" customHeight="1" x14ac:dyDescent="0.25">
      <c r="H2" s="38" t="s">
        <v>121</v>
      </c>
      <c r="I2" s="38"/>
      <c r="J2" s="38" t="s">
        <v>122</v>
      </c>
      <c r="K2" s="38" t="s">
        <v>123</v>
      </c>
      <c r="L2" s="38" t="s">
        <v>124</v>
      </c>
      <c r="M2" s="38" t="s">
        <v>125</v>
      </c>
      <c r="U2" t="s">
        <v>119</v>
      </c>
    </row>
    <row r="3" spans="8:21" ht="48" customHeight="1" x14ac:dyDescent="0.25">
      <c r="H3" s="39" t="s">
        <v>42</v>
      </c>
      <c r="I3" s="40">
        <v>1</v>
      </c>
      <c r="J3" s="40" t="s">
        <v>9</v>
      </c>
      <c r="K3" s="41" t="s">
        <v>133</v>
      </c>
      <c r="L3" s="60" t="s">
        <v>126</v>
      </c>
      <c r="M3" s="50" t="s">
        <v>127</v>
      </c>
      <c r="O3" s="31"/>
      <c r="P3" s="32" t="s">
        <v>116</v>
      </c>
      <c r="Q3" s="33" t="s">
        <v>112</v>
      </c>
      <c r="R3" s="34" t="s">
        <v>113</v>
      </c>
      <c r="S3" s="34" t="s">
        <v>114</v>
      </c>
      <c r="T3" s="34" t="s">
        <v>118</v>
      </c>
      <c r="U3" s="35" t="s">
        <v>115</v>
      </c>
    </row>
    <row r="4" spans="8:21" ht="48" customHeight="1" x14ac:dyDescent="0.25">
      <c r="H4" s="39"/>
      <c r="I4" s="40">
        <v>2</v>
      </c>
      <c r="J4" s="40" t="s">
        <v>10</v>
      </c>
      <c r="K4" s="41" t="s">
        <v>133</v>
      </c>
      <c r="L4" s="60" t="s">
        <v>126</v>
      </c>
      <c r="M4" s="50" t="s">
        <v>127</v>
      </c>
      <c r="O4" s="1" t="s">
        <v>42</v>
      </c>
      <c r="P4" s="4">
        <f>COUNT(I3:I7)</f>
        <v>5</v>
      </c>
      <c r="Q4" s="36">
        <f>COUNTIF($E$6:$E$10,"No")</f>
        <v>0</v>
      </c>
      <c r="R4" s="36">
        <f>COUNTIF($E$6:$E$10,"Partially")</f>
        <v>0</v>
      </c>
      <c r="S4" s="36">
        <f t="shared" ref="S4" si="0">COUNTIF($E$6:$E$10,"Yes")</f>
        <v>0</v>
      </c>
      <c r="T4" s="36">
        <f>COUNTIF($E$6:$E$10,"N/A")</f>
        <v>0</v>
      </c>
      <c r="U4" s="37">
        <f>IF(T4=P4,"N/A",IF(SUM(Q4:S4)=0,0,10*(((S4*2)+(R4*1))/(((P4-T4)*2)))))</f>
        <v>0</v>
      </c>
    </row>
    <row r="5" spans="8:21" ht="48" customHeight="1" x14ac:dyDescent="0.25">
      <c r="H5" s="39"/>
      <c r="I5" s="40">
        <v>3</v>
      </c>
      <c r="J5" s="40" t="s">
        <v>11</v>
      </c>
      <c r="K5" s="41" t="s">
        <v>133</v>
      </c>
      <c r="L5" s="60" t="s">
        <v>126</v>
      </c>
      <c r="M5" s="50" t="s">
        <v>127</v>
      </c>
      <c r="O5" s="2" t="s">
        <v>43</v>
      </c>
      <c r="P5" s="5">
        <f>COUNT(I8:I11)</f>
        <v>4</v>
      </c>
      <c r="Q5" s="36">
        <f>COUNTIF($E$12:$E$15,"No")</f>
        <v>0</v>
      </c>
      <c r="R5" s="36">
        <f>COUNTIF($E$12:$E$15,"Partially")</f>
        <v>0</v>
      </c>
      <c r="S5" s="36">
        <f t="shared" ref="S5" si="1">COUNTIF($E$12:$E$15,"Yes")</f>
        <v>0</v>
      </c>
      <c r="T5" s="36"/>
      <c r="U5" s="37">
        <f t="shared" ref="U5:U12" si="2">IF(T5=P5,"N/A",IF(SUM(Q5:S5)=0,0,10*(((S5*2)+(R5*1))/(((P5-T5)*2)))))</f>
        <v>0</v>
      </c>
    </row>
    <row r="6" spans="8:21" ht="73.5" customHeight="1" x14ac:dyDescent="0.25">
      <c r="H6" s="39"/>
      <c r="I6" s="40">
        <v>4</v>
      </c>
      <c r="J6" s="40" t="s">
        <v>12</v>
      </c>
      <c r="K6" s="41" t="s">
        <v>133</v>
      </c>
      <c r="L6" s="60" t="s">
        <v>126</v>
      </c>
      <c r="M6" s="50" t="s">
        <v>127</v>
      </c>
      <c r="O6" s="2" t="s">
        <v>53</v>
      </c>
      <c r="P6" s="5">
        <f>COUNT(I12:I16)</f>
        <v>5</v>
      </c>
      <c r="Q6" s="36">
        <f>COUNTIF($E$17:$E$21,"No")</f>
        <v>0</v>
      </c>
      <c r="R6" s="36">
        <f>COUNTIF($E$17:$E$21,"Partially")</f>
        <v>0</v>
      </c>
      <c r="S6" s="36">
        <f t="shared" ref="S6" si="3">COUNTIF($E$17:$E$21,"Yes")</f>
        <v>0</v>
      </c>
      <c r="T6" s="36"/>
      <c r="U6" s="37">
        <f t="shared" si="2"/>
        <v>0</v>
      </c>
    </row>
    <row r="7" spans="8:21" ht="48" customHeight="1" x14ac:dyDescent="0.25">
      <c r="H7" s="39"/>
      <c r="I7" s="40">
        <v>5</v>
      </c>
      <c r="J7" s="40" t="s">
        <v>13</v>
      </c>
      <c r="K7" s="41" t="s">
        <v>133</v>
      </c>
      <c r="L7" s="60" t="s">
        <v>126</v>
      </c>
      <c r="M7" s="50" t="s">
        <v>127</v>
      </c>
      <c r="O7" s="2" t="s">
        <v>45</v>
      </c>
      <c r="P7" s="5">
        <f>COUNT(I17:I18)</f>
        <v>2</v>
      </c>
      <c r="Q7" s="36">
        <f>COUNTIF($E$1:$E$23,"No")</f>
        <v>0</v>
      </c>
      <c r="R7" s="36">
        <f>COUNTIF($E$1:$E$23,"Partially")</f>
        <v>0</v>
      </c>
      <c r="S7" s="36">
        <f>COUNTIF($E$23:$E$24,"Yes")</f>
        <v>0</v>
      </c>
      <c r="T7" s="36"/>
      <c r="U7" s="37">
        <f t="shared" si="2"/>
        <v>0</v>
      </c>
    </row>
    <row r="8" spans="8:21" ht="48" customHeight="1" x14ac:dyDescent="0.25">
      <c r="H8" s="42" t="s">
        <v>43</v>
      </c>
      <c r="I8" s="43">
        <v>6</v>
      </c>
      <c r="J8" s="43" t="s">
        <v>14</v>
      </c>
      <c r="K8" s="41" t="s">
        <v>133</v>
      </c>
      <c r="L8" s="60" t="s">
        <v>126</v>
      </c>
      <c r="M8" s="50" t="s">
        <v>127</v>
      </c>
      <c r="O8" s="2" t="s">
        <v>46</v>
      </c>
      <c r="P8" s="5">
        <f>COUNT(I19:I21)</f>
        <v>3</v>
      </c>
      <c r="Q8" s="36"/>
      <c r="R8" s="36"/>
      <c r="S8" s="36"/>
      <c r="T8" s="36"/>
      <c r="U8" s="37">
        <f t="shared" si="2"/>
        <v>0</v>
      </c>
    </row>
    <row r="9" spans="8:21" ht="48" customHeight="1" x14ac:dyDescent="0.25">
      <c r="H9" s="42"/>
      <c r="I9" s="43">
        <v>7</v>
      </c>
      <c r="J9" s="43" t="s">
        <v>15</v>
      </c>
      <c r="K9" s="41" t="s">
        <v>133</v>
      </c>
      <c r="L9" s="60" t="s">
        <v>126</v>
      </c>
      <c r="M9" s="50" t="s">
        <v>127</v>
      </c>
      <c r="O9" s="2" t="s">
        <v>47</v>
      </c>
      <c r="P9" s="5">
        <f>COUNT(I23:I26)</f>
        <v>4</v>
      </c>
      <c r="Q9" s="36">
        <f>COUNTIF($E$26:$E$34,"No")</f>
        <v>0</v>
      </c>
      <c r="R9" s="36">
        <f>COUNTIF($E$26:$E$34,"Partially")</f>
        <v>0</v>
      </c>
      <c r="S9" s="36">
        <f t="shared" ref="S9" si="4">COUNTIF($E$26:$E$34,"Yes")</f>
        <v>0</v>
      </c>
      <c r="T9" s="36"/>
      <c r="U9" s="37">
        <f t="shared" si="2"/>
        <v>0</v>
      </c>
    </row>
    <row r="10" spans="8:21" ht="48" customHeight="1" x14ac:dyDescent="0.25">
      <c r="H10" s="42"/>
      <c r="I10" s="43">
        <v>8</v>
      </c>
      <c r="J10" s="43" t="s">
        <v>16</v>
      </c>
      <c r="K10" s="41" t="s">
        <v>133</v>
      </c>
      <c r="L10" s="60" t="s">
        <v>126</v>
      </c>
      <c r="M10" s="50" t="s">
        <v>127</v>
      </c>
      <c r="O10" s="2" t="s">
        <v>48</v>
      </c>
      <c r="P10" s="5">
        <f>COUNT(I29:I33)</f>
        <v>5</v>
      </c>
      <c r="Q10" s="36">
        <f>COUNTIF($E$36:$E$40,"No")</f>
        <v>0</v>
      </c>
      <c r="R10" s="36">
        <f>COUNTIF($E$36:$E$40,"Partially")</f>
        <v>0</v>
      </c>
      <c r="S10" s="36">
        <f t="shared" ref="S10" si="5">COUNTIF($E$36:$E$40,"Yes")</f>
        <v>0</v>
      </c>
      <c r="T10" s="36"/>
      <c r="U10" s="37">
        <f t="shared" si="2"/>
        <v>0</v>
      </c>
    </row>
    <row r="11" spans="8:21" ht="48" customHeight="1" x14ac:dyDescent="0.25">
      <c r="H11" s="42"/>
      <c r="I11" s="43">
        <v>9</v>
      </c>
      <c r="J11" s="43" t="s">
        <v>17</v>
      </c>
      <c r="K11" s="41" t="s">
        <v>133</v>
      </c>
      <c r="L11" s="60" t="s">
        <v>126</v>
      </c>
      <c r="M11" s="50" t="s">
        <v>127</v>
      </c>
      <c r="O11" s="2" t="s">
        <v>49</v>
      </c>
      <c r="P11" s="5">
        <f>COUNT(I35:I39)</f>
        <v>5</v>
      </c>
      <c r="Q11" s="36">
        <f>COUNTIF($E$42:$E$47,"No")</f>
        <v>0</v>
      </c>
      <c r="R11" s="36">
        <f>COUNTIF($E$42:$E$47,"Partially")</f>
        <v>0</v>
      </c>
      <c r="S11" s="36">
        <f t="shared" ref="S11:S12" si="6">COUNTIF($E$42:$E$47,"Yes")</f>
        <v>0</v>
      </c>
      <c r="T11" s="36"/>
      <c r="U11" s="37">
        <f t="shared" si="2"/>
        <v>0</v>
      </c>
    </row>
    <row r="12" spans="8:21" ht="48" customHeight="1" x14ac:dyDescent="0.25">
      <c r="H12" s="44" t="s">
        <v>44</v>
      </c>
      <c r="I12" s="45">
        <v>10</v>
      </c>
      <c r="J12" s="45" t="s">
        <v>18</v>
      </c>
      <c r="K12" s="41" t="s">
        <v>133</v>
      </c>
      <c r="L12" s="60" t="s">
        <v>126</v>
      </c>
      <c r="M12" s="50" t="s">
        <v>127</v>
      </c>
      <c r="O12" s="3" t="s">
        <v>50</v>
      </c>
      <c r="P12" s="6">
        <v>0</v>
      </c>
      <c r="Q12" s="36">
        <f>COUNTIF($E$42:$E$47,"No")</f>
        <v>0</v>
      </c>
      <c r="R12" s="36">
        <f>COUNTIF($E$42:$E$47,"Partially")</f>
        <v>0</v>
      </c>
      <c r="S12" s="36">
        <f t="shared" si="6"/>
        <v>0</v>
      </c>
      <c r="T12" s="36"/>
      <c r="U12" s="37" t="str">
        <f t="shared" si="2"/>
        <v>N/A</v>
      </c>
    </row>
    <row r="13" spans="8:21" ht="48" customHeight="1" x14ac:dyDescent="0.25">
      <c r="H13" s="44"/>
      <c r="I13" s="45">
        <v>11</v>
      </c>
      <c r="J13" s="45" t="s">
        <v>19</v>
      </c>
      <c r="K13" s="41" t="s">
        <v>133</v>
      </c>
      <c r="L13" s="60" t="s">
        <v>126</v>
      </c>
      <c r="M13" s="50" t="s">
        <v>127</v>
      </c>
    </row>
    <row r="14" spans="8:21" ht="48" customHeight="1" x14ac:dyDescent="0.25">
      <c r="H14" s="44"/>
      <c r="I14" s="45">
        <v>12</v>
      </c>
      <c r="J14" s="45" t="s">
        <v>20</v>
      </c>
      <c r="K14" s="41" t="s">
        <v>133</v>
      </c>
      <c r="L14" s="60" t="s">
        <v>126</v>
      </c>
      <c r="M14" s="50" t="s">
        <v>127</v>
      </c>
    </row>
    <row r="15" spans="8:21" ht="48" customHeight="1" x14ac:dyDescent="0.25">
      <c r="H15" s="44"/>
      <c r="I15" s="45">
        <v>13</v>
      </c>
      <c r="J15" s="45" t="s">
        <v>21</v>
      </c>
      <c r="K15" s="41" t="s">
        <v>133</v>
      </c>
      <c r="L15" s="60" t="s">
        <v>126</v>
      </c>
      <c r="M15" s="50" t="s">
        <v>127</v>
      </c>
    </row>
    <row r="16" spans="8:21" ht="48" customHeight="1" x14ac:dyDescent="0.25">
      <c r="H16" s="44"/>
      <c r="I16" s="45">
        <v>14</v>
      </c>
      <c r="J16" s="45" t="s">
        <v>22</v>
      </c>
      <c r="K16" s="41" t="s">
        <v>133</v>
      </c>
      <c r="L16" s="60" t="s">
        <v>126</v>
      </c>
      <c r="M16" s="50" t="s">
        <v>127</v>
      </c>
    </row>
    <row r="17" spans="8:13" ht="48" customHeight="1" x14ac:dyDescent="0.25">
      <c r="H17" s="46" t="s">
        <v>45</v>
      </c>
      <c r="I17" s="47">
        <v>15</v>
      </c>
      <c r="J17" s="47" t="s">
        <v>23</v>
      </c>
      <c r="K17" s="41" t="s">
        <v>133</v>
      </c>
      <c r="L17" s="60" t="s">
        <v>126</v>
      </c>
      <c r="M17" s="50" t="s">
        <v>127</v>
      </c>
    </row>
    <row r="18" spans="8:13" ht="48" customHeight="1" x14ac:dyDescent="0.25">
      <c r="H18" s="46"/>
      <c r="I18" s="47">
        <v>16</v>
      </c>
      <c r="J18" s="47" t="s">
        <v>24</v>
      </c>
      <c r="K18" s="41" t="s">
        <v>133</v>
      </c>
      <c r="L18" s="60" t="s">
        <v>126</v>
      </c>
      <c r="M18" s="50" t="s">
        <v>127</v>
      </c>
    </row>
    <row r="19" spans="8:13" ht="48" customHeight="1" x14ac:dyDescent="0.25">
      <c r="H19" s="48" t="s">
        <v>46</v>
      </c>
      <c r="I19" s="49">
        <v>17</v>
      </c>
      <c r="J19" s="49" t="s">
        <v>25</v>
      </c>
      <c r="K19" s="41" t="s">
        <v>133</v>
      </c>
      <c r="L19" s="60" t="s">
        <v>126</v>
      </c>
      <c r="M19" s="50" t="s">
        <v>127</v>
      </c>
    </row>
    <row r="20" spans="8:13" ht="48" customHeight="1" x14ac:dyDescent="0.25">
      <c r="H20" s="48"/>
      <c r="I20" s="49">
        <v>18</v>
      </c>
      <c r="J20" s="49" t="s">
        <v>26</v>
      </c>
      <c r="K20" s="41" t="s">
        <v>133</v>
      </c>
      <c r="L20" s="60" t="s">
        <v>126</v>
      </c>
      <c r="M20" s="50" t="s">
        <v>127</v>
      </c>
    </row>
    <row r="21" spans="8:13" ht="48" customHeight="1" x14ac:dyDescent="0.25">
      <c r="H21" s="48"/>
      <c r="I21" s="49">
        <v>19</v>
      </c>
      <c r="J21" s="49" t="s">
        <v>128</v>
      </c>
      <c r="K21" s="41" t="s">
        <v>133</v>
      </c>
      <c r="L21" s="60" t="s">
        <v>126</v>
      </c>
      <c r="M21" s="50" t="s">
        <v>127</v>
      </c>
    </row>
    <row r="22" spans="8:13" ht="48" customHeight="1" x14ac:dyDescent="0.25">
      <c r="H22" s="48"/>
      <c r="I22" s="49">
        <v>20</v>
      </c>
      <c r="J22" s="49" t="s">
        <v>96</v>
      </c>
      <c r="K22" s="59" t="s">
        <v>134</v>
      </c>
      <c r="L22" s="50" t="s">
        <v>127</v>
      </c>
      <c r="M22" s="50" t="s">
        <v>127</v>
      </c>
    </row>
    <row r="23" spans="8:13" ht="48" customHeight="1" x14ac:dyDescent="0.25">
      <c r="H23" s="61" t="s">
        <v>47</v>
      </c>
      <c r="I23" s="51">
        <v>21</v>
      </c>
      <c r="J23" s="51" t="s">
        <v>27</v>
      </c>
      <c r="K23" s="41" t="s">
        <v>133</v>
      </c>
      <c r="L23" s="60" t="s">
        <v>126</v>
      </c>
      <c r="M23" s="50" t="s">
        <v>127</v>
      </c>
    </row>
    <row r="24" spans="8:13" ht="48" customHeight="1" x14ac:dyDescent="0.25">
      <c r="H24" s="62"/>
      <c r="I24" s="51">
        <v>22</v>
      </c>
      <c r="J24" s="51" t="s">
        <v>28</v>
      </c>
      <c r="K24" s="41" t="s">
        <v>133</v>
      </c>
      <c r="L24" s="60" t="s">
        <v>126</v>
      </c>
      <c r="M24" s="50" t="s">
        <v>127</v>
      </c>
    </row>
    <row r="25" spans="8:13" ht="48" customHeight="1" x14ac:dyDescent="0.25">
      <c r="H25" s="62"/>
      <c r="I25" s="51">
        <v>23</v>
      </c>
      <c r="J25" s="51" t="s">
        <v>29</v>
      </c>
      <c r="K25" s="41" t="s">
        <v>133</v>
      </c>
      <c r="L25" s="60" t="s">
        <v>126</v>
      </c>
      <c r="M25" s="50" t="s">
        <v>127</v>
      </c>
    </row>
    <row r="26" spans="8:13" ht="48" customHeight="1" x14ac:dyDescent="0.25">
      <c r="H26" s="62"/>
      <c r="I26" s="51">
        <v>24</v>
      </c>
      <c r="J26" s="51" t="s">
        <v>30</v>
      </c>
      <c r="K26" s="41" t="s">
        <v>133</v>
      </c>
      <c r="L26" s="60" t="s">
        <v>126</v>
      </c>
      <c r="M26" s="50" t="s">
        <v>127</v>
      </c>
    </row>
    <row r="27" spans="8:13" ht="48" customHeight="1" x14ac:dyDescent="0.25">
      <c r="H27" s="62"/>
      <c r="I27" s="51">
        <v>25</v>
      </c>
      <c r="J27" s="51" t="s">
        <v>98</v>
      </c>
      <c r="K27" s="59" t="s">
        <v>134</v>
      </c>
      <c r="L27" s="50" t="s">
        <v>127</v>
      </c>
      <c r="M27" s="50" t="s">
        <v>127</v>
      </c>
    </row>
    <row r="28" spans="8:13" ht="48" customHeight="1" x14ac:dyDescent="0.25">
      <c r="H28" s="63"/>
      <c r="I28" s="51">
        <v>26</v>
      </c>
      <c r="J28" s="51" t="s">
        <v>97</v>
      </c>
      <c r="K28" s="59" t="s">
        <v>134</v>
      </c>
      <c r="L28" s="50" t="s">
        <v>127</v>
      </c>
      <c r="M28" s="50" t="s">
        <v>127</v>
      </c>
    </row>
    <row r="29" spans="8:13" ht="48" customHeight="1" x14ac:dyDescent="0.25">
      <c r="H29" s="52" t="s">
        <v>48</v>
      </c>
      <c r="I29" s="53">
        <v>27</v>
      </c>
      <c r="J29" s="53" t="s">
        <v>31</v>
      </c>
      <c r="K29" s="41" t="s">
        <v>133</v>
      </c>
      <c r="L29" s="60" t="s">
        <v>126</v>
      </c>
      <c r="M29" s="50" t="s">
        <v>127</v>
      </c>
    </row>
    <row r="30" spans="8:13" ht="48" customHeight="1" x14ac:dyDescent="0.25">
      <c r="H30" s="52"/>
      <c r="I30" s="53">
        <v>28</v>
      </c>
      <c r="J30" s="53" t="s">
        <v>32</v>
      </c>
      <c r="K30" s="41" t="s">
        <v>133</v>
      </c>
      <c r="L30" s="60" t="s">
        <v>126</v>
      </c>
      <c r="M30" s="50" t="s">
        <v>127</v>
      </c>
    </row>
    <row r="31" spans="8:13" ht="48" customHeight="1" x14ac:dyDescent="0.25">
      <c r="H31" s="52"/>
      <c r="I31" s="53">
        <v>29</v>
      </c>
      <c r="J31" s="53" t="s">
        <v>33</v>
      </c>
      <c r="K31" s="41" t="s">
        <v>133</v>
      </c>
      <c r="L31" s="60" t="s">
        <v>126</v>
      </c>
      <c r="M31" s="50" t="s">
        <v>127</v>
      </c>
    </row>
    <row r="32" spans="8:13" ht="48" customHeight="1" x14ac:dyDescent="0.25">
      <c r="H32" s="52"/>
      <c r="I32" s="53">
        <v>30</v>
      </c>
      <c r="J32" s="53" t="s">
        <v>34</v>
      </c>
      <c r="K32" s="41" t="s">
        <v>133</v>
      </c>
      <c r="L32" s="60" t="s">
        <v>126</v>
      </c>
      <c r="M32" s="50" t="s">
        <v>127</v>
      </c>
    </row>
    <row r="33" spans="8:13" ht="48" customHeight="1" x14ac:dyDescent="0.25">
      <c r="H33" s="52"/>
      <c r="I33" s="53">
        <v>31</v>
      </c>
      <c r="J33" s="53" t="s">
        <v>35</v>
      </c>
      <c r="K33" s="41" t="s">
        <v>133</v>
      </c>
      <c r="L33" s="60" t="s">
        <v>126</v>
      </c>
      <c r="M33" s="50" t="s">
        <v>127</v>
      </c>
    </row>
    <row r="34" spans="8:13" ht="48" customHeight="1" x14ac:dyDescent="0.25">
      <c r="H34" s="52"/>
      <c r="I34" s="53">
        <v>32</v>
      </c>
      <c r="J34" s="53" t="s">
        <v>108</v>
      </c>
      <c r="K34" s="59" t="s">
        <v>134</v>
      </c>
      <c r="L34" s="50" t="s">
        <v>127</v>
      </c>
      <c r="M34" s="50" t="s">
        <v>127</v>
      </c>
    </row>
    <row r="35" spans="8:13" ht="48" customHeight="1" x14ac:dyDescent="0.25">
      <c r="H35" s="54" t="s">
        <v>49</v>
      </c>
      <c r="I35" s="55">
        <v>33</v>
      </c>
      <c r="J35" s="55" t="s">
        <v>36</v>
      </c>
      <c r="K35" s="41" t="s">
        <v>133</v>
      </c>
      <c r="L35" s="60" t="s">
        <v>126</v>
      </c>
      <c r="M35" s="50" t="s">
        <v>127</v>
      </c>
    </row>
    <row r="36" spans="8:13" ht="48" customHeight="1" x14ac:dyDescent="0.25">
      <c r="H36" s="54"/>
      <c r="I36" s="55">
        <v>34</v>
      </c>
      <c r="J36" s="55" t="s">
        <v>37</v>
      </c>
      <c r="K36" s="41" t="s">
        <v>133</v>
      </c>
      <c r="L36" s="60" t="s">
        <v>126</v>
      </c>
      <c r="M36" s="50" t="s">
        <v>127</v>
      </c>
    </row>
    <row r="37" spans="8:13" ht="48" customHeight="1" x14ac:dyDescent="0.25">
      <c r="H37" s="54"/>
      <c r="I37" s="55">
        <v>35</v>
      </c>
      <c r="J37" s="55" t="s">
        <v>38</v>
      </c>
      <c r="K37" s="41" t="s">
        <v>133</v>
      </c>
      <c r="L37" s="60" t="s">
        <v>126</v>
      </c>
      <c r="M37" s="50" t="s">
        <v>127</v>
      </c>
    </row>
    <row r="38" spans="8:13" ht="48" customHeight="1" x14ac:dyDescent="0.25">
      <c r="H38" s="54"/>
      <c r="I38" s="55">
        <v>36</v>
      </c>
      <c r="J38" s="55" t="s">
        <v>39</v>
      </c>
      <c r="K38" s="41" t="s">
        <v>133</v>
      </c>
      <c r="L38" s="60" t="s">
        <v>126</v>
      </c>
      <c r="M38" s="50" t="s">
        <v>127</v>
      </c>
    </row>
    <row r="39" spans="8:13" ht="48" customHeight="1" x14ac:dyDescent="0.25">
      <c r="H39" s="54"/>
      <c r="I39" s="55">
        <v>37</v>
      </c>
      <c r="J39" s="55" t="s">
        <v>111</v>
      </c>
      <c r="K39" s="41" t="s">
        <v>133</v>
      </c>
      <c r="L39" s="60" t="s">
        <v>126</v>
      </c>
      <c r="M39" s="50" t="s">
        <v>127</v>
      </c>
    </row>
    <row r="40" spans="8:13" ht="48" customHeight="1" x14ac:dyDescent="0.25">
      <c r="H40" s="54"/>
      <c r="I40" s="55">
        <v>38</v>
      </c>
      <c r="J40" s="55" t="s">
        <v>109</v>
      </c>
      <c r="K40" s="59" t="s">
        <v>134</v>
      </c>
      <c r="L40" s="50" t="s">
        <v>127</v>
      </c>
      <c r="M40" s="50" t="s">
        <v>127</v>
      </c>
    </row>
    <row r="41" spans="8:13" ht="48" customHeight="1" x14ac:dyDescent="0.25">
      <c r="H41" s="54"/>
      <c r="I41" s="55">
        <v>39</v>
      </c>
      <c r="J41" s="55" t="s">
        <v>110</v>
      </c>
      <c r="K41" s="59" t="s">
        <v>134</v>
      </c>
      <c r="L41" s="50" t="s">
        <v>127</v>
      </c>
      <c r="M41" s="50" t="s">
        <v>127</v>
      </c>
    </row>
    <row r="42" spans="8:13" ht="48" customHeight="1" x14ac:dyDescent="0.25">
      <c r="H42" s="64" t="s">
        <v>50</v>
      </c>
      <c r="I42" s="45">
        <v>40</v>
      </c>
      <c r="J42" s="45" t="s">
        <v>99</v>
      </c>
      <c r="K42" s="41" t="s">
        <v>133</v>
      </c>
      <c r="L42" s="60" t="s">
        <v>126</v>
      </c>
      <c r="M42" s="50" t="s">
        <v>127</v>
      </c>
    </row>
    <row r="43" spans="8:13" ht="48" customHeight="1" x14ac:dyDescent="0.25">
      <c r="H43" s="65"/>
      <c r="I43" s="45">
        <v>41</v>
      </c>
      <c r="J43" s="45" t="s">
        <v>100</v>
      </c>
      <c r="K43" s="41" t="s">
        <v>133</v>
      </c>
      <c r="L43" s="60" t="s">
        <v>126</v>
      </c>
      <c r="M43" s="50" t="s">
        <v>127</v>
      </c>
    </row>
    <row r="44" spans="8:13" ht="48" customHeight="1" x14ac:dyDescent="0.25">
      <c r="H44" s="65"/>
      <c r="I44" s="45">
        <v>42</v>
      </c>
      <c r="J44" s="45" t="s">
        <v>101</v>
      </c>
      <c r="K44" s="59" t="s">
        <v>134</v>
      </c>
      <c r="L44" s="50" t="s">
        <v>127</v>
      </c>
      <c r="M44" s="50" t="s">
        <v>127</v>
      </c>
    </row>
    <row r="45" spans="8:13" ht="48" customHeight="1" x14ac:dyDescent="0.25">
      <c r="H45" s="66"/>
      <c r="I45" s="45">
        <v>43</v>
      </c>
      <c r="J45" s="45" t="s">
        <v>117</v>
      </c>
      <c r="K45" s="59" t="s">
        <v>134</v>
      </c>
      <c r="L45" s="50" t="s">
        <v>127</v>
      </c>
      <c r="M45" s="50" t="s">
        <v>127</v>
      </c>
    </row>
    <row r="46" spans="8:13" ht="48" customHeight="1" x14ac:dyDescent="0.25">
      <c r="H46" s="67"/>
      <c r="I46" s="56">
        <v>44</v>
      </c>
      <c r="J46" s="56" t="s">
        <v>55</v>
      </c>
      <c r="K46" s="41" t="s">
        <v>133</v>
      </c>
      <c r="L46" s="50" t="s">
        <v>127</v>
      </c>
      <c r="M46" s="60" t="s">
        <v>126</v>
      </c>
    </row>
    <row r="47" spans="8:13" ht="48" customHeight="1" x14ac:dyDescent="0.25">
      <c r="H47" s="68"/>
      <c r="I47" s="56">
        <v>45</v>
      </c>
      <c r="J47" s="56" t="s">
        <v>54</v>
      </c>
      <c r="K47" s="41" t="s">
        <v>133</v>
      </c>
      <c r="L47" s="50" t="s">
        <v>127</v>
      </c>
      <c r="M47" s="60" t="s">
        <v>126</v>
      </c>
    </row>
    <row r="48" spans="8:13" ht="48" customHeight="1" x14ac:dyDescent="0.25">
      <c r="H48" s="68"/>
      <c r="I48" s="56">
        <v>46</v>
      </c>
      <c r="J48" s="56" t="s">
        <v>131</v>
      </c>
      <c r="K48" s="41" t="s">
        <v>133</v>
      </c>
      <c r="L48" s="50" t="s">
        <v>127</v>
      </c>
      <c r="M48" s="60" t="s">
        <v>126</v>
      </c>
    </row>
    <row r="49" spans="8:13" ht="48" customHeight="1" x14ac:dyDescent="0.25">
      <c r="H49" s="68"/>
      <c r="I49" s="56">
        <v>47</v>
      </c>
      <c r="J49" s="56" t="s">
        <v>55</v>
      </c>
      <c r="K49" s="41" t="s">
        <v>133</v>
      </c>
      <c r="L49" s="50" t="s">
        <v>127</v>
      </c>
      <c r="M49" s="50" t="s">
        <v>127</v>
      </c>
    </row>
    <row r="50" spans="8:13" ht="48" customHeight="1" x14ac:dyDescent="0.25">
      <c r="H50" s="69"/>
      <c r="I50" s="56">
        <v>48</v>
      </c>
      <c r="J50" s="56" t="s">
        <v>56</v>
      </c>
      <c r="K50" s="41" t="s">
        <v>133</v>
      </c>
      <c r="L50" s="50" t="s">
        <v>127</v>
      </c>
      <c r="M50" s="60" t="s">
        <v>126</v>
      </c>
    </row>
    <row r="51" spans="8:13" ht="48" customHeight="1" x14ac:dyDescent="0.25">
      <c r="H51" s="45"/>
      <c r="I51" s="45">
        <v>49</v>
      </c>
      <c r="J51" s="45" t="s">
        <v>57</v>
      </c>
      <c r="K51" s="41" t="s">
        <v>133</v>
      </c>
      <c r="L51" s="50" t="s">
        <v>127</v>
      </c>
      <c r="M51" s="60" t="s">
        <v>126</v>
      </c>
    </row>
    <row r="52" spans="8:13" ht="48" customHeight="1" x14ac:dyDescent="0.25">
      <c r="H52" s="70"/>
      <c r="I52" s="57">
        <v>50</v>
      </c>
      <c r="J52" s="57" t="s">
        <v>58</v>
      </c>
      <c r="K52" s="41" t="s">
        <v>133</v>
      </c>
      <c r="L52" s="50" t="s">
        <v>127</v>
      </c>
      <c r="M52" s="60" t="s">
        <v>126</v>
      </c>
    </row>
    <row r="53" spans="8:13" ht="48" customHeight="1" x14ac:dyDescent="0.25">
      <c r="H53" s="71"/>
      <c r="I53" s="57">
        <v>51</v>
      </c>
      <c r="J53" s="57" t="s">
        <v>59</v>
      </c>
      <c r="K53" s="41" t="s">
        <v>133</v>
      </c>
      <c r="L53" s="50" t="s">
        <v>127</v>
      </c>
      <c r="M53" s="60" t="s">
        <v>126</v>
      </c>
    </row>
    <row r="54" spans="8:13" ht="48" customHeight="1" x14ac:dyDescent="0.25">
      <c r="H54" s="71"/>
      <c r="I54" s="57">
        <v>52</v>
      </c>
      <c r="J54" s="57" t="s">
        <v>60</v>
      </c>
      <c r="K54" s="41" t="s">
        <v>133</v>
      </c>
      <c r="L54" s="50" t="s">
        <v>127</v>
      </c>
      <c r="M54" s="60" t="s">
        <v>126</v>
      </c>
    </row>
    <row r="55" spans="8:13" ht="48" customHeight="1" x14ac:dyDescent="0.25">
      <c r="H55" s="71"/>
      <c r="I55" s="57">
        <v>53</v>
      </c>
      <c r="J55" s="57" t="s">
        <v>61</v>
      </c>
      <c r="K55" s="41" t="s">
        <v>133</v>
      </c>
      <c r="L55" s="50" t="s">
        <v>127</v>
      </c>
      <c r="M55" s="60" t="s">
        <v>126</v>
      </c>
    </row>
    <row r="56" spans="8:13" ht="48" customHeight="1" x14ac:dyDescent="0.25">
      <c r="H56" s="71"/>
      <c r="I56" s="57">
        <v>54</v>
      </c>
      <c r="J56" s="57" t="s">
        <v>62</v>
      </c>
      <c r="K56" s="41" t="s">
        <v>133</v>
      </c>
      <c r="L56" s="50" t="s">
        <v>127</v>
      </c>
      <c r="M56" s="60" t="s">
        <v>126</v>
      </c>
    </row>
    <row r="57" spans="8:13" ht="48" customHeight="1" x14ac:dyDescent="0.25">
      <c r="H57" s="71"/>
      <c r="I57" s="57">
        <v>55</v>
      </c>
      <c r="J57" s="57" t="s">
        <v>63</v>
      </c>
      <c r="K57" s="41" t="s">
        <v>133</v>
      </c>
      <c r="L57" s="50" t="s">
        <v>127</v>
      </c>
      <c r="M57" s="60" t="s">
        <v>126</v>
      </c>
    </row>
    <row r="58" spans="8:13" ht="48" customHeight="1" x14ac:dyDescent="0.25">
      <c r="H58" s="72"/>
      <c r="I58" s="57">
        <v>56</v>
      </c>
      <c r="J58" s="57" t="s">
        <v>57</v>
      </c>
      <c r="K58" s="41" t="s">
        <v>133</v>
      </c>
      <c r="L58" s="50" t="s">
        <v>127</v>
      </c>
      <c r="M58" s="60" t="s">
        <v>126</v>
      </c>
    </row>
    <row r="59" spans="8:13" ht="48" customHeight="1" x14ac:dyDescent="0.25">
      <c r="H59" s="73"/>
      <c r="I59" s="58">
        <v>57</v>
      </c>
      <c r="J59" s="58" t="s">
        <v>64</v>
      </c>
      <c r="K59" s="41" t="s">
        <v>133</v>
      </c>
      <c r="L59" s="50" t="s">
        <v>127</v>
      </c>
      <c r="M59" s="60" t="s">
        <v>126</v>
      </c>
    </row>
    <row r="60" spans="8:13" ht="48" customHeight="1" x14ac:dyDescent="0.25">
      <c r="H60" s="74"/>
      <c r="I60" s="58">
        <v>58</v>
      </c>
      <c r="J60" s="58" t="s">
        <v>65</v>
      </c>
      <c r="K60" s="41" t="s">
        <v>133</v>
      </c>
      <c r="L60" s="50" t="s">
        <v>127</v>
      </c>
      <c r="M60" s="60" t="s">
        <v>126</v>
      </c>
    </row>
    <row r="61" spans="8:13" ht="48" customHeight="1" x14ac:dyDescent="0.25">
      <c r="H61" s="75"/>
      <c r="I61" s="58">
        <v>59</v>
      </c>
      <c r="J61" s="58" t="s">
        <v>66</v>
      </c>
      <c r="K61" s="41" t="s">
        <v>133</v>
      </c>
      <c r="L61" s="50" t="s">
        <v>127</v>
      </c>
      <c r="M61" s="60" t="s">
        <v>126</v>
      </c>
    </row>
  </sheetData>
  <mergeCells count="12">
    <mergeCell ref="H52:H58"/>
    <mergeCell ref="H59:H61"/>
    <mergeCell ref="H46:H50"/>
    <mergeCell ref="H19:H22"/>
    <mergeCell ref="H29:H34"/>
    <mergeCell ref="H35:H41"/>
    <mergeCell ref="H23:H28"/>
    <mergeCell ref="H42:H45"/>
    <mergeCell ref="H3:H7"/>
    <mergeCell ref="H8:H11"/>
    <mergeCell ref="H12:H16"/>
    <mergeCell ref="H17:H1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E827-3C3D-44C1-BDB9-F3D637ECA243}">
  <dimension ref="A1:L9"/>
  <sheetViews>
    <sheetView topLeftCell="C1" workbookViewId="0">
      <selection activeCell="L7" sqref="L7"/>
    </sheetView>
  </sheetViews>
  <sheetFormatPr defaultRowHeight="15" x14ac:dyDescent="0.25"/>
  <cols>
    <col min="1" max="1" width="25.7109375" bestFit="1" customWidth="1"/>
    <col min="2" max="2" width="24.42578125" bestFit="1" customWidth="1"/>
    <col min="3" max="3" width="21.85546875" bestFit="1" customWidth="1"/>
    <col min="4" max="4" width="35.42578125" customWidth="1"/>
    <col min="5" max="5" width="30.140625" bestFit="1" customWidth="1"/>
    <col min="6" max="6" width="21.28515625" bestFit="1" customWidth="1"/>
    <col min="7" max="7" width="14.5703125" bestFit="1" customWidth="1"/>
    <col min="8" max="8" width="12.85546875" bestFit="1" customWidth="1"/>
    <col min="9" max="9" width="24.42578125" bestFit="1" customWidth="1"/>
    <col min="10" max="10" width="18" bestFit="1" customWidth="1"/>
    <col min="11" max="11" width="26.85546875" bestFit="1" customWidth="1"/>
  </cols>
  <sheetData>
    <row r="1" spans="1:12" s="28" customFormat="1" x14ac:dyDescent="0.25">
      <c r="A1" s="27" t="s">
        <v>58</v>
      </c>
      <c r="B1" s="27" t="s">
        <v>59</v>
      </c>
      <c r="C1" s="27" t="s">
        <v>60</v>
      </c>
      <c r="D1" s="27" t="s">
        <v>61</v>
      </c>
      <c r="E1" s="27" t="s">
        <v>62</v>
      </c>
      <c r="F1" s="27" t="s">
        <v>63</v>
      </c>
      <c r="G1" s="28" t="s">
        <v>67</v>
      </c>
      <c r="H1" s="28" t="s">
        <v>68</v>
      </c>
      <c r="I1" s="28" t="s">
        <v>57</v>
      </c>
      <c r="J1" s="28" t="s">
        <v>64</v>
      </c>
      <c r="K1" s="28" t="s">
        <v>65</v>
      </c>
      <c r="L1" s="28" t="s">
        <v>102</v>
      </c>
    </row>
    <row r="2" spans="1:12" s="29" customFormat="1" x14ac:dyDescent="0.25">
      <c r="A2" s="29" t="s">
        <v>69</v>
      </c>
      <c r="B2" s="29" t="s">
        <v>70</v>
      </c>
      <c r="C2" s="29" t="s">
        <v>71</v>
      </c>
      <c r="D2" s="29" t="s">
        <v>72</v>
      </c>
      <c r="E2" s="29" t="s">
        <v>73</v>
      </c>
      <c r="F2" s="29" t="s">
        <v>74</v>
      </c>
      <c r="G2" s="29" t="s">
        <v>75</v>
      </c>
      <c r="H2" s="29" t="s">
        <v>76</v>
      </c>
      <c r="I2" s="29" t="s">
        <v>76</v>
      </c>
      <c r="J2" s="29" t="s">
        <v>77</v>
      </c>
      <c r="K2" s="29" t="s">
        <v>78</v>
      </c>
      <c r="L2" s="29" t="s">
        <v>103</v>
      </c>
    </row>
    <row r="3" spans="1:12" s="29" customFormat="1" x14ac:dyDescent="0.25">
      <c r="A3" s="29" t="s">
        <v>79</v>
      </c>
      <c r="B3" s="29" t="s">
        <v>80</v>
      </c>
      <c r="C3" s="29" t="s">
        <v>81</v>
      </c>
      <c r="D3" s="29" t="s">
        <v>82</v>
      </c>
      <c r="E3" s="30"/>
      <c r="G3" s="29" t="s">
        <v>83</v>
      </c>
      <c r="H3" s="29" t="s">
        <v>84</v>
      </c>
      <c r="I3" s="29" t="s">
        <v>85</v>
      </c>
      <c r="J3" s="29" t="s">
        <v>86</v>
      </c>
      <c r="K3" s="29" t="s">
        <v>87</v>
      </c>
      <c r="L3" s="29" t="s">
        <v>104</v>
      </c>
    </row>
    <row r="4" spans="1:12" s="29" customFormat="1" x14ac:dyDescent="0.25">
      <c r="A4" s="29" t="s">
        <v>88</v>
      </c>
      <c r="D4" s="29" t="s">
        <v>89</v>
      </c>
      <c r="H4" s="29" t="s">
        <v>90</v>
      </c>
      <c r="I4" s="29" t="s">
        <v>91</v>
      </c>
      <c r="J4" s="29" t="s">
        <v>92</v>
      </c>
      <c r="K4" s="29" t="s">
        <v>93</v>
      </c>
      <c r="L4" s="29" t="s">
        <v>105</v>
      </c>
    </row>
    <row r="5" spans="1:12" s="29" customFormat="1" x14ac:dyDescent="0.25">
      <c r="A5" s="29" t="s">
        <v>94</v>
      </c>
      <c r="D5" s="29" t="s">
        <v>88</v>
      </c>
      <c r="H5" s="29" t="s">
        <v>83</v>
      </c>
      <c r="I5" s="29" t="s">
        <v>95</v>
      </c>
      <c r="L5" s="29" t="s">
        <v>106</v>
      </c>
    </row>
    <row r="6" spans="1:12" s="29" customFormat="1" x14ac:dyDescent="0.25">
      <c r="L6" s="29" t="s">
        <v>107</v>
      </c>
    </row>
    <row r="7" spans="1:12" s="29" customFormat="1" x14ac:dyDescent="0.25"/>
    <row r="8" spans="1:12" x14ac:dyDescent="0.25">
      <c r="A8" s="30"/>
    </row>
    <row r="9" spans="1:12" x14ac:dyDescent="0.25">
      <c r="A9" s="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claims</vt:lpstr>
      <vt:lpstr>reference</vt:lpstr>
      <vt:lpstr>selections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Knight</dc:creator>
  <cp:lastModifiedBy>Chris Knight</cp:lastModifiedBy>
  <dcterms:created xsi:type="dcterms:W3CDTF">2023-01-04T19:52:07Z</dcterms:created>
  <dcterms:modified xsi:type="dcterms:W3CDTF">2023-01-06T15:54:32Z</dcterms:modified>
</cp:coreProperties>
</file>