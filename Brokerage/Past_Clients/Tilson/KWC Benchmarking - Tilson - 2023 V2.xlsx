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Clients\Tilson Technology\Prospect Folder\"/>
    </mc:Choice>
  </mc:AlternateContent>
  <xr:revisionPtr revIDLastSave="0" documentId="13_ncr:1_{F4830006-30B1-4A6C-A152-A73772436AB3}" xr6:coauthVersionLast="47" xr6:coauthVersionMax="47" xr10:uidLastSave="{00000000-0000-0000-0000-000000000000}"/>
  <bookViews>
    <workbookView xWindow="-120" yWindow="-120" windowWidth="29040" windowHeight="15840" activeTab="1" xr2:uid="{7B538805-760C-464E-A63A-033B113DB927}"/>
  </bookViews>
  <sheets>
    <sheet name="PL" sheetId="1" r:id="rId1"/>
    <sheet name="Umbrella" sheetId="2" r:id="rId2"/>
    <sheet name="Auto" sheetId="3" r:id="rId3"/>
    <sheet name="W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" l="1"/>
  <c r="R6" i="2"/>
  <c r="E6" i="2"/>
  <c r="A18" i="2" l="1"/>
  <c r="A17" i="2"/>
  <c r="R12" i="2"/>
  <c r="R10" i="2"/>
  <c r="R3" i="2"/>
  <c r="R4" i="2"/>
  <c r="R5" i="2"/>
  <c r="R9" i="2"/>
  <c r="R2" i="2"/>
  <c r="P10" i="2"/>
  <c r="G8" i="2"/>
  <c r="E8" i="2"/>
  <c r="F8" i="2" s="1"/>
  <c r="H9" i="2"/>
  <c r="F9" i="2"/>
  <c r="M9" i="2"/>
  <c r="C10" i="2"/>
  <c r="D10" i="2"/>
  <c r="E10" i="2"/>
  <c r="I10" i="2"/>
  <c r="J10" i="2"/>
  <c r="L9" i="2"/>
  <c r="K9" i="2"/>
  <c r="B10" i="2"/>
  <c r="D9" i="2"/>
  <c r="D8" i="2"/>
  <c r="H8" i="2" l="1"/>
  <c r="I14" i="2" l="1"/>
  <c r="J14" i="2"/>
  <c r="P14" i="2"/>
  <c r="G10" i="2"/>
  <c r="K12" i="2"/>
  <c r="G12" i="2"/>
  <c r="G5" i="2"/>
  <c r="L12" i="2" l="1"/>
  <c r="M12" i="2"/>
  <c r="G4" i="2"/>
  <c r="G3" i="2"/>
  <c r="M3" i="2" s="1"/>
  <c r="K3" i="2"/>
  <c r="L3" i="2" s="1"/>
  <c r="K4" i="2"/>
  <c r="L4" i="2" s="1"/>
  <c r="K5" i="2"/>
  <c r="M5" i="2" s="1"/>
  <c r="K6" i="2"/>
  <c r="M6" i="2" s="1"/>
  <c r="K10" i="2" l="1"/>
  <c r="M10" i="2"/>
  <c r="L6" i="2"/>
  <c r="L10" i="2" s="1"/>
  <c r="L5" i="2"/>
  <c r="M4" i="2"/>
  <c r="K2" i="2"/>
  <c r="G2" i="2"/>
  <c r="L2" i="2" l="1"/>
  <c r="L14" i="2" s="1"/>
  <c r="K14" i="2"/>
  <c r="M2" i="2"/>
  <c r="M14" i="2" s="1"/>
  <c r="H2" i="2" l="1"/>
  <c r="F2" i="2"/>
  <c r="D2" i="2"/>
  <c r="H12" i="2"/>
  <c r="F12" i="2"/>
  <c r="D12" i="2"/>
  <c r="G14" i="2"/>
  <c r="E14" i="2"/>
  <c r="C14" i="2"/>
  <c r="B14" i="2"/>
  <c r="H7" i="2"/>
  <c r="F7" i="2"/>
  <c r="D7" i="2"/>
  <c r="H6" i="2"/>
  <c r="H10" i="2" s="1"/>
  <c r="F6" i="2"/>
  <c r="F10" i="2" s="1"/>
  <c r="D6" i="2"/>
  <c r="H5" i="2"/>
  <c r="F5" i="2"/>
  <c r="D5" i="2"/>
  <c r="H4" i="2"/>
  <c r="F4" i="2"/>
  <c r="D4" i="2"/>
  <c r="H3" i="2"/>
  <c r="F3" i="2"/>
  <c r="D3" i="2"/>
  <c r="C12" i="1"/>
  <c r="E12" i="1"/>
  <c r="G12" i="1"/>
  <c r="L9" i="1"/>
  <c r="K9" i="1"/>
  <c r="J9" i="1"/>
  <c r="H9" i="1"/>
  <c r="F9" i="1"/>
  <c r="D9" i="1"/>
  <c r="K10" i="1"/>
  <c r="K8" i="1"/>
  <c r="I8" i="1"/>
  <c r="I12" i="1" s="1"/>
  <c r="K4" i="1"/>
  <c r="K3" i="1"/>
  <c r="F14" i="2" l="1"/>
  <c r="D14" i="2"/>
  <c r="H14" i="2"/>
  <c r="K6" i="1"/>
  <c r="H6" i="1"/>
  <c r="F6" i="1"/>
  <c r="D6" i="1"/>
  <c r="K14" i="1"/>
  <c r="K2" i="1"/>
  <c r="K12" i="1" s="1"/>
  <c r="D2" i="1" l="1"/>
  <c r="F2" i="1"/>
  <c r="H2" i="1"/>
  <c r="J2" i="1"/>
  <c r="L2" i="1"/>
  <c r="N14" i="1" l="1"/>
  <c r="L8" i="1" l="1"/>
  <c r="G16" i="1"/>
  <c r="L10" i="1"/>
  <c r="J10" i="1"/>
  <c r="E16" i="1"/>
  <c r="C16" i="1"/>
  <c r="B12" i="1"/>
  <c r="B16" i="1" s="1"/>
  <c r="H10" i="1"/>
  <c r="F10" i="1"/>
  <c r="D10" i="1"/>
  <c r="L14" i="1"/>
  <c r="L7" i="1"/>
  <c r="L5" i="1"/>
  <c r="J5" i="1"/>
  <c r="L3" i="1"/>
  <c r="L12" i="1" s="1"/>
  <c r="J3" i="1"/>
  <c r="J12" i="1" s="1"/>
  <c r="J7" i="1"/>
  <c r="J8" i="1"/>
  <c r="J14" i="1"/>
  <c r="H7" i="1"/>
  <c r="H8" i="1"/>
  <c r="H14" i="1"/>
  <c r="F7" i="1"/>
  <c r="F8" i="1"/>
  <c r="F14" i="1"/>
  <c r="D7" i="1"/>
  <c r="D8" i="1"/>
  <c r="D14" i="1"/>
  <c r="L6" i="1"/>
  <c r="J6" i="1"/>
  <c r="H5" i="1"/>
  <c r="F5" i="1"/>
  <c r="D5" i="1"/>
  <c r="L4" i="1"/>
  <c r="J4" i="1"/>
  <c r="H4" i="1"/>
  <c r="F4" i="1"/>
  <c r="D4" i="1"/>
  <c r="H3" i="1"/>
  <c r="H12" i="1" s="1"/>
  <c r="F3" i="1"/>
  <c r="F12" i="1" s="1"/>
  <c r="D3" i="1"/>
  <c r="I16" i="1"/>
  <c r="D12" i="1" l="1"/>
  <c r="K16" i="1"/>
  <c r="D16" i="1" l="1"/>
  <c r="L16" i="1"/>
  <c r="F16" i="1"/>
  <c r="J16" i="1"/>
  <c r="H16" i="1"/>
</calcChain>
</file>

<file path=xl/sharedStrings.xml><?xml version="1.0" encoding="utf-8"?>
<sst xmlns="http://schemas.openxmlformats.org/spreadsheetml/2006/main" count="55" uniqueCount="50">
  <si>
    <t>Exposure</t>
  </si>
  <si>
    <t>PCL</t>
  </si>
  <si>
    <t>PCL Rate</t>
  </si>
  <si>
    <t>AL</t>
  </si>
  <si>
    <t>AL Rate</t>
  </si>
  <si>
    <t>SIR</t>
  </si>
  <si>
    <t>SIR Rate</t>
  </si>
  <si>
    <t>Prem</t>
  </si>
  <si>
    <t>Prem Rate</t>
  </si>
  <si>
    <t>Primary $10M</t>
  </si>
  <si>
    <t>Primary Rate</t>
  </si>
  <si>
    <t>Averages</t>
  </si>
  <si>
    <t>ENGEO</t>
  </si>
  <si>
    <t>Riner</t>
  </si>
  <si>
    <t>Alpha</t>
  </si>
  <si>
    <t>Schnabel</t>
  </si>
  <si>
    <t>H2M</t>
  </si>
  <si>
    <t>Tectonic</t>
  </si>
  <si>
    <t>Neel-Schaffer</t>
  </si>
  <si>
    <t>Geotechnology</t>
  </si>
  <si>
    <t>SCI Engineering</t>
  </si>
  <si>
    <t>Tilson</t>
  </si>
  <si>
    <t>Umbrella Limits</t>
  </si>
  <si>
    <t>Primary $10M Prem</t>
  </si>
  <si>
    <t>Total Premium</t>
  </si>
  <si>
    <t>Underlying GL+AUTO Prem</t>
  </si>
  <si>
    <t>$10M as % of Underlying</t>
  </si>
  <si>
    <t>Total as percent of underlying</t>
  </si>
  <si>
    <t>BRPH</t>
  </si>
  <si>
    <t>GL Expo (Sales)</t>
  </si>
  <si>
    <t>GL</t>
  </si>
  <si>
    <t>Auto</t>
  </si>
  <si>
    <t>Autos</t>
  </si>
  <si>
    <t>GL Expo (Payroll + Subs)</t>
  </si>
  <si>
    <t>CRB</t>
  </si>
  <si>
    <t>Captive</t>
  </si>
  <si>
    <t>REvolution</t>
  </si>
  <si>
    <t>Evolution</t>
  </si>
  <si>
    <t>Primus</t>
  </si>
  <si>
    <t>Presidio</t>
  </si>
  <si>
    <t>POWER</t>
  </si>
  <si>
    <t>Sellenriek</t>
  </si>
  <si>
    <t>Coutts</t>
  </si>
  <si>
    <t>Umb limit rate</t>
  </si>
  <si>
    <t>Primary Umb Rate</t>
  </si>
  <si>
    <t>Total Prem Rate</t>
  </si>
  <si>
    <t>USCC</t>
  </si>
  <si>
    <t>Affinity</t>
  </si>
  <si>
    <t>Magnolia River</t>
  </si>
  <si>
    <t>Auto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</si>
</sst>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10" fontId="0" fillId="0" borderId="0" xfId="0" applyNumberFormat="1"/>
    <xf numFmtId="10" fontId="0" fillId="0" borderId="0" xfId="2" applyNumberFormat="1" applyFont="1"/>
    <xf numFmtId="44" fontId="0" fillId="0" borderId="0" xfId="0" applyNumberFormat="1"/>
    <xf numFmtId="44" fontId="0" fillId="2" borderId="0" xfId="1" applyFont="1" applyFill="1"/>
    <xf numFmtId="9" fontId="0" fillId="0" borderId="0" xfId="0" applyNumberFormat="1"/>
    <xf numFmtId="44" fontId="0" fillId="0" borderId="0" xfId="1" applyFont="1" applyFill="1"/>
    <xf numFmtId="10" fontId="0" fillId="0" borderId="0" xfId="1" applyNumberFormat="1" applyFont="1"/>
    <xf numFmtId="0" fontId="0" fillId="0" borderId="0" xfId="1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38CD2-7448-48D4-818D-ECD621BCB4FC}">
  <dimension ref="A1:N30"/>
  <sheetViews>
    <sheetView zoomScale="120" zoomScaleNormal="120" workbookViewId="0">
      <selection activeCell="P1" sqref="P1:Q1"/>
    </sheetView>
  </sheetViews>
  <sheetFormatPr defaultRowHeight="15" x14ac:dyDescent="0.25"/>
  <cols>
    <col min="1" max="1" width="14" customWidth="1"/>
    <col min="2" max="2" width="16.28515625" bestFit="1" customWidth="1"/>
    <col min="3" max="3" width="16.140625" bestFit="1" customWidth="1"/>
    <col min="4" max="4" width="14.28515625" bestFit="1" customWidth="1"/>
    <col min="5" max="5" width="16.140625" bestFit="1" customWidth="1"/>
    <col min="7" max="7" width="13.28515625" bestFit="1" customWidth="1"/>
    <col min="9" max="9" width="14.28515625" bestFit="1" customWidth="1"/>
    <col min="11" max="11" width="14.5703125" bestFit="1" customWidth="1"/>
  </cols>
  <sheetData>
    <row r="1" spans="1:14" x14ac:dyDescent="0.25">
      <c r="A1" s="1"/>
      <c r="B1" s="1" t="s">
        <v>0</v>
      </c>
      <c r="C1" s="1" t="s">
        <v>1</v>
      </c>
      <c r="D1" t="s">
        <v>2</v>
      </c>
      <c r="E1" s="1" t="s">
        <v>3</v>
      </c>
      <c r="F1" t="s">
        <v>4</v>
      </c>
      <c r="G1" s="1" t="s">
        <v>5</v>
      </c>
      <c r="H1" t="s">
        <v>6</v>
      </c>
      <c r="I1" s="1" t="s">
        <v>7</v>
      </c>
      <c r="J1" t="s">
        <v>8</v>
      </c>
      <c r="K1" s="1" t="s">
        <v>9</v>
      </c>
      <c r="L1" t="s">
        <v>10</v>
      </c>
    </row>
    <row r="2" spans="1:14" x14ac:dyDescent="0.25">
      <c r="A2" t="s">
        <v>12</v>
      </c>
      <c r="B2" s="1">
        <v>70833333</v>
      </c>
      <c r="C2" s="1">
        <v>5000000</v>
      </c>
      <c r="D2" s="2">
        <f>C2/B2</f>
        <v>7.0588235626297582E-2</v>
      </c>
      <c r="E2" s="1">
        <v>5000000</v>
      </c>
      <c r="F2" s="2">
        <f>E2/B2</f>
        <v>7.0588235626297582E-2</v>
      </c>
      <c r="G2" s="1">
        <v>250000</v>
      </c>
      <c r="H2" s="2">
        <f>G2/B2</f>
        <v>3.5294117813148788E-3</v>
      </c>
      <c r="I2" s="1">
        <v>402235</v>
      </c>
      <c r="J2" s="2">
        <f>I2/B2</f>
        <v>5.6786117914287611E-3</v>
      </c>
      <c r="K2" s="1">
        <f>I2*1.4</f>
        <v>563129</v>
      </c>
      <c r="L2" s="2">
        <f t="shared" ref="L2:L14" si="0">K2/B2</f>
        <v>7.9500565080002656E-3</v>
      </c>
      <c r="N2" s="6">
        <v>0.4</v>
      </c>
    </row>
    <row r="3" spans="1:14" x14ac:dyDescent="0.25">
      <c r="A3" t="s">
        <v>13</v>
      </c>
      <c r="B3" s="5">
        <v>28000000</v>
      </c>
      <c r="C3" s="1">
        <v>5000000</v>
      </c>
      <c r="D3" s="2">
        <f>C3/B3</f>
        <v>0.17857142857142858</v>
      </c>
      <c r="E3" s="1">
        <v>5000000</v>
      </c>
      <c r="F3" s="2">
        <f>E3/B3</f>
        <v>0.17857142857142858</v>
      </c>
      <c r="G3" s="1">
        <v>300000</v>
      </c>
      <c r="H3" s="2">
        <f>G3/B3</f>
        <v>1.0714285714285714E-2</v>
      </c>
      <c r="I3" s="1">
        <v>242352</v>
      </c>
      <c r="J3" s="2">
        <f>I3/B3</f>
        <v>8.6554285714285709E-3</v>
      </c>
      <c r="K3" s="1">
        <f>I3*1.4</f>
        <v>339292.8</v>
      </c>
      <c r="L3" s="2">
        <f t="shared" si="0"/>
        <v>1.2117599999999999E-2</v>
      </c>
      <c r="N3" s="6">
        <v>0.4</v>
      </c>
    </row>
    <row r="4" spans="1:14" x14ac:dyDescent="0.25">
      <c r="A4" t="s">
        <v>14</v>
      </c>
      <c r="B4" s="5">
        <v>60000000</v>
      </c>
      <c r="C4" s="1">
        <v>5000000</v>
      </c>
      <c r="D4" s="2">
        <f>C4/B4</f>
        <v>8.3333333333333329E-2</v>
      </c>
      <c r="E4" s="1">
        <v>7000000</v>
      </c>
      <c r="F4" s="2">
        <f>E4/B4</f>
        <v>0.11666666666666667</v>
      </c>
      <c r="G4" s="1">
        <v>200000</v>
      </c>
      <c r="H4" s="2">
        <f>G4/B4</f>
        <v>3.3333333333333335E-3</v>
      </c>
      <c r="I4" s="1">
        <v>385210</v>
      </c>
      <c r="J4" s="2">
        <f>I4/B4</f>
        <v>6.4201666666666669E-3</v>
      </c>
      <c r="K4" s="1">
        <f>I4*1.35</f>
        <v>520033.50000000006</v>
      </c>
      <c r="L4" s="2">
        <f t="shared" si="0"/>
        <v>8.6672250000000006E-3</v>
      </c>
      <c r="N4" s="6">
        <v>0.35</v>
      </c>
    </row>
    <row r="5" spans="1:14" x14ac:dyDescent="0.25">
      <c r="A5" t="s">
        <v>15</v>
      </c>
      <c r="B5" s="1">
        <v>45034790</v>
      </c>
      <c r="C5" s="1">
        <v>10000000</v>
      </c>
      <c r="D5" s="2">
        <f>C5/B5</f>
        <v>0.22205055247287708</v>
      </c>
      <c r="E5" s="1">
        <v>10000000</v>
      </c>
      <c r="F5" s="2">
        <f>E5/B5</f>
        <v>0.22205055247287708</v>
      </c>
      <c r="G5" s="1">
        <v>250000</v>
      </c>
      <c r="H5" s="2">
        <f>G5/B5</f>
        <v>5.5512638118219272E-3</v>
      </c>
      <c r="I5" s="1">
        <v>460000</v>
      </c>
      <c r="J5" s="2">
        <f>I5/B5</f>
        <v>1.0214325413752346E-2</v>
      </c>
      <c r="K5" s="1">
        <v>460000</v>
      </c>
      <c r="L5" s="2">
        <f t="shared" si="0"/>
        <v>1.0214325413752346E-2</v>
      </c>
    </row>
    <row r="6" spans="1:14" x14ac:dyDescent="0.25">
      <c r="A6" t="s">
        <v>16</v>
      </c>
      <c r="B6" s="1">
        <v>87567000</v>
      </c>
      <c r="C6" s="1">
        <v>5000000</v>
      </c>
      <c r="D6" s="2">
        <f t="shared" ref="D6" si="1">C6/B6</f>
        <v>5.709913551908824E-2</v>
      </c>
      <c r="E6" s="1">
        <v>7000000</v>
      </c>
      <c r="F6" s="2">
        <f t="shared" ref="F6" si="2">E6/B6</f>
        <v>7.9938789726723539E-2</v>
      </c>
      <c r="G6" s="1">
        <v>250000</v>
      </c>
      <c r="H6" s="2">
        <f t="shared" ref="H6" si="3">G6/B6</f>
        <v>2.8549567759544119E-3</v>
      </c>
      <c r="I6" s="1">
        <v>477500</v>
      </c>
      <c r="J6" s="2">
        <f>I6/B6</f>
        <v>5.4529674420729273E-3</v>
      </c>
      <c r="K6" s="1">
        <f>I6*1.35</f>
        <v>644625</v>
      </c>
      <c r="L6" s="2">
        <f t="shared" si="0"/>
        <v>7.3615060467984517E-3</v>
      </c>
      <c r="N6" s="6">
        <v>0.35</v>
      </c>
    </row>
    <row r="7" spans="1:14" x14ac:dyDescent="0.25">
      <c r="A7" t="s">
        <v>17</v>
      </c>
      <c r="B7" s="7">
        <v>89895000</v>
      </c>
      <c r="C7" s="1">
        <v>10000000</v>
      </c>
      <c r="D7" s="2">
        <f t="shared" ref="D7:D14" si="4">C7/B7</f>
        <v>0.11124089215195505</v>
      </c>
      <c r="E7" s="1">
        <v>10000000</v>
      </c>
      <c r="F7" s="2">
        <f t="shared" ref="F7:F14" si="5">E7/B7</f>
        <v>0.11124089215195505</v>
      </c>
      <c r="G7" s="1">
        <v>150000</v>
      </c>
      <c r="H7" s="2">
        <f t="shared" ref="H7:H14" si="6">G7/B7</f>
        <v>1.6686133822793258E-3</v>
      </c>
      <c r="I7" s="1">
        <v>469453</v>
      </c>
      <c r="J7" s="2">
        <f t="shared" ref="J7:J14" si="7">I7/B7</f>
        <v>5.2222370543411759E-3</v>
      </c>
      <c r="K7" s="1">
        <v>469453</v>
      </c>
      <c r="L7" s="2">
        <f t="shared" si="0"/>
        <v>5.2222370543411759E-3</v>
      </c>
    </row>
    <row r="8" spans="1:14" x14ac:dyDescent="0.25">
      <c r="A8" t="s">
        <v>18</v>
      </c>
      <c r="B8" s="7">
        <v>86265648</v>
      </c>
      <c r="C8" s="1">
        <v>10000000</v>
      </c>
      <c r="D8" s="2">
        <f t="shared" si="4"/>
        <v>0.11592099789246352</v>
      </c>
      <c r="E8" s="1">
        <v>10000000</v>
      </c>
      <c r="F8" s="2">
        <f t="shared" si="5"/>
        <v>0.11592099789246352</v>
      </c>
      <c r="G8" s="1">
        <v>200000</v>
      </c>
      <c r="H8" s="2">
        <f t="shared" si="6"/>
        <v>2.3184199578492703E-3</v>
      </c>
      <c r="I8" s="1">
        <f>539339+193000</f>
        <v>732339</v>
      </c>
      <c r="J8" s="2">
        <f t="shared" si="7"/>
        <v>8.4893467675568844E-3</v>
      </c>
      <c r="K8" s="1">
        <f>539339+193000</f>
        <v>732339</v>
      </c>
      <c r="L8" s="2">
        <f t="shared" si="0"/>
        <v>8.4893467675568844E-3</v>
      </c>
    </row>
    <row r="9" spans="1:14" x14ac:dyDescent="0.25">
      <c r="A9" t="s">
        <v>20</v>
      </c>
      <c r="B9" s="7">
        <v>21428513</v>
      </c>
      <c r="C9" s="1">
        <v>5000000</v>
      </c>
      <c r="D9" s="2">
        <f t="shared" ref="D9" si="8">C9/B9</f>
        <v>0.23333396955729033</v>
      </c>
      <c r="E9" s="1">
        <v>5000000</v>
      </c>
      <c r="F9" s="2">
        <f t="shared" ref="F9" si="9">E9/B9</f>
        <v>0.23333396955729033</v>
      </c>
      <c r="G9" s="1">
        <v>100000</v>
      </c>
      <c r="H9" s="2">
        <f t="shared" ref="H9" si="10">G9/B9</f>
        <v>4.6666793911458067E-3</v>
      </c>
      <c r="I9" s="1">
        <v>153723</v>
      </c>
      <c r="J9" s="2">
        <f t="shared" ref="J9" si="11">I9/B9</f>
        <v>7.1737595604510684E-3</v>
      </c>
      <c r="K9" s="1">
        <f>I9*1.4</f>
        <v>215212.19999999998</v>
      </c>
      <c r="L9" s="2">
        <f t="shared" ref="L9" si="12">K9/B9</f>
        <v>1.0043263384631495E-2</v>
      </c>
      <c r="N9" s="6">
        <v>0.4</v>
      </c>
    </row>
    <row r="10" spans="1:14" x14ac:dyDescent="0.25">
      <c r="A10" t="s">
        <v>19</v>
      </c>
      <c r="B10" s="7">
        <v>22350800</v>
      </c>
      <c r="C10" s="1">
        <v>5000000</v>
      </c>
      <c r="D10" s="2">
        <f t="shared" si="4"/>
        <v>0.22370563917175224</v>
      </c>
      <c r="E10" s="1">
        <v>5000000</v>
      </c>
      <c r="F10" s="2">
        <f t="shared" si="5"/>
        <v>0.22370563917175224</v>
      </c>
      <c r="G10" s="1">
        <v>150000</v>
      </c>
      <c r="H10" s="2">
        <f t="shared" si="6"/>
        <v>6.7111691751525673E-3</v>
      </c>
      <c r="I10" s="1">
        <v>243975</v>
      </c>
      <c r="J10" s="2">
        <f t="shared" si="7"/>
        <v>1.0915716663385651E-2</v>
      </c>
      <c r="K10" s="1">
        <f>I10*1.4</f>
        <v>341565</v>
      </c>
      <c r="L10" s="2">
        <f t="shared" si="0"/>
        <v>1.5282003328739911E-2</v>
      </c>
      <c r="N10" s="6">
        <v>0.4</v>
      </c>
    </row>
    <row r="11" spans="1:14" x14ac:dyDescent="0.25">
      <c r="B11" s="1"/>
      <c r="C11" s="1"/>
      <c r="D11" s="2"/>
      <c r="E11" s="1"/>
      <c r="F11" s="2"/>
      <c r="G11" s="1"/>
      <c r="H11" s="2"/>
      <c r="I11" s="1"/>
      <c r="J11" s="2"/>
      <c r="K11" s="1"/>
      <c r="L11" s="2"/>
    </row>
    <row r="12" spans="1:14" x14ac:dyDescent="0.25">
      <c r="A12" t="s">
        <v>11</v>
      </c>
      <c r="B12" s="1">
        <f t="shared" ref="B12:L12" si="13">AVERAGE(B2:B10)</f>
        <v>56819453.777777776</v>
      </c>
      <c r="C12" s="1">
        <f t="shared" si="13"/>
        <v>6666666.666666667</v>
      </c>
      <c r="D12" s="8">
        <f t="shared" si="13"/>
        <v>0.14398268714405399</v>
      </c>
      <c r="E12" s="1">
        <f t="shared" si="13"/>
        <v>7111111.111111111</v>
      </c>
      <c r="F12" s="8">
        <f t="shared" si="13"/>
        <v>0.15022413020416162</v>
      </c>
      <c r="G12" s="1">
        <f t="shared" si="13"/>
        <v>205555.55555555556</v>
      </c>
      <c r="H12" s="8">
        <f t="shared" si="13"/>
        <v>4.5942370359041374E-3</v>
      </c>
      <c r="I12" s="1">
        <f t="shared" si="13"/>
        <v>396309.66666666669</v>
      </c>
      <c r="J12" s="8">
        <f t="shared" si="13"/>
        <v>7.5802844367871174E-3</v>
      </c>
      <c r="K12" s="1">
        <f t="shared" si="13"/>
        <v>476183.27777777775</v>
      </c>
      <c r="L12" s="8">
        <f t="shared" si="13"/>
        <v>9.4830626115356143E-3</v>
      </c>
    </row>
    <row r="13" spans="1:14" x14ac:dyDescent="0.25">
      <c r="B13" s="1"/>
      <c r="C13" s="1"/>
      <c r="D13" s="2"/>
      <c r="E13" s="1"/>
      <c r="F13" s="2"/>
      <c r="G13" s="1"/>
      <c r="H13" s="2"/>
      <c r="I13" s="1"/>
      <c r="J13" s="2"/>
      <c r="K13" s="1"/>
      <c r="L13" s="2"/>
    </row>
    <row r="14" spans="1:14" x14ac:dyDescent="0.25">
      <c r="A14" t="s">
        <v>21</v>
      </c>
      <c r="B14" s="1">
        <v>54057717</v>
      </c>
      <c r="C14" s="1">
        <v>10000000</v>
      </c>
      <c r="D14" s="2">
        <f t="shared" si="4"/>
        <v>0.18498746441696751</v>
      </c>
      <c r="E14" s="1">
        <v>15000000</v>
      </c>
      <c r="F14" s="2">
        <f t="shared" si="5"/>
        <v>0.27748119662545129</v>
      </c>
      <c r="G14" s="1">
        <v>250000</v>
      </c>
      <c r="H14" s="2">
        <f t="shared" si="6"/>
        <v>4.624686610424188E-3</v>
      </c>
      <c r="I14" s="1">
        <v>664435</v>
      </c>
      <c r="J14" s="2">
        <f t="shared" si="7"/>
        <v>1.2291214591988781E-2</v>
      </c>
      <c r="K14" s="1">
        <f>I14*0.9</f>
        <v>597991.5</v>
      </c>
      <c r="L14" s="2">
        <f t="shared" si="0"/>
        <v>1.1062093132789903E-2</v>
      </c>
      <c r="N14">
        <f>I4/I14-1</f>
        <v>-0.42024426768607914</v>
      </c>
    </row>
    <row r="16" spans="1:14" x14ac:dyDescent="0.25">
      <c r="B16" s="3">
        <f>B14/B12-1</f>
        <v>-4.8605479182869171E-2</v>
      </c>
      <c r="C16" s="3">
        <f t="shared" ref="C16:L16" si="14">C14/C12-1</f>
        <v>0.5</v>
      </c>
      <c r="D16" s="3">
        <f t="shared" si="14"/>
        <v>0.2847896374644574</v>
      </c>
      <c r="E16" s="3">
        <f t="shared" si="14"/>
        <v>1.109375</v>
      </c>
      <c r="F16" s="3">
        <f t="shared" si="14"/>
        <v>0.84711468289642533</v>
      </c>
      <c r="G16" s="3">
        <f t="shared" si="14"/>
        <v>0.21621621621621623</v>
      </c>
      <c r="H16" s="3">
        <f t="shared" si="14"/>
        <v>6.6277761208413111E-3</v>
      </c>
      <c r="I16" s="3">
        <f t="shared" si="14"/>
        <v>0.6765551180936793</v>
      </c>
      <c r="J16" s="3">
        <f t="shared" si="14"/>
        <v>0.62147142293757751</v>
      </c>
      <c r="K16" s="3">
        <f t="shared" si="14"/>
        <v>0.25580113352713529</v>
      </c>
      <c r="L16" s="3">
        <f t="shared" si="14"/>
        <v>0.16651060801111717</v>
      </c>
    </row>
    <row r="20" spans="2:12" x14ac:dyDescent="0.25">
      <c r="B20" s="1"/>
    </row>
    <row r="21" spans="2:12" x14ac:dyDescent="0.25">
      <c r="B21" s="7"/>
      <c r="C21" s="1"/>
      <c r="D21" s="2"/>
      <c r="E21" s="1"/>
      <c r="F21" s="2"/>
      <c r="G21" s="1"/>
      <c r="H21" s="2"/>
      <c r="I21" s="1"/>
      <c r="J21" s="2"/>
      <c r="K21" s="1"/>
      <c r="L21" s="2"/>
    </row>
    <row r="22" spans="2:12" x14ac:dyDescent="0.25">
      <c r="B22" s="1"/>
    </row>
    <row r="23" spans="2:12" x14ac:dyDescent="0.25">
      <c r="B23" s="1"/>
    </row>
    <row r="24" spans="2:12" x14ac:dyDescent="0.25">
      <c r="B24" s="4"/>
      <c r="C24" s="4"/>
      <c r="D24" s="4"/>
    </row>
    <row r="25" spans="2:12" x14ac:dyDescent="0.25">
      <c r="C25" s="4"/>
      <c r="D25" s="4"/>
    </row>
    <row r="26" spans="2:12" x14ac:dyDescent="0.25">
      <c r="C26" s="4"/>
      <c r="D26" s="4"/>
    </row>
    <row r="27" spans="2:12" x14ac:dyDescent="0.25">
      <c r="D27" s="4"/>
    </row>
    <row r="28" spans="2:12" x14ac:dyDescent="0.25">
      <c r="D28" s="4"/>
    </row>
    <row r="29" spans="2:12" x14ac:dyDescent="0.25">
      <c r="E29" s="4"/>
    </row>
    <row r="30" spans="2:12" x14ac:dyDescent="0.25">
      <c r="E30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0B7C7-C48E-46D5-9266-07324D777F97}">
  <dimension ref="A1:R18"/>
  <sheetViews>
    <sheetView tabSelected="1" topLeftCell="B1" workbookViewId="0">
      <selection activeCell="H6" sqref="H6"/>
    </sheetView>
  </sheetViews>
  <sheetFormatPr defaultRowHeight="15" x14ac:dyDescent="0.25"/>
  <cols>
    <col min="1" max="1" width="15.28515625" bestFit="1" customWidth="1"/>
    <col min="2" max="2" width="18" bestFit="1" customWidth="1"/>
    <col min="3" max="3" width="15.28515625" bestFit="1" customWidth="1"/>
    <col min="5" max="5" width="15.28515625" bestFit="1" customWidth="1"/>
    <col min="7" max="7" width="14.28515625" bestFit="1" customWidth="1"/>
    <col min="9" max="10" width="13.28515625" style="1" bestFit="1" customWidth="1"/>
    <col min="11" max="11" width="26.42578125" bestFit="1" customWidth="1"/>
    <col min="12" max="12" width="22.85546875" bestFit="1" customWidth="1"/>
    <col min="13" max="13" width="29.28515625" bestFit="1" customWidth="1"/>
    <col min="14" max="14" width="14.42578125" bestFit="1" customWidth="1"/>
    <col min="15" max="15" width="21.28515625" style="1" customWidth="1"/>
    <col min="18" max="18" width="10.5703125" bestFit="1" customWidth="1"/>
  </cols>
  <sheetData>
    <row r="1" spans="1:18" x14ac:dyDescent="0.25">
      <c r="A1" s="1"/>
      <c r="B1" s="1" t="s">
        <v>0</v>
      </c>
      <c r="C1" s="1" t="s">
        <v>22</v>
      </c>
      <c r="D1" t="s">
        <v>43</v>
      </c>
      <c r="E1" s="1" t="s">
        <v>23</v>
      </c>
      <c r="F1" t="s">
        <v>44</v>
      </c>
      <c r="G1" s="1" t="s">
        <v>24</v>
      </c>
      <c r="H1" t="s">
        <v>45</v>
      </c>
      <c r="I1" s="1" t="s">
        <v>30</v>
      </c>
      <c r="J1" s="1" t="s">
        <v>31</v>
      </c>
      <c r="K1" s="1" t="s">
        <v>25</v>
      </c>
      <c r="L1" t="s">
        <v>26</v>
      </c>
      <c r="M1" s="1" t="s">
        <v>27</v>
      </c>
      <c r="N1" t="s">
        <v>29</v>
      </c>
      <c r="O1" s="1" t="s">
        <v>33</v>
      </c>
      <c r="P1" s="1" t="s">
        <v>32</v>
      </c>
      <c r="Q1" s="1" t="s">
        <v>35</v>
      </c>
      <c r="R1" s="1" t="s">
        <v>49</v>
      </c>
    </row>
    <row r="2" spans="1:18" x14ac:dyDescent="0.25">
      <c r="A2" t="s">
        <v>28</v>
      </c>
      <c r="B2" s="1">
        <v>125000000</v>
      </c>
      <c r="C2" s="1">
        <v>20000000</v>
      </c>
      <c r="D2" s="2">
        <f t="shared" ref="D2" si="0">C2/B2</f>
        <v>0.16</v>
      </c>
      <c r="E2" s="1">
        <v>131775</v>
      </c>
      <c r="F2" s="2">
        <f t="shared" ref="F2" si="1">E2/B2</f>
        <v>1.0541999999999999E-3</v>
      </c>
      <c r="G2" s="1">
        <f>E2+46480</f>
        <v>178255</v>
      </c>
      <c r="H2" s="2">
        <f t="shared" ref="H2" si="2">G2/B2</f>
        <v>1.4260399999999999E-3</v>
      </c>
      <c r="I2" s="1">
        <v>129771</v>
      </c>
      <c r="J2" s="1">
        <v>27016</v>
      </c>
      <c r="K2" s="1">
        <f>I2+J2</f>
        <v>156787</v>
      </c>
      <c r="L2" s="2">
        <f>E2/K2</f>
        <v>0.84047146765994629</v>
      </c>
      <c r="M2" s="3">
        <f>G2/K2</f>
        <v>1.136924617474663</v>
      </c>
      <c r="N2" s="2"/>
      <c r="O2" s="1">
        <v>34342500</v>
      </c>
      <c r="P2">
        <v>12</v>
      </c>
      <c r="Q2" t="s">
        <v>36</v>
      </c>
      <c r="R2" s="4">
        <f>J2/P2</f>
        <v>2251.3333333333335</v>
      </c>
    </row>
    <row r="3" spans="1:18" x14ac:dyDescent="0.25">
      <c r="A3" t="s">
        <v>34</v>
      </c>
      <c r="B3" s="7">
        <v>1248396079</v>
      </c>
      <c r="C3" s="1">
        <v>50000000</v>
      </c>
      <c r="D3" s="2">
        <f>C3/B3</f>
        <v>4.0051391414214786E-2</v>
      </c>
      <c r="E3" s="1">
        <v>450000</v>
      </c>
      <c r="F3" s="2">
        <f>E3/B3</f>
        <v>3.6046252272793302E-4</v>
      </c>
      <c r="G3" s="1">
        <f>E3+168000+83123+93330</f>
        <v>794453</v>
      </c>
      <c r="H3" s="2">
        <f>G3/B3</f>
        <v>6.363789612639435E-4</v>
      </c>
      <c r="I3" s="1">
        <v>880397</v>
      </c>
      <c r="J3" s="1">
        <v>34583</v>
      </c>
      <c r="K3" s="1">
        <f t="shared" ref="K3:K6" si="3">I3+J3</f>
        <v>914980</v>
      </c>
      <c r="L3" s="2">
        <f t="shared" ref="L3:L9" si="4">E3/K3</f>
        <v>0.4918140287219393</v>
      </c>
      <c r="M3" s="3">
        <f t="shared" ref="M3:M9" si="5">G3/K3</f>
        <v>0.86827362346717962</v>
      </c>
      <c r="N3" s="2"/>
      <c r="O3" s="1">
        <v>159677000</v>
      </c>
      <c r="P3">
        <v>66</v>
      </c>
      <c r="Q3" t="s">
        <v>37</v>
      </c>
      <c r="R3" s="4">
        <f t="shared" ref="R3:R9" si="6">J3/P3</f>
        <v>523.9848484848485</v>
      </c>
    </row>
    <row r="4" spans="1:18" x14ac:dyDescent="0.25">
      <c r="A4" t="s">
        <v>38</v>
      </c>
      <c r="B4" s="7">
        <v>325000000</v>
      </c>
      <c r="C4" s="1">
        <v>32000000</v>
      </c>
      <c r="D4" s="2">
        <f>C4/B4</f>
        <v>9.8461538461538461E-2</v>
      </c>
      <c r="E4" s="1">
        <v>507520</v>
      </c>
      <c r="F4" s="2">
        <f>E4/B4</f>
        <v>1.5616E-3</v>
      </c>
      <c r="G4" s="1">
        <f>E4+278720+139360+66352</f>
        <v>991952</v>
      </c>
      <c r="H4" s="2">
        <f>G4/B4</f>
        <v>3.0521599999999999E-3</v>
      </c>
      <c r="I4" s="1">
        <v>836094</v>
      </c>
      <c r="J4" s="1">
        <v>33778</v>
      </c>
      <c r="K4" s="1">
        <f t="shared" si="3"/>
        <v>869872</v>
      </c>
      <c r="L4" s="2">
        <f t="shared" si="4"/>
        <v>0.58344216160538565</v>
      </c>
      <c r="M4" s="3">
        <f t="shared" si="5"/>
        <v>1.1403424871705263</v>
      </c>
      <c r="N4" s="2"/>
      <c r="O4" s="1">
        <v>12559785</v>
      </c>
      <c r="P4">
        <v>14</v>
      </c>
      <c r="Q4" t="s">
        <v>39</v>
      </c>
      <c r="R4" s="4">
        <f t="shared" si="6"/>
        <v>2412.7142857142858</v>
      </c>
    </row>
    <row r="5" spans="1:18" x14ac:dyDescent="0.25">
      <c r="A5" t="s">
        <v>40</v>
      </c>
      <c r="B5" s="1">
        <v>501212961</v>
      </c>
      <c r="C5" s="1">
        <v>49000000</v>
      </c>
      <c r="D5" s="2">
        <f>C5/B5</f>
        <v>9.7762834987820679E-2</v>
      </c>
      <c r="E5" s="1">
        <v>520643</v>
      </c>
      <c r="F5" s="2">
        <f>E5/B5</f>
        <v>1.0387660346237535E-3</v>
      </c>
      <c r="G5" s="1">
        <f>E5+269928+140536+67473</f>
        <v>998580</v>
      </c>
      <c r="H5" s="2">
        <f>G5/B5</f>
        <v>1.9923267706558768E-3</v>
      </c>
      <c r="I5" s="1">
        <v>372943</v>
      </c>
      <c r="J5" s="1">
        <v>546656</v>
      </c>
      <c r="K5" s="1">
        <f t="shared" si="3"/>
        <v>919599</v>
      </c>
      <c r="L5" s="2">
        <f t="shared" si="4"/>
        <v>0.56616307760230278</v>
      </c>
      <c r="M5" s="3">
        <f t="shared" si="5"/>
        <v>1.0858863482887651</v>
      </c>
      <c r="N5" s="2"/>
      <c r="O5" s="1">
        <v>227731591</v>
      </c>
      <c r="P5">
        <v>268</v>
      </c>
      <c r="Q5" t="s">
        <v>37</v>
      </c>
      <c r="R5" s="4">
        <f t="shared" si="6"/>
        <v>2039.7611940298507</v>
      </c>
    </row>
    <row r="6" spans="1:18" x14ac:dyDescent="0.25">
      <c r="A6" t="s">
        <v>41</v>
      </c>
      <c r="B6" s="1">
        <v>84000000</v>
      </c>
      <c r="C6" s="1">
        <v>15000000</v>
      </c>
      <c r="D6" s="2">
        <f t="shared" ref="D6:D9" si="7">C6/B6</f>
        <v>0.17857142857142858</v>
      </c>
      <c r="E6" s="1">
        <f>211538+105450</f>
        <v>316988</v>
      </c>
      <c r="F6" s="2">
        <f t="shared" ref="F6:F9" si="8">E6/B6</f>
        <v>3.7736666666666665E-3</v>
      </c>
      <c r="G6" s="1">
        <f>E6+57750</f>
        <v>374738</v>
      </c>
      <c r="H6" s="2">
        <f t="shared" ref="H6:H9" si="9">G6/B6</f>
        <v>4.4611666666666671E-3</v>
      </c>
      <c r="I6" s="1">
        <v>266170</v>
      </c>
      <c r="J6" s="1">
        <v>249650</v>
      </c>
      <c r="K6" s="1">
        <f t="shared" si="3"/>
        <v>515820</v>
      </c>
      <c r="L6" s="2">
        <f t="shared" si="4"/>
        <v>0.61453220115544183</v>
      </c>
      <c r="M6" s="3">
        <f t="shared" si="5"/>
        <v>0.72648986080415645</v>
      </c>
      <c r="N6" s="2"/>
      <c r="O6" s="1">
        <v>15475000</v>
      </c>
      <c r="P6">
        <v>289</v>
      </c>
      <c r="Q6" t="s">
        <v>37</v>
      </c>
      <c r="R6" s="4">
        <f t="shared" si="6"/>
        <v>863.84083044982697</v>
      </c>
    </row>
    <row r="7" spans="1:18" x14ac:dyDescent="0.25">
      <c r="A7" t="s">
        <v>42</v>
      </c>
      <c r="B7" s="7">
        <v>31000000</v>
      </c>
      <c r="C7" s="1">
        <v>10000000</v>
      </c>
      <c r="D7" s="2">
        <f t="shared" si="7"/>
        <v>0.32258064516129031</v>
      </c>
      <c r="E7" s="1">
        <v>200000</v>
      </c>
      <c r="F7" s="2">
        <f t="shared" si="8"/>
        <v>6.4516129032258064E-3</v>
      </c>
      <c r="G7" s="1">
        <v>200000</v>
      </c>
      <c r="H7" s="2">
        <f t="shared" si="9"/>
        <v>6.4516129032258064E-3</v>
      </c>
      <c r="K7" s="1"/>
      <c r="L7" s="2"/>
      <c r="M7" s="3"/>
      <c r="N7" s="2"/>
      <c r="R7" s="4"/>
    </row>
    <row r="8" spans="1:18" x14ac:dyDescent="0.25">
      <c r="A8" t="s">
        <v>46</v>
      </c>
      <c r="B8" s="7">
        <v>534000000</v>
      </c>
      <c r="C8" s="1">
        <v>14000000</v>
      </c>
      <c r="D8" s="2">
        <f t="shared" si="7"/>
        <v>2.6217228464419477E-2</v>
      </c>
      <c r="E8" s="1">
        <f>462000+188917</f>
        <v>650917</v>
      </c>
      <c r="F8" s="2">
        <f t="shared" si="8"/>
        <v>1.2189456928838951E-3</v>
      </c>
      <c r="G8" s="1">
        <f>E8+90255</f>
        <v>741172</v>
      </c>
      <c r="H8" s="2">
        <f t="shared" si="9"/>
        <v>1.3879625468164794E-3</v>
      </c>
      <c r="K8" s="1"/>
      <c r="L8" s="2"/>
      <c r="M8" s="3"/>
      <c r="N8" s="2"/>
      <c r="Q8" t="s">
        <v>47</v>
      </c>
      <c r="R8" s="4"/>
    </row>
    <row r="9" spans="1:18" x14ac:dyDescent="0.25">
      <c r="A9" t="s">
        <v>48</v>
      </c>
      <c r="B9" s="1">
        <v>118305500</v>
      </c>
      <c r="C9" s="1">
        <v>50000000</v>
      </c>
      <c r="D9" s="2">
        <f t="shared" si="7"/>
        <v>0.42263461969223748</v>
      </c>
      <c r="E9" s="1">
        <v>317327</v>
      </c>
      <c r="F9" s="2">
        <f t="shared" si="8"/>
        <v>2.6822675192615729E-3</v>
      </c>
      <c r="G9" s="1">
        <v>571497</v>
      </c>
      <c r="H9" s="2">
        <f t="shared" si="9"/>
        <v>4.8306883450050927E-3</v>
      </c>
      <c r="I9" s="1">
        <v>402452</v>
      </c>
      <c r="J9" s="1">
        <v>473409</v>
      </c>
      <c r="K9" s="1">
        <f>I9+J9</f>
        <v>875861</v>
      </c>
      <c r="L9" s="2">
        <f t="shared" si="4"/>
        <v>0.36230292249569279</v>
      </c>
      <c r="M9" s="3">
        <f t="shared" si="5"/>
        <v>0.65249737115820894</v>
      </c>
      <c r="N9" s="2"/>
      <c r="P9">
        <v>226</v>
      </c>
      <c r="R9" s="4">
        <f t="shared" si="6"/>
        <v>2094.7300884955753</v>
      </c>
    </row>
    <row r="10" spans="1:18" x14ac:dyDescent="0.25">
      <c r="A10" t="s">
        <v>11</v>
      </c>
      <c r="B10" s="1">
        <f>AVERAGE(B2:B9)</f>
        <v>370864317.5</v>
      </c>
      <c r="C10" s="1">
        <f t="shared" ref="C10:M10" si="10">AVERAGE(C2:C9)</f>
        <v>30000000</v>
      </c>
      <c r="D10" s="3">
        <f t="shared" si="10"/>
        <v>0.1682849608441187</v>
      </c>
      <c r="E10" s="1">
        <f t="shared" si="10"/>
        <v>386896.25</v>
      </c>
      <c r="F10" s="3">
        <f t="shared" si="10"/>
        <v>2.2676901674237035E-3</v>
      </c>
      <c r="G10" s="1">
        <f t="shared" si="10"/>
        <v>606330.875</v>
      </c>
      <c r="H10" s="3">
        <f t="shared" si="10"/>
        <v>3.0297920242042336E-3</v>
      </c>
      <c r="I10" s="1">
        <f t="shared" si="10"/>
        <v>481304.5</v>
      </c>
      <c r="J10" s="1">
        <f t="shared" si="10"/>
        <v>227515.33333333334</v>
      </c>
      <c r="K10" s="1">
        <f t="shared" si="10"/>
        <v>708819.83333333337</v>
      </c>
      <c r="L10" s="3">
        <f t="shared" si="10"/>
        <v>0.57645430987345148</v>
      </c>
      <c r="M10" s="3">
        <f t="shared" si="10"/>
        <v>0.93506905139391672</v>
      </c>
      <c r="N10" s="8"/>
      <c r="O10" s="8"/>
      <c r="P10" s="9">
        <f>AVERAGE(P2:P9)</f>
        <v>145.83333333333334</v>
      </c>
      <c r="Q10" s="9"/>
      <c r="R10" s="1">
        <f t="shared" ref="R10" si="11">AVERAGE(R2:R9)</f>
        <v>1697.7274300846202</v>
      </c>
    </row>
    <row r="11" spans="1:18" x14ac:dyDescent="0.25">
      <c r="B11" s="1"/>
      <c r="C11" s="1"/>
      <c r="D11" s="2"/>
      <c r="E11" s="1"/>
      <c r="F11" s="2"/>
      <c r="G11" s="1"/>
      <c r="H11" s="2"/>
      <c r="K11" s="1"/>
      <c r="L11" s="2"/>
      <c r="M11" s="1"/>
      <c r="N11" s="2"/>
    </row>
    <row r="12" spans="1:18" x14ac:dyDescent="0.25">
      <c r="A12" t="s">
        <v>21</v>
      </c>
      <c r="B12" s="1">
        <v>205634071</v>
      </c>
      <c r="C12" s="1">
        <v>20000000</v>
      </c>
      <c r="D12" s="2">
        <f>C12/B12</f>
        <v>9.7260147128050589E-2</v>
      </c>
      <c r="E12" s="1">
        <v>1299419</v>
      </c>
      <c r="F12" s="2">
        <f>E12/B12</f>
        <v>6.3190841560492178E-3</v>
      </c>
      <c r="G12" s="1">
        <f>E12+396501</f>
        <v>1695920</v>
      </c>
      <c r="H12" s="2">
        <f>G12/B12</f>
        <v>8.2472714358701772E-3</v>
      </c>
      <c r="I12" s="1">
        <v>638890</v>
      </c>
      <c r="J12" s="1">
        <v>460358</v>
      </c>
      <c r="K12" s="1">
        <f>J12+I12</f>
        <v>1099248</v>
      </c>
      <c r="L12" s="2">
        <f>E12/K12</f>
        <v>1.1820981252638167</v>
      </c>
      <c r="M12" s="3">
        <f>G12/K12</f>
        <v>1.5428001688426998</v>
      </c>
      <c r="N12" s="2"/>
      <c r="P12">
        <v>221</v>
      </c>
      <c r="R12" s="4">
        <f>J12/P12</f>
        <v>2083.0678733031673</v>
      </c>
    </row>
    <row r="14" spans="1:18" x14ac:dyDescent="0.25">
      <c r="B14" s="3">
        <f>B12/B10-1</f>
        <v>-0.44552748459010216</v>
      </c>
      <c r="C14" s="3">
        <f t="shared" ref="C14:P14" si="12">C12/C10-1</f>
        <v>-0.33333333333333337</v>
      </c>
      <c r="D14" s="3">
        <f t="shared" si="12"/>
        <v>-0.42205086752735999</v>
      </c>
      <c r="E14" s="3">
        <f t="shared" si="12"/>
        <v>2.3585722270505336</v>
      </c>
      <c r="F14" s="3">
        <f t="shared" si="12"/>
        <v>1.7865729837459479</v>
      </c>
      <c r="G14" s="3">
        <f t="shared" si="12"/>
        <v>1.7970206861064102</v>
      </c>
      <c r="H14" s="3">
        <f t="shared" si="12"/>
        <v>1.7220586000573093</v>
      </c>
      <c r="I14" s="3">
        <f t="shared" si="12"/>
        <v>0.32741331111593586</v>
      </c>
      <c r="J14" s="3">
        <f t="shared" si="12"/>
        <v>1.0234152716446947</v>
      </c>
      <c r="K14" s="3">
        <f t="shared" si="12"/>
        <v>0.5508143935964922</v>
      </c>
      <c r="L14" s="3">
        <f t="shared" si="12"/>
        <v>1.0506362863751018</v>
      </c>
      <c r="M14" s="3">
        <f t="shared" si="12"/>
        <v>0.64993180615146251</v>
      </c>
      <c r="N14" s="3"/>
      <c r="O14" s="3"/>
      <c r="P14" s="3">
        <f t="shared" si="12"/>
        <v>0.51542857142857135</v>
      </c>
    </row>
    <row r="17" spans="1:14" x14ac:dyDescent="0.25">
      <c r="A17" s="4">
        <f>B12*D10</f>
        <v>34605121.586451724</v>
      </c>
      <c r="B17" s="1"/>
      <c r="C17" s="1"/>
      <c r="D17" s="2"/>
      <c r="E17" s="1"/>
      <c r="F17" s="2"/>
      <c r="G17" s="1"/>
      <c r="H17" s="2"/>
      <c r="K17" s="1"/>
      <c r="L17" s="2"/>
      <c r="M17" s="1"/>
      <c r="N17" s="2"/>
    </row>
    <row r="18" spans="1:14" x14ac:dyDescent="0.25">
      <c r="A18">
        <f>D10*326000000</f>
        <v>54860897.235182695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E3DE2-1EF9-4FE7-96C9-830410B78F0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47AB5-5BFD-457F-A0BC-2DFA8D3E843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</vt:lpstr>
      <vt:lpstr>Umbrella</vt:lpstr>
      <vt:lpstr>Auto</vt:lpstr>
      <vt:lpstr>WC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  Collier</dc:creator>
  <cp:lastModifiedBy>Kent Collier</cp:lastModifiedBy>
  <dcterms:created xsi:type="dcterms:W3CDTF">2022-09-19T16:31:18Z</dcterms:created>
  <dcterms:modified xsi:type="dcterms:W3CDTF">2023-10-31T15:44:14Z</dcterms:modified>
</cp:coreProperties>
</file>