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lients\T5 Data Centers\2023 to 2024\2 - Meetings\1 - Pre Renewal Strategy Mtg - Add Date\"/>
    </mc:Choice>
  </mc:AlternateContent>
  <xr:revisionPtr revIDLastSave="0" documentId="13_ncr:1_{E0D1946B-3FE7-4CDA-8FA1-08C08040C24A}" xr6:coauthVersionLast="47" xr6:coauthVersionMax="47" xr10:uidLastSave="{00000000-0000-0000-0000-000000000000}"/>
  <bookViews>
    <workbookView xWindow="780" yWindow="900" windowWidth="27285" windowHeight="14100" firstSheet="2" activeTab="2" xr2:uid="{00000000-000D-0000-FFFF-FFFF00000000}"/>
  </bookViews>
  <sheets>
    <sheet name="CPL" sheetId="8" state="hidden" r:id="rId1"/>
    <sheet name="PL" sheetId="4" state="hidden" r:id="rId2"/>
    <sheet name="P&amp;C" sheetId="5" r:id="rId3"/>
    <sheet name="Misc" sheetId="7" state="hidden" r:id="rId4"/>
  </sheets>
  <definedNames>
    <definedName name="_xlnm.Print_Area" localSheetId="0">CPL!$A$1:$L$57</definedName>
    <definedName name="_xlnm.Print_Area" localSheetId="3">Misc!$A$1:$L$62</definedName>
    <definedName name="_xlnm.Print_Area" localSheetId="2">'P&amp;C'!$A$1:$L$193</definedName>
    <definedName name="_xlnm.Print_Area" localSheetId="1">PL!$A$1:$L$61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7" i="5" l="1"/>
  <c r="H188" i="5" l="1"/>
  <c r="I188" i="5"/>
  <c r="J188" i="5"/>
  <c r="K188" i="5"/>
  <c r="G188" i="5"/>
  <c r="C188" i="5"/>
  <c r="H177" i="5"/>
  <c r="I177" i="5"/>
  <c r="J177" i="5"/>
  <c r="K177" i="5"/>
  <c r="G177" i="5"/>
  <c r="G155" i="5"/>
  <c r="C155" i="5"/>
  <c r="G145" i="5"/>
  <c r="C145" i="5"/>
  <c r="H155" i="5"/>
  <c r="I155" i="5"/>
  <c r="J155" i="5"/>
  <c r="K155" i="5"/>
  <c r="H145" i="5"/>
  <c r="I145" i="5"/>
  <c r="J145" i="5"/>
  <c r="K145" i="5"/>
  <c r="H134" i="5"/>
  <c r="I134" i="5"/>
  <c r="J134" i="5"/>
  <c r="K134" i="5"/>
  <c r="G134" i="5"/>
  <c r="C134" i="5"/>
  <c r="K95" i="5"/>
  <c r="H95" i="5"/>
  <c r="I95" i="5"/>
  <c r="J95" i="5"/>
  <c r="G95" i="5"/>
  <c r="C95" i="5"/>
  <c r="H86" i="5"/>
  <c r="I86" i="5"/>
  <c r="J86" i="5"/>
  <c r="K86" i="5"/>
  <c r="G86" i="5"/>
  <c r="C86" i="5"/>
  <c r="I49" i="5"/>
  <c r="H49" i="5"/>
  <c r="J49" i="5"/>
  <c r="K49" i="5"/>
  <c r="G49" i="5"/>
  <c r="C49" i="5"/>
  <c r="H30" i="5"/>
  <c r="I30" i="5"/>
  <c r="J30" i="5"/>
  <c r="K30" i="5"/>
  <c r="G30" i="5"/>
  <c r="C30" i="5"/>
  <c r="K139" i="5"/>
  <c r="L139" i="5" s="1"/>
  <c r="K127" i="5"/>
  <c r="L127" i="5" s="1"/>
  <c r="L90" i="5"/>
  <c r="K90" i="5"/>
  <c r="K181" i="5"/>
  <c r="L181" i="5" s="1"/>
  <c r="K169" i="5"/>
  <c r="L169" i="5" s="1"/>
  <c r="K149" i="5"/>
  <c r="L149" i="5" s="1"/>
  <c r="L80" i="5"/>
  <c r="K80" i="5"/>
  <c r="L43" i="5"/>
  <c r="K43" i="5"/>
  <c r="L24" i="5"/>
  <c r="K24" i="5"/>
  <c r="K144" i="5"/>
  <c r="L144" i="5" s="1"/>
  <c r="K143" i="5"/>
  <c r="L143" i="5" s="1"/>
  <c r="K142" i="5"/>
  <c r="L142" i="5" s="1"/>
  <c r="K141" i="5"/>
  <c r="L141" i="5" s="1"/>
  <c r="K140" i="5"/>
  <c r="G58" i="5"/>
  <c r="C58" i="5"/>
  <c r="K182" i="5"/>
  <c r="L182" i="5" s="1"/>
  <c r="K150" i="5"/>
  <c r="K170" i="5"/>
  <c r="L170" i="5" s="1"/>
  <c r="K44" i="5"/>
  <c r="L44" i="5" s="1"/>
  <c r="K25" i="5"/>
  <c r="L25" i="5" s="1"/>
  <c r="K128" i="5"/>
  <c r="L128" i="5" s="1"/>
  <c r="K91" i="5"/>
  <c r="L91" i="5" s="1"/>
  <c r="K81" i="5"/>
  <c r="L81" i="5" s="1"/>
  <c r="K176" i="5"/>
  <c r="L176" i="5" s="1"/>
  <c r="K175" i="5"/>
  <c r="L175" i="5" s="1"/>
  <c r="K174" i="5"/>
  <c r="L174" i="5" s="1"/>
  <c r="K173" i="5"/>
  <c r="L173" i="5" s="1"/>
  <c r="L172" i="5"/>
  <c r="K171" i="5"/>
  <c r="K187" i="5"/>
  <c r="L187" i="5" s="1"/>
  <c r="K186" i="5"/>
  <c r="L186" i="5" s="1"/>
  <c r="K185" i="5"/>
  <c r="L185" i="5" s="1"/>
  <c r="K184" i="5"/>
  <c r="L184" i="5" s="1"/>
  <c r="K183" i="5"/>
  <c r="L183" i="5" s="1"/>
  <c r="J6" i="5"/>
  <c r="J7" i="5"/>
  <c r="J8" i="5"/>
  <c r="J9" i="5"/>
  <c r="I7" i="5"/>
  <c r="I8" i="5"/>
  <c r="I9" i="5"/>
  <c r="I6" i="5"/>
  <c r="H6" i="5"/>
  <c r="H7" i="5"/>
  <c r="H8" i="5"/>
  <c r="H9" i="5"/>
  <c r="G7" i="5"/>
  <c r="G8" i="5"/>
  <c r="G9" i="5"/>
  <c r="G6" i="5"/>
  <c r="C7" i="5"/>
  <c r="C8" i="5"/>
  <c r="C9" i="5"/>
  <c r="C6" i="5"/>
  <c r="L145" i="5" l="1"/>
  <c r="L140" i="5"/>
  <c r="L150" i="5"/>
  <c r="L177" i="5"/>
  <c r="L171" i="5"/>
  <c r="L188" i="5"/>
  <c r="C30" i="7"/>
  <c r="C48" i="7"/>
  <c r="G165" i="5"/>
  <c r="C165" i="5"/>
  <c r="H160" i="5"/>
  <c r="I160" i="5"/>
  <c r="J160" i="5"/>
  <c r="G160" i="5"/>
  <c r="C160" i="5"/>
  <c r="K164" i="5" l="1"/>
  <c r="H47" i="4" l="1"/>
  <c r="I47" i="4"/>
  <c r="J47" i="4"/>
  <c r="G47" i="4"/>
  <c r="J31" i="4"/>
  <c r="H31" i="4"/>
  <c r="I31" i="4"/>
  <c r="G31" i="4"/>
  <c r="C10" i="5" l="1"/>
  <c r="J165" i="5"/>
  <c r="H165" i="5"/>
  <c r="I165" i="5"/>
  <c r="L164" i="5"/>
  <c r="K163" i="5"/>
  <c r="L163" i="5" s="1"/>
  <c r="K159" i="5"/>
  <c r="L159" i="5" s="1"/>
  <c r="K158" i="5"/>
  <c r="J115" i="5"/>
  <c r="I115" i="5"/>
  <c r="H115" i="5"/>
  <c r="G115" i="5"/>
  <c r="C115" i="5"/>
  <c r="I113" i="5"/>
  <c r="H113" i="5"/>
  <c r="G113" i="5"/>
  <c r="C113" i="5"/>
  <c r="K112" i="5"/>
  <c r="K111" i="5"/>
  <c r="K110" i="5"/>
  <c r="K109" i="5"/>
  <c r="K108" i="5"/>
  <c r="L108" i="5" s="1"/>
  <c r="K129" i="5"/>
  <c r="K130" i="5"/>
  <c r="L130" i="5" s="1"/>
  <c r="K131" i="5"/>
  <c r="L131" i="5" s="1"/>
  <c r="K132" i="5"/>
  <c r="L132" i="5" s="1"/>
  <c r="K133" i="5"/>
  <c r="L133" i="5" s="1"/>
  <c r="K118" i="5"/>
  <c r="L118" i="5" s="1"/>
  <c r="K119" i="5"/>
  <c r="K120" i="5"/>
  <c r="K121" i="5"/>
  <c r="K122" i="5"/>
  <c r="C123" i="5"/>
  <c r="G123" i="5"/>
  <c r="H123" i="5"/>
  <c r="I123" i="5"/>
  <c r="H105" i="5"/>
  <c r="I105" i="5"/>
  <c r="J105" i="5"/>
  <c r="G105" i="5"/>
  <c r="C105" i="5"/>
  <c r="I103" i="5"/>
  <c r="H103" i="5"/>
  <c r="G103" i="5"/>
  <c r="C103" i="5"/>
  <c r="K102" i="5"/>
  <c r="K101" i="5"/>
  <c r="K100" i="5"/>
  <c r="K99" i="5"/>
  <c r="K98" i="5"/>
  <c r="L98" i="5" s="1"/>
  <c r="L129" i="5" l="1"/>
  <c r="L134" i="5"/>
  <c r="L158" i="5"/>
  <c r="K160" i="5"/>
  <c r="L160" i="5" s="1"/>
  <c r="K165" i="5"/>
  <c r="L165" i="5" s="1"/>
  <c r="K115" i="5"/>
  <c r="K113" i="5"/>
  <c r="L113" i="5" s="1"/>
  <c r="K123" i="5"/>
  <c r="L123" i="5" s="1"/>
  <c r="K105" i="5"/>
  <c r="K103" i="5"/>
  <c r="L103" i="5" s="1"/>
  <c r="C10" i="4" l="1"/>
  <c r="C9" i="4"/>
  <c r="C8" i="4"/>
  <c r="C47" i="4"/>
  <c r="K92" i="5" l="1"/>
  <c r="L92" i="5" l="1"/>
  <c r="K45" i="5"/>
  <c r="K26" i="5"/>
  <c r="K151" i="5"/>
  <c r="J6" i="4"/>
  <c r="I6" i="4"/>
  <c r="H6" i="4"/>
  <c r="G6" i="4"/>
  <c r="L151" i="5" l="1"/>
  <c r="L26" i="5"/>
  <c r="L45" i="5"/>
  <c r="C31" i="4"/>
  <c r="J48" i="7"/>
  <c r="H48" i="7"/>
  <c r="I48" i="7"/>
  <c r="G48" i="7"/>
  <c r="G30" i="7"/>
  <c r="I30" i="7"/>
  <c r="K43" i="7"/>
  <c r="L43" i="7" s="1"/>
  <c r="I30" i="8"/>
  <c r="J30" i="8"/>
  <c r="H30" i="8"/>
  <c r="C30" i="8"/>
  <c r="L25" i="8"/>
  <c r="C6" i="4" l="1"/>
  <c r="J51" i="8" l="1"/>
  <c r="I51" i="8"/>
  <c r="H51" i="8"/>
  <c r="G51" i="8"/>
  <c r="C51" i="8"/>
  <c r="K50" i="8"/>
  <c r="L50" i="8" s="1"/>
  <c r="K49" i="8"/>
  <c r="L49" i="8" s="1"/>
  <c r="K48" i="8"/>
  <c r="L48" i="8" s="1"/>
  <c r="K47" i="8"/>
  <c r="L47" i="8" s="1"/>
  <c r="K46" i="8"/>
  <c r="K43" i="8"/>
  <c r="K42" i="8"/>
  <c r="K41" i="8"/>
  <c r="L41" i="8" s="1"/>
  <c r="J39" i="8"/>
  <c r="I39" i="8"/>
  <c r="H39" i="8"/>
  <c r="G39" i="8"/>
  <c r="C39" i="8"/>
  <c r="K38" i="8"/>
  <c r="L38" i="8" s="1"/>
  <c r="B38" i="8"/>
  <c r="A38" i="8"/>
  <c r="K37" i="8"/>
  <c r="L37" i="8" s="1"/>
  <c r="B37" i="8"/>
  <c r="A37" i="8"/>
  <c r="K36" i="8"/>
  <c r="L36" i="8" s="1"/>
  <c r="B36" i="8"/>
  <c r="A36" i="8"/>
  <c r="K35" i="8"/>
  <c r="L35" i="8" s="1"/>
  <c r="B35" i="8"/>
  <c r="A35" i="8"/>
  <c r="K34" i="8"/>
  <c r="L34" i="8" s="1"/>
  <c r="B34" i="8"/>
  <c r="A34" i="8"/>
  <c r="G30" i="8"/>
  <c r="K29" i="8"/>
  <c r="L29" i="8" s="1"/>
  <c r="K28" i="8"/>
  <c r="L28" i="8" s="1"/>
  <c r="K27" i="8"/>
  <c r="L27" i="8" s="1"/>
  <c r="K26" i="8"/>
  <c r="L26" i="8" s="1"/>
  <c r="K24" i="8"/>
  <c r="J20" i="8"/>
  <c r="I20" i="8"/>
  <c r="H20" i="8"/>
  <c r="G20" i="8"/>
  <c r="C20" i="8"/>
  <c r="K19" i="8"/>
  <c r="L19" i="8" s="1"/>
  <c r="K18" i="8"/>
  <c r="L18" i="8" s="1"/>
  <c r="K17" i="8"/>
  <c r="L17" i="8" s="1"/>
  <c r="K16" i="8"/>
  <c r="L16" i="8" s="1"/>
  <c r="K15" i="8"/>
  <c r="L15" i="8" s="1"/>
  <c r="J11" i="8"/>
  <c r="I11" i="8"/>
  <c r="H11" i="8"/>
  <c r="G11" i="8"/>
  <c r="C11" i="8"/>
  <c r="K10" i="8"/>
  <c r="L10" i="8" s="1"/>
  <c r="K9" i="8"/>
  <c r="L9" i="8" s="1"/>
  <c r="K8" i="8"/>
  <c r="L8" i="8" s="1"/>
  <c r="K7" i="8"/>
  <c r="L7" i="8" s="1"/>
  <c r="K6" i="8"/>
  <c r="L6" i="8" s="1"/>
  <c r="K36" i="4"/>
  <c r="L36" i="4" s="1"/>
  <c r="K21" i="4"/>
  <c r="K24" i="7"/>
  <c r="L24" i="7" s="1"/>
  <c r="K82" i="5"/>
  <c r="L24" i="8" l="1"/>
  <c r="K30" i="8"/>
  <c r="L30" i="8" s="1"/>
  <c r="K6" i="4"/>
  <c r="L6" i="4" s="1"/>
  <c r="L82" i="5"/>
  <c r="K51" i="8"/>
  <c r="L51" i="8" s="1"/>
  <c r="K11" i="8"/>
  <c r="L11" i="8" s="1"/>
  <c r="L46" i="8"/>
  <c r="K39" i="8"/>
  <c r="L39" i="8" s="1"/>
  <c r="K20" i="8"/>
  <c r="L20" i="8" s="1"/>
  <c r="J10" i="5"/>
  <c r="I10" i="5"/>
  <c r="H10" i="5"/>
  <c r="K154" i="5"/>
  <c r="L154" i="5" s="1"/>
  <c r="K153" i="5"/>
  <c r="K152" i="5"/>
  <c r="K84" i="5"/>
  <c r="K47" i="5"/>
  <c r="K28" i="5"/>
  <c r="L152" i="5" l="1"/>
  <c r="L155" i="5"/>
  <c r="L153" i="5"/>
  <c r="J67" i="5" l="1"/>
  <c r="I67" i="5"/>
  <c r="H67" i="5"/>
  <c r="G67" i="5"/>
  <c r="C67" i="5"/>
  <c r="K66" i="5"/>
  <c r="L66" i="5" s="1"/>
  <c r="K65" i="5"/>
  <c r="L65" i="5" s="1"/>
  <c r="K64" i="5"/>
  <c r="L64" i="5" s="1"/>
  <c r="K63" i="5"/>
  <c r="L63" i="5" s="1"/>
  <c r="K62" i="5"/>
  <c r="L62" i="5" s="1"/>
  <c r="C7" i="4"/>
  <c r="C16" i="4" s="1"/>
  <c r="K67" i="5" l="1"/>
  <c r="L67" i="5" s="1"/>
  <c r="K94" i="5"/>
  <c r="K93" i="5"/>
  <c r="K85" i="5"/>
  <c r="K83" i="5"/>
  <c r="J39" i="5"/>
  <c r="I39" i="5"/>
  <c r="H39" i="5"/>
  <c r="G39" i="5"/>
  <c r="C39" i="5"/>
  <c r="K38" i="5"/>
  <c r="L38" i="5" s="1"/>
  <c r="K37" i="5"/>
  <c r="K36" i="5"/>
  <c r="K35" i="5"/>
  <c r="K34" i="5"/>
  <c r="L34" i="5" s="1"/>
  <c r="K29" i="5"/>
  <c r="K27" i="5"/>
  <c r="B9" i="4"/>
  <c r="B10" i="4" s="1"/>
  <c r="B12" i="4" s="1"/>
  <c r="B13" i="4" s="1"/>
  <c r="B14" i="4" s="1"/>
  <c r="A8" i="4"/>
  <c r="A9" i="4" s="1"/>
  <c r="A10" i="4" s="1"/>
  <c r="A11" i="4" s="1"/>
  <c r="A12" i="4" s="1"/>
  <c r="A13" i="4" s="1"/>
  <c r="A15" i="4" s="1"/>
  <c r="L30" i="5" l="1"/>
  <c r="L93" i="5"/>
  <c r="L27" i="5"/>
  <c r="L83" i="5"/>
  <c r="L86" i="5"/>
  <c r="K39" i="5"/>
  <c r="L39" i="5" s="1"/>
  <c r="K47" i="7" l="1"/>
  <c r="K46" i="7"/>
  <c r="K45" i="7"/>
  <c r="K44" i="7"/>
  <c r="J20" i="7"/>
  <c r="I20" i="7"/>
  <c r="H20" i="7"/>
  <c r="G20" i="7"/>
  <c r="C20" i="7"/>
  <c r="K19" i="7"/>
  <c r="L19" i="7" s="1"/>
  <c r="K18" i="7"/>
  <c r="L18" i="7" s="1"/>
  <c r="K17" i="7"/>
  <c r="L17" i="7" s="1"/>
  <c r="K16" i="7"/>
  <c r="L16" i="7" s="1"/>
  <c r="K15" i="7"/>
  <c r="J11" i="7"/>
  <c r="I11" i="7"/>
  <c r="H11" i="7"/>
  <c r="G11" i="7"/>
  <c r="C11" i="7"/>
  <c r="K10" i="7"/>
  <c r="L10" i="7" s="1"/>
  <c r="K9" i="7"/>
  <c r="L9" i="7" s="1"/>
  <c r="K8" i="7"/>
  <c r="L8" i="7" s="1"/>
  <c r="K7" i="7"/>
  <c r="L7" i="7" s="1"/>
  <c r="K6" i="7"/>
  <c r="L6" i="7" s="1"/>
  <c r="K48" i="7" l="1"/>
  <c r="K20" i="7"/>
  <c r="L20" i="7" s="1"/>
  <c r="L48" i="7"/>
  <c r="L15" i="7"/>
  <c r="L44" i="7"/>
  <c r="K11" i="7"/>
  <c r="L11" i="7" s="1"/>
  <c r="C15" i="4"/>
  <c r="C14" i="4"/>
  <c r="C13" i="4"/>
  <c r="C12" i="4"/>
  <c r="C11" i="4"/>
  <c r="J57" i="7" l="1"/>
  <c r="I57" i="7"/>
  <c r="H57" i="7"/>
  <c r="G57" i="7"/>
  <c r="C57" i="7"/>
  <c r="K56" i="7"/>
  <c r="L56" i="7" s="1"/>
  <c r="K55" i="7"/>
  <c r="L55" i="7" s="1"/>
  <c r="K54" i="7"/>
  <c r="L54" i="7" s="1"/>
  <c r="K53" i="7"/>
  <c r="L53" i="7" s="1"/>
  <c r="K52" i="7"/>
  <c r="G11" i="4"/>
  <c r="H11" i="4"/>
  <c r="I11" i="4"/>
  <c r="J11" i="4"/>
  <c r="G12" i="4"/>
  <c r="H12" i="4"/>
  <c r="I12" i="4"/>
  <c r="J12" i="4"/>
  <c r="G13" i="4"/>
  <c r="H13" i="4"/>
  <c r="I13" i="4"/>
  <c r="J13" i="4"/>
  <c r="G14" i="4"/>
  <c r="H14" i="4"/>
  <c r="I14" i="4"/>
  <c r="J14" i="4"/>
  <c r="G15" i="4"/>
  <c r="H15" i="4"/>
  <c r="I15" i="4"/>
  <c r="J15" i="4"/>
  <c r="J10" i="4"/>
  <c r="J9" i="4"/>
  <c r="J8" i="4"/>
  <c r="J7" i="4"/>
  <c r="I10" i="4"/>
  <c r="I9" i="4"/>
  <c r="I8" i="4"/>
  <c r="I7" i="4"/>
  <c r="I16" i="4" s="1"/>
  <c r="H10" i="4"/>
  <c r="H9" i="4"/>
  <c r="H8" i="4"/>
  <c r="H7" i="4"/>
  <c r="G10" i="4"/>
  <c r="G9" i="4"/>
  <c r="G8" i="4"/>
  <c r="G7" i="4"/>
  <c r="G16" i="4" s="1"/>
  <c r="J48" i="4"/>
  <c r="I48" i="4"/>
  <c r="H48" i="4"/>
  <c r="G48" i="4"/>
  <c r="C48" i="4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K47" i="4" s="1"/>
  <c r="H16" i="4" l="1"/>
  <c r="J16" i="4"/>
  <c r="L47" i="4"/>
  <c r="K57" i="7"/>
  <c r="C17" i="4"/>
  <c r="H17" i="4"/>
  <c r="L57" i="7"/>
  <c r="I17" i="4"/>
  <c r="J17" i="4"/>
  <c r="G17" i="4"/>
  <c r="L52" i="7"/>
  <c r="K48" i="4"/>
  <c r="L48" i="4" s="1"/>
  <c r="L37" i="4"/>
  <c r="H39" i="7"/>
  <c r="H30" i="7"/>
  <c r="H76" i="5"/>
  <c r="H58" i="5"/>
  <c r="H20" i="5"/>
  <c r="H11" i="5" l="1"/>
  <c r="C11" i="5"/>
  <c r="A34" i="7" l="1"/>
  <c r="A36" i="7"/>
  <c r="A38" i="7"/>
  <c r="B34" i="7"/>
  <c r="B36" i="7"/>
  <c r="B38" i="7"/>
  <c r="A35" i="7"/>
  <c r="A37" i="7"/>
  <c r="B35" i="7"/>
  <c r="B37" i="7"/>
  <c r="K48" i="5" l="1"/>
  <c r="K46" i="5"/>
  <c r="J39" i="7"/>
  <c r="I39" i="7"/>
  <c r="G39" i="7"/>
  <c r="C39" i="7"/>
  <c r="K38" i="7"/>
  <c r="L38" i="7" s="1"/>
  <c r="K37" i="7"/>
  <c r="L37" i="7" s="1"/>
  <c r="K36" i="7"/>
  <c r="L36" i="7" s="1"/>
  <c r="K35" i="7"/>
  <c r="L35" i="7" s="1"/>
  <c r="K34" i="7"/>
  <c r="L34" i="7" s="1"/>
  <c r="L49" i="5" l="1"/>
  <c r="L46" i="5"/>
  <c r="K39" i="7"/>
  <c r="L39" i="7" s="1"/>
  <c r="J58" i="5" l="1"/>
  <c r="J30" i="7" l="1"/>
  <c r="K29" i="7"/>
  <c r="K28" i="7"/>
  <c r="K27" i="7"/>
  <c r="K26" i="7"/>
  <c r="K25" i="7"/>
  <c r="K16" i="5"/>
  <c r="K17" i="5"/>
  <c r="K18" i="5"/>
  <c r="K19" i="5"/>
  <c r="L19" i="5" s="1"/>
  <c r="C20" i="5"/>
  <c r="G20" i="5"/>
  <c r="I20" i="5"/>
  <c r="J20" i="5"/>
  <c r="I76" i="5"/>
  <c r="G76" i="5"/>
  <c r="C76" i="5"/>
  <c r="K75" i="5"/>
  <c r="L75" i="5" s="1"/>
  <c r="K74" i="5"/>
  <c r="K73" i="5"/>
  <c r="K72" i="5"/>
  <c r="K71" i="5"/>
  <c r="L71" i="5" s="1"/>
  <c r="I58" i="5"/>
  <c r="K57" i="5"/>
  <c r="L57" i="5" s="1"/>
  <c r="K56" i="5"/>
  <c r="L56" i="5" s="1"/>
  <c r="K55" i="5"/>
  <c r="L55" i="5" s="1"/>
  <c r="K54" i="5"/>
  <c r="L54" i="5" s="1"/>
  <c r="K53" i="5"/>
  <c r="L53" i="5" s="1"/>
  <c r="K15" i="5"/>
  <c r="L15" i="5" s="1"/>
  <c r="L25" i="7" l="1"/>
  <c r="L29" i="7"/>
  <c r="L27" i="7"/>
  <c r="L28" i="7"/>
  <c r="L26" i="7"/>
  <c r="K9" i="5"/>
  <c r="K8" i="5"/>
  <c r="K10" i="5"/>
  <c r="K7" i="5"/>
  <c r="K30" i="7"/>
  <c r="J11" i="5"/>
  <c r="I11" i="5"/>
  <c r="K6" i="5"/>
  <c r="L6" i="5" s="1"/>
  <c r="G11" i="5"/>
  <c r="K20" i="5"/>
  <c r="L20" i="5" s="1"/>
  <c r="K76" i="5"/>
  <c r="L76" i="5" s="1"/>
  <c r="K58" i="5"/>
  <c r="L58" i="5" s="1"/>
  <c r="L30" i="7" l="1"/>
  <c r="K11" i="5"/>
  <c r="L11" i="5" s="1"/>
  <c r="K22" i="4" l="1"/>
  <c r="K23" i="4"/>
  <c r="K8" i="4" s="1"/>
  <c r="K24" i="4"/>
  <c r="K9" i="4" s="1"/>
  <c r="K25" i="4"/>
  <c r="K10" i="4" s="1"/>
  <c r="K26" i="4"/>
  <c r="K11" i="4" s="1"/>
  <c r="L11" i="4" s="1"/>
  <c r="K27" i="4"/>
  <c r="K12" i="4" s="1"/>
  <c r="L12" i="4" s="1"/>
  <c r="K28" i="4"/>
  <c r="K13" i="4" s="1"/>
  <c r="L13" i="4" s="1"/>
  <c r="K29" i="4"/>
  <c r="K14" i="4" s="1"/>
  <c r="L14" i="4" s="1"/>
  <c r="K30" i="4"/>
  <c r="K15" i="4" s="1"/>
  <c r="L15" i="4" s="1"/>
  <c r="K7" i="4" l="1"/>
  <c r="K31" i="4"/>
  <c r="K16" i="4"/>
  <c r="L16" i="4" s="1"/>
  <c r="L7" i="4"/>
  <c r="K17" i="4"/>
  <c r="L17" i="4" s="1"/>
  <c r="H32" i="4"/>
  <c r="G32" i="4"/>
  <c r="L30" i="4"/>
  <c r="L29" i="4"/>
  <c r="L28" i="4"/>
  <c r="L27" i="4"/>
  <c r="L26" i="4" l="1"/>
  <c r="I32" i="4" l="1"/>
  <c r="J32" i="4"/>
  <c r="L31" i="4" l="1"/>
  <c r="K32" i="4"/>
  <c r="L32" i="4" s="1"/>
  <c r="L22" i="4"/>
  <c r="L95" i="5" l="1"/>
  <c r="G10" i="5"/>
</calcChain>
</file>

<file path=xl/sharedStrings.xml><?xml version="1.0" encoding="utf-8"?>
<sst xmlns="http://schemas.openxmlformats.org/spreadsheetml/2006/main" count="1100" uniqueCount="101">
  <si>
    <t>Policy Year</t>
  </si>
  <si>
    <t>Total:</t>
  </si>
  <si>
    <t>Premium</t>
  </si>
  <si>
    <t>Policy No.</t>
  </si>
  <si>
    <t>Loss Ratio</t>
  </si>
  <si>
    <t>5-Year Loss Ratio:</t>
  </si>
  <si>
    <t>Historic Loss Ratios</t>
  </si>
  <si>
    <t>Evaluation Date:</t>
  </si>
  <si>
    <t>ZZZ</t>
  </si>
  <si>
    <t>ZZZ/ZZZ/ZZZ</t>
  </si>
  <si>
    <t>5-Year:</t>
  </si>
  <si>
    <t>10-Year:</t>
  </si>
  <si>
    <t>No. of Claims</t>
  </si>
  <si>
    <t>No. of Open Claims</t>
  </si>
  <si>
    <t>Description</t>
  </si>
  <si>
    <t>Insurer</t>
  </si>
  <si>
    <t>Policy Number</t>
  </si>
  <si>
    <t xml:space="preserve">Workers Compensation </t>
  </si>
  <si>
    <t>Executive Risk</t>
  </si>
  <si>
    <t>Evaluation Date</t>
  </si>
  <si>
    <t>Policy Period</t>
  </si>
  <si>
    <t>Crime</t>
  </si>
  <si>
    <t>Date of Loss</t>
  </si>
  <si>
    <t>Open or Notable Claims: more than $50,000 over the Deductible/Self-Insured Retention</t>
  </si>
  <si>
    <t>Open or
Closed?</t>
  </si>
  <si>
    <t>Comments</t>
  </si>
  <si>
    <t>All Property &amp; Casualty</t>
  </si>
  <si>
    <t>Total 
Incurred Loss</t>
  </si>
  <si>
    <t>No. of 
Open Claims</t>
  </si>
  <si>
    <t>Paid Loss/Expense</t>
  </si>
  <si>
    <t>Reserved 
Loss/Expense</t>
  </si>
  <si>
    <t>Reserved Loss/Expense</t>
  </si>
  <si>
    <t>Cyber Liability</t>
  </si>
  <si>
    <t>Foreign Package</t>
  </si>
  <si>
    <t>Total 
Loss Ratio</t>
  </si>
  <si>
    <t>Claim Number</t>
  </si>
  <si>
    <t>Claimant /
Claim Name</t>
  </si>
  <si>
    <t xml:space="preserve"> </t>
  </si>
  <si>
    <t>Various</t>
  </si>
  <si>
    <t>Defense Base Act</t>
  </si>
  <si>
    <t>Coverage: Miscellaneous</t>
  </si>
  <si>
    <t>Line of Coverage</t>
  </si>
  <si>
    <t>Loss Summary for: T5 Data Centers, LLC</t>
  </si>
  <si>
    <t>Coverage: Technology Errors &amp; Omissions</t>
  </si>
  <si>
    <t>Technology Errors &amp; Omissions</t>
  </si>
  <si>
    <t>Excess Technology Errors &amp; Omissions</t>
  </si>
  <si>
    <t>Ironshore</t>
  </si>
  <si>
    <t>EO5NAA48NL003</t>
  </si>
  <si>
    <t>EO5NAA48NL002</t>
  </si>
  <si>
    <t>EO5NAA48NL005</t>
  </si>
  <si>
    <t>EO5NAA48NL004</t>
  </si>
  <si>
    <t>Ascent</t>
  </si>
  <si>
    <t>CNA</t>
  </si>
  <si>
    <t>Chubb</t>
  </si>
  <si>
    <t>T5 Construction General Liability</t>
  </si>
  <si>
    <t>T5 Data Centers Business Auto</t>
  </si>
  <si>
    <t>T5 Construction Business Auto</t>
  </si>
  <si>
    <t>T5 Data Centers Umbrella</t>
  </si>
  <si>
    <t>T5 Construction Umbrella</t>
  </si>
  <si>
    <t>Travelers</t>
  </si>
  <si>
    <t>71N15465</t>
  </si>
  <si>
    <t>Workers Compensation - CA Only</t>
  </si>
  <si>
    <t>As of 3/10/2020</t>
  </si>
  <si>
    <t>T5 Data Centers Package (General Liability &amp; Property)</t>
  </si>
  <si>
    <t>ASH19H009143</t>
  </si>
  <si>
    <t>0.79%*</t>
  </si>
  <si>
    <t>49.09%*</t>
  </si>
  <si>
    <t>T5 Construction 2nd Excess Umbrella</t>
  </si>
  <si>
    <t>Zurich</t>
  </si>
  <si>
    <t>8242-7600</t>
  </si>
  <si>
    <t xml:space="preserve">Loss Summary for: T5 Construction Services, LLC               
</t>
  </si>
  <si>
    <t>T5 Construction 3rd Excess Umbrella</t>
  </si>
  <si>
    <t>RSUI</t>
  </si>
  <si>
    <t>NHA090585</t>
  </si>
  <si>
    <t>8242-7599</t>
  </si>
  <si>
    <t>2-Year:</t>
  </si>
  <si>
    <t>Coverage: Contractor's Professional &amp; Pollution Liability</t>
  </si>
  <si>
    <t xml:space="preserve"> Contractor's Professional &amp; Pollution Liability</t>
  </si>
  <si>
    <t>EO5NAA48NL006</t>
  </si>
  <si>
    <t xml:space="preserve"> 2/12/2021</t>
  </si>
  <si>
    <t>6-Year Loss Ratio:</t>
  </si>
  <si>
    <t>T5DC Package</t>
  </si>
  <si>
    <t>T5DC Business Auto</t>
  </si>
  <si>
    <t>T5DC Umbrella</t>
  </si>
  <si>
    <t>Workers Compensation</t>
  </si>
  <si>
    <t>Workers Compensation CA</t>
  </si>
  <si>
    <t xml:space="preserve"> 2/26/2021</t>
  </si>
  <si>
    <t>T5CS Foreign Package</t>
  </si>
  <si>
    <t>T5DC Foreign Package</t>
  </si>
  <si>
    <t>PST673378561</t>
  </si>
  <si>
    <t>WP673285961</t>
  </si>
  <si>
    <t>Loss Summary for: T5 Construction Services, LLC</t>
  </si>
  <si>
    <t>NHA094559</t>
  </si>
  <si>
    <t>AEC 0465241</t>
  </si>
  <si>
    <t>*Highlighted Premiums are estimates</t>
  </si>
  <si>
    <t>T5 Construction 1st Excess Umbrella</t>
  </si>
  <si>
    <t>T5 Construction 4th Excess Umbrella</t>
  </si>
  <si>
    <t>EX-4S236512-21-NF</t>
  </si>
  <si>
    <t>NHA098510</t>
  </si>
  <si>
    <t>EX-4S236512-22-NF</t>
  </si>
  <si>
    <t>PST734885104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</si>
</sst>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4B65"/>
      <name val="Calibri"/>
      <family val="2"/>
      <scheme val="minor"/>
    </font>
    <font>
      <sz val="2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color rgb="FF004B65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theme="0"/>
      </right>
      <top/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theme="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/>
      </left>
      <right/>
      <top/>
      <bottom style="double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4" fillId="0" borderId="2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14" fontId="5" fillId="0" borderId="5" xfId="0" applyNumberFormat="1" applyFont="1" applyBorder="1" applyAlignment="1">
      <alignment horizontal="center" wrapText="1"/>
    </xf>
    <xf numFmtId="0" fontId="5" fillId="0" borderId="0" xfId="0" applyFont="1"/>
    <xf numFmtId="0" fontId="7" fillId="0" borderId="0" xfId="0" applyFont="1"/>
    <xf numFmtId="0" fontId="4" fillId="3" borderId="0" xfId="0" applyFont="1" applyFill="1" applyAlignment="1">
      <alignment horizontal="center"/>
    </xf>
    <xf numFmtId="0" fontId="4" fillId="2" borderId="19" xfId="0" applyFont="1" applyFill="1" applyBorder="1" applyAlignment="1">
      <alignment horizontal="center" wrapText="1"/>
    </xf>
    <xf numFmtId="10" fontId="5" fillId="2" borderId="23" xfId="0" applyNumberFormat="1" applyFont="1" applyFill="1" applyBorder="1" applyAlignment="1">
      <alignment horizontal="center"/>
    </xf>
    <xf numFmtId="10" fontId="5" fillId="2" borderId="13" xfId="0" applyNumberFormat="1" applyFont="1" applyFill="1" applyBorder="1" applyAlignment="1">
      <alignment horizontal="center"/>
    </xf>
    <xf numFmtId="4" fontId="5" fillId="0" borderId="0" xfId="0" applyNumberFormat="1" applyFont="1"/>
    <xf numFmtId="10" fontId="5" fillId="2" borderId="22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4" fillId="0" borderId="19" xfId="0" applyFont="1" applyBorder="1" applyAlignment="1">
      <alignment horizontal="center"/>
    </xf>
    <xf numFmtId="164" fontId="5" fillId="4" borderId="16" xfId="0" applyNumberFormat="1" applyFont="1" applyFill="1" applyBorder="1" applyAlignment="1">
      <alignment horizontal="center" wrapText="1"/>
    </xf>
    <xf numFmtId="164" fontId="5" fillId="4" borderId="5" xfId="0" applyNumberFormat="1" applyFont="1" applyFill="1" applyBorder="1" applyAlignment="1">
      <alignment horizontal="center" wrapText="1"/>
    </xf>
    <xf numFmtId="164" fontId="5" fillId="4" borderId="18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1" fontId="5" fillId="4" borderId="16" xfId="0" applyNumberFormat="1" applyFont="1" applyFill="1" applyBorder="1" applyAlignment="1">
      <alignment horizontal="center"/>
    </xf>
    <xf numFmtId="164" fontId="5" fillId="4" borderId="16" xfId="0" applyNumberFormat="1" applyFont="1" applyFill="1" applyBorder="1" applyAlignment="1">
      <alignment horizontal="center"/>
    </xf>
    <xf numFmtId="164" fontId="5" fillId="2" borderId="16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4" fontId="5" fillId="4" borderId="32" xfId="0" applyNumberFormat="1" applyFont="1" applyFill="1" applyBorder="1" applyAlignment="1">
      <alignment horizontal="center"/>
    </xf>
    <xf numFmtId="1" fontId="5" fillId="4" borderId="18" xfId="0" applyNumberFormat="1" applyFont="1" applyFill="1" applyBorder="1" applyAlignment="1">
      <alignment horizontal="center"/>
    </xf>
    <xf numFmtId="1" fontId="5" fillId="4" borderId="32" xfId="0" applyNumberFormat="1" applyFont="1" applyFill="1" applyBorder="1" applyAlignment="1">
      <alignment horizontal="center"/>
    </xf>
    <xf numFmtId="164" fontId="5" fillId="4" borderId="32" xfId="0" applyNumberFormat="1" applyFont="1" applyFill="1" applyBorder="1" applyAlignment="1">
      <alignment horizontal="center"/>
    </xf>
    <xf numFmtId="164" fontId="5" fillId="4" borderId="18" xfId="0" applyNumberFormat="1" applyFont="1" applyFill="1" applyBorder="1" applyAlignment="1">
      <alignment horizontal="center"/>
    </xf>
    <xf numFmtId="164" fontId="5" fillId="2" borderId="18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5" fillId="4" borderId="16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14" fontId="5" fillId="0" borderId="18" xfId="0" applyNumberFormat="1" applyFont="1" applyBorder="1" applyAlignment="1">
      <alignment horizontal="center" wrapText="1"/>
    </xf>
    <xf numFmtId="0" fontId="4" fillId="2" borderId="26" xfId="0" applyFont="1" applyFill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6" fontId="6" fillId="2" borderId="13" xfId="0" applyNumberFormat="1" applyFont="1" applyFill="1" applyBorder="1" applyAlignment="1">
      <alignment horizontal="center"/>
    </xf>
    <xf numFmtId="1" fontId="10" fillId="2" borderId="8" xfId="0" applyNumberFormat="1" applyFont="1" applyFill="1" applyBorder="1" applyAlignment="1">
      <alignment horizontal="center"/>
    </xf>
    <xf numFmtId="6" fontId="10" fillId="2" borderId="8" xfId="0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1" fontId="5" fillId="4" borderId="10" xfId="0" applyNumberFormat="1" applyFont="1" applyFill="1" applyBorder="1" applyAlignment="1">
      <alignment horizontal="center"/>
    </xf>
    <xf numFmtId="1" fontId="6" fillId="4" borderId="4" xfId="0" applyNumberFormat="1" applyFont="1" applyFill="1" applyBorder="1" applyAlignment="1">
      <alignment horizontal="center"/>
    </xf>
    <xf numFmtId="1" fontId="6" fillId="4" borderId="6" xfId="0" applyNumberFormat="1" applyFont="1" applyFill="1" applyBorder="1" applyAlignment="1">
      <alignment horizontal="center"/>
    </xf>
    <xf numFmtId="3" fontId="10" fillId="2" borderId="11" xfId="0" applyNumberFormat="1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3" fontId="10" fillId="2" borderId="17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center"/>
    </xf>
    <xf numFmtId="3" fontId="10" fillId="2" borderId="9" xfId="0" applyNumberFormat="1" applyFont="1" applyFill="1" applyBorder="1" applyAlignment="1">
      <alignment horizontal="center"/>
    </xf>
    <xf numFmtId="3" fontId="10" fillId="2" borderId="30" xfId="0" applyNumberFormat="1" applyFont="1" applyFill="1" applyBorder="1" applyAlignment="1">
      <alignment horizontal="center"/>
    </xf>
    <xf numFmtId="3" fontId="10" fillId="2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14" fontId="5" fillId="0" borderId="24" xfId="0" applyNumberFormat="1" applyFont="1" applyBorder="1" applyAlignment="1">
      <alignment horizontal="center" wrapText="1"/>
    </xf>
    <xf numFmtId="14" fontId="5" fillId="0" borderId="10" xfId="0" applyNumberFormat="1" applyFont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14" fontId="5" fillId="0" borderId="27" xfId="0" applyNumberFormat="1" applyFont="1" applyBorder="1" applyAlignment="1">
      <alignment horizontal="center" wrapText="1"/>
    </xf>
    <xf numFmtId="6" fontId="6" fillId="2" borderId="22" xfId="0" applyNumberFormat="1" applyFont="1" applyFill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164" fontId="6" fillId="2" borderId="13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 wrapText="1"/>
    </xf>
    <xf numFmtId="164" fontId="6" fillId="4" borderId="7" xfId="0" applyNumberFormat="1" applyFont="1" applyFill="1" applyBorder="1" applyAlignment="1">
      <alignment horizontal="center"/>
    </xf>
    <xf numFmtId="164" fontId="6" fillId="2" borderId="20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4" fontId="5" fillId="0" borderId="33" xfId="0" applyNumberFormat="1" applyFont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164" fontId="5" fillId="4" borderId="7" xfId="0" applyNumberFormat="1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/>
    </xf>
    <xf numFmtId="164" fontId="4" fillId="2" borderId="29" xfId="0" applyNumberFormat="1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1" fontId="6" fillId="4" borderId="10" xfId="0" applyNumberFormat="1" applyFont="1" applyFill="1" applyBorder="1" applyAlignment="1">
      <alignment horizontal="center"/>
    </xf>
    <xf numFmtId="1" fontId="6" fillId="4" borderId="3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7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7" xfId="0" applyFont="1" applyBorder="1" applyAlignment="1">
      <alignment horizontal="center"/>
    </xf>
    <xf numFmtId="164" fontId="5" fillId="2" borderId="9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5" fillId="4" borderId="20" xfId="0" applyFont="1" applyFill="1" applyBorder="1" applyAlignment="1">
      <alignment wrapText="1"/>
    </xf>
    <xf numFmtId="0" fontId="4" fillId="2" borderId="15" xfId="0" applyFont="1" applyFill="1" applyBorder="1" applyAlignment="1">
      <alignment horizontal="center" wrapText="1"/>
    </xf>
    <xf numFmtId="10" fontId="5" fillId="2" borderId="13" xfId="0" applyNumberFormat="1" applyFont="1" applyFill="1" applyBorder="1" applyAlignment="1">
      <alignment horizontal="center" wrapText="1"/>
    </xf>
    <xf numFmtId="10" fontId="5" fillId="2" borderId="34" xfId="0" applyNumberFormat="1" applyFont="1" applyFill="1" applyBorder="1" applyAlignment="1">
      <alignment horizontal="center"/>
    </xf>
    <xf numFmtId="10" fontId="5" fillId="2" borderId="35" xfId="0" applyNumberFormat="1" applyFont="1" applyFill="1" applyBorder="1" applyAlignment="1">
      <alignment horizontal="center"/>
    </xf>
    <xf numFmtId="6" fontId="4" fillId="2" borderId="23" xfId="0" applyNumberFormat="1" applyFont="1" applyFill="1" applyBorder="1" applyAlignment="1">
      <alignment horizontal="center" wrapText="1"/>
    </xf>
    <xf numFmtId="1" fontId="6" fillId="4" borderId="31" xfId="0" applyNumberFormat="1" applyFont="1" applyFill="1" applyBorder="1" applyAlignment="1">
      <alignment horizontal="center" wrapText="1"/>
    </xf>
    <xf numFmtId="3" fontId="10" fillId="2" borderId="8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0" fontId="5" fillId="2" borderId="0" xfId="0" applyNumberFormat="1" applyFont="1" applyFill="1"/>
    <xf numFmtId="14" fontId="5" fillId="4" borderId="10" xfId="0" applyNumberFormat="1" applyFont="1" applyFill="1" applyBorder="1" applyAlignment="1">
      <alignment horizontal="center" wrapText="1"/>
    </xf>
    <xf numFmtId="14" fontId="5" fillId="4" borderId="24" xfId="0" applyNumberFormat="1" applyFont="1" applyFill="1" applyBorder="1" applyAlignment="1">
      <alignment horizontal="center" wrapText="1"/>
    </xf>
    <xf numFmtId="14" fontId="5" fillId="4" borderId="33" xfId="0" applyNumberFormat="1" applyFont="1" applyFill="1" applyBorder="1" applyAlignment="1">
      <alignment horizontal="center" wrapText="1"/>
    </xf>
    <xf numFmtId="1" fontId="6" fillId="6" borderId="10" xfId="0" applyNumberFormat="1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164" fontId="5" fillId="2" borderId="36" xfId="0" applyNumberFormat="1" applyFont="1" applyFill="1" applyBorder="1" applyAlignment="1">
      <alignment horizontal="center"/>
    </xf>
    <xf numFmtId="3" fontId="5" fillId="2" borderId="36" xfId="0" applyNumberFormat="1" applyFont="1" applyFill="1" applyBorder="1" applyAlignment="1">
      <alignment horizontal="center"/>
    </xf>
    <xf numFmtId="10" fontId="4" fillId="2" borderId="37" xfId="0" applyNumberFormat="1" applyFont="1" applyFill="1" applyBorder="1" applyAlignment="1">
      <alignment horizontal="center"/>
    </xf>
    <xf numFmtId="0" fontId="4" fillId="0" borderId="23" xfId="0" applyFont="1" applyBorder="1" applyAlignment="1">
      <alignment horizontal="center" wrapText="1"/>
    </xf>
    <xf numFmtId="6" fontId="6" fillId="2" borderId="18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4" borderId="23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5" fillId="4" borderId="20" xfId="0" applyFont="1" applyFill="1" applyBorder="1" applyAlignment="1">
      <alignment horizontal="center" wrapText="1"/>
    </xf>
    <xf numFmtId="0" fontId="5" fillId="4" borderId="31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6" fillId="0" borderId="10" xfId="0" applyNumberFormat="1" applyFont="1" applyBorder="1" applyAlignment="1">
      <alignment horizontal="center" wrapText="1"/>
    </xf>
    <xf numFmtId="1" fontId="6" fillId="0" borderId="4" xfId="0" applyNumberFormat="1" applyFont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1" fontId="6" fillId="0" borderId="31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0" fontId="5" fillId="0" borderId="2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5" fillId="4" borderId="2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left"/>
    </xf>
    <xf numFmtId="14" fontId="1" fillId="4" borderId="5" xfId="0" applyNumberFormat="1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164" fontId="5" fillId="2" borderId="16" xfId="0" applyNumberFormat="1" applyFont="1" applyFill="1" applyBorder="1" applyAlignment="1">
      <alignment horizontal="center" wrapText="1"/>
    </xf>
    <xf numFmtId="164" fontId="5" fillId="2" borderId="5" xfId="0" applyNumberFormat="1" applyFont="1" applyFill="1" applyBorder="1" applyAlignment="1">
      <alignment horizontal="center" wrapText="1"/>
    </xf>
    <xf numFmtId="164" fontId="5" fillId="2" borderId="18" xfId="0" applyNumberFormat="1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1" fillId="4" borderId="10" xfId="0" applyFont="1" applyFill="1" applyBorder="1" applyAlignment="1">
      <alignment horizontal="left"/>
    </xf>
    <xf numFmtId="0" fontId="5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horizontal="left" wrapText="1"/>
    </xf>
    <xf numFmtId="0" fontId="1" fillId="4" borderId="31" xfId="0" applyFont="1" applyFill="1" applyBorder="1" applyAlignment="1">
      <alignment horizontal="left"/>
    </xf>
    <xf numFmtId="14" fontId="1" fillId="4" borderId="7" xfId="0" applyNumberFormat="1" applyFont="1" applyFill="1" applyBorder="1" applyAlignment="1">
      <alignment horizontal="left"/>
    </xf>
    <xf numFmtId="0" fontId="5" fillId="4" borderId="7" xfId="0" applyFont="1" applyFill="1" applyBorder="1" applyAlignment="1">
      <alignment wrapText="1"/>
    </xf>
    <xf numFmtId="0" fontId="1" fillId="4" borderId="7" xfId="0" applyFont="1" applyFill="1" applyBorder="1" applyAlignment="1">
      <alignment horizontal="left" wrapText="1"/>
    </xf>
    <xf numFmtId="14" fontId="5" fillId="4" borderId="15" xfId="0" applyNumberFormat="1" applyFont="1" applyFill="1" applyBorder="1" applyAlignment="1">
      <alignment horizontal="center"/>
    </xf>
    <xf numFmtId="14" fontId="5" fillId="4" borderId="38" xfId="0" applyNumberFormat="1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14" fontId="5" fillId="4" borderId="5" xfId="0" applyNumberFormat="1" applyFont="1" applyFill="1" applyBorder="1" applyAlignment="1">
      <alignment horizontal="center" wrapText="1"/>
    </xf>
    <xf numFmtId="164" fontId="10" fillId="2" borderId="0" xfId="0" applyNumberFormat="1" applyFont="1" applyFill="1" applyAlignment="1">
      <alignment horizontal="center"/>
    </xf>
    <xf numFmtId="3" fontId="10" fillId="2" borderId="39" xfId="0" applyNumberFormat="1" applyFont="1" applyFill="1" applyBorder="1" applyAlignment="1">
      <alignment horizontal="center"/>
    </xf>
    <xf numFmtId="3" fontId="10" fillId="2" borderId="29" xfId="0" applyNumberFormat="1" applyFont="1" applyFill="1" applyBorder="1" applyAlignment="1">
      <alignment horizontal="center"/>
    </xf>
    <xf numFmtId="1" fontId="5" fillId="4" borderId="24" xfId="0" applyNumberFormat="1" applyFont="1" applyFill="1" applyBorder="1" applyAlignment="1">
      <alignment horizontal="center"/>
    </xf>
    <xf numFmtId="14" fontId="6" fillId="4" borderId="10" xfId="0" applyNumberFormat="1" applyFont="1" applyFill="1" applyBorder="1" applyAlignment="1">
      <alignment horizontal="center" wrapText="1"/>
    </xf>
    <xf numFmtId="1" fontId="6" fillId="0" borderId="5" xfId="0" applyNumberFormat="1" applyFont="1" applyBorder="1" applyAlignment="1">
      <alignment horizontal="center"/>
    </xf>
    <xf numFmtId="1" fontId="5" fillId="4" borderId="40" xfId="0" applyNumberFormat="1" applyFont="1" applyFill="1" applyBorder="1" applyAlignment="1">
      <alignment horizontal="center"/>
    </xf>
    <xf numFmtId="164" fontId="5" fillId="4" borderId="40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 wrapText="1"/>
    </xf>
    <xf numFmtId="14" fontId="5" fillId="0" borderId="38" xfId="0" applyNumberFormat="1" applyFont="1" applyBorder="1" applyAlignment="1">
      <alignment horizontal="center" wrapText="1"/>
    </xf>
    <xf numFmtId="1" fontId="5" fillId="4" borderId="38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14" fontId="0" fillId="2" borderId="0" xfId="0" applyNumberFormat="1" applyFill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15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 wrapText="1"/>
    </xf>
    <xf numFmtId="1" fontId="5" fillId="0" borderId="16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 wrapText="1"/>
    </xf>
    <xf numFmtId="14" fontId="5" fillId="2" borderId="15" xfId="0" applyNumberFormat="1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 wrapText="1"/>
    </xf>
    <xf numFmtId="6" fontId="5" fillId="0" borderId="23" xfId="0" applyNumberFormat="1" applyFont="1" applyBorder="1" applyAlignment="1">
      <alignment horizontal="center"/>
    </xf>
    <xf numFmtId="6" fontId="5" fillId="0" borderId="16" xfId="0" applyNumberFormat="1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14" xfId="0" applyNumberFormat="1" applyFont="1" applyBorder="1" applyAlignment="1">
      <alignment horizontal="center" wrapText="1"/>
    </xf>
    <xf numFmtId="14" fontId="5" fillId="2" borderId="14" xfId="0" applyNumberFormat="1" applyFont="1" applyFill="1" applyBorder="1" applyAlignment="1">
      <alignment horizontal="center" wrapText="1"/>
    </xf>
    <xf numFmtId="14" fontId="5" fillId="2" borderId="16" xfId="0" applyNumberFormat="1" applyFont="1" applyFill="1" applyBorder="1" applyAlignment="1">
      <alignment horizontal="center"/>
    </xf>
    <xf numFmtId="1" fontId="5" fillId="2" borderId="16" xfId="0" applyNumberFormat="1" applyFont="1" applyFill="1" applyBorder="1" applyAlignment="1">
      <alignment horizontal="center"/>
    </xf>
    <xf numFmtId="14" fontId="5" fillId="2" borderId="10" xfId="0" applyNumberFormat="1" applyFont="1" applyFill="1" applyBorder="1" applyAlignment="1">
      <alignment horizontal="center"/>
    </xf>
    <xf numFmtId="14" fontId="5" fillId="0" borderId="16" xfId="0" applyNumberFormat="1" applyFont="1" applyBorder="1" applyAlignment="1">
      <alignment horizontal="center" wrapText="1"/>
    </xf>
    <xf numFmtId="1" fontId="5" fillId="7" borderId="10" xfId="0" applyNumberFormat="1" applyFont="1" applyFill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164" fontId="5" fillId="0" borderId="41" xfId="0" applyNumberFormat="1" applyFont="1" applyBorder="1" applyAlignment="1">
      <alignment horizontal="center"/>
    </xf>
    <xf numFmtId="164" fontId="5" fillId="7" borderId="16" xfId="0" applyNumberFormat="1" applyFont="1" applyFill="1" applyBorder="1" applyAlignment="1">
      <alignment horizontal="center" wrapText="1"/>
    </xf>
    <xf numFmtId="14" fontId="4" fillId="2" borderId="16" xfId="0" applyNumberFormat="1" applyFont="1" applyFill="1" applyBorder="1" applyAlignment="1">
      <alignment horizontal="center" wrapText="1"/>
    </xf>
    <xf numFmtId="14" fontId="5" fillId="2" borderId="16" xfId="0" applyNumberFormat="1" applyFont="1" applyFill="1" applyBorder="1" applyAlignment="1">
      <alignment horizontal="center" wrapText="1"/>
    </xf>
    <xf numFmtId="164" fontId="5" fillId="7" borderId="16" xfId="0" applyNumberFormat="1" applyFont="1" applyFill="1" applyBorder="1" applyAlignment="1">
      <alignment horizontal="center"/>
    </xf>
    <xf numFmtId="164" fontId="5" fillId="7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4" fontId="6" fillId="0" borderId="31" xfId="0" applyNumberFormat="1" applyFont="1" applyBorder="1" applyAlignment="1">
      <alignment horizontal="center" wrapText="1"/>
    </xf>
    <xf numFmtId="164" fontId="5" fillId="7" borderId="18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wrapText="1"/>
    </xf>
    <xf numFmtId="164" fontId="5" fillId="2" borderId="23" xfId="0" applyNumberFormat="1" applyFont="1" applyFill="1" applyBorder="1" applyAlignment="1">
      <alignment horizontal="center"/>
    </xf>
    <xf numFmtId="164" fontId="5" fillId="2" borderId="19" xfId="0" applyNumberFormat="1" applyFont="1" applyFill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5" fillId="4" borderId="20" xfId="0" applyFont="1" applyFill="1" applyBorder="1" applyAlignment="1">
      <alignment horizontal="center" wrapText="1"/>
    </xf>
    <xf numFmtId="0" fontId="5" fillId="4" borderId="21" xfId="0" applyFont="1" applyFill="1" applyBorder="1" applyAlignment="1">
      <alignment horizontal="center" wrapText="1"/>
    </xf>
    <xf numFmtId="0" fontId="5" fillId="4" borderId="3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4" borderId="2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10" fontId="5" fillId="2" borderId="21" xfId="0" applyNumberFormat="1" applyFont="1" applyFill="1" applyBorder="1" applyAlignment="1">
      <alignment horizontal="center"/>
    </xf>
    <xf numFmtId="10" fontId="5" fillId="2" borderId="31" xfId="0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10" fontId="5" fillId="0" borderId="20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0" fontId="5" fillId="2" borderId="12" xfId="0" applyNumberFormat="1" applyFont="1" applyFill="1" applyBorder="1" applyAlignment="1">
      <alignment horizontal="center"/>
    </xf>
    <xf numFmtId="10" fontId="5" fillId="2" borderId="1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20" xfId="0" applyFont="1" applyFill="1" applyBorder="1" applyAlignment="1">
      <alignment horizontal="center" wrapText="1"/>
    </xf>
    <xf numFmtId="0" fontId="1" fillId="4" borderId="21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5" fillId="4" borderId="13" xfId="0" applyFont="1" applyFill="1" applyBorder="1" applyAlignment="1">
      <alignment horizontal="center" vertical="top" wrapText="1"/>
    </xf>
    <xf numFmtId="0" fontId="5" fillId="4" borderId="12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4B65"/>
      <color rgb="FF66717E"/>
      <color rgb="FF800000"/>
      <color rgb="FFDDDDDD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0</xdr:row>
      <xdr:rowOff>114300</xdr:rowOff>
    </xdr:from>
    <xdr:to>
      <xdr:col>11</xdr:col>
      <xdr:colOff>829917</xdr:colOff>
      <xdr:row>2</xdr:row>
      <xdr:rowOff>161925</xdr:rowOff>
    </xdr:to>
    <xdr:pic>
      <xdr:nvPicPr>
        <xdr:cNvPr id="2" name="Picture 3" descr="greyling-epic-logo-lg (3)">
          <a:extLst>
            <a:ext uri="{FF2B5EF4-FFF2-40B4-BE49-F238E27FC236}">
              <a16:creationId xmlns:a16="http://schemas.microsoft.com/office/drawing/2014/main" id="{CBB85554-62C3-4713-8367-CECAC73A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114300"/>
          <a:ext cx="152524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231913</xdr:colOff>
      <xdr:row>0</xdr:row>
      <xdr:rowOff>82828</xdr:rowOff>
    </xdr:from>
    <xdr:to>
      <xdr:col>11</xdr:col>
      <xdr:colOff>870916</xdr:colOff>
      <xdr:row>2</xdr:row>
      <xdr:rowOff>162755</xdr:rowOff>
    </xdr:to>
    <xdr:pic>
      <xdr:nvPicPr>
        <xdr:cNvPr id="4" name="Picture 3" descr="greyling-epic-logo-lg (3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4304" y="82828"/>
          <a:ext cx="152524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223629</xdr:colOff>
      <xdr:row>0</xdr:row>
      <xdr:rowOff>107675</xdr:rowOff>
    </xdr:from>
    <xdr:to>
      <xdr:col>11</xdr:col>
      <xdr:colOff>862632</xdr:colOff>
      <xdr:row>2</xdr:row>
      <xdr:rowOff>154472</xdr:rowOff>
    </xdr:to>
    <xdr:pic>
      <xdr:nvPicPr>
        <xdr:cNvPr id="5" name="Picture 3" descr="greyling-epic-logo-lg (3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020" y="107675"/>
          <a:ext cx="152524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0</xdr:row>
      <xdr:rowOff>114300</xdr:rowOff>
    </xdr:from>
    <xdr:to>
      <xdr:col>11</xdr:col>
      <xdr:colOff>829917</xdr:colOff>
      <xdr:row>2</xdr:row>
      <xdr:rowOff>161925</xdr:rowOff>
    </xdr:to>
    <xdr:pic>
      <xdr:nvPicPr>
        <xdr:cNvPr id="3" name="Picture 3" descr="greyling-epic-logo-lg (3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114300"/>
          <a:ext cx="152524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showGridLines="0" view="pageBreakPreview" zoomScaleNormal="100" zoomScaleSheetLayoutView="100" workbookViewId="0">
      <selection activeCell="D79" sqref="D79"/>
    </sheetView>
  </sheetViews>
  <sheetFormatPr defaultRowHeight="15" x14ac:dyDescent="0.25"/>
  <cols>
    <col min="1" max="2" width="13.28515625" style="81" customWidth="1"/>
    <col min="3" max="3" width="13.28515625" style="79" customWidth="1"/>
    <col min="4" max="12" width="13.28515625" style="81" customWidth="1"/>
    <col min="13" max="16384" width="9.140625" style="81"/>
  </cols>
  <sheetData>
    <row r="1" spans="1:13" s="79" customFormat="1" ht="26.25" x14ac:dyDescent="0.4">
      <c r="A1" s="249" t="s">
        <v>91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</row>
    <row r="2" spans="1:13" s="80" customFormat="1" ht="23.25" customHeight="1" x14ac:dyDescent="0.4">
      <c r="A2" s="249" t="s">
        <v>76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3" s="80" customFormat="1" ht="15" customHeight="1" x14ac:dyDescent="0.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s="85" customFormat="1" ht="15" hidden="1" customHeight="1" x14ac:dyDescent="0.25">
      <c r="A4" s="250" t="s">
        <v>33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1:13" s="85" customFormat="1" ht="26.25" hidden="1" x14ac:dyDescent="0.25">
      <c r="A5" s="238" t="s">
        <v>20</v>
      </c>
      <c r="B5" s="239"/>
      <c r="C5" s="72" t="s">
        <v>2</v>
      </c>
      <c r="D5" s="76" t="s">
        <v>15</v>
      </c>
      <c r="E5" s="45" t="s">
        <v>16</v>
      </c>
      <c r="F5" s="44" t="s">
        <v>19</v>
      </c>
      <c r="G5" s="7" t="s">
        <v>12</v>
      </c>
      <c r="H5" s="100" t="s">
        <v>28</v>
      </c>
      <c r="I5" s="108" t="s">
        <v>29</v>
      </c>
      <c r="J5" s="108" t="s">
        <v>30</v>
      </c>
      <c r="K5" s="104" t="s">
        <v>27</v>
      </c>
      <c r="L5" s="72" t="s">
        <v>4</v>
      </c>
    </row>
    <row r="6" spans="1:13" s="85" customFormat="1" ht="15" hidden="1" customHeight="1" x14ac:dyDescent="0.25">
      <c r="A6" s="59" t="s">
        <v>9</v>
      </c>
      <c r="B6" s="59" t="s">
        <v>9</v>
      </c>
      <c r="C6" s="26">
        <v>0</v>
      </c>
      <c r="D6" s="46" t="s">
        <v>8</v>
      </c>
      <c r="E6" s="46" t="s">
        <v>8</v>
      </c>
      <c r="F6" s="134" t="s">
        <v>9</v>
      </c>
      <c r="G6" s="135">
        <v>0</v>
      </c>
      <c r="H6" s="135">
        <v>0</v>
      </c>
      <c r="I6" s="40">
        <v>0</v>
      </c>
      <c r="J6" s="40">
        <v>0</v>
      </c>
      <c r="K6" s="136">
        <f>SUM(I6:J6)</f>
        <v>0</v>
      </c>
      <c r="L6" s="137" t="e">
        <f t="shared" ref="L6:L11" si="0">K6/C6</f>
        <v>#DIV/0!</v>
      </c>
    </row>
    <row r="7" spans="1:13" s="85" customFormat="1" ht="15" hidden="1" customHeight="1" x14ac:dyDescent="0.25">
      <c r="A7" s="59" t="s">
        <v>9</v>
      </c>
      <c r="B7" s="59" t="s">
        <v>9</v>
      </c>
      <c r="C7" s="26">
        <v>0</v>
      </c>
      <c r="D7" s="46" t="s">
        <v>8</v>
      </c>
      <c r="E7" s="46" t="s">
        <v>8</v>
      </c>
      <c r="F7" s="134" t="s">
        <v>9</v>
      </c>
      <c r="G7" s="135">
        <v>0</v>
      </c>
      <c r="H7" s="135">
        <v>0</v>
      </c>
      <c r="I7" s="40">
        <v>0</v>
      </c>
      <c r="J7" s="40">
        <v>0</v>
      </c>
      <c r="K7" s="136">
        <f>SUM(I7:J7)</f>
        <v>0</v>
      </c>
      <c r="L7" s="137" t="e">
        <f t="shared" si="0"/>
        <v>#DIV/0!</v>
      </c>
    </row>
    <row r="8" spans="1:13" s="85" customFormat="1" ht="15" hidden="1" customHeight="1" x14ac:dyDescent="0.25">
      <c r="A8" s="59" t="s">
        <v>9</v>
      </c>
      <c r="B8" s="59" t="s">
        <v>9</v>
      </c>
      <c r="C8" s="26">
        <v>0</v>
      </c>
      <c r="D8" s="46" t="s">
        <v>8</v>
      </c>
      <c r="E8" s="46" t="s">
        <v>8</v>
      </c>
      <c r="F8" s="134" t="s">
        <v>9</v>
      </c>
      <c r="G8" s="135">
        <v>0</v>
      </c>
      <c r="H8" s="135">
        <v>0</v>
      </c>
      <c r="I8" s="40">
        <v>0</v>
      </c>
      <c r="J8" s="40">
        <v>0</v>
      </c>
      <c r="K8" s="136">
        <f>SUM(I8:J8)</f>
        <v>0</v>
      </c>
      <c r="L8" s="137" t="e">
        <f t="shared" si="0"/>
        <v>#DIV/0!</v>
      </c>
    </row>
    <row r="9" spans="1:13" s="85" customFormat="1" ht="15" hidden="1" customHeight="1" x14ac:dyDescent="0.25">
      <c r="A9" s="59" t="s">
        <v>9</v>
      </c>
      <c r="B9" s="59" t="s">
        <v>9</v>
      </c>
      <c r="C9" s="26">
        <v>0</v>
      </c>
      <c r="D9" s="46" t="s">
        <v>8</v>
      </c>
      <c r="E9" s="46" t="s">
        <v>8</v>
      </c>
      <c r="F9" s="134" t="s">
        <v>9</v>
      </c>
      <c r="G9" s="135">
        <v>0</v>
      </c>
      <c r="H9" s="135">
        <v>0</v>
      </c>
      <c r="I9" s="40">
        <v>0</v>
      </c>
      <c r="J9" s="40">
        <v>0</v>
      </c>
      <c r="K9" s="136">
        <f>SUM(I9:J9)</f>
        <v>0</v>
      </c>
      <c r="L9" s="137" t="e">
        <f t="shared" si="0"/>
        <v>#DIV/0!</v>
      </c>
    </row>
    <row r="10" spans="1:13" s="85" customFormat="1" ht="15" hidden="1" customHeight="1" x14ac:dyDescent="0.25">
      <c r="A10" s="59" t="s">
        <v>9</v>
      </c>
      <c r="B10" s="59" t="s">
        <v>9</v>
      </c>
      <c r="C10" s="26">
        <v>0</v>
      </c>
      <c r="D10" s="46" t="s">
        <v>8</v>
      </c>
      <c r="E10" s="46" t="s">
        <v>8</v>
      </c>
      <c r="F10" s="138" t="s">
        <v>9</v>
      </c>
      <c r="G10" s="139">
        <v>0</v>
      </c>
      <c r="H10" s="139">
        <v>0</v>
      </c>
      <c r="I10" s="140">
        <v>0</v>
      </c>
      <c r="J10" s="140">
        <v>0</v>
      </c>
      <c r="K10" s="141">
        <f>SUM(I10:J10)</f>
        <v>0</v>
      </c>
      <c r="L10" s="142" t="e">
        <f t="shared" si="0"/>
        <v>#DIV/0!</v>
      </c>
    </row>
    <row r="11" spans="1:13" s="85" customFormat="1" ht="15" hidden="1" customHeight="1" thickBot="1" x14ac:dyDescent="0.3">
      <c r="A11" s="143"/>
      <c r="B11" s="144" t="s">
        <v>1</v>
      </c>
      <c r="C11" s="145">
        <f>SUM(C6:C10)</f>
        <v>0</v>
      </c>
      <c r="D11" s="146"/>
      <c r="E11" s="147"/>
      <c r="F11" s="147"/>
      <c r="G11" s="148">
        <f>SUM(G6:G10)</f>
        <v>0</v>
      </c>
      <c r="H11" s="148">
        <f>SUM(H6:H10)</f>
        <v>0</v>
      </c>
      <c r="I11" s="149">
        <f>SUM(I6:I10)</f>
        <v>0</v>
      </c>
      <c r="J11" s="149">
        <f>SUM(J6:J10)</f>
        <v>0</v>
      </c>
      <c r="K11" s="149">
        <f>SUM(K6:K10)</f>
        <v>0</v>
      </c>
      <c r="L11" s="150" t="e">
        <f t="shared" si="0"/>
        <v>#DIV/0!</v>
      </c>
    </row>
    <row r="12" spans="1:13" ht="15" hidden="1" customHeight="1" thickTop="1" x14ac:dyDescent="0.25">
      <c r="A12" s="82"/>
      <c r="B12" s="82"/>
      <c r="C12" s="12"/>
      <c r="D12" s="83"/>
      <c r="E12" s="83"/>
      <c r="F12" s="83"/>
      <c r="G12" s="83"/>
      <c r="H12" s="83"/>
      <c r="I12" s="83"/>
      <c r="J12" s="12"/>
      <c r="K12" s="12"/>
      <c r="L12" s="12"/>
      <c r="M12" s="93"/>
    </row>
    <row r="13" spans="1:13" s="85" customFormat="1" ht="15" hidden="1" customHeight="1" x14ac:dyDescent="0.25">
      <c r="A13" s="250" t="s">
        <v>39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</row>
    <row r="14" spans="1:13" s="85" customFormat="1" ht="26.25" hidden="1" x14ac:dyDescent="0.25">
      <c r="A14" s="238" t="s">
        <v>20</v>
      </c>
      <c r="B14" s="239"/>
      <c r="C14" s="72" t="s">
        <v>2</v>
      </c>
      <c r="D14" s="76" t="s">
        <v>15</v>
      </c>
      <c r="E14" s="45" t="s">
        <v>16</v>
      </c>
      <c r="F14" s="44" t="s">
        <v>19</v>
      </c>
      <c r="G14" s="7" t="s">
        <v>12</v>
      </c>
      <c r="H14" s="100" t="s">
        <v>28</v>
      </c>
      <c r="I14" s="108" t="s">
        <v>29</v>
      </c>
      <c r="J14" s="108" t="s">
        <v>30</v>
      </c>
      <c r="K14" s="104" t="s">
        <v>27</v>
      </c>
      <c r="L14" s="72" t="s">
        <v>4</v>
      </c>
    </row>
    <row r="15" spans="1:13" s="85" customFormat="1" ht="15" hidden="1" customHeight="1" x14ac:dyDescent="0.25">
      <c r="A15" s="59" t="s">
        <v>9</v>
      </c>
      <c r="B15" s="59" t="s">
        <v>9</v>
      </c>
      <c r="C15" s="26">
        <v>0</v>
      </c>
      <c r="D15" s="46" t="s">
        <v>8</v>
      </c>
      <c r="E15" s="46" t="s">
        <v>8</v>
      </c>
      <c r="F15" s="134" t="s">
        <v>9</v>
      </c>
      <c r="G15" s="135">
        <v>0</v>
      </c>
      <c r="H15" s="135">
        <v>0</v>
      </c>
      <c r="I15" s="40">
        <v>0</v>
      </c>
      <c r="J15" s="40">
        <v>0</v>
      </c>
      <c r="K15" s="136">
        <f>SUM(I15:J15)</f>
        <v>0</v>
      </c>
      <c r="L15" s="137" t="e">
        <f t="shared" ref="L15:L20" si="1">K15/C15</f>
        <v>#DIV/0!</v>
      </c>
    </row>
    <row r="16" spans="1:13" s="85" customFormat="1" ht="15" hidden="1" customHeight="1" x14ac:dyDescent="0.25">
      <c r="A16" s="59" t="s">
        <v>9</v>
      </c>
      <c r="B16" s="59" t="s">
        <v>9</v>
      </c>
      <c r="C16" s="26">
        <v>0</v>
      </c>
      <c r="D16" s="46" t="s">
        <v>8</v>
      </c>
      <c r="E16" s="46" t="s">
        <v>8</v>
      </c>
      <c r="F16" s="134" t="s">
        <v>9</v>
      </c>
      <c r="G16" s="135">
        <v>0</v>
      </c>
      <c r="H16" s="135">
        <v>0</v>
      </c>
      <c r="I16" s="40">
        <v>0</v>
      </c>
      <c r="J16" s="40">
        <v>0</v>
      </c>
      <c r="K16" s="136">
        <f>SUM(I16:J16)</f>
        <v>0</v>
      </c>
      <c r="L16" s="137" t="e">
        <f t="shared" si="1"/>
        <v>#DIV/0!</v>
      </c>
    </row>
    <row r="17" spans="1:13" s="85" customFormat="1" ht="15" hidden="1" customHeight="1" x14ac:dyDescent="0.25">
      <c r="A17" s="59" t="s">
        <v>9</v>
      </c>
      <c r="B17" s="59" t="s">
        <v>9</v>
      </c>
      <c r="C17" s="26">
        <v>0</v>
      </c>
      <c r="D17" s="46" t="s">
        <v>8</v>
      </c>
      <c r="E17" s="46" t="s">
        <v>8</v>
      </c>
      <c r="F17" s="134" t="s">
        <v>9</v>
      </c>
      <c r="G17" s="135">
        <v>0</v>
      </c>
      <c r="H17" s="135">
        <v>0</v>
      </c>
      <c r="I17" s="40">
        <v>0</v>
      </c>
      <c r="J17" s="40">
        <v>0</v>
      </c>
      <c r="K17" s="136">
        <f>SUM(I17:J17)</f>
        <v>0</v>
      </c>
      <c r="L17" s="137" t="e">
        <f t="shared" si="1"/>
        <v>#DIV/0!</v>
      </c>
    </row>
    <row r="18" spans="1:13" s="85" customFormat="1" ht="15" hidden="1" customHeight="1" x14ac:dyDescent="0.25">
      <c r="A18" s="59" t="s">
        <v>9</v>
      </c>
      <c r="B18" s="59" t="s">
        <v>9</v>
      </c>
      <c r="C18" s="26">
        <v>0</v>
      </c>
      <c r="D18" s="46" t="s">
        <v>8</v>
      </c>
      <c r="E18" s="46" t="s">
        <v>8</v>
      </c>
      <c r="F18" s="134" t="s">
        <v>9</v>
      </c>
      <c r="G18" s="135">
        <v>0</v>
      </c>
      <c r="H18" s="135">
        <v>0</v>
      </c>
      <c r="I18" s="40">
        <v>0</v>
      </c>
      <c r="J18" s="40">
        <v>0</v>
      </c>
      <c r="K18" s="136">
        <f>SUM(I18:J18)</f>
        <v>0</v>
      </c>
      <c r="L18" s="137" t="e">
        <f t="shared" si="1"/>
        <v>#DIV/0!</v>
      </c>
    </row>
    <row r="19" spans="1:13" s="85" customFormat="1" ht="15" hidden="1" customHeight="1" x14ac:dyDescent="0.25">
      <c r="A19" s="59" t="s">
        <v>9</v>
      </c>
      <c r="B19" s="59" t="s">
        <v>9</v>
      </c>
      <c r="C19" s="26">
        <v>0</v>
      </c>
      <c r="D19" s="46" t="s">
        <v>8</v>
      </c>
      <c r="E19" s="46" t="s">
        <v>8</v>
      </c>
      <c r="F19" s="138" t="s">
        <v>9</v>
      </c>
      <c r="G19" s="139">
        <v>0</v>
      </c>
      <c r="H19" s="139">
        <v>0</v>
      </c>
      <c r="I19" s="140">
        <v>0</v>
      </c>
      <c r="J19" s="140">
        <v>0</v>
      </c>
      <c r="K19" s="141">
        <f>SUM(I19:J19)</f>
        <v>0</v>
      </c>
      <c r="L19" s="142" t="e">
        <f t="shared" si="1"/>
        <v>#DIV/0!</v>
      </c>
    </row>
    <row r="20" spans="1:13" s="85" customFormat="1" ht="15" hidden="1" customHeight="1" thickBot="1" x14ac:dyDescent="0.3">
      <c r="A20" s="143"/>
      <c r="B20" s="144" t="s">
        <v>1</v>
      </c>
      <c r="C20" s="145">
        <f>SUM(C15:C19)</f>
        <v>0</v>
      </c>
      <c r="D20" s="146"/>
      <c r="E20" s="147"/>
      <c r="F20" s="147"/>
      <c r="G20" s="148">
        <f>SUM(G15:G19)</f>
        <v>0</v>
      </c>
      <c r="H20" s="148">
        <f>SUM(H15:H19)</f>
        <v>0</v>
      </c>
      <c r="I20" s="149">
        <f>SUM(I15:I19)</f>
        <v>0</v>
      </c>
      <c r="J20" s="149">
        <f>SUM(J15:J19)</f>
        <v>0</v>
      </c>
      <c r="K20" s="149">
        <f>SUM(K15:K19)</f>
        <v>0</v>
      </c>
      <c r="L20" s="150" t="e">
        <f t="shared" si="1"/>
        <v>#DIV/0!</v>
      </c>
    </row>
    <row r="21" spans="1:13" ht="15" hidden="1" customHeight="1" thickTop="1" x14ac:dyDescent="0.25">
      <c r="A21" s="82"/>
      <c r="B21" s="82"/>
      <c r="C21" s="12"/>
      <c r="D21" s="83"/>
      <c r="E21" s="83"/>
      <c r="F21" s="83"/>
      <c r="G21" s="83"/>
      <c r="H21" s="83"/>
      <c r="I21" s="83"/>
      <c r="J21" s="12"/>
      <c r="K21" s="12"/>
      <c r="L21" s="12"/>
      <c r="M21" s="93"/>
    </row>
    <row r="22" spans="1:13" ht="15" customHeight="1" x14ac:dyDescent="0.25">
      <c r="A22" s="237" t="s">
        <v>77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93"/>
    </row>
    <row r="23" spans="1:13" ht="26.25" x14ac:dyDescent="0.25">
      <c r="A23" s="238" t="s">
        <v>20</v>
      </c>
      <c r="B23" s="239"/>
      <c r="C23" s="76" t="s">
        <v>2</v>
      </c>
      <c r="D23" s="76" t="s">
        <v>15</v>
      </c>
      <c r="E23" s="45" t="s">
        <v>16</v>
      </c>
      <c r="F23" s="45" t="s">
        <v>19</v>
      </c>
      <c r="G23" s="38" t="s">
        <v>12</v>
      </c>
      <c r="H23" s="107" t="s">
        <v>28</v>
      </c>
      <c r="I23" s="107" t="s">
        <v>29</v>
      </c>
      <c r="J23" s="107" t="s">
        <v>30</v>
      </c>
      <c r="K23" s="104" t="s">
        <v>27</v>
      </c>
      <c r="L23" s="72" t="s">
        <v>4</v>
      </c>
      <c r="M23" s="93"/>
    </row>
    <row r="24" spans="1:13" x14ac:dyDescent="0.25">
      <c r="A24" s="59">
        <v>44013</v>
      </c>
      <c r="B24" s="59">
        <v>44378</v>
      </c>
      <c r="C24" s="218">
        <v>24385</v>
      </c>
      <c r="D24" s="197" t="s">
        <v>52</v>
      </c>
      <c r="E24" s="197">
        <v>6080998210</v>
      </c>
      <c r="F24" s="189">
        <v>44243</v>
      </c>
      <c r="G24" s="135">
        <v>0</v>
      </c>
      <c r="H24" s="39">
        <v>0</v>
      </c>
      <c r="I24" s="40">
        <v>0</v>
      </c>
      <c r="J24" s="40">
        <v>0</v>
      </c>
      <c r="K24" s="64">
        <f>SUM(I24:J24)</f>
        <v>0</v>
      </c>
      <c r="L24" s="9">
        <f t="shared" ref="L24:L30" si="2">K24/C24</f>
        <v>0</v>
      </c>
      <c r="M24" s="93"/>
    </row>
    <row r="25" spans="1:13" ht="15" hidden="1" customHeight="1" x14ac:dyDescent="0.25">
      <c r="A25" s="59" t="s">
        <v>37</v>
      </c>
      <c r="B25" s="59" t="s">
        <v>37</v>
      </c>
      <c r="C25" s="217" t="s">
        <v>37</v>
      </c>
      <c r="D25" s="197" t="s">
        <v>37</v>
      </c>
      <c r="E25" s="197" t="s">
        <v>37</v>
      </c>
      <c r="F25" s="208" t="s">
        <v>37</v>
      </c>
      <c r="G25" s="135">
        <v>0</v>
      </c>
      <c r="H25" s="39" t="s">
        <v>37</v>
      </c>
      <c r="I25" s="40" t="s">
        <v>37</v>
      </c>
      <c r="J25" s="40" t="s">
        <v>37</v>
      </c>
      <c r="K25" s="64" t="s">
        <v>37</v>
      </c>
      <c r="L25" s="9" t="e">
        <f t="shared" si="2"/>
        <v>#VALUE!</v>
      </c>
      <c r="M25" s="94"/>
    </row>
    <row r="26" spans="1:13" ht="15" hidden="1" customHeight="1" x14ac:dyDescent="0.25">
      <c r="A26" s="59" t="s">
        <v>9</v>
      </c>
      <c r="B26" s="59" t="s">
        <v>9</v>
      </c>
      <c r="C26" s="23">
        <v>0</v>
      </c>
      <c r="D26" s="46" t="s">
        <v>8</v>
      </c>
      <c r="E26" s="46" t="s">
        <v>8</v>
      </c>
      <c r="F26" s="26" t="s">
        <v>9</v>
      </c>
      <c r="G26" s="47">
        <v>0</v>
      </c>
      <c r="H26" s="77">
        <v>0</v>
      </c>
      <c r="I26" s="63">
        <v>0</v>
      </c>
      <c r="J26" s="63">
        <v>0</v>
      </c>
      <c r="K26" s="64">
        <f>SUM(I26:J26)</f>
        <v>0</v>
      </c>
      <c r="L26" s="9" t="e">
        <f t="shared" si="2"/>
        <v>#DIV/0!</v>
      </c>
      <c r="M26" s="93"/>
    </row>
    <row r="27" spans="1:13" ht="15" hidden="1" customHeight="1" x14ac:dyDescent="0.25">
      <c r="A27" s="59" t="s">
        <v>9</v>
      </c>
      <c r="B27" s="59" t="s">
        <v>9</v>
      </c>
      <c r="C27" s="26">
        <v>0</v>
      </c>
      <c r="D27" s="46" t="s">
        <v>8</v>
      </c>
      <c r="E27" s="46" t="s">
        <v>8</v>
      </c>
      <c r="F27" s="26" t="s">
        <v>9</v>
      </c>
      <c r="G27" s="47">
        <v>0</v>
      </c>
      <c r="H27" s="77">
        <v>0</v>
      </c>
      <c r="I27" s="63">
        <v>0</v>
      </c>
      <c r="J27" s="63">
        <v>0</v>
      </c>
      <c r="K27" s="64">
        <f t="shared" ref="K27:K29" si="3">SUM(I27:J27)</f>
        <v>0</v>
      </c>
      <c r="L27" s="101" t="e">
        <f t="shared" si="2"/>
        <v>#DIV/0!</v>
      </c>
      <c r="M27" s="94"/>
    </row>
    <row r="28" spans="1:13" ht="15" hidden="1" customHeight="1" x14ac:dyDescent="0.25">
      <c r="A28" s="59" t="s">
        <v>9</v>
      </c>
      <c r="B28" s="59" t="s">
        <v>9</v>
      </c>
      <c r="C28" s="26">
        <v>0</v>
      </c>
      <c r="D28" s="46" t="s">
        <v>8</v>
      </c>
      <c r="E28" s="46" t="s">
        <v>8</v>
      </c>
      <c r="F28" s="26" t="s">
        <v>9</v>
      </c>
      <c r="G28" s="47">
        <v>0</v>
      </c>
      <c r="H28" s="77">
        <v>0</v>
      </c>
      <c r="I28" s="63">
        <v>0</v>
      </c>
      <c r="J28" s="63">
        <v>0</v>
      </c>
      <c r="K28" s="64">
        <f t="shared" si="3"/>
        <v>0</v>
      </c>
      <c r="L28" s="102" t="e">
        <f t="shared" si="2"/>
        <v>#DIV/0!</v>
      </c>
      <c r="M28" s="93"/>
    </row>
    <row r="29" spans="1:13" ht="15" hidden="1" customHeight="1" x14ac:dyDescent="0.25">
      <c r="A29" s="59" t="s">
        <v>9</v>
      </c>
      <c r="B29" s="59" t="s">
        <v>9</v>
      </c>
      <c r="C29" s="32">
        <v>0</v>
      </c>
      <c r="D29" s="46" t="s">
        <v>8</v>
      </c>
      <c r="E29" s="46" t="s">
        <v>8</v>
      </c>
      <c r="F29" s="65" t="s">
        <v>9</v>
      </c>
      <c r="G29" s="48">
        <v>0</v>
      </c>
      <c r="H29" s="78">
        <v>0</v>
      </c>
      <c r="I29" s="66">
        <v>0</v>
      </c>
      <c r="J29" s="66">
        <v>0</v>
      </c>
      <c r="K29" s="67">
        <f t="shared" si="3"/>
        <v>0</v>
      </c>
      <c r="L29" s="103" t="e">
        <f t="shared" si="2"/>
        <v>#DIV/0!</v>
      </c>
      <c r="M29" s="93"/>
    </row>
    <row r="30" spans="1:13" ht="15" customHeight="1" thickBot="1" x14ac:dyDescent="0.3">
      <c r="A30" s="90"/>
      <c r="B30" s="91" t="s">
        <v>1</v>
      </c>
      <c r="C30" s="34">
        <f>SUM(C24:C25)</f>
        <v>24385</v>
      </c>
      <c r="D30" s="49"/>
      <c r="E30" s="49"/>
      <c r="F30" s="55"/>
      <c r="G30" s="50">
        <f>SUM(G25:G29)</f>
        <v>0</v>
      </c>
      <c r="H30" s="50">
        <f>SUM(H24:H25)</f>
        <v>0</v>
      </c>
      <c r="I30" s="68">
        <f t="shared" ref="I30:K30" si="4">SUM(I24:I25)</f>
        <v>0</v>
      </c>
      <c r="J30" s="68">
        <f t="shared" si="4"/>
        <v>0</v>
      </c>
      <c r="K30" s="68">
        <f t="shared" si="4"/>
        <v>0</v>
      </c>
      <c r="L30" s="51">
        <f t="shared" si="2"/>
        <v>0</v>
      </c>
      <c r="M30" s="93"/>
    </row>
    <row r="31" spans="1:13" ht="15" customHeight="1" thickTop="1" x14ac:dyDescent="0.25">
      <c r="A31" s="95"/>
      <c r="B31" s="92"/>
      <c r="C31" s="92"/>
      <c r="D31" s="92"/>
      <c r="E31" s="92"/>
      <c r="F31" s="19"/>
      <c r="G31" s="19"/>
      <c r="H31" s="19"/>
      <c r="I31" s="19"/>
      <c r="J31" s="19"/>
      <c r="K31" s="19"/>
      <c r="L31" s="19"/>
      <c r="M31" s="85"/>
    </row>
    <row r="32" spans="1:13" ht="15" hidden="1" customHeight="1" x14ac:dyDescent="0.25">
      <c r="A32" s="237" t="s">
        <v>21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6"/>
      <c r="M32" s="93"/>
    </row>
    <row r="33" spans="1:13" ht="26.25" hidden="1" x14ac:dyDescent="0.25">
      <c r="A33" s="238" t="s">
        <v>20</v>
      </c>
      <c r="B33" s="239"/>
      <c r="C33" s="76" t="s">
        <v>2</v>
      </c>
      <c r="D33" s="76" t="s">
        <v>15</v>
      </c>
      <c r="E33" s="45" t="s">
        <v>16</v>
      </c>
      <c r="F33" s="45" t="s">
        <v>19</v>
      </c>
      <c r="G33" s="38" t="s">
        <v>12</v>
      </c>
      <c r="H33" s="107" t="s">
        <v>28</v>
      </c>
      <c r="I33" s="107" t="s">
        <v>29</v>
      </c>
      <c r="J33" s="107" t="s">
        <v>30</v>
      </c>
      <c r="K33" s="104" t="s">
        <v>27</v>
      </c>
      <c r="L33" s="72" t="s">
        <v>4</v>
      </c>
      <c r="M33" s="93"/>
    </row>
    <row r="34" spans="1:13" ht="15" hidden="1" customHeight="1" x14ac:dyDescent="0.25">
      <c r="A34" s="59" t="e">
        <f>#REF!</f>
        <v>#REF!</v>
      </c>
      <c r="B34" s="61" t="e">
        <f>#REF!</f>
        <v>#REF!</v>
      </c>
      <c r="C34" s="26">
        <v>0</v>
      </c>
      <c r="D34" s="26" t="s">
        <v>8</v>
      </c>
      <c r="E34" s="26" t="s">
        <v>8</v>
      </c>
      <c r="F34" s="26" t="s">
        <v>8</v>
      </c>
      <c r="G34" s="47">
        <v>0</v>
      </c>
      <c r="H34" s="77">
        <v>0</v>
      </c>
      <c r="I34" s="63">
        <v>0</v>
      </c>
      <c r="J34" s="63">
        <v>0</v>
      </c>
      <c r="K34" s="64">
        <f>SUM(I34:J34)</f>
        <v>0</v>
      </c>
      <c r="L34" s="9" t="e">
        <f t="shared" ref="L34:L39" si="5">K34/C34</f>
        <v>#DIV/0!</v>
      </c>
      <c r="M34" s="94"/>
    </row>
    <row r="35" spans="1:13" ht="15" hidden="1" customHeight="1" x14ac:dyDescent="0.25">
      <c r="A35" s="69" t="e">
        <f>#REF!</f>
        <v>#REF!</v>
      </c>
      <c r="B35" s="61" t="e">
        <f>#REF!</f>
        <v>#REF!</v>
      </c>
      <c r="C35" s="26">
        <v>0</v>
      </c>
      <c r="D35" s="26" t="s">
        <v>8</v>
      </c>
      <c r="E35" s="26" t="s">
        <v>8</v>
      </c>
      <c r="F35" s="26" t="s">
        <v>8</v>
      </c>
      <c r="G35" s="47">
        <v>0</v>
      </c>
      <c r="H35" s="77">
        <v>0</v>
      </c>
      <c r="I35" s="63">
        <v>0</v>
      </c>
      <c r="J35" s="63">
        <v>0</v>
      </c>
      <c r="K35" s="64">
        <f>SUM(I35:J35)</f>
        <v>0</v>
      </c>
      <c r="L35" s="9" t="e">
        <f t="shared" si="5"/>
        <v>#DIV/0!</v>
      </c>
      <c r="M35" s="93"/>
    </row>
    <row r="36" spans="1:13" ht="15" hidden="1" customHeight="1" x14ac:dyDescent="0.25">
      <c r="A36" s="69" t="e">
        <f>#REF!</f>
        <v>#REF!</v>
      </c>
      <c r="B36" s="61" t="e">
        <f>#REF!</f>
        <v>#REF!</v>
      </c>
      <c r="C36" s="26">
        <v>0</v>
      </c>
      <c r="D36" s="46" t="s">
        <v>8</v>
      </c>
      <c r="E36" s="26" t="s">
        <v>8</v>
      </c>
      <c r="F36" s="26" t="s">
        <v>8</v>
      </c>
      <c r="G36" s="47">
        <v>0</v>
      </c>
      <c r="H36" s="77">
        <v>0</v>
      </c>
      <c r="I36" s="63">
        <v>0</v>
      </c>
      <c r="J36" s="63">
        <v>0</v>
      </c>
      <c r="K36" s="64">
        <f t="shared" ref="K36:K38" si="6">SUM(I36:J36)</f>
        <v>0</v>
      </c>
      <c r="L36" s="101" t="e">
        <f t="shared" si="5"/>
        <v>#DIV/0!</v>
      </c>
      <c r="M36" s="94"/>
    </row>
    <row r="37" spans="1:13" ht="15" hidden="1" customHeight="1" x14ac:dyDescent="0.25">
      <c r="A37" s="69" t="e">
        <f>#REF!</f>
        <v>#REF!</v>
      </c>
      <c r="B37" s="61" t="e">
        <f>#REF!</f>
        <v>#REF!</v>
      </c>
      <c r="C37" s="26">
        <v>0</v>
      </c>
      <c r="D37" s="46" t="s">
        <v>8</v>
      </c>
      <c r="E37" s="26" t="s">
        <v>8</v>
      </c>
      <c r="F37" s="26" t="s">
        <v>8</v>
      </c>
      <c r="G37" s="47">
        <v>0</v>
      </c>
      <c r="H37" s="77">
        <v>0</v>
      </c>
      <c r="I37" s="63">
        <v>0</v>
      </c>
      <c r="J37" s="63">
        <v>0</v>
      </c>
      <c r="K37" s="64">
        <f t="shared" si="6"/>
        <v>0</v>
      </c>
      <c r="L37" s="102" t="e">
        <f t="shared" si="5"/>
        <v>#DIV/0!</v>
      </c>
      <c r="M37" s="93"/>
    </row>
    <row r="38" spans="1:13" ht="15" hidden="1" customHeight="1" x14ac:dyDescent="0.25">
      <c r="A38" s="58" t="e">
        <f>#REF!</f>
        <v>#REF!</v>
      </c>
      <c r="B38" s="37" t="e">
        <f>#REF!</f>
        <v>#REF!</v>
      </c>
      <c r="C38" s="26">
        <v>0</v>
      </c>
      <c r="D38" s="46" t="s">
        <v>8</v>
      </c>
      <c r="E38" s="26" t="s">
        <v>8</v>
      </c>
      <c r="F38" s="26" t="s">
        <v>8</v>
      </c>
      <c r="G38" s="48">
        <v>0</v>
      </c>
      <c r="H38" s="78">
        <v>0</v>
      </c>
      <c r="I38" s="66">
        <v>0</v>
      </c>
      <c r="J38" s="66">
        <v>0</v>
      </c>
      <c r="K38" s="67">
        <f t="shared" si="6"/>
        <v>0</v>
      </c>
      <c r="L38" s="103" t="e">
        <f t="shared" si="5"/>
        <v>#DIV/0!</v>
      </c>
      <c r="M38" s="93"/>
    </row>
    <row r="39" spans="1:13" ht="15" hidden="1" customHeight="1" thickBot="1" x14ac:dyDescent="0.3">
      <c r="A39" s="90"/>
      <c r="B39" s="91" t="s">
        <v>1</v>
      </c>
      <c r="C39" s="96">
        <f>SUM(C34:C38)</f>
        <v>0</v>
      </c>
      <c r="D39" s="55"/>
      <c r="E39" s="55"/>
      <c r="F39" s="50"/>
      <c r="G39" s="50">
        <f t="shared" ref="G39:K39" si="7">SUM(G34:G38)</f>
        <v>0</v>
      </c>
      <c r="H39" s="50">
        <f t="shared" si="7"/>
        <v>0</v>
      </c>
      <c r="I39" s="68">
        <f t="shared" si="7"/>
        <v>0</v>
      </c>
      <c r="J39" s="68">
        <f t="shared" si="7"/>
        <v>0</v>
      </c>
      <c r="K39" s="68">
        <f t="shared" si="7"/>
        <v>0</v>
      </c>
      <c r="L39" s="51" t="e">
        <f t="shared" si="5"/>
        <v>#DIV/0!</v>
      </c>
      <c r="M39" s="93"/>
    </row>
    <row r="40" spans="1:13" hidden="1" x14ac:dyDescent="0.25">
      <c r="A40" s="59">
        <v>44378</v>
      </c>
      <c r="B40" s="59">
        <v>44743</v>
      </c>
      <c r="C40" s="192">
        <v>13476</v>
      </c>
      <c r="D40" s="197" t="s">
        <v>53</v>
      </c>
      <c r="E40" s="197" t="s">
        <v>74</v>
      </c>
      <c r="F40" s="201"/>
      <c r="G40" s="201"/>
      <c r="H40" s="202"/>
      <c r="I40" s="109"/>
      <c r="J40" s="109"/>
      <c r="K40" s="104"/>
      <c r="L40" s="72"/>
      <c r="M40" s="93"/>
    </row>
    <row r="41" spans="1:13" ht="15" hidden="1" customHeight="1" x14ac:dyDescent="0.25">
      <c r="A41" s="59">
        <v>43603</v>
      </c>
      <c r="B41" s="59">
        <v>43969</v>
      </c>
      <c r="C41" s="196">
        <v>5733</v>
      </c>
      <c r="D41" s="197" t="s">
        <v>53</v>
      </c>
      <c r="E41" s="197" t="s">
        <v>69</v>
      </c>
      <c r="F41" s="208" t="s">
        <v>37</v>
      </c>
      <c r="G41" s="135">
        <v>0</v>
      </c>
      <c r="H41" s="39">
        <v>0</v>
      </c>
      <c r="I41" s="40">
        <v>0</v>
      </c>
      <c r="J41" s="40">
        <v>0</v>
      </c>
      <c r="K41" s="64">
        <f>SUM(I41:J41)</f>
        <v>0</v>
      </c>
      <c r="L41" s="9">
        <f t="shared" ref="L41" si="8">K41/C41</f>
        <v>0</v>
      </c>
      <c r="M41" s="94"/>
    </row>
    <row r="42" spans="1:13" ht="15" hidden="1" customHeight="1" x14ac:dyDescent="0.25">
      <c r="A42" s="59">
        <v>43238</v>
      </c>
      <c r="B42" s="59">
        <v>43603</v>
      </c>
      <c r="C42" s="196">
        <v>0</v>
      </c>
      <c r="D42" s="197" t="s">
        <v>53</v>
      </c>
      <c r="E42" s="197" t="s">
        <v>69</v>
      </c>
      <c r="F42" s="208" t="s">
        <v>37</v>
      </c>
      <c r="G42" s="135">
        <v>0</v>
      </c>
      <c r="H42" s="39">
        <v>0</v>
      </c>
      <c r="I42" s="40">
        <v>0</v>
      </c>
      <c r="J42" s="40">
        <v>0</v>
      </c>
      <c r="K42" s="64">
        <f>SUM(I42:J42)</f>
        <v>0</v>
      </c>
      <c r="L42" s="9">
        <v>0</v>
      </c>
      <c r="M42" s="93"/>
    </row>
    <row r="43" spans="1:13" ht="15" hidden="1" customHeight="1" x14ac:dyDescent="0.25">
      <c r="A43" s="59">
        <v>42873</v>
      </c>
      <c r="B43" s="59">
        <v>43238</v>
      </c>
      <c r="C43" s="196">
        <v>0</v>
      </c>
      <c r="D43" s="197" t="s">
        <v>53</v>
      </c>
      <c r="E43" s="197" t="s">
        <v>69</v>
      </c>
      <c r="F43" s="208" t="s">
        <v>37</v>
      </c>
      <c r="G43" s="135">
        <v>0</v>
      </c>
      <c r="H43" s="39">
        <v>0</v>
      </c>
      <c r="I43" s="40">
        <v>0</v>
      </c>
      <c r="J43" s="40">
        <v>0</v>
      </c>
      <c r="K43" s="64">
        <f t="shared" ref="K43" si="9">SUM(I43:J43)</f>
        <v>0</v>
      </c>
      <c r="L43" s="101">
        <v>0</v>
      </c>
      <c r="M43" s="94"/>
    </row>
    <row r="44" spans="1:13" ht="15" hidden="1" customHeight="1" x14ac:dyDescent="0.25">
      <c r="A44" s="237" t="s">
        <v>32</v>
      </c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93"/>
    </row>
    <row r="45" spans="1:13" ht="26.25" hidden="1" x14ac:dyDescent="0.25">
      <c r="A45" s="238" t="s">
        <v>20</v>
      </c>
      <c r="B45" s="239"/>
      <c r="C45" s="76" t="s">
        <v>2</v>
      </c>
      <c r="D45" s="76" t="s">
        <v>15</v>
      </c>
      <c r="E45" s="45" t="s">
        <v>16</v>
      </c>
      <c r="F45" s="45" t="s">
        <v>19</v>
      </c>
      <c r="G45" s="38" t="s">
        <v>12</v>
      </c>
      <c r="H45" s="107" t="s">
        <v>28</v>
      </c>
      <c r="I45" s="107" t="s">
        <v>29</v>
      </c>
      <c r="J45" s="107" t="s">
        <v>30</v>
      </c>
      <c r="K45" s="104" t="s">
        <v>27</v>
      </c>
      <c r="L45" s="72" t="s">
        <v>4</v>
      </c>
      <c r="M45" s="93"/>
    </row>
    <row r="46" spans="1:13" ht="15" hidden="1" customHeight="1" x14ac:dyDescent="0.25">
      <c r="A46" s="59" t="s">
        <v>9</v>
      </c>
      <c r="B46" s="3" t="s">
        <v>9</v>
      </c>
      <c r="C46" s="26">
        <v>0</v>
      </c>
      <c r="D46" s="46" t="s">
        <v>8</v>
      </c>
      <c r="E46" s="26" t="s">
        <v>8</v>
      </c>
      <c r="F46" s="26" t="s">
        <v>9</v>
      </c>
      <c r="G46" s="47">
        <v>0</v>
      </c>
      <c r="H46" s="77">
        <v>0</v>
      </c>
      <c r="I46" s="63">
        <v>0</v>
      </c>
      <c r="J46" s="63">
        <v>0</v>
      </c>
      <c r="K46" s="64">
        <f>SUM(I46:J46)</f>
        <v>0</v>
      </c>
      <c r="L46" s="9" t="e">
        <f t="shared" ref="L46:L51" si="10">K46/C46</f>
        <v>#DIV/0!</v>
      </c>
      <c r="M46" s="94"/>
    </row>
    <row r="47" spans="1:13" ht="15" hidden="1" customHeight="1" x14ac:dyDescent="0.25">
      <c r="A47" s="59" t="s">
        <v>9</v>
      </c>
      <c r="B47" s="3" t="s">
        <v>9</v>
      </c>
      <c r="C47" s="26">
        <v>0</v>
      </c>
      <c r="D47" s="46" t="s">
        <v>8</v>
      </c>
      <c r="E47" s="26" t="s">
        <v>8</v>
      </c>
      <c r="F47" s="26" t="s">
        <v>9</v>
      </c>
      <c r="G47" s="47">
        <v>0</v>
      </c>
      <c r="H47" s="77">
        <v>0</v>
      </c>
      <c r="I47" s="63">
        <v>0</v>
      </c>
      <c r="J47" s="63">
        <v>0</v>
      </c>
      <c r="K47" s="64">
        <f>SUM(I47:J47)</f>
        <v>0</v>
      </c>
      <c r="L47" s="9" t="e">
        <f t="shared" si="10"/>
        <v>#DIV/0!</v>
      </c>
      <c r="M47" s="93"/>
    </row>
    <row r="48" spans="1:13" ht="15" hidden="1" customHeight="1" x14ac:dyDescent="0.25">
      <c r="A48" s="59" t="s">
        <v>9</v>
      </c>
      <c r="B48" s="3" t="s">
        <v>9</v>
      </c>
      <c r="C48" s="26">
        <v>0</v>
      </c>
      <c r="D48" s="46" t="s">
        <v>8</v>
      </c>
      <c r="E48" s="26" t="s">
        <v>8</v>
      </c>
      <c r="F48" s="26" t="s">
        <v>9</v>
      </c>
      <c r="G48" s="47">
        <v>0</v>
      </c>
      <c r="H48" s="77">
        <v>0</v>
      </c>
      <c r="I48" s="63">
        <v>0</v>
      </c>
      <c r="J48" s="63">
        <v>0</v>
      </c>
      <c r="K48" s="64">
        <f t="shared" ref="K48:K50" si="11">SUM(I48:J48)</f>
        <v>0</v>
      </c>
      <c r="L48" s="101" t="e">
        <f t="shared" si="10"/>
        <v>#DIV/0!</v>
      </c>
      <c r="M48" s="94"/>
    </row>
    <row r="49" spans="1:13" ht="15" hidden="1" customHeight="1" x14ac:dyDescent="0.25">
      <c r="A49" s="59" t="s">
        <v>9</v>
      </c>
      <c r="B49" s="3" t="s">
        <v>9</v>
      </c>
      <c r="C49" s="26">
        <v>0</v>
      </c>
      <c r="D49" s="46" t="s">
        <v>8</v>
      </c>
      <c r="E49" s="26" t="s">
        <v>8</v>
      </c>
      <c r="F49" s="26" t="s">
        <v>9</v>
      </c>
      <c r="G49" s="47">
        <v>0</v>
      </c>
      <c r="H49" s="77">
        <v>0</v>
      </c>
      <c r="I49" s="63">
        <v>0</v>
      </c>
      <c r="J49" s="63">
        <v>0</v>
      </c>
      <c r="K49" s="64">
        <f t="shared" si="11"/>
        <v>0</v>
      </c>
      <c r="L49" s="102" t="e">
        <f t="shared" si="10"/>
        <v>#DIV/0!</v>
      </c>
      <c r="M49" s="93"/>
    </row>
    <row r="50" spans="1:13" ht="15" hidden="1" customHeight="1" x14ac:dyDescent="0.25">
      <c r="A50" s="58" t="s">
        <v>9</v>
      </c>
      <c r="B50" s="3" t="s">
        <v>9</v>
      </c>
      <c r="C50" s="26">
        <v>0</v>
      </c>
      <c r="D50" s="46" t="s">
        <v>8</v>
      </c>
      <c r="E50" s="26" t="s">
        <v>8</v>
      </c>
      <c r="F50" s="26" t="s">
        <v>9</v>
      </c>
      <c r="G50" s="48">
        <v>0</v>
      </c>
      <c r="H50" s="78">
        <v>0</v>
      </c>
      <c r="I50" s="66">
        <v>0</v>
      </c>
      <c r="J50" s="66">
        <v>0</v>
      </c>
      <c r="K50" s="67">
        <f t="shared" si="11"/>
        <v>0</v>
      </c>
      <c r="L50" s="103" t="e">
        <f t="shared" si="10"/>
        <v>#DIV/0!</v>
      </c>
      <c r="M50" s="93"/>
    </row>
    <row r="51" spans="1:13" ht="15" hidden="1" customHeight="1" thickBot="1" x14ac:dyDescent="0.3">
      <c r="A51" s="90"/>
      <c r="B51" s="91" t="s">
        <v>1</v>
      </c>
      <c r="C51" s="96">
        <f>SUM(C46:C50)</f>
        <v>0</v>
      </c>
      <c r="D51" s="55"/>
      <c r="E51" s="55"/>
      <c r="F51" s="50"/>
      <c r="G51" s="50">
        <f t="shared" ref="G51:K51" si="12">SUM(G46:G50)</f>
        <v>0</v>
      </c>
      <c r="H51" s="50">
        <f t="shared" si="12"/>
        <v>0</v>
      </c>
      <c r="I51" s="68">
        <f t="shared" si="12"/>
        <v>0</v>
      </c>
      <c r="J51" s="68">
        <f t="shared" si="12"/>
        <v>0</v>
      </c>
      <c r="K51" s="68">
        <f t="shared" si="12"/>
        <v>0</v>
      </c>
      <c r="L51" s="51" t="e">
        <f t="shared" si="10"/>
        <v>#DIV/0!</v>
      </c>
      <c r="M51" s="93"/>
    </row>
    <row r="52" spans="1:13" ht="15" hidden="1" customHeight="1" thickTop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3" ht="15" hidden="1" customHeight="1" x14ac:dyDescent="0.25">
      <c r="A53" s="237" t="s">
        <v>23</v>
      </c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</row>
    <row r="54" spans="1:13" s="79" customFormat="1" ht="26.25" hidden="1" x14ac:dyDescent="0.25">
      <c r="A54" s="1" t="s">
        <v>0</v>
      </c>
      <c r="B54" s="1" t="s">
        <v>41</v>
      </c>
      <c r="C54" s="14" t="s">
        <v>22</v>
      </c>
      <c r="D54" s="126" t="s">
        <v>35</v>
      </c>
      <c r="E54" s="133" t="s">
        <v>36</v>
      </c>
      <c r="F54" s="240" t="s">
        <v>14</v>
      </c>
      <c r="G54" s="241"/>
      <c r="H54" s="242"/>
      <c r="I54" s="2" t="s">
        <v>24</v>
      </c>
      <c r="J54" s="2" t="s">
        <v>29</v>
      </c>
      <c r="K54" s="133" t="s">
        <v>31</v>
      </c>
      <c r="L54" s="133" t="s">
        <v>25</v>
      </c>
      <c r="M54" s="172"/>
    </row>
    <row r="55" spans="1:13" s="79" customFormat="1" ht="15" hidden="1" customHeight="1" x14ac:dyDescent="0.25">
      <c r="A55" s="128"/>
      <c r="B55" s="128"/>
      <c r="C55" s="35"/>
      <c r="D55" s="97"/>
      <c r="E55" s="97"/>
      <c r="F55" s="243"/>
      <c r="G55" s="244"/>
      <c r="H55" s="245"/>
      <c r="I55" s="35"/>
      <c r="J55" s="15"/>
      <c r="K55" s="127"/>
      <c r="L55" s="127"/>
      <c r="M55" s="171"/>
    </row>
    <row r="56" spans="1:13" hidden="1" x14ac:dyDescent="0.25">
      <c r="A56" s="130"/>
      <c r="B56" s="130"/>
      <c r="C56" s="36"/>
      <c r="D56" s="98"/>
      <c r="E56" s="98"/>
      <c r="F56" s="246"/>
      <c r="G56" s="247"/>
      <c r="H56" s="248"/>
      <c r="I56" s="36"/>
      <c r="J56" s="16"/>
      <c r="K56" s="129"/>
      <c r="L56" s="129"/>
      <c r="M56" s="171"/>
    </row>
    <row r="57" spans="1:13" hidden="1" x14ac:dyDescent="0.25">
      <c r="A57" s="132"/>
      <c r="B57" s="132"/>
      <c r="C57" s="70"/>
      <c r="D57" s="99"/>
      <c r="E57" s="99"/>
      <c r="F57" s="234"/>
      <c r="G57" s="235"/>
      <c r="H57" s="236"/>
      <c r="I57" s="70"/>
      <c r="J57" s="71"/>
      <c r="K57" s="131"/>
      <c r="L57" s="131"/>
      <c r="M57" s="171"/>
    </row>
  </sheetData>
  <mergeCells count="17">
    <mergeCell ref="A22:L22"/>
    <mergeCell ref="A23:B23"/>
    <mergeCell ref="A32:K32"/>
    <mergeCell ref="A33:B33"/>
    <mergeCell ref="A1:L1"/>
    <mergeCell ref="A2:L2"/>
    <mergeCell ref="A4:L4"/>
    <mergeCell ref="A5:B5"/>
    <mergeCell ref="A13:L13"/>
    <mergeCell ref="A14:B14"/>
    <mergeCell ref="F57:H57"/>
    <mergeCell ref="A44:L44"/>
    <mergeCell ref="A45:B45"/>
    <mergeCell ref="A53:L53"/>
    <mergeCell ref="F54:H54"/>
    <mergeCell ref="F55:H55"/>
    <mergeCell ref="F56:H56"/>
  </mergeCells>
  <printOptions horizontalCentered="1"/>
  <pageMargins left="0.5" right="0.5" top="0.25" bottom="0.25" header="0" footer="0"/>
  <pageSetup scale="80" fitToHeight="0" orientation="landscape" r:id="rId1"/>
  <ignoredErrors>
    <ignoredError sqref="G30 K24" formulaRange="1"/>
    <ignoredError sqref="H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1"/>
  <sheetViews>
    <sheetView showGridLines="0" view="pageBreakPreview" zoomScale="110" zoomScaleNormal="100" zoomScaleSheetLayoutView="110" workbookViewId="0">
      <selection activeCell="D21" sqref="D21"/>
    </sheetView>
  </sheetViews>
  <sheetFormatPr defaultColWidth="9.140625" defaultRowHeight="12.75" x14ac:dyDescent="0.2"/>
  <cols>
    <col min="1" max="2" width="13.28515625" style="19" customWidth="1"/>
    <col min="3" max="3" width="18.42578125" style="4" customWidth="1"/>
    <col min="4" max="4" width="21.5703125" style="4" customWidth="1"/>
    <col min="5" max="5" width="13.28515625" style="4" customWidth="1"/>
    <col min="6" max="6" width="14" style="4" customWidth="1"/>
    <col min="7" max="12" width="13.28515625" style="4" customWidth="1"/>
    <col min="13" max="16384" width="9.140625" style="4"/>
  </cols>
  <sheetData>
    <row r="1" spans="1:14" s="5" customFormat="1" ht="23.25" customHeight="1" x14ac:dyDescent="0.4">
      <c r="A1" s="249" t="s">
        <v>42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155"/>
      <c r="N1" s="155"/>
    </row>
    <row r="2" spans="1:14" s="5" customFormat="1" ht="23.25" customHeight="1" x14ac:dyDescent="0.4">
      <c r="A2" s="249" t="s">
        <v>43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4" s="5" customFormat="1" ht="15" customHeight="1" x14ac:dyDescent="0.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4" s="81" customFormat="1" ht="15" customHeight="1" x14ac:dyDescent="0.25">
      <c r="A4" s="259" t="s">
        <v>44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</row>
    <row r="5" spans="1:14" s="81" customFormat="1" ht="26.25" x14ac:dyDescent="0.25">
      <c r="A5" s="238" t="s">
        <v>20</v>
      </c>
      <c r="B5" s="239"/>
      <c r="C5" s="76" t="s">
        <v>2</v>
      </c>
      <c r="D5" s="44" t="s">
        <v>15</v>
      </c>
      <c r="E5" s="44" t="s">
        <v>19</v>
      </c>
      <c r="F5" s="44" t="s">
        <v>3</v>
      </c>
      <c r="G5" s="44" t="s">
        <v>12</v>
      </c>
      <c r="H5" s="100" t="s">
        <v>28</v>
      </c>
      <c r="I5" s="108" t="s">
        <v>29</v>
      </c>
      <c r="J5" s="108" t="s">
        <v>30</v>
      </c>
      <c r="K5" s="104" t="s">
        <v>27</v>
      </c>
      <c r="L5" s="117" t="s">
        <v>34</v>
      </c>
    </row>
    <row r="6" spans="1:14" s="81" customFormat="1" ht="15" x14ac:dyDescent="0.25">
      <c r="A6" s="188">
        <v>44013</v>
      </c>
      <c r="B6" s="189">
        <v>44378</v>
      </c>
      <c r="C6" s="156">
        <f>C21+C36</f>
        <v>113858.44</v>
      </c>
      <c r="D6" s="116" t="s">
        <v>38</v>
      </c>
      <c r="E6" s="116" t="s">
        <v>38</v>
      </c>
      <c r="F6" s="116" t="s">
        <v>38</v>
      </c>
      <c r="G6" s="39">
        <f t="shared" ref="G6:K10" si="0">SUM(G21,G36)</f>
        <v>0</v>
      </c>
      <c r="H6" s="39">
        <f t="shared" si="0"/>
        <v>0</v>
      </c>
      <c r="I6" s="40">
        <f t="shared" si="0"/>
        <v>0</v>
      </c>
      <c r="J6" s="40">
        <f t="shared" si="0"/>
        <v>0</v>
      </c>
      <c r="K6" s="41">
        <f t="shared" si="0"/>
        <v>0</v>
      </c>
      <c r="L6" s="9">
        <f t="shared" ref="L6:L7" si="1">K6/C6</f>
        <v>0</v>
      </c>
    </row>
    <row r="7" spans="1:14" s="81" customFormat="1" ht="15" customHeight="1" x14ac:dyDescent="0.25">
      <c r="A7" s="188">
        <v>43647</v>
      </c>
      <c r="B7" s="187">
        <v>44013</v>
      </c>
      <c r="C7" s="156">
        <f>C22+C37</f>
        <v>83720</v>
      </c>
      <c r="D7" s="116" t="s">
        <v>38</v>
      </c>
      <c r="E7" s="116" t="s">
        <v>38</v>
      </c>
      <c r="F7" s="116" t="s">
        <v>38</v>
      </c>
      <c r="G7" s="39">
        <f t="shared" si="0"/>
        <v>0</v>
      </c>
      <c r="H7" s="39">
        <f t="shared" si="0"/>
        <v>0</v>
      </c>
      <c r="I7" s="40">
        <f t="shared" si="0"/>
        <v>0</v>
      </c>
      <c r="J7" s="40">
        <f t="shared" si="0"/>
        <v>0</v>
      </c>
      <c r="K7" s="41">
        <f t="shared" si="0"/>
        <v>0</v>
      </c>
      <c r="L7" s="9">
        <f t="shared" si="1"/>
        <v>0</v>
      </c>
    </row>
    <row r="8" spans="1:14" s="81" customFormat="1" ht="15" customHeight="1" x14ac:dyDescent="0.25">
      <c r="A8" s="189">
        <f>A7-365</f>
        <v>43282</v>
      </c>
      <c r="B8" s="187">
        <v>43647</v>
      </c>
      <c r="C8" s="156">
        <f>C23</f>
        <v>55000</v>
      </c>
      <c r="D8" s="116" t="s">
        <v>38</v>
      </c>
      <c r="E8" s="116" t="s">
        <v>38</v>
      </c>
      <c r="F8" s="116" t="s">
        <v>38</v>
      </c>
      <c r="G8" s="39">
        <f t="shared" si="0"/>
        <v>0</v>
      </c>
      <c r="H8" s="39">
        <f t="shared" si="0"/>
        <v>0</v>
      </c>
      <c r="I8" s="40">
        <f t="shared" si="0"/>
        <v>0</v>
      </c>
      <c r="J8" s="40">
        <f t="shared" si="0"/>
        <v>0</v>
      </c>
      <c r="K8" s="41">
        <f t="shared" si="0"/>
        <v>0</v>
      </c>
      <c r="L8" s="9">
        <v>0</v>
      </c>
    </row>
    <row r="9" spans="1:14" s="81" customFormat="1" ht="15" customHeight="1" x14ac:dyDescent="0.25">
      <c r="A9" s="189">
        <f t="shared" ref="A9:A15" si="2">A8-365</f>
        <v>42917</v>
      </c>
      <c r="B9" s="187">
        <f t="shared" ref="B9:B14" si="3">B8-365</f>
        <v>43282</v>
      </c>
      <c r="C9" s="156">
        <f>C24</f>
        <v>55000</v>
      </c>
      <c r="D9" s="116" t="s">
        <v>38</v>
      </c>
      <c r="E9" s="116" t="s">
        <v>38</v>
      </c>
      <c r="F9" s="116" t="s">
        <v>38</v>
      </c>
      <c r="G9" s="39">
        <f t="shared" si="0"/>
        <v>0</v>
      </c>
      <c r="H9" s="39">
        <f t="shared" si="0"/>
        <v>0</v>
      </c>
      <c r="I9" s="40">
        <f t="shared" si="0"/>
        <v>0</v>
      </c>
      <c r="J9" s="40">
        <f t="shared" si="0"/>
        <v>0</v>
      </c>
      <c r="K9" s="41">
        <f t="shared" si="0"/>
        <v>0</v>
      </c>
      <c r="L9" s="101">
        <v>0</v>
      </c>
    </row>
    <row r="10" spans="1:14" s="81" customFormat="1" ht="15" customHeight="1" x14ac:dyDescent="0.25">
      <c r="A10" s="189">
        <f t="shared" si="2"/>
        <v>42552</v>
      </c>
      <c r="B10" s="187">
        <f t="shared" si="3"/>
        <v>42917</v>
      </c>
      <c r="C10" s="156">
        <f>C25</f>
        <v>55000</v>
      </c>
      <c r="D10" s="116" t="s">
        <v>38</v>
      </c>
      <c r="E10" s="116" t="s">
        <v>38</v>
      </c>
      <c r="F10" s="116" t="s">
        <v>38</v>
      </c>
      <c r="G10" s="39">
        <f t="shared" si="0"/>
        <v>0</v>
      </c>
      <c r="H10" s="39">
        <f t="shared" si="0"/>
        <v>0</v>
      </c>
      <c r="I10" s="40">
        <f t="shared" si="0"/>
        <v>0</v>
      </c>
      <c r="J10" s="40">
        <f t="shared" si="0"/>
        <v>0</v>
      </c>
      <c r="K10" s="41">
        <f t="shared" si="0"/>
        <v>0</v>
      </c>
      <c r="L10" s="102">
        <v>0</v>
      </c>
    </row>
    <row r="11" spans="1:14" s="81" customFormat="1" ht="15" hidden="1" customHeight="1" x14ac:dyDescent="0.25">
      <c r="A11" s="169" t="e">
        <f>#REF!-365</f>
        <v>#REF!</v>
      </c>
      <c r="B11" s="21">
        <v>42186</v>
      </c>
      <c r="C11" s="156">
        <f>C26+C42</f>
        <v>0</v>
      </c>
      <c r="D11" s="116" t="s">
        <v>38</v>
      </c>
      <c r="E11" s="116" t="s">
        <v>38</v>
      </c>
      <c r="F11" s="116" t="s">
        <v>38</v>
      </c>
      <c r="G11" s="39">
        <f t="shared" ref="G11:K11" si="4">SUM(G26,G42)</f>
        <v>0</v>
      </c>
      <c r="H11" s="39">
        <f t="shared" si="4"/>
        <v>0</v>
      </c>
      <c r="I11" s="40">
        <f t="shared" si="4"/>
        <v>0</v>
      </c>
      <c r="J11" s="40">
        <f t="shared" si="4"/>
        <v>0</v>
      </c>
      <c r="K11" s="41">
        <f t="shared" si="4"/>
        <v>0</v>
      </c>
      <c r="L11" s="102" t="e">
        <f t="shared" ref="L11:L17" si="5">K11/C11</f>
        <v>#DIV/0!</v>
      </c>
    </row>
    <row r="12" spans="1:14" s="81" customFormat="1" ht="15" hidden="1" customHeight="1" x14ac:dyDescent="0.25">
      <c r="A12" s="169" t="e">
        <f t="shared" si="2"/>
        <v>#REF!</v>
      </c>
      <c r="B12" s="21">
        <f t="shared" si="3"/>
        <v>41821</v>
      </c>
      <c r="C12" s="156">
        <f>C27+C43</f>
        <v>0</v>
      </c>
      <c r="D12" s="116" t="s">
        <v>38</v>
      </c>
      <c r="E12" s="116" t="s">
        <v>38</v>
      </c>
      <c r="F12" s="116" t="s">
        <v>38</v>
      </c>
      <c r="G12" s="39">
        <f t="shared" ref="G12:K12" si="6">SUM(G27,G43)</f>
        <v>0</v>
      </c>
      <c r="H12" s="39">
        <f t="shared" si="6"/>
        <v>0</v>
      </c>
      <c r="I12" s="40">
        <f t="shared" si="6"/>
        <v>0</v>
      </c>
      <c r="J12" s="40">
        <f t="shared" si="6"/>
        <v>0</v>
      </c>
      <c r="K12" s="41">
        <f t="shared" si="6"/>
        <v>0</v>
      </c>
      <c r="L12" s="102" t="e">
        <f t="shared" si="5"/>
        <v>#DIV/0!</v>
      </c>
    </row>
    <row r="13" spans="1:14" s="81" customFormat="1" ht="15" hidden="1" customHeight="1" x14ac:dyDescent="0.25">
      <c r="A13" s="169" t="e">
        <f t="shared" si="2"/>
        <v>#REF!</v>
      </c>
      <c r="B13" s="21">
        <f t="shared" si="3"/>
        <v>41456</v>
      </c>
      <c r="C13" s="157">
        <f>C28+C44</f>
        <v>0</v>
      </c>
      <c r="D13" s="116" t="s">
        <v>38</v>
      </c>
      <c r="E13" s="116" t="s">
        <v>38</v>
      </c>
      <c r="F13" s="116" t="s">
        <v>38</v>
      </c>
      <c r="G13" s="39">
        <f t="shared" ref="G13:K13" si="7">SUM(G28,G44)</f>
        <v>0</v>
      </c>
      <c r="H13" s="39">
        <f t="shared" si="7"/>
        <v>0</v>
      </c>
      <c r="I13" s="40">
        <f t="shared" si="7"/>
        <v>0</v>
      </c>
      <c r="J13" s="40">
        <f t="shared" si="7"/>
        <v>0</v>
      </c>
      <c r="K13" s="41">
        <f t="shared" si="7"/>
        <v>0</v>
      </c>
      <c r="L13" s="102" t="e">
        <f t="shared" si="5"/>
        <v>#DIV/0!</v>
      </c>
    </row>
    <row r="14" spans="1:14" s="81" customFormat="1" ht="15" hidden="1" customHeight="1" x14ac:dyDescent="0.25">
      <c r="A14" s="169">
        <v>40725</v>
      </c>
      <c r="B14" s="21">
        <f t="shared" si="3"/>
        <v>41091</v>
      </c>
      <c r="C14" s="157">
        <f>C29+C45</f>
        <v>0</v>
      </c>
      <c r="D14" s="116" t="s">
        <v>38</v>
      </c>
      <c r="E14" s="116" t="s">
        <v>38</v>
      </c>
      <c r="F14" s="116" t="s">
        <v>38</v>
      </c>
      <c r="G14" s="39">
        <f t="shared" ref="G14:K14" si="8">SUM(G29,G45)</f>
        <v>0</v>
      </c>
      <c r="H14" s="39">
        <f t="shared" si="8"/>
        <v>0</v>
      </c>
      <c r="I14" s="40">
        <f t="shared" si="8"/>
        <v>0</v>
      </c>
      <c r="J14" s="40">
        <f t="shared" si="8"/>
        <v>0</v>
      </c>
      <c r="K14" s="41">
        <f t="shared" si="8"/>
        <v>0</v>
      </c>
      <c r="L14" s="102" t="e">
        <f t="shared" si="5"/>
        <v>#DIV/0!</v>
      </c>
    </row>
    <row r="15" spans="1:14" s="81" customFormat="1" ht="15" hidden="1" customHeight="1" x14ac:dyDescent="0.25">
      <c r="A15" s="169">
        <f t="shared" si="2"/>
        <v>40360</v>
      </c>
      <c r="B15" s="21">
        <v>40725</v>
      </c>
      <c r="C15" s="158">
        <f>C30+C46</f>
        <v>0</v>
      </c>
      <c r="D15" s="116" t="s">
        <v>38</v>
      </c>
      <c r="E15" s="116" t="s">
        <v>38</v>
      </c>
      <c r="F15" s="116" t="s">
        <v>38</v>
      </c>
      <c r="G15" s="39">
        <f t="shared" ref="G15:K15" si="9">SUM(G30,G46)</f>
        <v>0</v>
      </c>
      <c r="H15" s="39">
        <f t="shared" si="9"/>
        <v>0</v>
      </c>
      <c r="I15" s="40">
        <f t="shared" si="9"/>
        <v>0</v>
      </c>
      <c r="J15" s="40">
        <f t="shared" si="9"/>
        <v>0</v>
      </c>
      <c r="K15" s="125">
        <f t="shared" si="9"/>
        <v>0</v>
      </c>
      <c r="L15" s="11" t="e">
        <f t="shared" si="5"/>
        <v>#DIV/0!</v>
      </c>
    </row>
    <row r="16" spans="1:14" ht="15" customHeight="1" thickBot="1" x14ac:dyDescent="0.25">
      <c r="A16" s="91" t="s">
        <v>10</v>
      </c>
      <c r="B16" s="91"/>
      <c r="C16" s="118">
        <f>SUM(C6:C10)</f>
        <v>362578.44</v>
      </c>
      <c r="D16" s="118"/>
      <c r="E16" s="119"/>
      <c r="F16" s="119"/>
      <c r="G16" s="119">
        <f>SUM(G6:G10)</f>
        <v>0</v>
      </c>
      <c r="H16" s="119">
        <f t="shared" ref="H16:K16" si="10">SUM(H6:H10)</f>
        <v>0</v>
      </c>
      <c r="I16" s="118">
        <f t="shared" si="10"/>
        <v>0</v>
      </c>
      <c r="J16" s="118">
        <f t="shared" si="10"/>
        <v>0</v>
      </c>
      <c r="K16" s="118">
        <f t="shared" si="10"/>
        <v>0</v>
      </c>
      <c r="L16" s="51">
        <f t="shared" si="5"/>
        <v>0</v>
      </c>
    </row>
    <row r="17" spans="1:15" ht="15" hidden="1" customHeight="1" thickTop="1" thickBot="1" x14ac:dyDescent="0.25">
      <c r="A17" s="120" t="s">
        <v>11</v>
      </c>
      <c r="B17" s="120"/>
      <c r="C17" s="121">
        <f>SUM(C7:C15)</f>
        <v>248720</v>
      </c>
      <c r="D17" s="121"/>
      <c r="E17" s="122"/>
      <c r="F17" s="122"/>
      <c r="G17" s="122">
        <f>SUM(G7:G15)</f>
        <v>0</v>
      </c>
      <c r="H17" s="122">
        <f>SUM(H7:H15)</f>
        <v>0</v>
      </c>
      <c r="I17" s="121">
        <f>SUM(I7:I15)</f>
        <v>0</v>
      </c>
      <c r="J17" s="121">
        <f>SUM(J7:J15)</f>
        <v>0</v>
      </c>
      <c r="K17" s="121">
        <f>SUM(K7:K15)</f>
        <v>0</v>
      </c>
      <c r="L17" s="123">
        <f t="shared" si="5"/>
        <v>0</v>
      </c>
    </row>
    <row r="18" spans="1:15" s="81" customFormat="1" ht="15" customHeight="1" thickTop="1" x14ac:dyDescent="0.25">
      <c r="A18" s="82"/>
      <c r="B18" s="82"/>
      <c r="C18" s="12"/>
      <c r="D18" s="83"/>
      <c r="E18" s="83"/>
      <c r="F18" s="83"/>
      <c r="G18" s="84"/>
      <c r="H18" s="84"/>
      <c r="I18" s="84"/>
      <c r="J18" s="82"/>
      <c r="K18" s="82"/>
      <c r="L18" s="12"/>
    </row>
    <row r="19" spans="1:15" ht="15" customHeight="1" x14ac:dyDescent="0.2">
      <c r="A19" s="251" t="s">
        <v>44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</row>
    <row r="20" spans="1:15" ht="15.75" customHeight="1" x14ac:dyDescent="0.2">
      <c r="A20" s="252" t="s">
        <v>20</v>
      </c>
      <c r="B20" s="253"/>
      <c r="C20" s="109" t="s">
        <v>2</v>
      </c>
      <c r="D20" s="109" t="s">
        <v>15</v>
      </c>
      <c r="E20" s="109" t="s">
        <v>19</v>
      </c>
      <c r="F20" s="109" t="s">
        <v>3</v>
      </c>
      <c r="G20" s="109" t="s">
        <v>12</v>
      </c>
      <c r="H20" s="109" t="s">
        <v>13</v>
      </c>
      <c r="I20" s="109" t="s">
        <v>29</v>
      </c>
      <c r="J20" s="109" t="s">
        <v>30</v>
      </c>
      <c r="K20" s="109" t="s">
        <v>27</v>
      </c>
      <c r="L20" s="124" t="s">
        <v>4</v>
      </c>
    </row>
    <row r="21" spans="1:15" ht="19.5" customHeight="1" x14ac:dyDescent="0.2">
      <c r="A21" s="209">
        <v>44013</v>
      </c>
      <c r="B21" s="187">
        <v>44378</v>
      </c>
      <c r="C21" s="190">
        <v>73773.440000000002</v>
      </c>
      <c r="D21" s="194" t="s">
        <v>46</v>
      </c>
      <c r="E21" s="214">
        <v>44235</v>
      </c>
      <c r="F21" s="190" t="s">
        <v>78</v>
      </c>
      <c r="G21" s="191">
        <v>0</v>
      </c>
      <c r="H21" s="191">
        <v>0</v>
      </c>
      <c r="I21" s="192">
        <v>0</v>
      </c>
      <c r="J21" s="192">
        <v>0</v>
      </c>
      <c r="K21" s="24">
        <f>SUM(I21:J21)</f>
        <v>0</v>
      </c>
      <c r="L21" s="124"/>
    </row>
    <row r="22" spans="1:15" ht="18" customHeight="1" x14ac:dyDescent="0.2">
      <c r="A22" s="188">
        <v>43647</v>
      </c>
      <c r="B22" s="187">
        <v>44013</v>
      </c>
      <c r="C22" s="190">
        <v>55640</v>
      </c>
      <c r="D22" s="190" t="s">
        <v>46</v>
      </c>
      <c r="E22" s="214">
        <v>44235</v>
      </c>
      <c r="F22" s="190" t="s">
        <v>49</v>
      </c>
      <c r="G22" s="191">
        <v>0</v>
      </c>
      <c r="H22" s="191">
        <v>0</v>
      </c>
      <c r="I22" s="192">
        <v>0</v>
      </c>
      <c r="J22" s="192">
        <v>0</v>
      </c>
      <c r="K22" s="24">
        <f>SUM(I22:J22)</f>
        <v>0</v>
      </c>
      <c r="L22" s="8">
        <f t="shared" ref="L22:L32" si="11">K22/C22</f>
        <v>0</v>
      </c>
    </row>
    <row r="23" spans="1:15" ht="18" customHeight="1" x14ac:dyDescent="0.2">
      <c r="A23" s="189">
        <v>43282</v>
      </c>
      <c r="B23" s="187">
        <v>43647</v>
      </c>
      <c r="C23" s="219">
        <v>55000</v>
      </c>
      <c r="D23" s="190" t="s">
        <v>46</v>
      </c>
      <c r="E23" s="214">
        <v>44235</v>
      </c>
      <c r="F23" s="190" t="s">
        <v>50</v>
      </c>
      <c r="G23" s="191">
        <v>0</v>
      </c>
      <c r="H23" s="191">
        <v>0</v>
      </c>
      <c r="I23" s="192">
        <v>0</v>
      </c>
      <c r="J23" s="192">
        <v>0</v>
      </c>
      <c r="K23" s="27">
        <f t="shared" ref="K23" si="12">SUM(I23:J23)</f>
        <v>0</v>
      </c>
      <c r="L23" s="9">
        <v>0</v>
      </c>
    </row>
    <row r="24" spans="1:15" ht="18" customHeight="1" x14ac:dyDescent="0.2">
      <c r="A24" s="189">
        <v>42917</v>
      </c>
      <c r="B24" s="187">
        <v>43282</v>
      </c>
      <c r="C24" s="219">
        <v>55000</v>
      </c>
      <c r="D24" s="190" t="s">
        <v>46</v>
      </c>
      <c r="E24" s="214">
        <v>44235</v>
      </c>
      <c r="F24" s="190" t="s">
        <v>47</v>
      </c>
      <c r="G24" s="191">
        <v>0</v>
      </c>
      <c r="H24" s="191">
        <v>0</v>
      </c>
      <c r="I24" s="192">
        <v>0</v>
      </c>
      <c r="J24" s="192">
        <v>0</v>
      </c>
      <c r="K24" s="27">
        <f>SUM(I24:J24)</f>
        <v>0</v>
      </c>
      <c r="L24" s="9">
        <v>0</v>
      </c>
    </row>
    <row r="25" spans="1:15" ht="18" customHeight="1" x14ac:dyDescent="0.2">
      <c r="A25" s="189">
        <v>42552</v>
      </c>
      <c r="B25" s="187">
        <v>42917</v>
      </c>
      <c r="C25" s="219">
        <v>55000</v>
      </c>
      <c r="D25" s="190" t="s">
        <v>46</v>
      </c>
      <c r="E25" s="214">
        <v>44235</v>
      </c>
      <c r="F25" s="190" t="s">
        <v>48</v>
      </c>
      <c r="G25" s="191">
        <v>0</v>
      </c>
      <c r="H25" s="191">
        <v>0</v>
      </c>
      <c r="I25" s="192">
        <v>0</v>
      </c>
      <c r="J25" s="192">
        <v>0</v>
      </c>
      <c r="K25" s="27">
        <f t="shared" ref="K25" si="13">SUM(I25:J25)</f>
        <v>0</v>
      </c>
      <c r="L25" s="9">
        <v>0</v>
      </c>
    </row>
    <row r="26" spans="1:15" ht="18" hidden="1" customHeight="1" x14ac:dyDescent="0.2">
      <c r="A26" s="169">
        <v>42186</v>
      </c>
      <c r="B26" s="21">
        <v>42552</v>
      </c>
      <c r="C26" s="15">
        <v>0</v>
      </c>
      <c r="D26" s="15" t="s">
        <v>8</v>
      </c>
      <c r="E26" s="21" t="s">
        <v>9</v>
      </c>
      <c r="F26" s="15" t="s">
        <v>8</v>
      </c>
      <c r="G26" s="22">
        <v>0</v>
      </c>
      <c r="H26" s="180">
        <v>0</v>
      </c>
      <c r="I26" s="181">
        <v>0</v>
      </c>
      <c r="J26" s="181">
        <v>0</v>
      </c>
      <c r="K26" s="27">
        <f t="shared" ref="K26:K30" si="14">SUM(I26:J26)</f>
        <v>0</v>
      </c>
      <c r="L26" s="9" t="e">
        <f t="shared" si="11"/>
        <v>#DIV/0!</v>
      </c>
    </row>
    <row r="27" spans="1:15" ht="18" hidden="1" customHeight="1" x14ac:dyDescent="0.2">
      <c r="A27" s="169">
        <v>41456</v>
      </c>
      <c r="B27" s="21">
        <v>41821</v>
      </c>
      <c r="C27" s="15">
        <v>0</v>
      </c>
      <c r="D27" s="15" t="s">
        <v>8</v>
      </c>
      <c r="E27" s="21" t="s">
        <v>9</v>
      </c>
      <c r="F27" s="15" t="s">
        <v>8</v>
      </c>
      <c r="G27" s="22">
        <v>0</v>
      </c>
      <c r="H27" s="180">
        <v>0</v>
      </c>
      <c r="I27" s="181">
        <v>0</v>
      </c>
      <c r="J27" s="181">
        <v>0</v>
      </c>
      <c r="K27" s="27">
        <f t="shared" si="14"/>
        <v>0</v>
      </c>
      <c r="L27" s="9" t="e">
        <f t="shared" si="11"/>
        <v>#DIV/0!</v>
      </c>
    </row>
    <row r="28" spans="1:15" ht="18" hidden="1" customHeight="1" x14ac:dyDescent="0.2">
      <c r="A28" s="169">
        <v>41091</v>
      </c>
      <c r="B28" s="21">
        <v>41456</v>
      </c>
      <c r="C28" s="16">
        <v>0</v>
      </c>
      <c r="D28" s="16" t="s">
        <v>8</v>
      </c>
      <c r="E28" s="21" t="s">
        <v>9</v>
      </c>
      <c r="F28" s="16" t="s">
        <v>8</v>
      </c>
      <c r="G28" s="22">
        <v>0</v>
      </c>
      <c r="H28" s="180">
        <v>0</v>
      </c>
      <c r="I28" s="181">
        <v>0</v>
      </c>
      <c r="J28" s="181">
        <v>0</v>
      </c>
      <c r="K28" s="27">
        <f t="shared" si="14"/>
        <v>0</v>
      </c>
      <c r="L28" s="9" t="e">
        <f t="shared" si="11"/>
        <v>#DIV/0!</v>
      </c>
      <c r="O28" s="10"/>
    </row>
    <row r="29" spans="1:15" ht="18" hidden="1" customHeight="1" x14ac:dyDescent="0.2">
      <c r="A29" s="169">
        <v>40725</v>
      </c>
      <c r="B29" s="21">
        <v>41091</v>
      </c>
      <c r="C29" s="16">
        <v>0</v>
      </c>
      <c r="D29" s="16" t="s">
        <v>8</v>
      </c>
      <c r="E29" s="21" t="s">
        <v>9</v>
      </c>
      <c r="F29" s="16" t="s">
        <v>8</v>
      </c>
      <c r="G29" s="22">
        <v>0</v>
      </c>
      <c r="H29" s="180">
        <v>0</v>
      </c>
      <c r="I29" s="181">
        <v>0</v>
      </c>
      <c r="J29" s="181">
        <v>0</v>
      </c>
      <c r="K29" s="27">
        <f t="shared" si="14"/>
        <v>0</v>
      </c>
      <c r="L29" s="9" t="e">
        <f t="shared" si="11"/>
        <v>#DIV/0!</v>
      </c>
    </row>
    <row r="30" spans="1:15" ht="18" hidden="1" customHeight="1" x14ac:dyDescent="0.2">
      <c r="A30" s="170">
        <v>40360</v>
      </c>
      <c r="B30" s="28">
        <v>40725</v>
      </c>
      <c r="C30" s="17">
        <v>0</v>
      </c>
      <c r="D30" s="17" t="s">
        <v>8</v>
      </c>
      <c r="E30" s="28" t="s">
        <v>9</v>
      </c>
      <c r="F30" s="17" t="s">
        <v>8</v>
      </c>
      <c r="G30" s="30">
        <v>0</v>
      </c>
      <c r="H30" s="180">
        <v>0</v>
      </c>
      <c r="I30" s="181">
        <v>0</v>
      </c>
      <c r="J30" s="181">
        <v>0</v>
      </c>
      <c r="K30" s="33">
        <f t="shared" si="14"/>
        <v>0</v>
      </c>
      <c r="L30" s="11" t="e">
        <f t="shared" si="11"/>
        <v>#DIV/0!</v>
      </c>
    </row>
    <row r="31" spans="1:15" ht="18.75" customHeight="1" thickBot="1" x14ac:dyDescent="0.25">
      <c r="A31" s="91" t="s">
        <v>10</v>
      </c>
      <c r="B31" s="91"/>
      <c r="C31" s="118">
        <f>SUM(C21:C25)</f>
        <v>294413.44</v>
      </c>
      <c r="D31" s="118"/>
      <c r="E31" s="119"/>
      <c r="F31" s="119"/>
      <c r="G31" s="119">
        <f>SUM(G21:G25)</f>
        <v>0</v>
      </c>
      <c r="H31" s="119">
        <f t="shared" ref="H31:K31" si="15">SUM(H21:H25)</f>
        <v>0</v>
      </c>
      <c r="I31" s="118">
        <f t="shared" si="15"/>
        <v>0</v>
      </c>
      <c r="J31" s="118">
        <f t="shared" si="15"/>
        <v>0</v>
      </c>
      <c r="K31" s="118">
        <f t="shared" si="15"/>
        <v>0</v>
      </c>
      <c r="L31" s="51">
        <f t="shared" si="11"/>
        <v>0</v>
      </c>
    </row>
    <row r="32" spans="1:15" ht="15" hidden="1" customHeight="1" thickTop="1" thickBot="1" x14ac:dyDescent="0.25">
      <c r="A32" s="120" t="s">
        <v>11</v>
      </c>
      <c r="B32" s="120"/>
      <c r="C32" s="121" t="s">
        <v>37</v>
      </c>
      <c r="D32" s="121"/>
      <c r="E32" s="122"/>
      <c r="F32" s="122"/>
      <c r="G32" s="122">
        <f>SUM(G22:G30)</f>
        <v>0</v>
      </c>
      <c r="H32" s="122">
        <f>SUM(H22:H30)</f>
        <v>0</v>
      </c>
      <c r="I32" s="121">
        <f>SUM(I22:I30)</f>
        <v>0</v>
      </c>
      <c r="J32" s="121">
        <f>SUM(J22:J30)</f>
        <v>0</v>
      </c>
      <c r="K32" s="121">
        <f>SUM(K22:K30)</f>
        <v>0</v>
      </c>
      <c r="L32" s="123" t="e">
        <f t="shared" si="11"/>
        <v>#VALUE!</v>
      </c>
    </row>
    <row r="33" spans="1:15" ht="13.5" thickTop="1" x14ac:dyDescent="0.2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5" ht="15" customHeight="1" x14ac:dyDescent="0.2">
      <c r="A34" s="251" t="s">
        <v>45</v>
      </c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</row>
    <row r="35" spans="1:15" ht="25.5" x14ac:dyDescent="0.2">
      <c r="A35" s="252" t="s">
        <v>20</v>
      </c>
      <c r="B35" s="253"/>
      <c r="C35" s="109" t="s">
        <v>2</v>
      </c>
      <c r="D35" s="109" t="s">
        <v>15</v>
      </c>
      <c r="E35" s="109" t="s">
        <v>19</v>
      </c>
      <c r="F35" s="109" t="s">
        <v>3</v>
      </c>
      <c r="G35" s="109" t="s">
        <v>12</v>
      </c>
      <c r="H35" s="109" t="s">
        <v>13</v>
      </c>
      <c r="I35" s="109" t="s">
        <v>29</v>
      </c>
      <c r="J35" s="109" t="s">
        <v>30</v>
      </c>
      <c r="K35" s="109" t="s">
        <v>27</v>
      </c>
      <c r="L35" s="124" t="s">
        <v>4</v>
      </c>
    </row>
    <row r="36" spans="1:15" ht="18" customHeight="1" x14ac:dyDescent="0.2">
      <c r="A36" s="210">
        <v>44013</v>
      </c>
      <c r="B36" s="211">
        <v>44378</v>
      </c>
      <c r="C36" s="156">
        <v>40085</v>
      </c>
      <c r="D36" s="156" t="s">
        <v>51</v>
      </c>
      <c r="E36" s="221">
        <v>44243</v>
      </c>
      <c r="F36" s="212" t="s">
        <v>64</v>
      </c>
      <c r="G36" s="212">
        <v>0</v>
      </c>
      <c r="H36" s="212">
        <v>0</v>
      </c>
      <c r="I36" s="24">
        <v>0</v>
      </c>
      <c r="J36" s="24">
        <v>0</v>
      </c>
      <c r="K36" s="24">
        <f>SUM(I36:J36)</f>
        <v>0</v>
      </c>
      <c r="L36" s="8">
        <f t="shared" ref="L36:L48" si="16">K36/C36</f>
        <v>0</v>
      </c>
    </row>
    <row r="37" spans="1:15" ht="18" customHeight="1" x14ac:dyDescent="0.2">
      <c r="A37" s="213">
        <v>43647</v>
      </c>
      <c r="B37" s="211">
        <v>44013</v>
      </c>
      <c r="C37" s="156">
        <v>28080</v>
      </c>
      <c r="D37" s="156" t="s">
        <v>51</v>
      </c>
      <c r="E37" s="221">
        <v>44243</v>
      </c>
      <c r="F37" s="212" t="s">
        <v>64</v>
      </c>
      <c r="G37" s="212">
        <v>0</v>
      </c>
      <c r="H37" s="212">
        <v>0</v>
      </c>
      <c r="I37" s="24">
        <v>0</v>
      </c>
      <c r="J37" s="24">
        <v>0</v>
      </c>
      <c r="K37" s="24">
        <f>SUM(I37:J37)</f>
        <v>0</v>
      </c>
      <c r="L37" s="8">
        <f t="shared" si="16"/>
        <v>0</v>
      </c>
    </row>
    <row r="38" spans="1:15" ht="18" hidden="1" customHeight="1" x14ac:dyDescent="0.2">
      <c r="A38" s="169">
        <v>43282</v>
      </c>
      <c r="B38" s="21">
        <v>43647</v>
      </c>
      <c r="C38" s="15">
        <v>0</v>
      </c>
      <c r="D38" s="15" t="s">
        <v>8</v>
      </c>
      <c r="E38" s="220">
        <v>44243</v>
      </c>
      <c r="F38" s="22" t="s">
        <v>8</v>
      </c>
      <c r="G38" s="22">
        <v>0</v>
      </c>
      <c r="H38" s="25">
        <v>0</v>
      </c>
      <c r="I38" s="23">
        <v>0</v>
      </c>
      <c r="J38" s="26">
        <v>0</v>
      </c>
      <c r="K38" s="27">
        <f t="shared" ref="K38" si="17">SUM(I38:J38)</f>
        <v>0</v>
      </c>
      <c r="L38" s="9" t="e">
        <f t="shared" si="16"/>
        <v>#DIV/0!</v>
      </c>
    </row>
    <row r="39" spans="1:15" ht="18" hidden="1" customHeight="1" x14ac:dyDescent="0.2">
      <c r="A39" s="169">
        <v>42917</v>
      </c>
      <c r="B39" s="21">
        <v>43282</v>
      </c>
      <c r="C39" s="15">
        <v>0</v>
      </c>
      <c r="D39" s="15" t="s">
        <v>8</v>
      </c>
      <c r="E39" s="220">
        <v>44243</v>
      </c>
      <c r="F39" s="22" t="s">
        <v>8</v>
      </c>
      <c r="G39" s="22">
        <v>0</v>
      </c>
      <c r="H39" s="25">
        <v>0</v>
      </c>
      <c r="I39" s="23">
        <v>0</v>
      </c>
      <c r="J39" s="26">
        <v>0</v>
      </c>
      <c r="K39" s="27">
        <f>SUM(I39:J39)</f>
        <v>0</v>
      </c>
      <c r="L39" s="9" t="e">
        <f t="shared" si="16"/>
        <v>#DIV/0!</v>
      </c>
    </row>
    <row r="40" spans="1:15" ht="18" hidden="1" customHeight="1" x14ac:dyDescent="0.2">
      <c r="A40" s="169">
        <v>42552</v>
      </c>
      <c r="B40" s="21">
        <v>42917</v>
      </c>
      <c r="C40" s="15">
        <v>0</v>
      </c>
      <c r="D40" s="15" t="s">
        <v>8</v>
      </c>
      <c r="E40" s="220">
        <v>44243</v>
      </c>
      <c r="F40" s="22" t="s">
        <v>8</v>
      </c>
      <c r="G40" s="22">
        <v>0</v>
      </c>
      <c r="H40" s="25">
        <v>0</v>
      </c>
      <c r="I40" s="23">
        <v>0</v>
      </c>
      <c r="J40" s="26">
        <v>0</v>
      </c>
      <c r="K40" s="27">
        <f t="shared" ref="K40" si="18">SUM(I40:J40)</f>
        <v>0</v>
      </c>
      <c r="L40" s="9" t="e">
        <f t="shared" si="16"/>
        <v>#DIV/0!</v>
      </c>
    </row>
    <row r="41" spans="1:15" ht="18" hidden="1" customHeight="1" x14ac:dyDescent="0.2">
      <c r="A41" s="169">
        <v>42186</v>
      </c>
      <c r="B41" s="21">
        <v>42552</v>
      </c>
      <c r="C41" s="15">
        <v>0</v>
      </c>
      <c r="D41" s="15" t="s">
        <v>8</v>
      </c>
      <c r="E41" s="220">
        <v>44243</v>
      </c>
      <c r="F41" s="22" t="s">
        <v>8</v>
      </c>
      <c r="G41" s="22">
        <v>0</v>
      </c>
      <c r="H41" s="25">
        <v>0</v>
      </c>
      <c r="I41" s="23">
        <v>0</v>
      </c>
      <c r="J41" s="26">
        <v>0</v>
      </c>
      <c r="K41" s="27">
        <f>SUM(I41:J41)</f>
        <v>0</v>
      </c>
      <c r="L41" s="9" t="e">
        <f t="shared" si="16"/>
        <v>#DIV/0!</v>
      </c>
    </row>
    <row r="42" spans="1:15" ht="18" hidden="1" customHeight="1" x14ac:dyDescent="0.2">
      <c r="A42" s="169">
        <v>41821</v>
      </c>
      <c r="B42" s="21">
        <v>42186</v>
      </c>
      <c r="C42" s="15">
        <v>0</v>
      </c>
      <c r="D42" s="15" t="s">
        <v>8</v>
      </c>
      <c r="E42" s="220">
        <v>44243</v>
      </c>
      <c r="F42" s="22" t="s">
        <v>8</v>
      </c>
      <c r="G42" s="22">
        <v>0</v>
      </c>
      <c r="H42" s="25">
        <v>0</v>
      </c>
      <c r="I42" s="23">
        <v>0</v>
      </c>
      <c r="J42" s="26">
        <v>0</v>
      </c>
      <c r="K42" s="27">
        <f t="shared" ref="K42:K46" si="19">SUM(I42:J42)</f>
        <v>0</v>
      </c>
      <c r="L42" s="9" t="e">
        <f t="shared" si="16"/>
        <v>#DIV/0!</v>
      </c>
    </row>
    <row r="43" spans="1:15" ht="18" hidden="1" customHeight="1" x14ac:dyDescent="0.2">
      <c r="A43" s="169">
        <v>41456</v>
      </c>
      <c r="B43" s="21">
        <v>41821</v>
      </c>
      <c r="C43" s="15">
        <v>0</v>
      </c>
      <c r="D43" s="15" t="s">
        <v>8</v>
      </c>
      <c r="E43" s="220">
        <v>44243</v>
      </c>
      <c r="F43" s="22" t="s">
        <v>8</v>
      </c>
      <c r="G43" s="22">
        <v>0</v>
      </c>
      <c r="H43" s="25">
        <v>0</v>
      </c>
      <c r="I43" s="23">
        <v>0</v>
      </c>
      <c r="J43" s="26">
        <v>0</v>
      </c>
      <c r="K43" s="27">
        <f t="shared" si="19"/>
        <v>0</v>
      </c>
      <c r="L43" s="9" t="e">
        <f t="shared" si="16"/>
        <v>#DIV/0!</v>
      </c>
    </row>
    <row r="44" spans="1:15" ht="18" hidden="1" customHeight="1" x14ac:dyDescent="0.2">
      <c r="A44" s="169">
        <v>41091</v>
      </c>
      <c r="B44" s="21">
        <v>41456</v>
      </c>
      <c r="C44" s="16">
        <v>0</v>
      </c>
      <c r="D44" s="16" t="s">
        <v>8</v>
      </c>
      <c r="E44" s="220">
        <v>44243</v>
      </c>
      <c r="F44" s="22" t="s">
        <v>8</v>
      </c>
      <c r="G44" s="22">
        <v>0</v>
      </c>
      <c r="H44" s="25">
        <v>0</v>
      </c>
      <c r="I44" s="23">
        <v>0</v>
      </c>
      <c r="J44" s="26">
        <v>0</v>
      </c>
      <c r="K44" s="27">
        <f t="shared" si="19"/>
        <v>0</v>
      </c>
      <c r="L44" s="9" t="e">
        <f t="shared" si="16"/>
        <v>#DIV/0!</v>
      </c>
      <c r="O44" s="10"/>
    </row>
    <row r="45" spans="1:15" ht="18" hidden="1" customHeight="1" x14ac:dyDescent="0.2">
      <c r="A45" s="169">
        <v>40725</v>
      </c>
      <c r="B45" s="21">
        <v>41091</v>
      </c>
      <c r="C45" s="16">
        <v>0</v>
      </c>
      <c r="D45" s="16" t="s">
        <v>8</v>
      </c>
      <c r="E45" s="220">
        <v>44243</v>
      </c>
      <c r="F45" s="22" t="s">
        <v>8</v>
      </c>
      <c r="G45" s="22">
        <v>0</v>
      </c>
      <c r="H45" s="25">
        <v>0</v>
      </c>
      <c r="I45" s="23">
        <v>0</v>
      </c>
      <c r="J45" s="26">
        <v>0</v>
      </c>
      <c r="K45" s="27">
        <f t="shared" si="19"/>
        <v>0</v>
      </c>
      <c r="L45" s="9" t="e">
        <f t="shared" si="16"/>
        <v>#DIV/0!</v>
      </c>
    </row>
    <row r="46" spans="1:15" ht="18" hidden="1" customHeight="1" x14ac:dyDescent="0.2">
      <c r="A46" s="170">
        <v>40360</v>
      </c>
      <c r="B46" s="28">
        <v>40725</v>
      </c>
      <c r="C46" s="17">
        <v>0</v>
      </c>
      <c r="D46" s="17" t="s">
        <v>8</v>
      </c>
      <c r="E46" s="220">
        <v>44243</v>
      </c>
      <c r="F46" s="29" t="s">
        <v>8</v>
      </c>
      <c r="G46" s="30">
        <v>0</v>
      </c>
      <c r="H46" s="29">
        <v>0</v>
      </c>
      <c r="I46" s="31">
        <v>0</v>
      </c>
      <c r="J46" s="32">
        <v>0</v>
      </c>
      <c r="K46" s="33">
        <f t="shared" si="19"/>
        <v>0</v>
      </c>
      <c r="L46" s="11" t="e">
        <f t="shared" si="16"/>
        <v>#DIV/0!</v>
      </c>
    </row>
    <row r="47" spans="1:15" ht="15" customHeight="1" thickBot="1" x14ac:dyDescent="0.25">
      <c r="A47" s="91" t="s">
        <v>75</v>
      </c>
      <c r="B47" s="91"/>
      <c r="C47" s="118">
        <f>SUM(C36:C41)</f>
        <v>68165</v>
      </c>
      <c r="D47" s="118"/>
      <c r="E47" s="119"/>
      <c r="F47" s="119"/>
      <c r="G47" s="119">
        <f>SUM(G36:G41)</f>
        <v>0</v>
      </c>
      <c r="H47" s="119">
        <f t="shared" ref="H47:K47" si="20">SUM(H36:H41)</f>
        <v>0</v>
      </c>
      <c r="I47" s="118">
        <f t="shared" si="20"/>
        <v>0</v>
      </c>
      <c r="J47" s="118">
        <f t="shared" si="20"/>
        <v>0</v>
      </c>
      <c r="K47" s="118">
        <f t="shared" si="20"/>
        <v>0</v>
      </c>
      <c r="L47" s="51">
        <f t="shared" si="16"/>
        <v>0</v>
      </c>
    </row>
    <row r="48" spans="1:15" ht="15" hidden="1" customHeight="1" thickTop="1" thickBot="1" x14ac:dyDescent="0.25">
      <c r="A48" s="120" t="s">
        <v>11</v>
      </c>
      <c r="B48" s="120"/>
      <c r="C48" s="121">
        <f>SUM(C37:C46)</f>
        <v>28080</v>
      </c>
      <c r="D48" s="121"/>
      <c r="E48" s="122"/>
      <c r="F48" s="122"/>
      <c r="G48" s="122">
        <f>SUM(G37:G46)</f>
        <v>0</v>
      </c>
      <c r="H48" s="122">
        <f>SUM(H37:H46)</f>
        <v>0</v>
      </c>
      <c r="I48" s="121">
        <f>SUM(I37:I46)</f>
        <v>0</v>
      </c>
      <c r="J48" s="121">
        <f>SUM(J37:J46)</f>
        <v>0</v>
      </c>
      <c r="K48" s="121">
        <f>SUM(K37:K46)</f>
        <v>0</v>
      </c>
      <c r="L48" s="123">
        <f t="shared" si="16"/>
        <v>0</v>
      </c>
    </row>
    <row r="49" spans="1:12" ht="13.5" thickTop="1" x14ac:dyDescent="0.2">
      <c r="A49" s="12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idden="1" x14ac:dyDescent="0.2">
      <c r="A50" s="256" t="s">
        <v>23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8"/>
    </row>
    <row r="51" spans="1:12" ht="30" hidden="1" customHeight="1" x14ac:dyDescent="0.2">
      <c r="A51" s="159" t="s">
        <v>0</v>
      </c>
      <c r="B51" s="160" t="s">
        <v>22</v>
      </c>
      <c r="C51" s="160" t="s">
        <v>35</v>
      </c>
      <c r="D51" s="161" t="s">
        <v>36</v>
      </c>
      <c r="E51" s="260" t="s">
        <v>14</v>
      </c>
      <c r="F51" s="260"/>
      <c r="G51" s="260"/>
      <c r="H51" s="161" t="s">
        <v>24</v>
      </c>
      <c r="I51" s="161" t="s">
        <v>29</v>
      </c>
      <c r="J51" s="161" t="s">
        <v>31</v>
      </c>
      <c r="K51" s="254" t="s">
        <v>25</v>
      </c>
      <c r="L51" s="255"/>
    </row>
    <row r="52" spans="1:12" ht="15" hidden="1" customHeight="1" x14ac:dyDescent="0.25">
      <c r="A52" s="162" t="s">
        <v>37</v>
      </c>
      <c r="B52" s="154" t="s">
        <v>37</v>
      </c>
      <c r="C52" s="163"/>
      <c r="D52" s="153" t="s">
        <v>37</v>
      </c>
      <c r="E52" s="276" t="s">
        <v>37</v>
      </c>
      <c r="F52" s="277"/>
      <c r="G52" s="277"/>
      <c r="H52" s="16"/>
      <c r="I52" s="16"/>
      <c r="J52" s="36"/>
      <c r="K52" s="274"/>
      <c r="L52" s="246"/>
    </row>
    <row r="53" spans="1:12" ht="15" hidden="1" customHeight="1" x14ac:dyDescent="0.25">
      <c r="A53" s="162" t="s">
        <v>37</v>
      </c>
      <c r="B53" s="154" t="s">
        <v>37</v>
      </c>
      <c r="C53" s="163"/>
      <c r="D53" s="164" t="s">
        <v>37</v>
      </c>
      <c r="E53" s="276" t="s">
        <v>37</v>
      </c>
      <c r="F53" s="277"/>
      <c r="G53" s="277"/>
      <c r="H53" s="16"/>
      <c r="I53" s="16"/>
      <c r="J53" s="36"/>
      <c r="K53" s="274"/>
      <c r="L53" s="246"/>
    </row>
    <row r="54" spans="1:12" ht="15" hidden="1" customHeight="1" x14ac:dyDescent="0.25">
      <c r="A54" s="162" t="s">
        <v>37</v>
      </c>
      <c r="B54" s="154" t="s">
        <v>37</v>
      </c>
      <c r="C54" s="163"/>
      <c r="D54" s="153" t="s">
        <v>37</v>
      </c>
      <c r="E54" s="278" t="s">
        <v>37</v>
      </c>
      <c r="F54" s="279"/>
      <c r="G54" s="279"/>
      <c r="H54" s="16"/>
      <c r="I54" s="16"/>
      <c r="J54" s="36"/>
      <c r="K54" s="274"/>
      <c r="L54" s="246"/>
    </row>
    <row r="55" spans="1:12" ht="15" hidden="1" customHeight="1" x14ac:dyDescent="0.25">
      <c r="A55" s="165" t="s">
        <v>37</v>
      </c>
      <c r="B55" s="166" t="s">
        <v>37</v>
      </c>
      <c r="C55" s="167"/>
      <c r="D55" s="168" t="s">
        <v>37</v>
      </c>
      <c r="E55" s="280" t="s">
        <v>37</v>
      </c>
      <c r="F55" s="281"/>
      <c r="G55" s="281"/>
      <c r="H55" s="71"/>
      <c r="I55" s="71"/>
      <c r="J55" s="70"/>
      <c r="K55" s="275"/>
      <c r="L55" s="234"/>
    </row>
    <row r="56" spans="1:12" hidden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hidden="1" x14ac:dyDescent="0.2">
      <c r="A57" s="237" t="s">
        <v>6</v>
      </c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</row>
    <row r="58" spans="1:12" hidden="1" x14ac:dyDescent="0.2">
      <c r="A58" s="273"/>
      <c r="B58" s="273"/>
      <c r="C58" s="18"/>
      <c r="D58" s="18"/>
      <c r="E58" s="19"/>
      <c r="F58" s="19"/>
      <c r="G58" s="19"/>
      <c r="H58" s="19"/>
      <c r="I58" s="19"/>
      <c r="J58" s="19"/>
      <c r="K58" s="19"/>
      <c r="L58" s="19"/>
    </row>
    <row r="59" spans="1:12" ht="25.5" hidden="1" customHeight="1" x14ac:dyDescent="0.2">
      <c r="A59" s="110" t="s">
        <v>7</v>
      </c>
      <c r="B59" s="4"/>
      <c r="C59" s="269" t="s">
        <v>62</v>
      </c>
      <c r="D59" s="269"/>
      <c r="E59" s="270"/>
      <c r="F59" s="263"/>
      <c r="G59" s="263"/>
      <c r="H59" s="263"/>
      <c r="I59" s="263"/>
      <c r="J59" s="263"/>
      <c r="K59" s="263"/>
      <c r="L59" s="268"/>
    </row>
    <row r="60" spans="1:12" hidden="1" x14ac:dyDescent="0.2">
      <c r="A60" s="111" t="s">
        <v>5</v>
      </c>
      <c r="B60" s="112"/>
      <c r="C60" s="271">
        <v>0</v>
      </c>
      <c r="D60" s="271"/>
      <c r="E60" s="272"/>
      <c r="F60" s="264"/>
      <c r="G60" s="264"/>
      <c r="H60" s="264"/>
      <c r="I60" s="264"/>
      <c r="J60" s="264"/>
      <c r="K60" s="264"/>
      <c r="L60" s="266"/>
    </row>
    <row r="61" spans="1:12" hidden="1" x14ac:dyDescent="0.2">
      <c r="A61" s="111" t="s">
        <v>80</v>
      </c>
      <c r="B61" s="112"/>
      <c r="C61" s="261"/>
      <c r="D61" s="261"/>
      <c r="E61" s="262"/>
      <c r="F61" s="265"/>
      <c r="G61" s="265"/>
      <c r="H61" s="265"/>
      <c r="I61" s="265"/>
      <c r="J61" s="265"/>
      <c r="K61" s="265"/>
      <c r="L61" s="267"/>
    </row>
  </sheetData>
  <mergeCells count="30">
    <mergeCell ref="A57:L57"/>
    <mergeCell ref="A58:B58"/>
    <mergeCell ref="K52:L52"/>
    <mergeCell ref="K53:L53"/>
    <mergeCell ref="K55:L55"/>
    <mergeCell ref="K54:L54"/>
    <mergeCell ref="E52:G52"/>
    <mergeCell ref="E53:G53"/>
    <mergeCell ref="E54:G54"/>
    <mergeCell ref="E55:G55"/>
    <mergeCell ref="C61:E61"/>
    <mergeCell ref="F59:I59"/>
    <mergeCell ref="F60:I60"/>
    <mergeCell ref="F61:I61"/>
    <mergeCell ref="J60:L60"/>
    <mergeCell ref="J61:L61"/>
    <mergeCell ref="J59:L59"/>
    <mergeCell ref="C59:E59"/>
    <mergeCell ref="C60:E60"/>
    <mergeCell ref="A1:L1"/>
    <mergeCell ref="A34:L34"/>
    <mergeCell ref="A35:B35"/>
    <mergeCell ref="K51:L51"/>
    <mergeCell ref="A2:L2"/>
    <mergeCell ref="A50:L50"/>
    <mergeCell ref="A4:L4"/>
    <mergeCell ref="A5:B5"/>
    <mergeCell ref="A20:B20"/>
    <mergeCell ref="A19:L19"/>
    <mergeCell ref="E51:G51"/>
  </mergeCells>
  <phoneticPr fontId="15" type="noConversion"/>
  <printOptions horizontalCentered="1"/>
  <pageMargins left="0.5" right="0.5" top="0.25" bottom="0.25" header="0" footer="0"/>
  <pageSetup scale="73" fitToHeight="0" orientation="landscape" r:id="rId1"/>
  <ignoredErrors>
    <ignoredError sqref="K21:K25 G47:J47 K26:K30 C31 K36:K37 C47 G31:J31" formulaRange="1"/>
    <ignoredError sqref="L22 L26:L32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97"/>
  <sheetViews>
    <sheetView showGridLines="0" tabSelected="1" view="pageBreakPreview" zoomScale="120" zoomScaleNormal="100" zoomScaleSheetLayoutView="120" workbookViewId="0">
      <selection activeCell="C188" sqref="C188"/>
    </sheetView>
  </sheetViews>
  <sheetFormatPr defaultRowHeight="15" x14ac:dyDescent="0.25"/>
  <cols>
    <col min="1" max="3" width="13.28515625" style="79" customWidth="1"/>
    <col min="4" max="4" width="13.28515625" style="81" customWidth="1"/>
    <col min="5" max="5" width="16.28515625" style="81" customWidth="1"/>
    <col min="6" max="12" width="13.28515625" style="81" customWidth="1"/>
    <col min="13" max="13" width="9.140625" style="81"/>
    <col min="14" max="14" width="15.5703125" style="81" bestFit="1" customWidth="1"/>
    <col min="15" max="15" width="11" style="81" bestFit="1" customWidth="1"/>
    <col min="16" max="16" width="15" style="81" customWidth="1"/>
    <col min="17" max="17" width="9.7109375" style="81" bestFit="1" customWidth="1"/>
    <col min="18" max="16384" width="9.140625" style="81"/>
  </cols>
  <sheetData>
    <row r="1" spans="1:12" s="79" customFormat="1" ht="26.25" x14ac:dyDescent="0.4">
      <c r="A1" s="284" t="s">
        <v>70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</row>
    <row r="2" spans="1:12" s="80" customFormat="1" ht="23.25" customHeight="1" x14ac:dyDescent="0.4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2" s="80" customFormat="1" ht="15" customHeight="1" x14ac:dyDescent="0.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15" hidden="1" customHeight="1" x14ac:dyDescent="0.25">
      <c r="A4" s="259" t="s">
        <v>26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</row>
    <row r="5" spans="1:12" ht="26.25" hidden="1" x14ac:dyDescent="0.25">
      <c r="A5" s="238" t="s">
        <v>20</v>
      </c>
      <c r="B5" s="239"/>
      <c r="C5" s="76" t="s">
        <v>2</v>
      </c>
      <c r="D5" s="44" t="s">
        <v>15</v>
      </c>
      <c r="E5" s="44" t="s">
        <v>16</v>
      </c>
      <c r="F5" s="44" t="s">
        <v>19</v>
      </c>
      <c r="G5" s="44" t="s">
        <v>12</v>
      </c>
      <c r="H5" s="100" t="s">
        <v>28</v>
      </c>
      <c r="I5" s="108" t="s">
        <v>29</v>
      </c>
      <c r="J5" s="108" t="s">
        <v>30</v>
      </c>
      <c r="K5" s="104" t="s">
        <v>27</v>
      </c>
      <c r="L5" s="117" t="s">
        <v>34</v>
      </c>
    </row>
    <row r="6" spans="1:12" ht="15" hidden="1" customHeight="1" x14ac:dyDescent="0.25">
      <c r="A6" s="113">
        <v>43647</v>
      </c>
      <c r="B6" s="113">
        <v>44013</v>
      </c>
      <c r="C6" s="40">
        <f>C26+C45+C53+C62+C82+C92+C129+C151</f>
        <v>246153</v>
      </c>
      <c r="D6" s="116" t="s">
        <v>38</v>
      </c>
      <c r="E6" s="116" t="s">
        <v>38</v>
      </c>
      <c r="F6" s="116" t="s">
        <v>38</v>
      </c>
      <c r="G6" s="179">
        <f t="shared" ref="G6:J8" si="0">G26+G45+G53+G62+G82+G92+G129+G151</f>
        <v>0</v>
      </c>
      <c r="H6" s="179">
        <f t="shared" si="0"/>
        <v>0</v>
      </c>
      <c r="I6" s="40">
        <f t="shared" si="0"/>
        <v>0</v>
      </c>
      <c r="J6" s="40">
        <f t="shared" si="0"/>
        <v>0</v>
      </c>
      <c r="K6" s="41">
        <f>SUM(I6:J6)</f>
        <v>0</v>
      </c>
      <c r="L6" s="9">
        <f t="shared" ref="L6:L11" si="1">K6/C6</f>
        <v>0</v>
      </c>
    </row>
    <row r="7" spans="1:12" ht="15" hidden="1" customHeight="1" x14ac:dyDescent="0.25">
      <c r="A7" s="115">
        <v>43282</v>
      </c>
      <c r="B7" s="115">
        <v>43647</v>
      </c>
      <c r="C7" s="40">
        <f>C27+C46+C54+C63+C83+C93+C130+C152</f>
        <v>174496</v>
      </c>
      <c r="D7" s="116" t="s">
        <v>38</v>
      </c>
      <c r="E7" s="116" t="s">
        <v>38</v>
      </c>
      <c r="F7" s="116" t="s">
        <v>38</v>
      </c>
      <c r="G7" s="179">
        <f t="shared" si="0"/>
        <v>5</v>
      </c>
      <c r="H7" s="179">
        <f t="shared" si="0"/>
        <v>1</v>
      </c>
      <c r="I7" s="40">
        <f t="shared" si="0"/>
        <v>124798</v>
      </c>
      <c r="J7" s="40">
        <f t="shared" si="0"/>
        <v>45825</v>
      </c>
      <c r="K7" s="41">
        <f>SUM(I7:J7)</f>
        <v>170623</v>
      </c>
      <c r="L7" s="9" t="s">
        <v>65</v>
      </c>
    </row>
    <row r="8" spans="1:12" ht="15" hidden="1" customHeight="1" x14ac:dyDescent="0.25">
      <c r="A8" s="115">
        <v>42917</v>
      </c>
      <c r="B8" s="115">
        <v>43282</v>
      </c>
      <c r="C8" s="40">
        <f>C28+C47+C55+C64+C84+C94+C131+C153</f>
        <v>62000</v>
      </c>
      <c r="D8" s="116" t="s">
        <v>38</v>
      </c>
      <c r="E8" s="116" t="s">
        <v>38</v>
      </c>
      <c r="F8" s="116" t="s">
        <v>38</v>
      </c>
      <c r="G8" s="179">
        <f t="shared" si="0"/>
        <v>0</v>
      </c>
      <c r="H8" s="179">
        <f t="shared" si="0"/>
        <v>0</v>
      </c>
      <c r="I8" s="40">
        <f t="shared" si="0"/>
        <v>0</v>
      </c>
      <c r="J8" s="40">
        <f t="shared" si="0"/>
        <v>0</v>
      </c>
      <c r="K8" s="41">
        <f>SUM(I8:J8)</f>
        <v>0</v>
      </c>
      <c r="L8" s="101">
        <v>0</v>
      </c>
    </row>
    <row r="9" spans="1:12" ht="15" hidden="1" customHeight="1" x14ac:dyDescent="0.25">
      <c r="A9" s="115">
        <v>42552</v>
      </c>
      <c r="B9" s="115">
        <v>42917</v>
      </c>
      <c r="C9" s="40" t="e">
        <f>C29+C48+C56+C65+C85+#REF!+C132+C154</f>
        <v>#REF!</v>
      </c>
      <c r="D9" s="116" t="s">
        <v>38</v>
      </c>
      <c r="E9" s="116" t="s">
        <v>38</v>
      </c>
      <c r="F9" s="116" t="s">
        <v>38</v>
      </c>
      <c r="G9" s="179" t="e">
        <f>G29+G48+G56+G65+G85+#REF!+G132+G154</f>
        <v>#REF!</v>
      </c>
      <c r="H9" s="179" t="e">
        <f>H29+H48+H56+H65+H85+#REF!+H132+H154</f>
        <v>#REF!</v>
      </c>
      <c r="I9" s="40" t="e">
        <f>I29+I48+I56+I65+I85+#REF!+I132+I154</f>
        <v>#REF!</v>
      </c>
      <c r="J9" s="40" t="e">
        <f>J29+J48+J56+J65+J85+#REF!+J132+J154</f>
        <v>#REF!</v>
      </c>
      <c r="K9" s="41" t="e">
        <f>SUM(I9:J9)</f>
        <v>#REF!</v>
      </c>
      <c r="L9" s="102">
        <v>0</v>
      </c>
    </row>
    <row r="10" spans="1:12" ht="15" hidden="1" customHeight="1" x14ac:dyDescent="0.25">
      <c r="A10" s="114">
        <v>42186</v>
      </c>
      <c r="B10" s="114">
        <v>42552</v>
      </c>
      <c r="C10" s="40" t="e">
        <f>#REF!+#REF!+C57+C66+#REF!+#REF!+C133+C155</f>
        <v>#REF!</v>
      </c>
      <c r="D10" s="116" t="s">
        <v>38</v>
      </c>
      <c r="E10" s="116" t="s">
        <v>38</v>
      </c>
      <c r="F10" s="116" t="s">
        <v>38</v>
      </c>
      <c r="G10" s="179" t="e">
        <f>#REF!+#REF!+G57+G66+#REF!+#REF!+G133+G155</f>
        <v>#REF!</v>
      </c>
      <c r="H10" s="179" t="e">
        <f>#REF!+#REF!+H57+H66+#REF!+#REF!+H133+H155</f>
        <v>#REF!</v>
      </c>
      <c r="I10" s="40" t="e">
        <f>#REF!+#REF!+I57+I66+#REF!+#REF!+I133+I155</f>
        <v>#REF!</v>
      </c>
      <c r="J10" s="40" t="e">
        <f>#REF!+#REF!+J57+J66+#REF!+#REF!+J133+J155</f>
        <v>#REF!</v>
      </c>
      <c r="K10" s="62" t="e">
        <f>SUM(I10:J10)</f>
        <v>#REF!</v>
      </c>
      <c r="L10" s="103">
        <v>0</v>
      </c>
    </row>
    <row r="11" spans="1:12" ht="15" hidden="1" customHeight="1" thickBot="1" x14ac:dyDescent="0.3">
      <c r="A11" s="90"/>
      <c r="B11" s="152" t="s">
        <v>1</v>
      </c>
      <c r="C11" s="43" t="e">
        <f>SUM(C6:C10)</f>
        <v>#REF!</v>
      </c>
      <c r="D11" s="42"/>
      <c r="E11" s="42"/>
      <c r="F11" s="42"/>
      <c r="G11" s="42" t="e">
        <f>SUM(G6:G10)</f>
        <v>#REF!</v>
      </c>
      <c r="H11" s="42" t="e">
        <f>SUM(H6:H10)</f>
        <v>#REF!</v>
      </c>
      <c r="I11" s="43" t="e">
        <f>SUM(I6:I10)</f>
        <v>#REF!</v>
      </c>
      <c r="J11" s="43" t="e">
        <f>SUM(J6:J10)</f>
        <v>#REF!</v>
      </c>
      <c r="K11" s="43" t="e">
        <f>SUM(K6:K10)</f>
        <v>#REF!</v>
      </c>
      <c r="L11" s="51" t="e">
        <f t="shared" si="1"/>
        <v>#REF!</v>
      </c>
    </row>
    <row r="12" spans="1:12" ht="15" hidden="1" customHeight="1" thickTop="1" x14ac:dyDescent="0.25">
      <c r="A12" s="82"/>
      <c r="B12" s="82"/>
      <c r="C12" s="12"/>
      <c r="D12" s="83"/>
      <c r="E12" s="83"/>
      <c r="F12" s="83"/>
      <c r="G12" s="84"/>
      <c r="H12" s="84"/>
      <c r="I12" s="84"/>
      <c r="J12" s="82"/>
      <c r="K12" s="82"/>
      <c r="L12" s="12"/>
    </row>
    <row r="13" spans="1:12" s="85" customFormat="1" ht="15" hidden="1" customHeight="1" x14ac:dyDescent="0.25">
      <c r="A13" s="237" t="s">
        <v>63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</row>
    <row r="14" spans="1:12" s="85" customFormat="1" ht="26.25" hidden="1" x14ac:dyDescent="0.25">
      <c r="A14" s="239" t="s">
        <v>20</v>
      </c>
      <c r="B14" s="283"/>
      <c r="C14" s="76" t="s">
        <v>2</v>
      </c>
      <c r="D14" s="76" t="s">
        <v>15</v>
      </c>
      <c r="E14" s="76" t="s">
        <v>16</v>
      </c>
      <c r="F14" s="44" t="s">
        <v>19</v>
      </c>
      <c r="G14" s="7" t="s">
        <v>12</v>
      </c>
      <c r="H14" s="100" t="s">
        <v>28</v>
      </c>
      <c r="I14" s="108" t="s">
        <v>29</v>
      </c>
      <c r="J14" s="108" t="s">
        <v>30</v>
      </c>
      <c r="K14" s="104" t="s">
        <v>27</v>
      </c>
      <c r="L14" s="72" t="s">
        <v>4</v>
      </c>
    </row>
    <row r="15" spans="1:12" s="85" customFormat="1" ht="15" hidden="1" customHeight="1" x14ac:dyDescent="0.25">
      <c r="A15" s="59">
        <v>43647</v>
      </c>
      <c r="B15" s="59">
        <v>44013</v>
      </c>
      <c r="C15" s="26">
        <v>20752</v>
      </c>
      <c r="D15" s="46" t="s">
        <v>52</v>
      </c>
      <c r="E15" s="46">
        <v>6078778404</v>
      </c>
      <c r="F15" s="178">
        <v>43902</v>
      </c>
      <c r="G15" s="47">
        <v>0</v>
      </c>
      <c r="H15" s="47">
        <v>0</v>
      </c>
      <c r="I15" s="63">
        <v>0</v>
      </c>
      <c r="J15" s="63">
        <v>0</v>
      </c>
      <c r="K15" s="64">
        <f>SUM(I15:J15)</f>
        <v>0</v>
      </c>
      <c r="L15" s="9">
        <f t="shared" ref="L15:L20" si="2">K15/C15</f>
        <v>0</v>
      </c>
    </row>
    <row r="16" spans="1:12" s="85" customFormat="1" ht="15" hidden="1" customHeight="1" x14ac:dyDescent="0.25">
      <c r="A16" s="69">
        <v>43238</v>
      </c>
      <c r="B16" s="69">
        <v>43603</v>
      </c>
      <c r="C16" s="26">
        <v>0</v>
      </c>
      <c r="D16" s="46" t="s">
        <v>52</v>
      </c>
      <c r="E16" s="46">
        <v>6057546374</v>
      </c>
      <c r="F16" s="178">
        <v>43902</v>
      </c>
      <c r="G16" s="47">
        <v>0</v>
      </c>
      <c r="H16" s="47">
        <v>0</v>
      </c>
      <c r="I16" s="63">
        <v>0</v>
      </c>
      <c r="J16" s="63">
        <v>0</v>
      </c>
      <c r="K16" s="64">
        <f>SUM(I16:J16)</f>
        <v>0</v>
      </c>
      <c r="L16" s="9">
        <v>0</v>
      </c>
    </row>
    <row r="17" spans="1:12" s="85" customFormat="1" ht="15" hidden="1" customHeight="1" x14ac:dyDescent="0.25">
      <c r="A17" s="69">
        <v>42873</v>
      </c>
      <c r="B17" s="69">
        <v>43238</v>
      </c>
      <c r="C17" s="26">
        <v>0</v>
      </c>
      <c r="D17" s="46" t="s">
        <v>52</v>
      </c>
      <c r="E17" s="46">
        <v>6020637878</v>
      </c>
      <c r="F17" s="178">
        <v>43902</v>
      </c>
      <c r="G17" s="47">
        <v>0</v>
      </c>
      <c r="H17" s="47">
        <v>0</v>
      </c>
      <c r="I17" s="63">
        <v>0</v>
      </c>
      <c r="J17" s="63">
        <v>0</v>
      </c>
      <c r="K17" s="64">
        <f>SUM(I17:J17)</f>
        <v>0</v>
      </c>
      <c r="L17" s="101">
        <v>0</v>
      </c>
    </row>
    <row r="18" spans="1:12" s="85" customFormat="1" ht="15" hidden="1" customHeight="1" x14ac:dyDescent="0.25">
      <c r="A18" s="58">
        <v>42695</v>
      </c>
      <c r="B18" s="58">
        <v>42873</v>
      </c>
      <c r="C18" s="32">
        <v>0</v>
      </c>
      <c r="D18" s="177" t="s">
        <v>52</v>
      </c>
      <c r="E18" s="177">
        <v>6020637878</v>
      </c>
      <c r="F18" s="178">
        <v>43902</v>
      </c>
      <c r="G18" s="47">
        <v>0</v>
      </c>
      <c r="H18" s="47">
        <v>0</v>
      </c>
      <c r="I18" s="63">
        <v>0</v>
      </c>
      <c r="J18" s="63">
        <v>0</v>
      </c>
      <c r="K18" s="64">
        <f>SUM(I18:J18)</f>
        <v>0</v>
      </c>
      <c r="L18" s="102">
        <v>0</v>
      </c>
    </row>
    <row r="19" spans="1:12" s="85" customFormat="1" ht="15" hidden="1" customHeight="1" x14ac:dyDescent="0.25">
      <c r="A19" s="183">
        <v>42329</v>
      </c>
      <c r="B19" s="183">
        <v>42695</v>
      </c>
      <c r="C19" s="31">
        <v>0</v>
      </c>
      <c r="D19" s="30" t="s">
        <v>8</v>
      </c>
      <c r="E19" s="184" t="s">
        <v>8</v>
      </c>
      <c r="F19" s="105" t="s">
        <v>9</v>
      </c>
      <c r="G19" s="48">
        <v>0</v>
      </c>
      <c r="H19" s="48">
        <v>0</v>
      </c>
      <c r="I19" s="66">
        <v>0</v>
      </c>
      <c r="J19" s="66">
        <v>0</v>
      </c>
      <c r="K19" s="67">
        <f>SUM(I19:J19)</f>
        <v>0</v>
      </c>
      <c r="L19" s="103" t="e">
        <f t="shared" si="2"/>
        <v>#DIV/0!</v>
      </c>
    </row>
    <row r="20" spans="1:12" s="85" customFormat="1" ht="15" hidden="1" customHeight="1" thickBot="1" x14ac:dyDescent="0.3">
      <c r="A20" s="86"/>
      <c r="B20" s="87" t="s">
        <v>1</v>
      </c>
      <c r="C20" s="73">
        <f>SUM(C15:C19)</f>
        <v>20752</v>
      </c>
      <c r="D20" s="175"/>
      <c r="E20" s="176"/>
      <c r="F20" s="106"/>
      <c r="G20" s="50">
        <f>SUM(G15:G19)</f>
        <v>0</v>
      </c>
      <c r="H20" s="50">
        <f>SUM(H15:H19)</f>
        <v>0</v>
      </c>
      <c r="I20" s="68">
        <f>SUM(I15:I19)</f>
        <v>0</v>
      </c>
      <c r="J20" s="68">
        <f>SUM(J15:J19)</f>
        <v>0</v>
      </c>
      <c r="K20" s="68">
        <f>SUM(K15:K19)</f>
        <v>0</v>
      </c>
      <c r="L20" s="51">
        <f t="shared" si="2"/>
        <v>0</v>
      </c>
    </row>
    <row r="21" spans="1:12" s="85" customFormat="1" ht="15" hidden="1" customHeight="1" thickTop="1" x14ac:dyDescent="0.25">
      <c r="A21" s="12"/>
      <c r="B21" s="60"/>
      <c r="C21" s="89"/>
      <c r="D21" s="56"/>
      <c r="E21" s="56"/>
      <c r="F21" s="56"/>
      <c r="G21" s="56"/>
      <c r="H21" s="56"/>
      <c r="I21" s="174"/>
      <c r="J21" s="174"/>
      <c r="K21" s="174"/>
      <c r="L21" s="57"/>
    </row>
    <row r="22" spans="1:12" s="85" customFormat="1" ht="15" customHeight="1" x14ac:dyDescent="0.25">
      <c r="A22" s="237" t="s">
        <v>54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</row>
    <row r="23" spans="1:12" s="85" customFormat="1" ht="15" customHeight="1" x14ac:dyDescent="0.25">
      <c r="A23" s="239" t="s">
        <v>20</v>
      </c>
      <c r="B23" s="283"/>
      <c r="C23" s="76" t="s">
        <v>2</v>
      </c>
      <c r="D23" s="76" t="s">
        <v>15</v>
      </c>
      <c r="E23" s="76" t="s">
        <v>16</v>
      </c>
      <c r="F23" s="44" t="s">
        <v>19</v>
      </c>
      <c r="G23" s="7" t="s">
        <v>12</v>
      </c>
      <c r="H23" s="100" t="s">
        <v>28</v>
      </c>
      <c r="I23" s="108" t="s">
        <v>29</v>
      </c>
      <c r="J23" s="108" t="s">
        <v>30</v>
      </c>
      <c r="K23" s="104" t="s">
        <v>27</v>
      </c>
      <c r="L23" s="72" t="s">
        <v>4</v>
      </c>
    </row>
    <row r="24" spans="1:12" s="85" customFormat="1" ht="15" customHeight="1" x14ac:dyDescent="0.25">
      <c r="A24" s="195">
        <v>44743</v>
      </c>
      <c r="B24" s="195">
        <v>45108</v>
      </c>
      <c r="C24" s="192">
        <v>105758</v>
      </c>
      <c r="D24" s="197" t="s">
        <v>52</v>
      </c>
      <c r="E24" s="203">
        <v>6080912085</v>
      </c>
      <c r="F24" s="195">
        <v>44910</v>
      </c>
      <c r="G24" s="39">
        <v>0</v>
      </c>
      <c r="H24" s="135">
        <v>0</v>
      </c>
      <c r="I24" s="40">
        <v>0</v>
      </c>
      <c r="J24" s="40">
        <v>0</v>
      </c>
      <c r="K24" s="64">
        <f t="shared" ref="K24" si="3">SUM(I24:J24)</f>
        <v>0</v>
      </c>
      <c r="L24" s="9">
        <f>K24/C24</f>
        <v>0</v>
      </c>
    </row>
    <row r="25" spans="1:12" s="85" customFormat="1" ht="15" customHeight="1" x14ac:dyDescent="0.25">
      <c r="A25" s="195">
        <v>44378</v>
      </c>
      <c r="B25" s="195">
        <v>44743</v>
      </c>
      <c r="C25" s="24">
        <v>49151</v>
      </c>
      <c r="D25" s="197" t="s">
        <v>52</v>
      </c>
      <c r="E25" s="203">
        <v>6080912085</v>
      </c>
      <c r="F25" s="195">
        <v>44910</v>
      </c>
      <c r="G25" s="39">
        <v>0</v>
      </c>
      <c r="H25" s="135">
        <v>0</v>
      </c>
      <c r="I25" s="40">
        <v>0</v>
      </c>
      <c r="J25" s="40">
        <v>0</v>
      </c>
      <c r="K25" s="64">
        <f t="shared" ref="K25:K29" si="4">SUM(I25:J25)</f>
        <v>0</v>
      </c>
      <c r="L25" s="9">
        <f>K25/C25</f>
        <v>0</v>
      </c>
    </row>
    <row r="26" spans="1:12" s="85" customFormat="1" ht="15" customHeight="1" x14ac:dyDescent="0.25">
      <c r="A26" s="195">
        <v>44013</v>
      </c>
      <c r="B26" s="195">
        <v>44378</v>
      </c>
      <c r="C26" s="192">
        <v>37858</v>
      </c>
      <c r="D26" s="197" t="s">
        <v>52</v>
      </c>
      <c r="E26" s="203">
        <v>6080912085</v>
      </c>
      <c r="F26" s="195">
        <v>44910</v>
      </c>
      <c r="G26" s="39">
        <v>0</v>
      </c>
      <c r="H26" s="135">
        <v>0</v>
      </c>
      <c r="I26" s="40">
        <v>0</v>
      </c>
      <c r="J26" s="40">
        <v>0</v>
      </c>
      <c r="K26" s="64">
        <f t="shared" si="4"/>
        <v>0</v>
      </c>
      <c r="L26" s="9">
        <f>K26/C26</f>
        <v>0</v>
      </c>
    </row>
    <row r="27" spans="1:12" s="85" customFormat="1" ht="15" customHeight="1" x14ac:dyDescent="0.25">
      <c r="A27" s="59">
        <v>43647</v>
      </c>
      <c r="B27" s="59">
        <v>44013</v>
      </c>
      <c r="C27" s="196">
        <v>34485</v>
      </c>
      <c r="D27" s="197" t="s">
        <v>52</v>
      </c>
      <c r="E27" s="197">
        <v>6078777219</v>
      </c>
      <c r="F27" s="195">
        <v>44910</v>
      </c>
      <c r="G27" s="135">
        <v>0</v>
      </c>
      <c r="H27" s="135">
        <v>0</v>
      </c>
      <c r="I27" s="40">
        <v>0</v>
      </c>
      <c r="J27" s="40">
        <v>0</v>
      </c>
      <c r="K27" s="64">
        <f t="shared" si="4"/>
        <v>0</v>
      </c>
      <c r="L27" s="9">
        <f>K27/C27</f>
        <v>0</v>
      </c>
    </row>
    <row r="28" spans="1:12" s="85" customFormat="1" ht="15" customHeight="1" x14ac:dyDescent="0.25">
      <c r="A28" s="59">
        <v>43603</v>
      </c>
      <c r="B28" s="59">
        <v>43647</v>
      </c>
      <c r="C28" s="222">
        <v>34000</v>
      </c>
      <c r="D28" s="197" t="s">
        <v>52</v>
      </c>
      <c r="E28" s="199">
        <v>6078586917</v>
      </c>
      <c r="F28" s="195">
        <v>44910</v>
      </c>
      <c r="G28" s="135">
        <v>0</v>
      </c>
      <c r="H28" s="135">
        <v>0</v>
      </c>
      <c r="I28" s="40">
        <v>0</v>
      </c>
      <c r="J28" s="40">
        <v>0</v>
      </c>
      <c r="K28" s="64">
        <f t="shared" si="4"/>
        <v>0</v>
      </c>
      <c r="L28" s="9">
        <v>0</v>
      </c>
    </row>
    <row r="29" spans="1:12" s="85" customFormat="1" ht="15" customHeight="1" x14ac:dyDescent="0.25">
      <c r="A29" s="58">
        <v>43238</v>
      </c>
      <c r="B29" s="58">
        <v>43603</v>
      </c>
      <c r="C29" s="226">
        <v>30000</v>
      </c>
      <c r="D29" s="231" t="s">
        <v>52</v>
      </c>
      <c r="E29" s="231">
        <v>6057546231</v>
      </c>
      <c r="F29" s="195">
        <v>44910</v>
      </c>
      <c r="G29" s="135">
        <v>0</v>
      </c>
      <c r="H29" s="135">
        <v>0</v>
      </c>
      <c r="I29" s="40">
        <v>0</v>
      </c>
      <c r="J29" s="40">
        <v>0</v>
      </c>
      <c r="K29" s="64">
        <f t="shared" si="4"/>
        <v>0</v>
      </c>
      <c r="L29" s="9">
        <v>0</v>
      </c>
    </row>
    <row r="30" spans="1:12" s="85" customFormat="1" ht="15" customHeight="1" thickBot="1" x14ac:dyDescent="0.3">
      <c r="A30" s="86"/>
      <c r="B30" s="87" t="s">
        <v>1</v>
      </c>
      <c r="C30" s="73">
        <f>SUM(C24:C29)</f>
        <v>291252</v>
      </c>
      <c r="D30" s="175"/>
      <c r="E30" s="176"/>
      <c r="F30" s="106"/>
      <c r="G30" s="50">
        <f>SUM(G24:G29)</f>
        <v>0</v>
      </c>
      <c r="H30" s="50">
        <f t="shared" ref="H30:K30" si="5">SUM(H24:H29)</f>
        <v>0</v>
      </c>
      <c r="I30" s="68">
        <f t="shared" si="5"/>
        <v>0</v>
      </c>
      <c r="J30" s="68">
        <f t="shared" si="5"/>
        <v>0</v>
      </c>
      <c r="K30" s="68">
        <f t="shared" si="5"/>
        <v>0</v>
      </c>
      <c r="L30" s="51">
        <f t="shared" ref="L30" si="6">K30/C30</f>
        <v>0</v>
      </c>
    </row>
    <row r="31" spans="1:12" s="85" customFormat="1" ht="15" customHeight="1" thickTop="1" x14ac:dyDescent="0.25">
      <c r="A31" s="12"/>
      <c r="B31" s="60"/>
      <c r="C31" s="89"/>
      <c r="D31" s="56"/>
      <c r="E31" s="56"/>
      <c r="F31" s="56"/>
      <c r="G31" s="56"/>
      <c r="H31" s="56"/>
      <c r="I31" s="174"/>
      <c r="J31" s="174"/>
      <c r="K31" s="174"/>
      <c r="L31" s="57"/>
    </row>
    <row r="32" spans="1:12" s="85" customFormat="1" ht="15" hidden="1" customHeight="1" x14ac:dyDescent="0.25">
      <c r="A32" s="237" t="s">
        <v>55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</row>
    <row r="33" spans="1:17" s="85" customFormat="1" ht="15" hidden="1" customHeight="1" x14ac:dyDescent="0.25">
      <c r="A33" s="239" t="s">
        <v>20</v>
      </c>
      <c r="B33" s="283"/>
      <c r="C33" s="76" t="s">
        <v>2</v>
      </c>
      <c r="D33" s="76" t="s">
        <v>15</v>
      </c>
      <c r="E33" s="76" t="s">
        <v>16</v>
      </c>
      <c r="F33" s="44" t="s">
        <v>19</v>
      </c>
      <c r="G33" s="7" t="s">
        <v>12</v>
      </c>
      <c r="H33" s="100" t="s">
        <v>28</v>
      </c>
      <c r="I33" s="108" t="s">
        <v>29</v>
      </c>
      <c r="J33" s="108" t="s">
        <v>30</v>
      </c>
      <c r="K33" s="104" t="s">
        <v>27</v>
      </c>
      <c r="L33" s="72" t="s">
        <v>4</v>
      </c>
    </row>
    <row r="34" spans="1:17" s="85" customFormat="1" ht="15" hidden="1" customHeight="1" x14ac:dyDescent="0.25">
      <c r="A34" s="59">
        <v>43647</v>
      </c>
      <c r="B34" s="59">
        <v>44013</v>
      </c>
      <c r="C34" s="26">
        <v>2736</v>
      </c>
      <c r="D34" s="46" t="s">
        <v>52</v>
      </c>
      <c r="E34" s="46">
        <v>6078777303</v>
      </c>
      <c r="F34" s="178">
        <v>43902</v>
      </c>
      <c r="G34" s="47">
        <v>0</v>
      </c>
      <c r="H34" s="47">
        <v>0</v>
      </c>
      <c r="I34" s="63">
        <v>0</v>
      </c>
      <c r="J34" s="63">
        <v>0</v>
      </c>
      <c r="K34" s="64">
        <f>SUM(I34:J34)</f>
        <v>0</v>
      </c>
      <c r="L34" s="9">
        <f t="shared" ref="L34:L39" si="7">K34/C34</f>
        <v>0</v>
      </c>
    </row>
    <row r="35" spans="1:17" s="85" customFormat="1" ht="15" hidden="1" customHeight="1" x14ac:dyDescent="0.25">
      <c r="A35" s="69">
        <v>43238</v>
      </c>
      <c r="B35" s="69">
        <v>43603</v>
      </c>
      <c r="C35" s="26">
        <v>0</v>
      </c>
      <c r="D35" s="46" t="s">
        <v>52</v>
      </c>
      <c r="E35" s="46">
        <v>6057546360</v>
      </c>
      <c r="F35" s="178">
        <v>43902</v>
      </c>
      <c r="G35" s="47">
        <v>1</v>
      </c>
      <c r="H35" s="47">
        <v>0</v>
      </c>
      <c r="I35" s="63">
        <v>1343</v>
      </c>
      <c r="J35" s="63">
        <v>0</v>
      </c>
      <c r="K35" s="64">
        <f>SUM(I35:J35)</f>
        <v>1343</v>
      </c>
      <c r="L35" s="9" t="s">
        <v>66</v>
      </c>
    </row>
    <row r="36" spans="1:17" s="85" customFormat="1" ht="15" hidden="1" customHeight="1" x14ac:dyDescent="0.25">
      <c r="A36" s="69">
        <v>42873</v>
      </c>
      <c r="B36" s="69">
        <v>43238</v>
      </c>
      <c r="C36" s="26">
        <v>0</v>
      </c>
      <c r="D36" s="46" t="s">
        <v>52</v>
      </c>
      <c r="E36" s="46">
        <v>6020637864</v>
      </c>
      <c r="F36" s="178">
        <v>43902</v>
      </c>
      <c r="G36" s="47">
        <v>0</v>
      </c>
      <c r="H36" s="47">
        <v>0</v>
      </c>
      <c r="I36" s="63">
        <v>0</v>
      </c>
      <c r="J36" s="63">
        <v>0</v>
      </c>
      <c r="K36" s="64">
        <f>SUM(I36:J36)</f>
        <v>0</v>
      </c>
      <c r="L36" s="9">
        <v>0</v>
      </c>
    </row>
    <row r="37" spans="1:17" s="85" customFormat="1" ht="15" hidden="1" customHeight="1" x14ac:dyDescent="0.25">
      <c r="A37" s="69">
        <v>42695</v>
      </c>
      <c r="B37" s="69">
        <v>42873</v>
      </c>
      <c r="C37" s="26">
        <v>0</v>
      </c>
      <c r="D37" s="46" t="s">
        <v>52</v>
      </c>
      <c r="E37" s="46">
        <v>6020637864</v>
      </c>
      <c r="F37" s="178">
        <v>43902</v>
      </c>
      <c r="G37" s="47">
        <v>0</v>
      </c>
      <c r="H37" s="47">
        <v>0</v>
      </c>
      <c r="I37" s="63">
        <v>0</v>
      </c>
      <c r="J37" s="63">
        <v>0</v>
      </c>
      <c r="K37" s="64">
        <f>SUM(I37:J37)</f>
        <v>0</v>
      </c>
      <c r="L37" s="9">
        <v>0</v>
      </c>
    </row>
    <row r="38" spans="1:17" s="85" customFormat="1" ht="15" hidden="1" customHeight="1" x14ac:dyDescent="0.25">
      <c r="A38" s="58">
        <v>42329</v>
      </c>
      <c r="B38" s="58">
        <v>42695</v>
      </c>
      <c r="C38" s="26">
        <v>0</v>
      </c>
      <c r="D38" s="46" t="s">
        <v>8</v>
      </c>
      <c r="E38" s="46" t="s">
        <v>8</v>
      </c>
      <c r="F38" s="105" t="s">
        <v>9</v>
      </c>
      <c r="G38" s="48">
        <v>0</v>
      </c>
      <c r="H38" s="48">
        <v>0</v>
      </c>
      <c r="I38" s="66">
        <v>0</v>
      </c>
      <c r="J38" s="66">
        <v>0</v>
      </c>
      <c r="K38" s="67">
        <f>SUM(I38:J38)</f>
        <v>0</v>
      </c>
      <c r="L38" s="11" t="e">
        <f t="shared" si="7"/>
        <v>#DIV/0!</v>
      </c>
    </row>
    <row r="39" spans="1:17" s="85" customFormat="1" ht="15" hidden="1" customHeight="1" thickBot="1" x14ac:dyDescent="0.3">
      <c r="A39" s="90"/>
      <c r="B39" s="91" t="s">
        <v>1</v>
      </c>
      <c r="C39" s="74">
        <f>SUM(C34:C38)</f>
        <v>2736</v>
      </c>
      <c r="D39" s="49"/>
      <c r="E39" s="49"/>
      <c r="F39" s="106"/>
      <c r="G39" s="50">
        <f>SUM(G34:G38)</f>
        <v>1</v>
      </c>
      <c r="H39" s="50">
        <f>SUM(H34:H38)</f>
        <v>0</v>
      </c>
      <c r="I39" s="68">
        <f>SUM(I34:I38)</f>
        <v>1343</v>
      </c>
      <c r="J39" s="68">
        <f>SUM(J34:J38)</f>
        <v>0</v>
      </c>
      <c r="K39" s="68">
        <f>SUM(K34:K38)</f>
        <v>1343</v>
      </c>
      <c r="L39" s="51">
        <f t="shared" si="7"/>
        <v>0.49086257309941522</v>
      </c>
    </row>
    <row r="40" spans="1:17" s="85" customFormat="1" ht="15" hidden="1" customHeight="1" thickTop="1" x14ac:dyDescent="0.25">
      <c r="A40" s="82"/>
      <c r="B40" s="82"/>
      <c r="C40" s="82"/>
      <c r="D40" s="52"/>
      <c r="E40" s="52"/>
      <c r="F40" s="56"/>
      <c r="G40" s="53"/>
      <c r="H40" s="53"/>
      <c r="I40" s="88"/>
      <c r="J40" s="88"/>
      <c r="K40" s="88"/>
      <c r="L40" s="89"/>
    </row>
    <row r="41" spans="1:17" s="85" customFormat="1" ht="15" customHeight="1" x14ac:dyDescent="0.25">
      <c r="A41" s="237" t="s">
        <v>56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</row>
    <row r="42" spans="1:17" s="85" customFormat="1" ht="26.25" x14ac:dyDescent="0.25">
      <c r="A42" s="239" t="s">
        <v>20</v>
      </c>
      <c r="B42" s="283"/>
      <c r="C42" s="76" t="s">
        <v>2</v>
      </c>
      <c r="D42" s="76" t="s">
        <v>15</v>
      </c>
      <c r="E42" s="76" t="s">
        <v>16</v>
      </c>
      <c r="F42" s="44" t="s">
        <v>19</v>
      </c>
      <c r="G42" s="7" t="s">
        <v>12</v>
      </c>
      <c r="H42" s="100" t="s">
        <v>28</v>
      </c>
      <c r="I42" s="108" t="s">
        <v>29</v>
      </c>
      <c r="J42" s="108" t="s">
        <v>30</v>
      </c>
      <c r="K42" s="104" t="s">
        <v>27</v>
      </c>
      <c r="L42" s="72" t="s">
        <v>4</v>
      </c>
    </row>
    <row r="43" spans="1:17" s="85" customFormat="1" x14ac:dyDescent="0.25">
      <c r="A43" s="195">
        <v>44743</v>
      </c>
      <c r="B43" s="195">
        <v>45108</v>
      </c>
      <c r="C43" s="24">
        <v>708</v>
      </c>
      <c r="D43" s="197" t="s">
        <v>52</v>
      </c>
      <c r="E43" s="200">
        <v>6080917903</v>
      </c>
      <c r="F43" s="195">
        <v>44910</v>
      </c>
      <c r="G43" s="39">
        <v>0</v>
      </c>
      <c r="H43" s="135">
        <v>0</v>
      </c>
      <c r="I43" s="40">
        <v>0</v>
      </c>
      <c r="J43" s="40">
        <v>0</v>
      </c>
      <c r="K43" s="64">
        <f t="shared" ref="K43" si="8">SUM(I43:J43)</f>
        <v>0</v>
      </c>
      <c r="L43" s="9">
        <f>K43/C43</f>
        <v>0</v>
      </c>
    </row>
    <row r="44" spans="1:17" s="85" customFormat="1" x14ac:dyDescent="0.25">
      <c r="A44" s="195">
        <v>44378</v>
      </c>
      <c r="B44" s="195">
        <v>44743</v>
      </c>
      <c r="C44" s="24">
        <v>1557</v>
      </c>
      <c r="D44" s="197" t="s">
        <v>52</v>
      </c>
      <c r="E44" s="200">
        <v>6080917903</v>
      </c>
      <c r="F44" s="195">
        <v>44910</v>
      </c>
      <c r="G44" s="135">
        <v>0</v>
      </c>
      <c r="H44" s="135">
        <v>0</v>
      </c>
      <c r="I44" s="40">
        <v>0</v>
      </c>
      <c r="J44" s="40">
        <v>0</v>
      </c>
      <c r="K44" s="64">
        <f t="shared" ref="K44:K48" si="9">SUM(I44:J44)</f>
        <v>0</v>
      </c>
      <c r="L44" s="9">
        <f t="shared" ref="L44:L49" si="10">K44/C44</f>
        <v>0</v>
      </c>
    </row>
    <row r="45" spans="1:17" s="85" customFormat="1" x14ac:dyDescent="0.25">
      <c r="A45" s="195">
        <v>44013</v>
      </c>
      <c r="B45" s="195">
        <v>44378</v>
      </c>
      <c r="C45" s="24">
        <v>1448</v>
      </c>
      <c r="D45" s="197" t="s">
        <v>52</v>
      </c>
      <c r="E45" s="200">
        <v>6080917903</v>
      </c>
      <c r="F45" s="195">
        <v>44910</v>
      </c>
      <c r="G45" s="135">
        <v>0</v>
      </c>
      <c r="H45" s="135">
        <v>0</v>
      </c>
      <c r="I45" s="40">
        <v>0</v>
      </c>
      <c r="J45" s="40">
        <v>0</v>
      </c>
      <c r="K45" s="64">
        <f t="shared" si="9"/>
        <v>0</v>
      </c>
      <c r="L45" s="9">
        <f t="shared" si="10"/>
        <v>0</v>
      </c>
    </row>
    <row r="46" spans="1:17" s="85" customFormat="1" ht="15" customHeight="1" x14ac:dyDescent="0.25">
      <c r="A46" s="59">
        <v>43647</v>
      </c>
      <c r="B46" s="59">
        <v>44013</v>
      </c>
      <c r="C46" s="196">
        <v>1033</v>
      </c>
      <c r="D46" s="197" t="s">
        <v>52</v>
      </c>
      <c r="E46" s="197">
        <v>6078777186</v>
      </c>
      <c r="F46" s="195">
        <v>44910</v>
      </c>
      <c r="G46" s="135">
        <v>0</v>
      </c>
      <c r="H46" s="135">
        <v>0</v>
      </c>
      <c r="I46" s="40">
        <v>0</v>
      </c>
      <c r="J46" s="40">
        <v>0</v>
      </c>
      <c r="K46" s="64">
        <f t="shared" si="9"/>
        <v>0</v>
      </c>
      <c r="L46" s="9">
        <f t="shared" si="10"/>
        <v>0</v>
      </c>
    </row>
    <row r="47" spans="1:17" s="85" customFormat="1" ht="15" customHeight="1" x14ac:dyDescent="0.25">
      <c r="A47" s="59">
        <v>43603</v>
      </c>
      <c r="B47" s="59">
        <v>43647</v>
      </c>
      <c r="C47" s="222">
        <v>1000</v>
      </c>
      <c r="D47" s="197" t="s">
        <v>52</v>
      </c>
      <c r="E47" s="199">
        <v>6078586156</v>
      </c>
      <c r="F47" s="195">
        <v>44910</v>
      </c>
      <c r="G47" s="135">
        <v>0</v>
      </c>
      <c r="H47" s="135">
        <v>0</v>
      </c>
      <c r="I47" s="40">
        <v>0</v>
      </c>
      <c r="J47" s="40">
        <v>0</v>
      </c>
      <c r="K47" s="64">
        <f t="shared" si="9"/>
        <v>0</v>
      </c>
      <c r="L47" s="9">
        <v>0</v>
      </c>
    </row>
    <row r="48" spans="1:17" s="85" customFormat="1" ht="15" customHeight="1" x14ac:dyDescent="0.25">
      <c r="A48" s="59">
        <v>43238</v>
      </c>
      <c r="B48" s="59">
        <v>43603</v>
      </c>
      <c r="C48" s="222">
        <v>900</v>
      </c>
      <c r="D48" s="197" t="s">
        <v>52</v>
      </c>
      <c r="E48" s="197">
        <v>6057546228</v>
      </c>
      <c r="F48" s="195">
        <v>44910</v>
      </c>
      <c r="G48" s="135">
        <v>0</v>
      </c>
      <c r="H48" s="135">
        <v>0</v>
      </c>
      <c r="I48" s="40">
        <v>0</v>
      </c>
      <c r="J48" s="40">
        <v>0</v>
      </c>
      <c r="K48" s="64">
        <f t="shared" si="9"/>
        <v>0</v>
      </c>
      <c r="L48" s="9">
        <v>0</v>
      </c>
      <c r="P48" s="186"/>
      <c r="Q48" s="186"/>
    </row>
    <row r="49" spans="1:17" s="85" customFormat="1" ht="15" customHeight="1" thickBot="1" x14ac:dyDescent="0.3">
      <c r="A49" s="90"/>
      <c r="B49" s="91" t="s">
        <v>1</v>
      </c>
      <c r="C49" s="74">
        <f>SUM(C43:C48)</f>
        <v>6646</v>
      </c>
      <c r="D49" s="49"/>
      <c r="E49" s="49"/>
      <c r="F49" s="106"/>
      <c r="G49" s="50">
        <f>SUM(G43:G48)</f>
        <v>0</v>
      </c>
      <c r="H49" s="50">
        <f t="shared" ref="H49:K49" si="11">SUM(H43:H48)</f>
        <v>0</v>
      </c>
      <c r="I49" s="68">
        <f>SUM(I43:I48)</f>
        <v>0</v>
      </c>
      <c r="J49" s="68">
        <f t="shared" si="11"/>
        <v>0</v>
      </c>
      <c r="K49" s="68">
        <f t="shared" si="11"/>
        <v>0</v>
      </c>
      <c r="L49" s="51">
        <f t="shared" si="10"/>
        <v>0</v>
      </c>
    </row>
    <row r="50" spans="1:17" s="85" customFormat="1" ht="15" customHeight="1" thickTop="1" x14ac:dyDescent="0.25">
      <c r="A50" s="82"/>
      <c r="B50" s="82"/>
      <c r="C50" s="82"/>
      <c r="D50" s="52"/>
      <c r="E50" s="52"/>
      <c r="F50" s="56"/>
      <c r="G50" s="53"/>
      <c r="H50" s="53"/>
      <c r="I50" s="88"/>
      <c r="J50" s="88"/>
      <c r="K50" s="88"/>
      <c r="L50" s="89"/>
      <c r="P50" s="186"/>
      <c r="Q50" s="186"/>
    </row>
    <row r="51" spans="1:17" s="85" customFormat="1" ht="15" hidden="1" customHeight="1" x14ac:dyDescent="0.25">
      <c r="A51" s="237" t="s">
        <v>17</v>
      </c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</row>
    <row r="52" spans="1:17" s="85" customFormat="1" ht="26.25" hidden="1" x14ac:dyDescent="0.25">
      <c r="A52" s="239" t="s">
        <v>20</v>
      </c>
      <c r="B52" s="283"/>
      <c r="C52" s="76" t="s">
        <v>2</v>
      </c>
      <c r="D52" s="76" t="s">
        <v>15</v>
      </c>
      <c r="E52" s="76" t="s">
        <v>16</v>
      </c>
      <c r="F52" s="44" t="s">
        <v>19</v>
      </c>
      <c r="G52" s="7" t="s">
        <v>12</v>
      </c>
      <c r="H52" s="100" t="s">
        <v>28</v>
      </c>
      <c r="I52" s="108" t="s">
        <v>29</v>
      </c>
      <c r="J52" s="108" t="s">
        <v>30</v>
      </c>
      <c r="K52" s="104" t="s">
        <v>27</v>
      </c>
      <c r="L52" s="72" t="s">
        <v>4</v>
      </c>
    </row>
    <row r="53" spans="1:17" s="85" customFormat="1" hidden="1" x14ac:dyDescent="0.25">
      <c r="A53" s="59">
        <v>44013</v>
      </c>
      <c r="B53" s="59">
        <v>44378</v>
      </c>
      <c r="C53" s="196">
        <v>117217</v>
      </c>
      <c r="D53" s="197" t="s">
        <v>52</v>
      </c>
      <c r="E53" s="228">
        <v>6080910403</v>
      </c>
      <c r="F53" s="198">
        <v>44623</v>
      </c>
      <c r="G53" s="135">
        <v>0</v>
      </c>
      <c r="H53" s="135">
        <v>0</v>
      </c>
      <c r="I53" s="40">
        <v>0</v>
      </c>
      <c r="J53" s="40">
        <v>0</v>
      </c>
      <c r="K53" s="64">
        <f>SUM(I53:J53)</f>
        <v>0</v>
      </c>
      <c r="L53" s="9">
        <f t="shared" ref="L53:L58" si="12">K53/C53</f>
        <v>0</v>
      </c>
    </row>
    <row r="54" spans="1:17" s="85" customFormat="1" ht="15" hidden="1" customHeight="1" x14ac:dyDescent="0.25">
      <c r="A54" s="69">
        <v>43647</v>
      </c>
      <c r="B54" s="69">
        <v>44013</v>
      </c>
      <c r="C54" s="196">
        <v>91312</v>
      </c>
      <c r="D54" s="197" t="s">
        <v>52</v>
      </c>
      <c r="E54" s="197">
        <v>6078800367</v>
      </c>
      <c r="F54" s="198">
        <v>44623</v>
      </c>
      <c r="G54" s="135">
        <v>5</v>
      </c>
      <c r="H54" s="135">
        <v>1</v>
      </c>
      <c r="I54" s="40">
        <v>124798</v>
      </c>
      <c r="J54" s="40">
        <v>45825</v>
      </c>
      <c r="K54" s="64">
        <f>SUM(I54:J54)</f>
        <v>170623</v>
      </c>
      <c r="L54" s="9">
        <f t="shared" si="12"/>
        <v>1.8685714911512179</v>
      </c>
    </row>
    <row r="55" spans="1:17" s="85" customFormat="1" ht="15" hidden="1" customHeight="1" x14ac:dyDescent="0.25">
      <c r="A55" s="69">
        <v>42873</v>
      </c>
      <c r="B55" s="69">
        <v>43238</v>
      </c>
      <c r="C55" s="196">
        <v>0</v>
      </c>
      <c r="D55" s="197" t="s">
        <v>8</v>
      </c>
      <c r="E55" s="197" t="s">
        <v>8</v>
      </c>
      <c r="F55" s="134" t="s">
        <v>9</v>
      </c>
      <c r="G55" s="135">
        <v>0</v>
      </c>
      <c r="H55" s="135">
        <v>0</v>
      </c>
      <c r="I55" s="40">
        <v>0</v>
      </c>
      <c r="J55" s="40">
        <v>0</v>
      </c>
      <c r="K55" s="64">
        <f>SUM(I55:J55)</f>
        <v>0</v>
      </c>
      <c r="L55" s="9" t="e">
        <f t="shared" si="12"/>
        <v>#DIV/0!</v>
      </c>
    </row>
    <row r="56" spans="1:17" s="85" customFormat="1" ht="15" hidden="1" customHeight="1" x14ac:dyDescent="0.25">
      <c r="A56" s="69">
        <v>42695</v>
      </c>
      <c r="B56" s="69">
        <v>42873</v>
      </c>
      <c r="C56" s="196">
        <v>0</v>
      </c>
      <c r="D56" s="197" t="s">
        <v>8</v>
      </c>
      <c r="E56" s="197" t="s">
        <v>8</v>
      </c>
      <c r="F56" s="134" t="s">
        <v>9</v>
      </c>
      <c r="G56" s="135">
        <v>0</v>
      </c>
      <c r="H56" s="135">
        <v>0</v>
      </c>
      <c r="I56" s="40">
        <v>0</v>
      </c>
      <c r="J56" s="40">
        <v>0</v>
      </c>
      <c r="K56" s="64">
        <f>SUM(I56:J56)</f>
        <v>0</v>
      </c>
      <c r="L56" s="9" t="e">
        <f t="shared" si="12"/>
        <v>#DIV/0!</v>
      </c>
    </row>
    <row r="57" spans="1:17" s="85" customFormat="1" ht="15" hidden="1" customHeight="1" x14ac:dyDescent="0.25">
      <c r="A57" s="58">
        <v>42329</v>
      </c>
      <c r="B57" s="58">
        <v>42695</v>
      </c>
      <c r="C57" s="196">
        <v>0</v>
      </c>
      <c r="D57" s="197" t="s">
        <v>8</v>
      </c>
      <c r="E57" s="197" t="s">
        <v>8</v>
      </c>
      <c r="F57" s="138" t="s">
        <v>9</v>
      </c>
      <c r="G57" s="139">
        <v>0</v>
      </c>
      <c r="H57" s="139">
        <v>0</v>
      </c>
      <c r="I57" s="140">
        <v>0</v>
      </c>
      <c r="J57" s="140">
        <v>0</v>
      </c>
      <c r="K57" s="67">
        <f>SUM(I57:J57)</f>
        <v>0</v>
      </c>
      <c r="L57" s="11" t="e">
        <f t="shared" si="12"/>
        <v>#DIV/0!</v>
      </c>
    </row>
    <row r="58" spans="1:17" s="85" customFormat="1" ht="15" hidden="1" customHeight="1" thickBot="1" x14ac:dyDescent="0.3">
      <c r="A58" s="90"/>
      <c r="B58" s="91" t="s">
        <v>1</v>
      </c>
      <c r="C58" s="75">
        <f>SUM(C53:C57)</f>
        <v>208529</v>
      </c>
      <c r="D58" s="54"/>
      <c r="E58" s="55"/>
      <c r="F58" s="106"/>
      <c r="G58" s="50">
        <f>SUM(G53:G57)</f>
        <v>5</v>
      </c>
      <c r="H58" s="50">
        <f>SUM(H53:H57)</f>
        <v>1</v>
      </c>
      <c r="I58" s="68">
        <f>SUM(I53:I57)</f>
        <v>124798</v>
      </c>
      <c r="J58" s="68">
        <f>SUM(J53:J57)</f>
        <v>45825</v>
      </c>
      <c r="K58" s="68">
        <f>SUM(K53:K57)</f>
        <v>170623</v>
      </c>
      <c r="L58" s="51">
        <f t="shared" si="12"/>
        <v>0.81822192596713172</v>
      </c>
    </row>
    <row r="59" spans="1:17" s="85" customFormat="1" ht="15" hidden="1" customHeight="1" thickTop="1" x14ac:dyDescent="0.25">
      <c r="A59" s="185"/>
      <c r="B59" s="60"/>
      <c r="C59" s="89"/>
      <c r="D59" s="56"/>
      <c r="E59" s="56"/>
      <c r="F59" s="56"/>
      <c r="G59" s="56"/>
      <c r="H59" s="56"/>
      <c r="I59" s="174"/>
      <c r="J59" s="174"/>
      <c r="K59" s="174"/>
      <c r="L59" s="57"/>
    </row>
    <row r="60" spans="1:17" s="85" customFormat="1" ht="15" hidden="1" customHeight="1" x14ac:dyDescent="0.25">
      <c r="A60" s="237" t="s">
        <v>61</v>
      </c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</row>
    <row r="61" spans="1:17" s="85" customFormat="1" ht="15" hidden="1" customHeight="1" x14ac:dyDescent="0.25">
      <c r="A61" s="239" t="s">
        <v>20</v>
      </c>
      <c r="B61" s="283"/>
      <c r="C61" s="76" t="s">
        <v>2</v>
      </c>
      <c r="D61" s="76" t="s">
        <v>15</v>
      </c>
      <c r="E61" s="76" t="s">
        <v>16</v>
      </c>
      <c r="F61" s="44" t="s">
        <v>19</v>
      </c>
      <c r="G61" s="7" t="s">
        <v>12</v>
      </c>
      <c r="H61" s="100" t="s">
        <v>28</v>
      </c>
      <c r="I61" s="108" t="s">
        <v>29</v>
      </c>
      <c r="J61" s="108" t="s">
        <v>30</v>
      </c>
      <c r="K61" s="104" t="s">
        <v>27</v>
      </c>
      <c r="L61" s="72" t="s">
        <v>4</v>
      </c>
    </row>
    <row r="62" spans="1:17" s="85" customFormat="1" ht="15" hidden="1" customHeight="1" x14ac:dyDescent="0.25">
      <c r="A62" s="59">
        <v>44013</v>
      </c>
      <c r="B62" s="59">
        <v>44378</v>
      </c>
      <c r="C62" s="196">
        <v>11684</v>
      </c>
      <c r="D62" s="197" t="s">
        <v>52</v>
      </c>
      <c r="E62" s="228">
        <v>6080910868</v>
      </c>
      <c r="F62" s="195">
        <v>44623</v>
      </c>
      <c r="G62" s="135">
        <v>0</v>
      </c>
      <c r="H62" s="135">
        <v>0</v>
      </c>
      <c r="I62" s="40">
        <v>0</v>
      </c>
      <c r="J62" s="40">
        <v>0</v>
      </c>
      <c r="K62" s="64">
        <f>SUM(I62:J62)</f>
        <v>0</v>
      </c>
      <c r="L62" s="9">
        <f t="shared" ref="L62:L67" si="13">K62/C62</f>
        <v>0</v>
      </c>
    </row>
    <row r="63" spans="1:17" s="85" customFormat="1" ht="15" hidden="1" customHeight="1" x14ac:dyDescent="0.25">
      <c r="A63" s="69">
        <v>43647</v>
      </c>
      <c r="B63" s="69">
        <v>44013</v>
      </c>
      <c r="C63" s="196">
        <v>11628</v>
      </c>
      <c r="D63" s="197" t="s">
        <v>52</v>
      </c>
      <c r="E63" s="197">
        <v>6078814284</v>
      </c>
      <c r="F63" s="195">
        <v>44623</v>
      </c>
      <c r="G63" s="135">
        <v>0</v>
      </c>
      <c r="H63" s="135">
        <v>0</v>
      </c>
      <c r="I63" s="40">
        <v>0</v>
      </c>
      <c r="J63" s="40">
        <v>0</v>
      </c>
      <c r="K63" s="64">
        <f>SUM(I63:J63)</f>
        <v>0</v>
      </c>
      <c r="L63" s="9">
        <f t="shared" si="13"/>
        <v>0</v>
      </c>
    </row>
    <row r="64" spans="1:17" s="85" customFormat="1" ht="15" hidden="1" customHeight="1" x14ac:dyDescent="0.25">
      <c r="A64" s="69">
        <v>42873</v>
      </c>
      <c r="B64" s="69">
        <v>43238</v>
      </c>
      <c r="C64" s="196">
        <v>0</v>
      </c>
      <c r="D64" s="197" t="s">
        <v>8</v>
      </c>
      <c r="E64" s="197" t="s">
        <v>8</v>
      </c>
      <c r="F64" s="134" t="s">
        <v>9</v>
      </c>
      <c r="G64" s="135">
        <v>0</v>
      </c>
      <c r="H64" s="135">
        <v>0</v>
      </c>
      <c r="I64" s="40">
        <v>0</v>
      </c>
      <c r="J64" s="40">
        <v>0</v>
      </c>
      <c r="K64" s="64">
        <f>SUM(I64:J64)</f>
        <v>0</v>
      </c>
      <c r="L64" s="9" t="e">
        <f t="shared" si="13"/>
        <v>#DIV/0!</v>
      </c>
    </row>
    <row r="65" spans="1:17" s="85" customFormat="1" ht="15" hidden="1" customHeight="1" x14ac:dyDescent="0.25">
      <c r="A65" s="69">
        <v>42695</v>
      </c>
      <c r="B65" s="69">
        <v>42873</v>
      </c>
      <c r="C65" s="196">
        <v>0</v>
      </c>
      <c r="D65" s="197" t="s">
        <v>8</v>
      </c>
      <c r="E65" s="197" t="s">
        <v>8</v>
      </c>
      <c r="F65" s="134" t="s">
        <v>9</v>
      </c>
      <c r="G65" s="135">
        <v>0</v>
      </c>
      <c r="H65" s="135">
        <v>0</v>
      </c>
      <c r="I65" s="40">
        <v>0</v>
      </c>
      <c r="J65" s="40">
        <v>0</v>
      </c>
      <c r="K65" s="64">
        <f>SUM(I65:J65)</f>
        <v>0</v>
      </c>
      <c r="L65" s="9" t="e">
        <f t="shared" si="13"/>
        <v>#DIV/0!</v>
      </c>
    </row>
    <row r="66" spans="1:17" s="85" customFormat="1" ht="15" hidden="1" customHeight="1" x14ac:dyDescent="0.25">
      <c r="A66" s="58">
        <v>42329</v>
      </c>
      <c r="B66" s="58">
        <v>42695</v>
      </c>
      <c r="C66" s="196">
        <v>0</v>
      </c>
      <c r="D66" s="197" t="s">
        <v>8</v>
      </c>
      <c r="E66" s="197" t="s">
        <v>8</v>
      </c>
      <c r="F66" s="138" t="s">
        <v>9</v>
      </c>
      <c r="G66" s="139">
        <v>0</v>
      </c>
      <c r="H66" s="139">
        <v>0</v>
      </c>
      <c r="I66" s="140">
        <v>0</v>
      </c>
      <c r="J66" s="140">
        <v>0</v>
      </c>
      <c r="K66" s="67">
        <f>SUM(I66:J66)</f>
        <v>0</v>
      </c>
      <c r="L66" s="11" t="e">
        <f t="shared" si="13"/>
        <v>#DIV/0!</v>
      </c>
    </row>
    <row r="67" spans="1:17" s="85" customFormat="1" ht="15" hidden="1" customHeight="1" thickBot="1" x14ac:dyDescent="0.3">
      <c r="A67" s="90"/>
      <c r="B67" s="91" t="s">
        <v>1</v>
      </c>
      <c r="C67" s="75">
        <f>SUM(C62:C66)</f>
        <v>23312</v>
      </c>
      <c r="D67" s="54"/>
      <c r="E67" s="55"/>
      <c r="F67" s="106"/>
      <c r="G67" s="50">
        <f>SUM(G62:G66)</f>
        <v>0</v>
      </c>
      <c r="H67" s="50">
        <f>SUM(H62:H66)</f>
        <v>0</v>
      </c>
      <c r="I67" s="68">
        <f>SUM(I62:I66)</f>
        <v>0</v>
      </c>
      <c r="J67" s="68">
        <f>SUM(J62:J66)</f>
        <v>0</v>
      </c>
      <c r="K67" s="68">
        <f>SUM(K62:K66)</f>
        <v>0</v>
      </c>
      <c r="L67" s="51">
        <f t="shared" si="13"/>
        <v>0</v>
      </c>
    </row>
    <row r="68" spans="1:17" s="85" customFormat="1" ht="15" hidden="1" customHeight="1" thickTop="1" x14ac:dyDescent="0.25">
      <c r="A68" s="12"/>
      <c r="B68" s="12"/>
      <c r="C68" s="12"/>
      <c r="D68" s="56"/>
      <c r="E68" s="56"/>
      <c r="F68" s="56"/>
      <c r="G68" s="53"/>
      <c r="H68" s="53"/>
      <c r="I68" s="88"/>
      <c r="J68" s="88"/>
      <c r="K68" s="88"/>
      <c r="L68" s="89"/>
    </row>
    <row r="69" spans="1:17" s="85" customFormat="1" ht="15" hidden="1" customHeight="1" x14ac:dyDescent="0.25">
      <c r="A69" s="250" t="s">
        <v>57</v>
      </c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</row>
    <row r="70" spans="1:17" s="85" customFormat="1" ht="26.25" hidden="1" x14ac:dyDescent="0.25">
      <c r="A70" s="239" t="s">
        <v>20</v>
      </c>
      <c r="B70" s="283"/>
      <c r="C70" s="76" t="s">
        <v>2</v>
      </c>
      <c r="D70" s="76" t="s">
        <v>15</v>
      </c>
      <c r="E70" s="76" t="s">
        <v>16</v>
      </c>
      <c r="F70" s="44" t="s">
        <v>19</v>
      </c>
      <c r="G70" s="7" t="s">
        <v>12</v>
      </c>
      <c r="H70" s="100" t="s">
        <v>28</v>
      </c>
      <c r="I70" s="108" t="s">
        <v>29</v>
      </c>
      <c r="J70" s="108" t="s">
        <v>30</v>
      </c>
      <c r="K70" s="104" t="s">
        <v>27</v>
      </c>
      <c r="L70" s="72" t="s">
        <v>4</v>
      </c>
    </row>
    <row r="71" spans="1:17" s="85" customFormat="1" ht="15" hidden="1" customHeight="1" x14ac:dyDescent="0.25">
      <c r="A71" s="59">
        <v>43647</v>
      </c>
      <c r="B71" s="59">
        <v>44013</v>
      </c>
      <c r="C71" s="26">
        <v>14745</v>
      </c>
      <c r="D71" s="46" t="s">
        <v>52</v>
      </c>
      <c r="E71" s="46">
        <v>6078777317</v>
      </c>
      <c r="F71" s="178">
        <v>43902</v>
      </c>
      <c r="G71" s="47">
        <v>0</v>
      </c>
      <c r="H71" s="47">
        <v>0</v>
      </c>
      <c r="I71" s="63">
        <v>0</v>
      </c>
      <c r="J71" s="63">
        <v>0</v>
      </c>
      <c r="K71" s="64">
        <f>SUM(I71:J71)</f>
        <v>0</v>
      </c>
      <c r="L71" s="9">
        <f t="shared" ref="L71:L76" si="14">K71/C71</f>
        <v>0</v>
      </c>
    </row>
    <row r="72" spans="1:17" s="85" customFormat="1" ht="15" hidden="1" customHeight="1" x14ac:dyDescent="0.25">
      <c r="A72" s="69">
        <v>43238</v>
      </c>
      <c r="B72" s="69">
        <v>43603</v>
      </c>
      <c r="C72" s="26">
        <v>0</v>
      </c>
      <c r="D72" s="46" t="s">
        <v>52</v>
      </c>
      <c r="E72" s="46">
        <v>6057545791</v>
      </c>
      <c r="F72" s="178">
        <v>43902</v>
      </c>
      <c r="G72" s="47">
        <v>0</v>
      </c>
      <c r="H72" s="47">
        <v>0</v>
      </c>
      <c r="I72" s="63">
        <v>0</v>
      </c>
      <c r="J72" s="63">
        <v>0</v>
      </c>
      <c r="K72" s="64">
        <f>SUM(I72:J72)</f>
        <v>0</v>
      </c>
      <c r="L72" s="9">
        <v>0</v>
      </c>
    </row>
    <row r="73" spans="1:17" s="85" customFormat="1" ht="15" hidden="1" customHeight="1" x14ac:dyDescent="0.25">
      <c r="A73" s="69">
        <v>42873</v>
      </c>
      <c r="B73" s="69">
        <v>43238</v>
      </c>
      <c r="C73" s="26">
        <v>0</v>
      </c>
      <c r="D73" s="46" t="s">
        <v>52</v>
      </c>
      <c r="E73" s="46">
        <v>6020637850</v>
      </c>
      <c r="F73" s="178">
        <v>43902</v>
      </c>
      <c r="G73" s="47">
        <v>0</v>
      </c>
      <c r="H73" s="47">
        <v>0</v>
      </c>
      <c r="I73" s="63">
        <v>0</v>
      </c>
      <c r="J73" s="63">
        <v>0</v>
      </c>
      <c r="K73" s="64">
        <f>SUM(I73:J73)</f>
        <v>0</v>
      </c>
      <c r="L73" s="9">
        <v>0</v>
      </c>
    </row>
    <row r="74" spans="1:17" s="85" customFormat="1" ht="15" hidden="1" customHeight="1" x14ac:dyDescent="0.25">
      <c r="A74" s="69">
        <v>42695</v>
      </c>
      <c r="B74" s="69">
        <v>42873</v>
      </c>
      <c r="C74" s="26">
        <v>0</v>
      </c>
      <c r="D74" s="46" t="s">
        <v>52</v>
      </c>
      <c r="E74" s="46">
        <v>6020637850</v>
      </c>
      <c r="F74" s="178">
        <v>43902</v>
      </c>
      <c r="G74" s="47">
        <v>0</v>
      </c>
      <c r="H74" s="47">
        <v>0</v>
      </c>
      <c r="I74" s="63">
        <v>0</v>
      </c>
      <c r="J74" s="63">
        <v>0</v>
      </c>
      <c r="K74" s="64">
        <f>SUM(I74:J74)</f>
        <v>0</v>
      </c>
      <c r="L74" s="9">
        <v>0</v>
      </c>
    </row>
    <row r="75" spans="1:17" s="85" customFormat="1" ht="15" hidden="1" customHeight="1" x14ac:dyDescent="0.25">
      <c r="A75" s="58">
        <v>42329</v>
      </c>
      <c r="B75" s="58">
        <v>42695</v>
      </c>
      <c r="C75" s="26">
        <v>0</v>
      </c>
      <c r="D75" s="46" t="s">
        <v>8</v>
      </c>
      <c r="E75" s="46" t="s">
        <v>8</v>
      </c>
      <c r="F75" s="105" t="s">
        <v>9</v>
      </c>
      <c r="G75" s="48">
        <v>0</v>
      </c>
      <c r="H75" s="48">
        <v>0</v>
      </c>
      <c r="I75" s="66">
        <v>0</v>
      </c>
      <c r="J75" s="66">
        <v>0</v>
      </c>
      <c r="K75" s="67">
        <f>SUM(I75:J75)</f>
        <v>0</v>
      </c>
      <c r="L75" s="11" t="e">
        <f t="shared" si="14"/>
        <v>#DIV/0!</v>
      </c>
    </row>
    <row r="76" spans="1:17" s="85" customFormat="1" ht="15" hidden="1" customHeight="1" thickBot="1" x14ac:dyDescent="0.3">
      <c r="A76" s="90"/>
      <c r="B76" s="91" t="s">
        <v>1</v>
      </c>
      <c r="C76" s="75">
        <f>SUM(C71:C75)</f>
        <v>14745</v>
      </c>
      <c r="D76" s="54"/>
      <c r="E76" s="55"/>
      <c r="F76" s="106"/>
      <c r="G76" s="50">
        <f>SUM(G71:G75)</f>
        <v>0</v>
      </c>
      <c r="H76" s="50">
        <f>SUM(H71:H75)</f>
        <v>0</v>
      </c>
      <c r="I76" s="68">
        <f>SUM(I71:I75)</f>
        <v>0</v>
      </c>
      <c r="J76" s="68">
        <v>0</v>
      </c>
      <c r="K76" s="68">
        <f>SUM(K71:K75)</f>
        <v>0</v>
      </c>
      <c r="L76" s="51">
        <f t="shared" si="14"/>
        <v>0</v>
      </c>
    </row>
    <row r="77" spans="1:17" s="85" customFormat="1" ht="15" hidden="1" customHeight="1" thickTop="1" x14ac:dyDescent="0.25">
      <c r="A77" s="12"/>
      <c r="B77" s="60"/>
      <c r="C77" s="89"/>
      <c r="D77" s="56"/>
      <c r="E77" s="56"/>
      <c r="F77" s="56"/>
      <c r="G77" s="56"/>
      <c r="H77" s="56"/>
      <c r="I77" s="174"/>
      <c r="J77" s="174"/>
      <c r="K77" s="174"/>
      <c r="L77" s="57"/>
    </row>
    <row r="78" spans="1:17" s="85" customFormat="1" ht="15" customHeight="1" x14ac:dyDescent="0.25">
      <c r="A78" s="250" t="s">
        <v>58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P78" s="186"/>
      <c r="Q78" s="186"/>
    </row>
    <row r="79" spans="1:17" s="85" customFormat="1" ht="15" customHeight="1" x14ac:dyDescent="0.25">
      <c r="A79" s="239" t="s">
        <v>20</v>
      </c>
      <c r="B79" s="283"/>
      <c r="C79" s="76" t="s">
        <v>2</v>
      </c>
      <c r="D79" s="76" t="s">
        <v>15</v>
      </c>
      <c r="E79" s="76" t="s">
        <v>16</v>
      </c>
      <c r="F79" s="44" t="s">
        <v>19</v>
      </c>
      <c r="G79" s="7" t="s">
        <v>12</v>
      </c>
      <c r="H79" s="100" t="s">
        <v>28</v>
      </c>
      <c r="I79" s="108" t="s">
        <v>29</v>
      </c>
      <c r="J79" s="108" t="s">
        <v>30</v>
      </c>
      <c r="K79" s="104" t="s">
        <v>27</v>
      </c>
      <c r="L79" s="72" t="s">
        <v>4</v>
      </c>
      <c r="P79" s="186"/>
      <c r="Q79" s="186"/>
    </row>
    <row r="80" spans="1:17" s="85" customFormat="1" ht="15" customHeight="1" x14ac:dyDescent="0.25">
      <c r="A80" s="195">
        <v>44743</v>
      </c>
      <c r="B80" s="195">
        <v>45108</v>
      </c>
      <c r="C80" s="192">
        <v>50817</v>
      </c>
      <c r="D80" s="197" t="s">
        <v>52</v>
      </c>
      <c r="E80" s="203">
        <v>6080930229</v>
      </c>
      <c r="F80" s="195">
        <v>44910</v>
      </c>
      <c r="G80" s="39">
        <v>0</v>
      </c>
      <c r="H80" s="135">
        <v>0</v>
      </c>
      <c r="I80" s="40">
        <v>0</v>
      </c>
      <c r="J80" s="40">
        <v>0</v>
      </c>
      <c r="K80" s="64">
        <f t="shared" ref="K80" si="15">SUM(I80:J80)</f>
        <v>0</v>
      </c>
      <c r="L80" s="9">
        <f>K80/C80</f>
        <v>0</v>
      </c>
      <c r="P80" s="186"/>
      <c r="Q80" s="186"/>
    </row>
    <row r="81" spans="1:17" s="85" customFormat="1" ht="15" customHeight="1" x14ac:dyDescent="0.25">
      <c r="A81" s="195">
        <v>44378</v>
      </c>
      <c r="B81" s="195">
        <v>44743</v>
      </c>
      <c r="C81" s="24">
        <v>23458</v>
      </c>
      <c r="D81" s="197" t="s">
        <v>52</v>
      </c>
      <c r="E81" s="203">
        <v>6080930229</v>
      </c>
      <c r="F81" s="195">
        <v>44910</v>
      </c>
      <c r="G81" s="135">
        <v>0</v>
      </c>
      <c r="H81" s="135">
        <v>0</v>
      </c>
      <c r="I81" s="40">
        <v>0</v>
      </c>
      <c r="J81" s="40">
        <v>0</v>
      </c>
      <c r="K81" s="64">
        <f t="shared" ref="K81:K85" si="16">SUM(I81:J81)</f>
        <v>0</v>
      </c>
      <c r="L81" s="9">
        <f t="shared" ref="L81:L86" si="17">K81/C81</f>
        <v>0</v>
      </c>
      <c r="P81" s="186"/>
      <c r="Q81" s="186"/>
    </row>
    <row r="82" spans="1:17" s="85" customFormat="1" ht="15" customHeight="1" x14ac:dyDescent="0.25">
      <c r="A82" s="195">
        <v>44013</v>
      </c>
      <c r="B82" s="195">
        <v>44378</v>
      </c>
      <c r="C82" s="192">
        <v>17978</v>
      </c>
      <c r="D82" s="197" t="s">
        <v>52</v>
      </c>
      <c r="E82" s="203">
        <v>6080930229</v>
      </c>
      <c r="F82" s="195">
        <v>44910</v>
      </c>
      <c r="G82" s="135">
        <v>0</v>
      </c>
      <c r="H82" s="135">
        <v>0</v>
      </c>
      <c r="I82" s="40">
        <v>0</v>
      </c>
      <c r="J82" s="40">
        <v>0</v>
      </c>
      <c r="K82" s="64">
        <f t="shared" si="16"/>
        <v>0</v>
      </c>
      <c r="L82" s="9">
        <f t="shared" si="17"/>
        <v>0</v>
      </c>
      <c r="P82" s="186"/>
      <c r="Q82" s="186"/>
    </row>
    <row r="83" spans="1:17" s="85" customFormat="1" ht="15" customHeight="1" x14ac:dyDescent="0.25">
      <c r="A83" s="59">
        <v>43647</v>
      </c>
      <c r="B83" s="59">
        <v>44013</v>
      </c>
      <c r="C83" s="196">
        <v>14748</v>
      </c>
      <c r="D83" s="197" t="s">
        <v>52</v>
      </c>
      <c r="E83" s="197">
        <v>6078777205</v>
      </c>
      <c r="F83" s="195">
        <v>44910</v>
      </c>
      <c r="G83" s="135">
        <v>0</v>
      </c>
      <c r="H83" s="135">
        <v>0</v>
      </c>
      <c r="I83" s="40">
        <v>0</v>
      </c>
      <c r="J83" s="40">
        <v>0</v>
      </c>
      <c r="K83" s="64">
        <f t="shared" si="16"/>
        <v>0</v>
      </c>
      <c r="L83" s="9">
        <f t="shared" si="17"/>
        <v>0</v>
      </c>
    </row>
    <row r="84" spans="1:17" s="85" customFormat="1" ht="15" customHeight="1" x14ac:dyDescent="0.25">
      <c r="A84" s="59">
        <v>43603</v>
      </c>
      <c r="B84" s="59">
        <v>43647</v>
      </c>
      <c r="C84" s="222">
        <v>14000</v>
      </c>
      <c r="D84" s="197" t="s">
        <v>52</v>
      </c>
      <c r="E84" s="199">
        <v>6078587128</v>
      </c>
      <c r="F84" s="195">
        <v>44910</v>
      </c>
      <c r="G84" s="135">
        <v>0</v>
      </c>
      <c r="H84" s="135">
        <v>0</v>
      </c>
      <c r="I84" s="40">
        <v>0</v>
      </c>
      <c r="J84" s="40">
        <v>0</v>
      </c>
      <c r="K84" s="64">
        <f t="shared" si="16"/>
        <v>0</v>
      </c>
      <c r="L84" s="9">
        <v>0</v>
      </c>
    </row>
    <row r="85" spans="1:17" s="85" customFormat="1" ht="15" customHeight="1" x14ac:dyDescent="0.25">
      <c r="A85" s="59">
        <v>43238</v>
      </c>
      <c r="B85" s="59">
        <v>43603</v>
      </c>
      <c r="C85" s="222">
        <v>12000</v>
      </c>
      <c r="D85" s="197" t="s">
        <v>52</v>
      </c>
      <c r="E85" s="197">
        <v>6057545807</v>
      </c>
      <c r="F85" s="195">
        <v>44910</v>
      </c>
      <c r="G85" s="135">
        <v>0</v>
      </c>
      <c r="H85" s="135">
        <v>0</v>
      </c>
      <c r="I85" s="40">
        <v>0</v>
      </c>
      <c r="J85" s="40">
        <v>0</v>
      </c>
      <c r="K85" s="64">
        <f t="shared" si="16"/>
        <v>0</v>
      </c>
      <c r="L85" s="9">
        <v>0</v>
      </c>
      <c r="P85" s="186"/>
      <c r="Q85" s="186"/>
    </row>
    <row r="86" spans="1:17" s="85" customFormat="1" ht="15" customHeight="1" thickBot="1" x14ac:dyDescent="0.3">
      <c r="A86" s="90"/>
      <c r="B86" s="91" t="s">
        <v>1</v>
      </c>
      <c r="C86" s="75">
        <f>SUM(C80:C85)</f>
        <v>133001</v>
      </c>
      <c r="D86" s="54"/>
      <c r="E86" s="55"/>
      <c r="F86" s="106"/>
      <c r="G86" s="50">
        <f>SUM(G80:G85)</f>
        <v>0</v>
      </c>
      <c r="H86" s="50">
        <f t="shared" ref="H86:K86" si="18">SUM(H80:H85)</f>
        <v>0</v>
      </c>
      <c r="I86" s="68">
        <f t="shared" si="18"/>
        <v>0</v>
      </c>
      <c r="J86" s="68">
        <f t="shared" si="18"/>
        <v>0</v>
      </c>
      <c r="K86" s="68">
        <f t="shared" si="18"/>
        <v>0</v>
      </c>
      <c r="L86" s="51">
        <f t="shared" si="17"/>
        <v>0</v>
      </c>
      <c r="P86" s="186"/>
      <c r="Q86" s="186"/>
    </row>
    <row r="87" spans="1:17" s="85" customFormat="1" ht="15" customHeight="1" thickTop="1" x14ac:dyDescent="0.25">
      <c r="A87" s="185"/>
      <c r="B87" s="60"/>
      <c r="C87" s="89"/>
      <c r="D87" s="56"/>
      <c r="E87" s="56"/>
      <c r="F87" s="56"/>
      <c r="G87" s="56"/>
      <c r="H87" s="56"/>
      <c r="I87" s="174"/>
      <c r="J87" s="174"/>
      <c r="K87" s="174"/>
      <c r="L87" s="57"/>
      <c r="P87" s="186"/>
      <c r="Q87" s="186"/>
    </row>
    <row r="88" spans="1:17" s="85" customFormat="1" ht="15" customHeight="1" x14ac:dyDescent="0.25">
      <c r="A88" s="250" t="s">
        <v>95</v>
      </c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P88" s="186"/>
      <c r="Q88" s="186"/>
    </row>
    <row r="89" spans="1:17" s="85" customFormat="1" ht="15" customHeight="1" x14ac:dyDescent="0.25">
      <c r="A89" s="239" t="s">
        <v>20</v>
      </c>
      <c r="B89" s="283"/>
      <c r="C89" s="76" t="s">
        <v>2</v>
      </c>
      <c r="D89" s="76" t="s">
        <v>15</v>
      </c>
      <c r="E89" s="76" t="s">
        <v>16</v>
      </c>
      <c r="F89" s="44" t="s">
        <v>19</v>
      </c>
      <c r="G89" s="7" t="s">
        <v>12</v>
      </c>
      <c r="H89" s="100" t="s">
        <v>28</v>
      </c>
      <c r="I89" s="108" t="s">
        <v>29</v>
      </c>
      <c r="J89" s="108" t="s">
        <v>30</v>
      </c>
      <c r="K89" s="104" t="s">
        <v>27</v>
      </c>
      <c r="L89" s="72" t="s">
        <v>4</v>
      </c>
      <c r="P89" s="186"/>
      <c r="Q89" s="186"/>
    </row>
    <row r="90" spans="1:17" s="85" customFormat="1" ht="15" customHeight="1" x14ac:dyDescent="0.25">
      <c r="A90" s="195">
        <v>44743</v>
      </c>
      <c r="B90" s="195">
        <v>45108</v>
      </c>
      <c r="C90" s="206">
        <v>41600</v>
      </c>
      <c r="D90" s="203" t="s">
        <v>72</v>
      </c>
      <c r="E90" s="203" t="s">
        <v>98</v>
      </c>
      <c r="F90" s="195">
        <v>44922</v>
      </c>
      <c r="G90" s="135">
        <v>0</v>
      </c>
      <c r="H90" s="135">
        <v>0</v>
      </c>
      <c r="I90" s="40">
        <v>0</v>
      </c>
      <c r="J90" s="40">
        <v>0</v>
      </c>
      <c r="K90" s="64">
        <f>SUM(I90:J90)</f>
        <v>0</v>
      </c>
      <c r="L90" s="9">
        <f t="shared" ref="L90" si="19">K90/C90</f>
        <v>0</v>
      </c>
      <c r="P90" s="186"/>
      <c r="Q90" s="186"/>
    </row>
    <row r="91" spans="1:17" s="85" customFormat="1" ht="15" customHeight="1" x14ac:dyDescent="0.25">
      <c r="A91" s="195">
        <v>44378</v>
      </c>
      <c r="B91" s="195">
        <v>44743</v>
      </c>
      <c r="C91" s="24">
        <v>20807</v>
      </c>
      <c r="D91" s="203" t="s">
        <v>72</v>
      </c>
      <c r="E91" s="200" t="s">
        <v>92</v>
      </c>
      <c r="F91" s="195">
        <v>44922</v>
      </c>
      <c r="G91" s="135">
        <v>0</v>
      </c>
      <c r="H91" s="135">
        <v>0</v>
      </c>
      <c r="I91" s="40">
        <v>0</v>
      </c>
      <c r="J91" s="40">
        <v>0</v>
      </c>
      <c r="K91" s="64">
        <f>SUM(I91:J91)</f>
        <v>0</v>
      </c>
      <c r="L91" s="9">
        <f t="shared" ref="L91:L95" si="20">K91/C91</f>
        <v>0</v>
      </c>
      <c r="P91" s="186"/>
      <c r="Q91" s="186"/>
    </row>
    <row r="92" spans="1:17" s="85" customFormat="1" ht="15" customHeight="1" x14ac:dyDescent="0.25">
      <c r="A92" s="195">
        <v>44013</v>
      </c>
      <c r="B92" s="195">
        <v>44378</v>
      </c>
      <c r="C92" s="206">
        <v>15225</v>
      </c>
      <c r="D92" s="203" t="s">
        <v>72</v>
      </c>
      <c r="E92" s="203" t="s">
        <v>73</v>
      </c>
      <c r="F92" s="195">
        <v>44922</v>
      </c>
      <c r="G92" s="135">
        <v>0</v>
      </c>
      <c r="H92" s="135">
        <v>0</v>
      </c>
      <c r="I92" s="40">
        <v>0</v>
      </c>
      <c r="J92" s="40">
        <v>0</v>
      </c>
      <c r="K92" s="64">
        <f>SUM(I92:J92)</f>
        <v>0</v>
      </c>
      <c r="L92" s="9">
        <f t="shared" si="20"/>
        <v>0</v>
      </c>
      <c r="P92" s="186"/>
      <c r="Q92" s="186"/>
    </row>
    <row r="93" spans="1:17" s="85" customFormat="1" ht="15" customHeight="1" x14ac:dyDescent="0.25">
      <c r="A93" s="59">
        <v>43647</v>
      </c>
      <c r="B93" s="59">
        <v>44013</v>
      </c>
      <c r="C93" s="196">
        <v>13716</v>
      </c>
      <c r="D93" s="197" t="s">
        <v>59</v>
      </c>
      <c r="E93" s="197" t="s">
        <v>60</v>
      </c>
      <c r="F93" s="198">
        <v>44911</v>
      </c>
      <c r="G93" s="135">
        <v>0</v>
      </c>
      <c r="H93" s="135">
        <v>0</v>
      </c>
      <c r="I93" s="40">
        <v>0</v>
      </c>
      <c r="J93" s="40">
        <v>0</v>
      </c>
      <c r="K93" s="64">
        <f>SUM(I93:J93)</f>
        <v>0</v>
      </c>
      <c r="L93" s="9">
        <f t="shared" si="20"/>
        <v>0</v>
      </c>
    </row>
    <row r="94" spans="1:17" s="85" customFormat="1" ht="15" customHeight="1" x14ac:dyDescent="0.25">
      <c r="A94" s="59">
        <v>43238</v>
      </c>
      <c r="B94" s="59">
        <v>43603</v>
      </c>
      <c r="C94" s="223">
        <v>13000</v>
      </c>
      <c r="D94" s="197" t="s">
        <v>59</v>
      </c>
      <c r="E94" s="197" t="s">
        <v>60</v>
      </c>
      <c r="F94" s="198">
        <v>44911</v>
      </c>
      <c r="G94" s="135">
        <v>0</v>
      </c>
      <c r="H94" s="135">
        <v>0</v>
      </c>
      <c r="I94" s="40">
        <v>0</v>
      </c>
      <c r="J94" s="40">
        <v>0</v>
      </c>
      <c r="K94" s="64">
        <f>SUM(I94:J94)</f>
        <v>0</v>
      </c>
      <c r="L94" s="9">
        <v>0</v>
      </c>
    </row>
    <row r="95" spans="1:17" s="85" customFormat="1" ht="15" customHeight="1" thickBot="1" x14ac:dyDescent="0.3">
      <c r="A95" s="90"/>
      <c r="B95" s="91" t="s">
        <v>1</v>
      </c>
      <c r="C95" s="75">
        <f>SUM(C90:C94)</f>
        <v>104348</v>
      </c>
      <c r="D95" s="54"/>
      <c r="E95" s="55"/>
      <c r="F95" s="106"/>
      <c r="G95" s="50">
        <f>SUM(G90:G94)</f>
        <v>0</v>
      </c>
      <c r="H95" s="50">
        <f t="shared" ref="H95:J95" si="21">SUM(H90:H94)</f>
        <v>0</v>
      </c>
      <c r="I95" s="68">
        <f t="shared" si="21"/>
        <v>0</v>
      </c>
      <c r="J95" s="68">
        <f t="shared" si="21"/>
        <v>0</v>
      </c>
      <c r="K95" s="68">
        <f>SUM(K90:K94)</f>
        <v>0</v>
      </c>
      <c r="L95" s="51">
        <f t="shared" si="20"/>
        <v>0</v>
      </c>
    </row>
    <row r="96" spans="1:17" s="85" customFormat="1" ht="15" hidden="1" customHeight="1" thickTop="1" x14ac:dyDescent="0.25">
      <c r="A96" s="250" t="s">
        <v>81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</row>
    <row r="97" spans="1:12" s="85" customFormat="1" ht="15" hidden="1" customHeight="1" x14ac:dyDescent="0.25">
      <c r="A97" s="239" t="s">
        <v>20</v>
      </c>
      <c r="B97" s="283"/>
      <c r="C97" s="76" t="s">
        <v>2</v>
      </c>
      <c r="D97" s="76" t="s">
        <v>15</v>
      </c>
      <c r="E97" s="76" t="s">
        <v>16</v>
      </c>
      <c r="F97" s="44" t="s">
        <v>19</v>
      </c>
      <c r="G97" s="7" t="s">
        <v>12</v>
      </c>
      <c r="H97" s="100" t="s">
        <v>28</v>
      </c>
      <c r="I97" s="108" t="s">
        <v>29</v>
      </c>
      <c r="J97" s="108" t="s">
        <v>30</v>
      </c>
      <c r="K97" s="104" t="s">
        <v>27</v>
      </c>
      <c r="L97" s="72" t="s">
        <v>4</v>
      </c>
    </row>
    <row r="98" spans="1:12" s="85" customFormat="1" hidden="1" x14ac:dyDescent="0.25">
      <c r="A98" s="195">
        <v>44013</v>
      </c>
      <c r="B98" s="195">
        <v>44378</v>
      </c>
      <c r="C98" s="206">
        <v>32390</v>
      </c>
      <c r="D98" s="203" t="s">
        <v>52</v>
      </c>
      <c r="E98" s="203">
        <v>6080911471</v>
      </c>
      <c r="F98" s="189">
        <v>44239</v>
      </c>
      <c r="G98" s="135">
        <v>0</v>
      </c>
      <c r="H98" s="135">
        <v>0</v>
      </c>
      <c r="I98" s="40">
        <v>0</v>
      </c>
      <c r="J98" s="40">
        <v>0</v>
      </c>
      <c r="K98" s="64">
        <f>SUM(I98:J98)</f>
        <v>0</v>
      </c>
      <c r="L98" s="9">
        <f t="shared" ref="L98" si="22">K98/C98</f>
        <v>0</v>
      </c>
    </row>
    <row r="99" spans="1:12" s="85" customFormat="1" hidden="1" x14ac:dyDescent="0.25">
      <c r="A99" s="59" t="s">
        <v>37</v>
      </c>
      <c r="B99" s="59" t="s">
        <v>37</v>
      </c>
      <c r="C99" s="196" t="s">
        <v>37</v>
      </c>
      <c r="D99" s="197" t="s">
        <v>37</v>
      </c>
      <c r="E99" s="197" t="s">
        <v>37</v>
      </c>
      <c r="F99" s="198" t="s">
        <v>37</v>
      </c>
      <c r="G99" s="135">
        <v>0</v>
      </c>
      <c r="H99" s="135">
        <v>0</v>
      </c>
      <c r="I99" s="40">
        <v>0</v>
      </c>
      <c r="J99" s="40">
        <v>0</v>
      </c>
      <c r="K99" s="64">
        <f>SUM(I99:J99)</f>
        <v>0</v>
      </c>
      <c r="L99" s="9">
        <v>0</v>
      </c>
    </row>
    <row r="100" spans="1:12" s="85" customFormat="1" hidden="1" x14ac:dyDescent="0.25">
      <c r="A100" s="59" t="s">
        <v>37</v>
      </c>
      <c r="B100" s="59" t="s">
        <v>37</v>
      </c>
      <c r="C100" s="196" t="s">
        <v>37</v>
      </c>
      <c r="D100" s="197" t="s">
        <v>37</v>
      </c>
      <c r="E100" s="197" t="s">
        <v>37</v>
      </c>
      <c r="F100" s="198" t="s">
        <v>37</v>
      </c>
      <c r="G100" s="135">
        <v>0</v>
      </c>
      <c r="H100" s="135">
        <v>0</v>
      </c>
      <c r="I100" s="40">
        <v>0</v>
      </c>
      <c r="J100" s="40">
        <v>0</v>
      </c>
      <c r="K100" s="64">
        <f>SUM(I100:J100)</f>
        <v>0</v>
      </c>
      <c r="L100" s="9">
        <v>0</v>
      </c>
    </row>
    <row r="101" spans="1:12" s="85" customFormat="1" ht="15" hidden="1" customHeight="1" x14ac:dyDescent="0.25">
      <c r="A101" s="59">
        <v>42873</v>
      </c>
      <c r="B101" s="59">
        <v>43238</v>
      </c>
      <c r="C101" s="196">
        <v>13000</v>
      </c>
      <c r="D101" s="197" t="s">
        <v>59</v>
      </c>
      <c r="E101" s="215" t="s">
        <v>60</v>
      </c>
      <c r="F101" s="198" t="s">
        <v>37</v>
      </c>
      <c r="G101" s="135">
        <v>0</v>
      </c>
      <c r="H101" s="135">
        <v>0</v>
      </c>
      <c r="I101" s="40">
        <v>0</v>
      </c>
      <c r="J101" s="40">
        <v>0</v>
      </c>
      <c r="K101" s="64">
        <f>SUM(I101:J101)</f>
        <v>0</v>
      </c>
      <c r="L101" s="9">
        <v>0</v>
      </c>
    </row>
    <row r="102" spans="1:12" s="85" customFormat="1" ht="15" hidden="1" customHeight="1" x14ac:dyDescent="0.25">
      <c r="A102" s="59">
        <v>42674</v>
      </c>
      <c r="B102" s="59">
        <v>42873</v>
      </c>
      <c r="C102" s="196">
        <v>6500</v>
      </c>
      <c r="D102" s="197" t="s">
        <v>59</v>
      </c>
      <c r="E102" s="215" t="s">
        <v>60</v>
      </c>
      <c r="F102" s="198" t="s">
        <v>37</v>
      </c>
      <c r="G102" s="135">
        <v>0</v>
      </c>
      <c r="H102" s="135">
        <v>0</v>
      </c>
      <c r="I102" s="40">
        <v>0</v>
      </c>
      <c r="J102" s="40">
        <v>0</v>
      </c>
      <c r="K102" s="64">
        <f>SUM(I102:J102)</f>
        <v>0</v>
      </c>
      <c r="L102" s="9">
        <v>0</v>
      </c>
    </row>
    <row r="103" spans="1:12" s="85" customFormat="1" ht="15" hidden="1" customHeight="1" thickBot="1" x14ac:dyDescent="0.3">
      <c r="A103" s="90"/>
      <c r="B103" s="91" t="s">
        <v>1</v>
      </c>
      <c r="C103" s="75">
        <f>SUM(C98:C102)</f>
        <v>51890</v>
      </c>
      <c r="D103" s="54"/>
      <c r="E103" s="55"/>
      <c r="F103" s="106"/>
      <c r="G103" s="50">
        <f>SUM(G99:G102)</f>
        <v>0</v>
      </c>
      <c r="H103" s="50">
        <f>SUM(H99:H102)</f>
        <v>0</v>
      </c>
      <c r="I103" s="68">
        <f>SUM(I99:I102)</f>
        <v>0</v>
      </c>
      <c r="J103" s="68">
        <v>0</v>
      </c>
      <c r="K103" s="68">
        <f>SUM(K99:K102)</f>
        <v>0</v>
      </c>
      <c r="L103" s="51">
        <f t="shared" ref="L103" si="23">K103/C103</f>
        <v>0</v>
      </c>
    </row>
    <row r="104" spans="1:12" s="85" customFormat="1" ht="15" hidden="1" customHeight="1" thickTop="1" x14ac:dyDescent="0.25">
      <c r="A104" s="12"/>
      <c r="B104" s="60"/>
      <c r="C104" s="34"/>
      <c r="D104" s="56"/>
      <c r="E104" s="56"/>
      <c r="F104" s="56"/>
      <c r="G104" s="53"/>
      <c r="H104" s="53"/>
      <c r="I104" s="88"/>
      <c r="J104" s="88"/>
      <c r="K104" s="88"/>
      <c r="L104" s="57"/>
    </row>
    <row r="105" spans="1:12" s="85" customFormat="1" ht="15" hidden="1" customHeight="1" x14ac:dyDescent="0.25">
      <c r="A105" s="12"/>
      <c r="B105" s="60" t="s">
        <v>1</v>
      </c>
      <c r="C105" s="34">
        <f>SUM(C98:C100)</f>
        <v>32390</v>
      </c>
      <c r="D105" s="56"/>
      <c r="E105" s="56"/>
      <c r="F105" s="56"/>
      <c r="G105" s="56">
        <f>SUM(G98:G100)</f>
        <v>0</v>
      </c>
      <c r="H105" s="56">
        <f>SUM(H98:H100)</f>
        <v>0</v>
      </c>
      <c r="I105" s="174">
        <f>SUM(I98:I100)</f>
        <v>0</v>
      </c>
      <c r="J105" s="174">
        <f>SUM(J98:J100)</f>
        <v>0</v>
      </c>
      <c r="K105" s="174">
        <f>SUM(K98:K100)</f>
        <v>0</v>
      </c>
      <c r="L105" s="57"/>
    </row>
    <row r="106" spans="1:12" s="85" customFormat="1" ht="15" hidden="1" customHeight="1" x14ac:dyDescent="0.25">
      <c r="A106" s="250" t="s">
        <v>83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</row>
    <row r="107" spans="1:12" s="85" customFormat="1" ht="15" hidden="1" customHeight="1" x14ac:dyDescent="0.25">
      <c r="A107" s="239" t="s">
        <v>20</v>
      </c>
      <c r="B107" s="283"/>
      <c r="C107" s="76" t="s">
        <v>2</v>
      </c>
      <c r="D107" s="76" t="s">
        <v>15</v>
      </c>
      <c r="E107" s="76" t="s">
        <v>16</v>
      </c>
      <c r="F107" s="44" t="s">
        <v>19</v>
      </c>
      <c r="G107" s="7" t="s">
        <v>12</v>
      </c>
      <c r="H107" s="100" t="s">
        <v>28</v>
      </c>
      <c r="I107" s="108" t="s">
        <v>29</v>
      </c>
      <c r="J107" s="108" t="s">
        <v>30</v>
      </c>
      <c r="K107" s="104" t="s">
        <v>27</v>
      </c>
      <c r="L107" s="72" t="s">
        <v>4</v>
      </c>
    </row>
    <row r="108" spans="1:12" s="85" customFormat="1" hidden="1" x14ac:dyDescent="0.25">
      <c r="A108" s="195">
        <v>44013</v>
      </c>
      <c r="B108" s="195">
        <v>44378</v>
      </c>
      <c r="C108" s="206">
        <v>20627</v>
      </c>
      <c r="D108" s="203" t="s">
        <v>52</v>
      </c>
      <c r="E108" s="203">
        <v>6080920557</v>
      </c>
      <c r="F108" s="189" t="s">
        <v>79</v>
      </c>
      <c r="G108" s="135">
        <v>0</v>
      </c>
      <c r="H108" s="135">
        <v>0</v>
      </c>
      <c r="I108" s="40">
        <v>0</v>
      </c>
      <c r="J108" s="40">
        <v>0</v>
      </c>
      <c r="K108" s="64">
        <f>SUM(I108:J108)</f>
        <v>0</v>
      </c>
      <c r="L108" s="9">
        <f t="shared" ref="L108" si="24">K108/C108</f>
        <v>0</v>
      </c>
    </row>
    <row r="109" spans="1:12" s="85" customFormat="1" hidden="1" x14ac:dyDescent="0.25">
      <c r="A109" s="59" t="s">
        <v>37</v>
      </c>
      <c r="B109" s="59" t="s">
        <v>37</v>
      </c>
      <c r="C109" s="196" t="s">
        <v>37</v>
      </c>
      <c r="D109" s="197" t="s">
        <v>37</v>
      </c>
      <c r="E109" s="197" t="s">
        <v>37</v>
      </c>
      <c r="F109" s="198" t="s">
        <v>37</v>
      </c>
      <c r="G109" s="135">
        <v>0</v>
      </c>
      <c r="H109" s="135">
        <v>0</v>
      </c>
      <c r="I109" s="40">
        <v>0</v>
      </c>
      <c r="J109" s="40">
        <v>0</v>
      </c>
      <c r="K109" s="64">
        <f>SUM(I109:J109)</f>
        <v>0</v>
      </c>
      <c r="L109" s="9">
        <v>0</v>
      </c>
    </row>
    <row r="110" spans="1:12" s="85" customFormat="1" hidden="1" x14ac:dyDescent="0.25">
      <c r="A110" s="59" t="s">
        <v>37</v>
      </c>
      <c r="B110" s="59" t="s">
        <v>37</v>
      </c>
      <c r="C110" s="196" t="s">
        <v>37</v>
      </c>
      <c r="D110" s="197" t="s">
        <v>37</v>
      </c>
      <c r="E110" s="197" t="s">
        <v>37</v>
      </c>
      <c r="F110" s="198" t="s">
        <v>37</v>
      </c>
      <c r="G110" s="135">
        <v>0</v>
      </c>
      <c r="H110" s="135">
        <v>0</v>
      </c>
      <c r="I110" s="40">
        <v>0</v>
      </c>
      <c r="J110" s="40">
        <v>0</v>
      </c>
      <c r="K110" s="64">
        <f>SUM(I110:J110)</f>
        <v>0</v>
      </c>
      <c r="L110" s="9">
        <v>0</v>
      </c>
    </row>
    <row r="111" spans="1:12" s="85" customFormat="1" ht="15" hidden="1" customHeight="1" x14ac:dyDescent="0.25">
      <c r="A111" s="59">
        <v>42873</v>
      </c>
      <c r="B111" s="59">
        <v>43238</v>
      </c>
      <c r="C111" s="196">
        <v>13000</v>
      </c>
      <c r="D111" s="197" t="s">
        <v>59</v>
      </c>
      <c r="E111" s="215" t="s">
        <v>60</v>
      </c>
      <c r="F111" s="198" t="s">
        <v>37</v>
      </c>
      <c r="G111" s="135">
        <v>0</v>
      </c>
      <c r="H111" s="135">
        <v>0</v>
      </c>
      <c r="I111" s="40">
        <v>0</v>
      </c>
      <c r="J111" s="40">
        <v>0</v>
      </c>
      <c r="K111" s="64">
        <f>SUM(I111:J111)</f>
        <v>0</v>
      </c>
      <c r="L111" s="9">
        <v>0</v>
      </c>
    </row>
    <row r="112" spans="1:12" s="85" customFormat="1" ht="15" hidden="1" customHeight="1" x14ac:dyDescent="0.25">
      <c r="A112" s="59">
        <v>42674</v>
      </c>
      <c r="B112" s="59">
        <v>42873</v>
      </c>
      <c r="C112" s="196">
        <v>6500</v>
      </c>
      <c r="D112" s="197" t="s">
        <v>59</v>
      </c>
      <c r="E112" s="215" t="s">
        <v>60</v>
      </c>
      <c r="F112" s="198" t="s">
        <v>37</v>
      </c>
      <c r="G112" s="135">
        <v>0</v>
      </c>
      <c r="H112" s="135">
        <v>0</v>
      </c>
      <c r="I112" s="40">
        <v>0</v>
      </c>
      <c r="J112" s="40">
        <v>0</v>
      </c>
      <c r="K112" s="64">
        <f>SUM(I112:J112)</f>
        <v>0</v>
      </c>
      <c r="L112" s="9">
        <v>0</v>
      </c>
    </row>
    <row r="113" spans="1:12" s="85" customFormat="1" ht="15" hidden="1" customHeight="1" thickBot="1" x14ac:dyDescent="0.3">
      <c r="A113" s="90"/>
      <c r="B113" s="91" t="s">
        <v>1</v>
      </c>
      <c r="C113" s="75">
        <f>SUM(C108:C112)</f>
        <v>40127</v>
      </c>
      <c r="D113" s="54"/>
      <c r="E113" s="55"/>
      <c r="F113" s="106"/>
      <c r="G113" s="50">
        <f>SUM(G109:G112)</f>
        <v>0</v>
      </c>
      <c r="H113" s="50">
        <f>SUM(H109:H112)</f>
        <v>0</v>
      </c>
      <c r="I113" s="68">
        <f>SUM(I109:I112)</f>
        <v>0</v>
      </c>
      <c r="J113" s="68">
        <v>0</v>
      </c>
      <c r="K113" s="68">
        <f>SUM(K109:K112)</f>
        <v>0</v>
      </c>
      <c r="L113" s="51">
        <f t="shared" ref="L113" si="25">K113/C113</f>
        <v>0</v>
      </c>
    </row>
    <row r="114" spans="1:12" s="85" customFormat="1" ht="15" hidden="1" customHeight="1" thickTop="1" x14ac:dyDescent="0.25">
      <c r="A114" s="12"/>
      <c r="B114" s="60"/>
      <c r="C114" s="34"/>
      <c r="D114" s="56"/>
      <c r="E114" s="56"/>
      <c r="F114" s="56"/>
      <c r="G114" s="53"/>
      <c r="H114" s="53"/>
      <c r="I114" s="88"/>
      <c r="J114" s="88"/>
      <c r="K114" s="88"/>
      <c r="L114" s="57"/>
    </row>
    <row r="115" spans="1:12" s="85" customFormat="1" ht="15" hidden="1" customHeight="1" x14ac:dyDescent="0.25">
      <c r="A115" s="12"/>
      <c r="B115" s="60" t="s">
        <v>1</v>
      </c>
      <c r="C115" s="34">
        <f>SUM(C108:C110)</f>
        <v>20627</v>
      </c>
      <c r="D115" s="56"/>
      <c r="E115" s="56"/>
      <c r="F115" s="56"/>
      <c r="G115" s="56">
        <f>SUM(G108:G110)</f>
        <v>0</v>
      </c>
      <c r="H115" s="56">
        <f>SUM(H108:H110)</f>
        <v>0</v>
      </c>
      <c r="I115" s="174">
        <f>SUM(I108:I110)</f>
        <v>0</v>
      </c>
      <c r="J115" s="174">
        <f>SUM(J108:J110)</f>
        <v>0</v>
      </c>
      <c r="K115" s="174">
        <f>SUM(K108:K110)</f>
        <v>0</v>
      </c>
      <c r="L115" s="57"/>
    </row>
    <row r="116" spans="1:12" s="85" customFormat="1" ht="15" hidden="1" customHeight="1" x14ac:dyDescent="0.25">
      <c r="A116" s="250" t="s">
        <v>82</v>
      </c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</row>
    <row r="117" spans="1:12" s="85" customFormat="1" ht="15" hidden="1" customHeight="1" x14ac:dyDescent="0.25">
      <c r="A117" s="238" t="s">
        <v>20</v>
      </c>
      <c r="B117" s="239"/>
      <c r="C117" s="76" t="s">
        <v>2</v>
      </c>
      <c r="D117" s="76" t="s">
        <v>15</v>
      </c>
      <c r="E117" s="76" t="s">
        <v>16</v>
      </c>
      <c r="F117" s="44" t="s">
        <v>19</v>
      </c>
      <c r="G117" s="7" t="s">
        <v>12</v>
      </c>
      <c r="H117" s="100" t="s">
        <v>28</v>
      </c>
      <c r="I117" s="108" t="s">
        <v>29</v>
      </c>
      <c r="J117" s="108" t="s">
        <v>30</v>
      </c>
      <c r="K117" s="104" t="s">
        <v>27</v>
      </c>
      <c r="L117" s="72" t="s">
        <v>4</v>
      </c>
    </row>
    <row r="118" spans="1:12" s="85" customFormat="1" ht="15" hidden="1" customHeight="1" x14ac:dyDescent="0.25">
      <c r="A118" s="195">
        <v>44013</v>
      </c>
      <c r="B118" s="195">
        <v>44378</v>
      </c>
      <c r="C118" s="206">
        <v>3059</v>
      </c>
      <c r="D118" s="203" t="s">
        <v>52</v>
      </c>
      <c r="E118" s="203">
        <v>6081081573</v>
      </c>
      <c r="F118" s="189">
        <v>44239</v>
      </c>
      <c r="G118" s="135">
        <v>0</v>
      </c>
      <c r="H118" s="135">
        <v>0</v>
      </c>
      <c r="I118" s="40">
        <v>0</v>
      </c>
      <c r="J118" s="40">
        <v>0</v>
      </c>
      <c r="K118" s="64">
        <f>SUM(I118:J118)</f>
        <v>0</v>
      </c>
      <c r="L118" s="9">
        <f t="shared" ref="L118" si="26">K118/C118</f>
        <v>0</v>
      </c>
    </row>
    <row r="119" spans="1:12" s="85" customFormat="1" ht="15" hidden="1" customHeight="1" x14ac:dyDescent="0.25">
      <c r="A119" s="59" t="s">
        <v>37</v>
      </c>
      <c r="B119" s="59" t="s">
        <v>37</v>
      </c>
      <c r="C119" s="196" t="s">
        <v>37</v>
      </c>
      <c r="D119" s="197" t="s">
        <v>37</v>
      </c>
      <c r="E119" s="197" t="s">
        <v>37</v>
      </c>
      <c r="F119" s="198" t="s">
        <v>37</v>
      </c>
      <c r="G119" s="135">
        <v>0</v>
      </c>
      <c r="H119" s="135">
        <v>0</v>
      </c>
      <c r="I119" s="40">
        <v>0</v>
      </c>
      <c r="J119" s="40">
        <v>0</v>
      </c>
      <c r="K119" s="64">
        <f>SUM(I119:J119)</f>
        <v>0</v>
      </c>
      <c r="L119" s="9">
        <v>0</v>
      </c>
    </row>
    <row r="120" spans="1:12" s="85" customFormat="1" ht="15" hidden="1" customHeight="1" x14ac:dyDescent="0.25">
      <c r="A120" s="59" t="s">
        <v>37</v>
      </c>
      <c r="B120" s="59" t="s">
        <v>37</v>
      </c>
      <c r="C120" s="196" t="s">
        <v>37</v>
      </c>
      <c r="D120" s="197" t="s">
        <v>37</v>
      </c>
      <c r="E120" s="197" t="s">
        <v>37</v>
      </c>
      <c r="F120" s="198" t="s">
        <v>37</v>
      </c>
      <c r="G120" s="135">
        <v>0</v>
      </c>
      <c r="H120" s="135">
        <v>0</v>
      </c>
      <c r="I120" s="40">
        <v>0</v>
      </c>
      <c r="J120" s="40">
        <v>0</v>
      </c>
      <c r="K120" s="64">
        <f>SUM(I120:J120)</f>
        <v>0</v>
      </c>
      <c r="L120" s="9">
        <v>0</v>
      </c>
    </row>
    <row r="121" spans="1:12" s="85" customFormat="1" ht="15" hidden="1" customHeight="1" x14ac:dyDescent="0.25">
      <c r="A121" s="59" t="s">
        <v>37</v>
      </c>
      <c r="B121" s="59" t="s">
        <v>37</v>
      </c>
      <c r="C121" s="196" t="s">
        <v>37</v>
      </c>
      <c r="D121" s="197" t="s">
        <v>37</v>
      </c>
      <c r="E121" s="197" t="s">
        <v>37</v>
      </c>
      <c r="F121" s="198" t="s">
        <v>37</v>
      </c>
      <c r="G121" s="135">
        <v>0</v>
      </c>
      <c r="H121" s="135">
        <v>0</v>
      </c>
      <c r="I121" s="40">
        <v>0</v>
      </c>
      <c r="J121" s="40">
        <v>0</v>
      </c>
      <c r="K121" s="64">
        <f>SUM(I121:J121)</f>
        <v>0</v>
      </c>
      <c r="L121" s="9">
        <v>0</v>
      </c>
    </row>
    <row r="122" spans="1:12" s="85" customFormat="1" ht="15" hidden="1" customHeight="1" x14ac:dyDescent="0.25">
      <c r="A122" s="59" t="s">
        <v>37</v>
      </c>
      <c r="B122" s="59" t="s">
        <v>37</v>
      </c>
      <c r="C122" s="196" t="s">
        <v>37</v>
      </c>
      <c r="D122" s="197" t="s">
        <v>37</v>
      </c>
      <c r="E122" s="197" t="s">
        <v>37</v>
      </c>
      <c r="F122" s="198" t="s">
        <v>37</v>
      </c>
      <c r="G122" s="135">
        <v>0</v>
      </c>
      <c r="H122" s="135">
        <v>0</v>
      </c>
      <c r="I122" s="40">
        <v>0</v>
      </c>
      <c r="J122" s="40">
        <v>0</v>
      </c>
      <c r="K122" s="64">
        <f>SUM(I122:J122)</f>
        <v>0</v>
      </c>
      <c r="L122" s="9">
        <v>0</v>
      </c>
    </row>
    <row r="123" spans="1:12" s="85" customFormat="1" ht="15" hidden="1" customHeight="1" thickBot="1" x14ac:dyDescent="0.3">
      <c r="A123" s="90"/>
      <c r="B123" s="91" t="s">
        <v>1</v>
      </c>
      <c r="C123" s="75">
        <f>SUM(C118:C122)</f>
        <v>3059</v>
      </c>
      <c r="D123" s="54"/>
      <c r="E123" s="55"/>
      <c r="F123" s="106"/>
      <c r="G123" s="50">
        <f>SUM(G119:G122)</f>
        <v>0</v>
      </c>
      <c r="H123" s="50">
        <f>SUM(H119:H122)</f>
        <v>0</v>
      </c>
      <c r="I123" s="68">
        <f>SUM(I119:I122)</f>
        <v>0</v>
      </c>
      <c r="J123" s="68">
        <v>0</v>
      </c>
      <c r="K123" s="68">
        <f>SUM(K119:K122)</f>
        <v>0</v>
      </c>
      <c r="L123" s="51">
        <f t="shared" ref="L123" si="27">K123/C123</f>
        <v>0</v>
      </c>
    </row>
    <row r="124" spans="1:12" s="85" customFormat="1" ht="15" hidden="1" customHeight="1" thickTop="1" x14ac:dyDescent="0.25">
      <c r="A124" s="12"/>
      <c r="B124" s="60"/>
      <c r="C124" s="34"/>
      <c r="D124" s="56"/>
      <c r="E124" s="56"/>
      <c r="F124" s="56"/>
      <c r="G124" s="53"/>
      <c r="H124" s="53"/>
      <c r="I124" s="88"/>
      <c r="J124" s="88"/>
      <c r="K124" s="88"/>
      <c r="L124" s="57"/>
    </row>
    <row r="125" spans="1:12" s="85" customFormat="1" ht="15" customHeight="1" thickTop="1" x14ac:dyDescent="0.25">
      <c r="A125" s="250" t="s">
        <v>67</v>
      </c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</row>
    <row r="126" spans="1:12" s="85" customFormat="1" ht="15" customHeight="1" x14ac:dyDescent="0.25">
      <c r="A126" s="238" t="s">
        <v>20</v>
      </c>
      <c r="B126" s="239"/>
      <c r="C126" s="72" t="s">
        <v>2</v>
      </c>
      <c r="D126" s="76" t="s">
        <v>15</v>
      </c>
      <c r="E126" s="45" t="s">
        <v>16</v>
      </c>
      <c r="F126" s="44" t="s">
        <v>19</v>
      </c>
      <c r="G126" s="7" t="s">
        <v>12</v>
      </c>
      <c r="H126" s="100" t="s">
        <v>28</v>
      </c>
      <c r="I126" s="108" t="s">
        <v>29</v>
      </c>
      <c r="J126" s="108" t="s">
        <v>30</v>
      </c>
      <c r="K126" s="104" t="s">
        <v>27</v>
      </c>
      <c r="L126" s="72" t="s">
        <v>4</v>
      </c>
    </row>
    <row r="127" spans="1:12" s="85" customFormat="1" ht="15" customHeight="1" x14ac:dyDescent="0.25">
      <c r="A127" s="195">
        <v>44743</v>
      </c>
      <c r="B127" s="195">
        <v>45108</v>
      </c>
      <c r="C127" s="229">
        <v>32219</v>
      </c>
      <c r="D127" s="224" t="s">
        <v>68</v>
      </c>
      <c r="E127" s="197" t="s">
        <v>93</v>
      </c>
      <c r="F127" s="195">
        <v>44916</v>
      </c>
      <c r="G127" s="135">
        <v>0</v>
      </c>
      <c r="H127" s="135">
        <v>0</v>
      </c>
      <c r="I127" s="40">
        <v>0</v>
      </c>
      <c r="J127" s="40">
        <v>0</v>
      </c>
      <c r="K127" s="64">
        <f t="shared" ref="K127" si="28">SUM(I127:J127)</f>
        <v>0</v>
      </c>
      <c r="L127" s="9">
        <f t="shared" ref="L127" si="29">K127/C127</f>
        <v>0</v>
      </c>
    </row>
    <row r="128" spans="1:12" s="85" customFormat="1" ht="15" customHeight="1" x14ac:dyDescent="0.25">
      <c r="A128" s="195">
        <v>44378</v>
      </c>
      <c r="B128" s="195">
        <v>44743</v>
      </c>
      <c r="C128" s="229">
        <v>27775</v>
      </c>
      <c r="D128" s="224" t="s">
        <v>68</v>
      </c>
      <c r="E128" s="197" t="s">
        <v>93</v>
      </c>
      <c r="F128" s="195">
        <v>44916</v>
      </c>
      <c r="G128" s="135">
        <v>0</v>
      </c>
      <c r="H128" s="135">
        <v>0</v>
      </c>
      <c r="I128" s="40">
        <v>0</v>
      </c>
      <c r="J128" s="40">
        <v>0</v>
      </c>
      <c r="K128" s="64">
        <f t="shared" ref="K128:K133" si="30">SUM(I128:J128)</f>
        <v>0</v>
      </c>
      <c r="L128" s="9">
        <f t="shared" ref="L128:L134" si="31">K128/C128</f>
        <v>0</v>
      </c>
    </row>
    <row r="129" spans="1:13" s="85" customFormat="1" ht="15" customHeight="1" x14ac:dyDescent="0.25">
      <c r="A129" s="189">
        <v>43862</v>
      </c>
      <c r="B129" s="189">
        <v>44378</v>
      </c>
      <c r="C129" s="204">
        <v>35653</v>
      </c>
      <c r="D129" s="197" t="s">
        <v>68</v>
      </c>
      <c r="E129" s="197" t="s">
        <v>93</v>
      </c>
      <c r="F129" s="195">
        <v>44916</v>
      </c>
      <c r="G129" s="135">
        <v>0</v>
      </c>
      <c r="H129" s="135">
        <v>0</v>
      </c>
      <c r="I129" s="40">
        <v>0</v>
      </c>
      <c r="J129" s="40">
        <v>0</v>
      </c>
      <c r="K129" s="64">
        <f t="shared" si="30"/>
        <v>0</v>
      </c>
      <c r="L129" s="9">
        <f t="shared" si="31"/>
        <v>0</v>
      </c>
    </row>
    <row r="130" spans="1:13" s="79" customFormat="1" ht="30" hidden="1" customHeight="1" x14ac:dyDescent="0.25">
      <c r="A130" s="69">
        <v>43862</v>
      </c>
      <c r="B130" s="69">
        <v>44013</v>
      </c>
      <c r="C130" s="196">
        <v>0</v>
      </c>
      <c r="D130" s="197" t="s">
        <v>8</v>
      </c>
      <c r="E130" s="197" t="s">
        <v>8</v>
      </c>
      <c r="F130" s="134" t="s">
        <v>9</v>
      </c>
      <c r="G130" s="135">
        <v>0</v>
      </c>
      <c r="H130" s="135">
        <v>0</v>
      </c>
      <c r="I130" s="40">
        <v>0</v>
      </c>
      <c r="J130" s="40">
        <v>0</v>
      </c>
      <c r="K130" s="64">
        <f t="shared" si="30"/>
        <v>0</v>
      </c>
      <c r="L130" s="9" t="e">
        <f t="shared" si="31"/>
        <v>#DIV/0!</v>
      </c>
      <c r="M130" s="171"/>
    </row>
    <row r="131" spans="1:13" s="79" customFormat="1" ht="30" hidden="1" customHeight="1" x14ac:dyDescent="0.25">
      <c r="A131" s="69">
        <v>42873</v>
      </c>
      <c r="B131" s="69">
        <v>43238</v>
      </c>
      <c r="C131" s="196">
        <v>0</v>
      </c>
      <c r="D131" s="197" t="s">
        <v>8</v>
      </c>
      <c r="E131" s="197" t="s">
        <v>8</v>
      </c>
      <c r="F131" s="134" t="s">
        <v>9</v>
      </c>
      <c r="G131" s="135">
        <v>0</v>
      </c>
      <c r="H131" s="135">
        <v>0</v>
      </c>
      <c r="I131" s="40">
        <v>0</v>
      </c>
      <c r="J131" s="40">
        <v>0</v>
      </c>
      <c r="K131" s="64">
        <f t="shared" si="30"/>
        <v>0</v>
      </c>
      <c r="L131" s="9" t="e">
        <f t="shared" si="31"/>
        <v>#DIV/0!</v>
      </c>
      <c r="M131" s="171"/>
    </row>
    <row r="132" spans="1:13" s="79" customFormat="1" ht="15" hidden="1" customHeight="1" x14ac:dyDescent="0.25">
      <c r="A132" s="69">
        <v>42695</v>
      </c>
      <c r="B132" s="69">
        <v>42873</v>
      </c>
      <c r="C132" s="196">
        <v>0</v>
      </c>
      <c r="D132" s="197" t="s">
        <v>8</v>
      </c>
      <c r="E132" s="197" t="s">
        <v>8</v>
      </c>
      <c r="F132" s="134" t="s">
        <v>9</v>
      </c>
      <c r="G132" s="135">
        <v>0</v>
      </c>
      <c r="H132" s="135">
        <v>0</v>
      </c>
      <c r="I132" s="40">
        <v>0</v>
      </c>
      <c r="J132" s="40">
        <v>0</v>
      </c>
      <c r="K132" s="64">
        <f t="shared" si="30"/>
        <v>0</v>
      </c>
      <c r="L132" s="9" t="e">
        <f t="shared" si="31"/>
        <v>#DIV/0!</v>
      </c>
      <c r="M132" s="18"/>
    </row>
    <row r="133" spans="1:13" s="79" customFormat="1" ht="15" hidden="1" customHeight="1" x14ac:dyDescent="0.25">
      <c r="A133" s="58">
        <v>42329</v>
      </c>
      <c r="B133" s="58">
        <v>42695</v>
      </c>
      <c r="C133" s="196">
        <v>0</v>
      </c>
      <c r="D133" s="197" t="s">
        <v>8</v>
      </c>
      <c r="E133" s="197" t="s">
        <v>8</v>
      </c>
      <c r="F133" s="138" t="s">
        <v>9</v>
      </c>
      <c r="G133" s="139">
        <v>0</v>
      </c>
      <c r="H133" s="139">
        <v>0</v>
      </c>
      <c r="I133" s="140">
        <v>0</v>
      </c>
      <c r="J133" s="140">
        <v>0</v>
      </c>
      <c r="K133" s="67">
        <f t="shared" si="30"/>
        <v>0</v>
      </c>
      <c r="L133" s="11" t="e">
        <f t="shared" si="31"/>
        <v>#DIV/0!</v>
      </c>
      <c r="M133" s="18"/>
    </row>
    <row r="134" spans="1:13" s="79" customFormat="1" ht="15" customHeight="1" thickBot="1" x14ac:dyDescent="0.3">
      <c r="A134" s="90"/>
      <c r="B134" s="91" t="s">
        <v>1</v>
      </c>
      <c r="C134" s="75">
        <f>SUM(C127:C129)</f>
        <v>95647</v>
      </c>
      <c r="D134" s="54"/>
      <c r="E134" s="55"/>
      <c r="F134" s="106"/>
      <c r="G134" s="50">
        <f>SUM(G127:G129)</f>
        <v>0</v>
      </c>
      <c r="H134" s="50">
        <f t="shared" ref="H134:K134" si="32">SUM(H127:H129)</f>
        <v>0</v>
      </c>
      <c r="I134" s="68">
        <f t="shared" si="32"/>
        <v>0</v>
      </c>
      <c r="J134" s="68">
        <f t="shared" si="32"/>
        <v>0</v>
      </c>
      <c r="K134" s="68">
        <f t="shared" si="32"/>
        <v>0</v>
      </c>
      <c r="L134" s="51">
        <f t="shared" si="31"/>
        <v>0</v>
      </c>
      <c r="M134" s="171"/>
    </row>
    <row r="135" spans="1:13" ht="15.75" thickTop="1" x14ac:dyDescent="0.25">
      <c r="A135" s="185" t="s">
        <v>94</v>
      </c>
      <c r="B135" s="60"/>
      <c r="C135" s="89"/>
      <c r="D135" s="56"/>
      <c r="E135" s="56"/>
      <c r="F135" s="56"/>
      <c r="G135" s="56"/>
      <c r="H135" s="56"/>
      <c r="I135" s="174"/>
      <c r="J135" s="174"/>
      <c r="K135" s="174"/>
      <c r="L135" s="57"/>
    </row>
    <row r="136" spans="1:13" hidden="1" x14ac:dyDescent="0.25">
      <c r="A136" s="185"/>
      <c r="B136" s="60"/>
      <c r="C136" s="89"/>
      <c r="D136" s="56"/>
      <c r="E136" s="56"/>
      <c r="F136" s="56"/>
      <c r="G136" s="56"/>
      <c r="H136" s="56"/>
      <c r="I136" s="174"/>
      <c r="J136" s="174"/>
      <c r="K136" s="174"/>
      <c r="L136" s="57"/>
    </row>
    <row r="137" spans="1:13" x14ac:dyDescent="0.25">
      <c r="A137" s="250" t="s">
        <v>71</v>
      </c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</row>
    <row r="138" spans="1:13" ht="26.25" x14ac:dyDescent="0.25">
      <c r="A138" s="238" t="s">
        <v>20</v>
      </c>
      <c r="B138" s="239"/>
      <c r="C138" s="72" t="s">
        <v>2</v>
      </c>
      <c r="D138" s="76" t="s">
        <v>15</v>
      </c>
      <c r="E138" s="45" t="s">
        <v>16</v>
      </c>
      <c r="F138" s="44" t="s">
        <v>19</v>
      </c>
      <c r="G138" s="7" t="s">
        <v>12</v>
      </c>
      <c r="H138" s="100" t="s">
        <v>28</v>
      </c>
      <c r="I138" s="108" t="s">
        <v>29</v>
      </c>
      <c r="J138" s="108" t="s">
        <v>30</v>
      </c>
      <c r="K138" s="104" t="s">
        <v>27</v>
      </c>
      <c r="L138" s="72" t="s">
        <v>4</v>
      </c>
    </row>
    <row r="139" spans="1:13" x14ac:dyDescent="0.25">
      <c r="A139" s="195">
        <v>44743</v>
      </c>
      <c r="B139" s="195">
        <v>45108</v>
      </c>
      <c r="C139" s="205">
        <v>20200</v>
      </c>
      <c r="D139" s="224" t="s">
        <v>59</v>
      </c>
      <c r="E139" s="203" t="s">
        <v>99</v>
      </c>
      <c r="F139" s="195">
        <v>44911</v>
      </c>
      <c r="G139" s="135">
        <v>0</v>
      </c>
      <c r="H139" s="135">
        <v>0</v>
      </c>
      <c r="I139" s="40">
        <v>0</v>
      </c>
      <c r="J139" s="40">
        <v>0</v>
      </c>
      <c r="K139" s="64">
        <f t="shared" ref="K139" si="33">SUM(I139:J139)</f>
        <v>0</v>
      </c>
      <c r="L139" s="9">
        <f t="shared" ref="L139" si="34">K139/C139</f>
        <v>0</v>
      </c>
    </row>
    <row r="140" spans="1:13" x14ac:dyDescent="0.25">
      <c r="A140" s="195">
        <v>44378</v>
      </c>
      <c r="B140" s="195">
        <v>44743</v>
      </c>
      <c r="C140" s="229">
        <v>18180</v>
      </c>
      <c r="D140" s="224" t="s">
        <v>59</v>
      </c>
      <c r="E140" s="203" t="s">
        <v>97</v>
      </c>
      <c r="F140" s="195">
        <v>44911</v>
      </c>
      <c r="G140" s="135">
        <v>0</v>
      </c>
      <c r="H140" s="135">
        <v>0</v>
      </c>
      <c r="I140" s="40">
        <v>0</v>
      </c>
      <c r="J140" s="40">
        <v>0</v>
      </c>
      <c r="K140" s="64">
        <f t="shared" ref="K140:K144" si="35">SUM(I140:J140)</f>
        <v>0</v>
      </c>
      <c r="L140" s="9">
        <f t="shared" ref="L140:L145" si="36">K140/C140</f>
        <v>0</v>
      </c>
    </row>
    <row r="141" spans="1:13" x14ac:dyDescent="0.25">
      <c r="A141" s="195">
        <v>44013</v>
      </c>
      <c r="B141" s="195">
        <v>44378</v>
      </c>
      <c r="C141" s="205">
        <v>9090</v>
      </c>
      <c r="D141" s="224" t="s">
        <v>52</v>
      </c>
      <c r="E141" s="203">
        <v>6080356277</v>
      </c>
      <c r="F141" s="195">
        <v>44910</v>
      </c>
      <c r="G141" s="135">
        <v>0</v>
      </c>
      <c r="H141" s="135">
        <v>0</v>
      </c>
      <c r="I141" s="40">
        <v>0</v>
      </c>
      <c r="J141" s="40">
        <v>0</v>
      </c>
      <c r="K141" s="64">
        <f t="shared" si="35"/>
        <v>0</v>
      </c>
      <c r="L141" s="9">
        <f t="shared" si="36"/>
        <v>0</v>
      </c>
    </row>
    <row r="142" spans="1:13" x14ac:dyDescent="0.25">
      <c r="A142" s="59">
        <v>43862</v>
      </c>
      <c r="B142" s="59">
        <v>44013</v>
      </c>
      <c r="C142" s="204">
        <v>7574</v>
      </c>
      <c r="D142" s="197" t="s">
        <v>52</v>
      </c>
      <c r="E142" s="197">
        <v>6080356277</v>
      </c>
      <c r="F142" s="195">
        <v>44910</v>
      </c>
      <c r="G142" s="135">
        <v>0</v>
      </c>
      <c r="H142" s="135">
        <v>0</v>
      </c>
      <c r="I142" s="40">
        <v>0</v>
      </c>
      <c r="J142" s="40">
        <v>0</v>
      </c>
      <c r="K142" s="64">
        <f t="shared" si="35"/>
        <v>0</v>
      </c>
      <c r="L142" s="9">
        <f t="shared" si="36"/>
        <v>0</v>
      </c>
    </row>
    <row r="143" spans="1:13" hidden="1" x14ac:dyDescent="0.25">
      <c r="A143" s="69">
        <v>43238</v>
      </c>
      <c r="B143" s="69">
        <v>43603</v>
      </c>
      <c r="C143" s="196">
        <v>0</v>
      </c>
      <c r="D143" s="197" t="s">
        <v>8</v>
      </c>
      <c r="E143" s="197" t="s">
        <v>8</v>
      </c>
      <c r="F143" s="134" t="s">
        <v>9</v>
      </c>
      <c r="G143" s="135">
        <v>0</v>
      </c>
      <c r="H143" s="135">
        <v>0</v>
      </c>
      <c r="I143" s="40">
        <v>0</v>
      </c>
      <c r="J143" s="40">
        <v>0</v>
      </c>
      <c r="K143" s="64">
        <f t="shared" si="35"/>
        <v>0</v>
      </c>
      <c r="L143" s="9" t="e">
        <f t="shared" si="36"/>
        <v>#DIV/0!</v>
      </c>
    </row>
    <row r="144" spans="1:13" hidden="1" x14ac:dyDescent="0.25">
      <c r="A144" s="69">
        <v>42873</v>
      </c>
      <c r="B144" s="69">
        <v>43238</v>
      </c>
      <c r="C144" s="196">
        <v>0</v>
      </c>
      <c r="D144" s="197" t="s">
        <v>8</v>
      </c>
      <c r="E144" s="197" t="s">
        <v>8</v>
      </c>
      <c r="F144" s="134" t="s">
        <v>9</v>
      </c>
      <c r="G144" s="135">
        <v>0</v>
      </c>
      <c r="H144" s="135">
        <v>0</v>
      </c>
      <c r="I144" s="40">
        <v>0</v>
      </c>
      <c r="J144" s="40">
        <v>0</v>
      </c>
      <c r="K144" s="64">
        <f t="shared" si="35"/>
        <v>0</v>
      </c>
      <c r="L144" s="9" t="e">
        <f t="shared" si="36"/>
        <v>#DIV/0!</v>
      </c>
    </row>
    <row r="145" spans="1:12" ht="15.75" thickBot="1" x14ac:dyDescent="0.3">
      <c r="A145" s="90"/>
      <c r="B145" s="91" t="s">
        <v>1</v>
      </c>
      <c r="C145" s="75">
        <f>SUM(C139:C142)</f>
        <v>55044</v>
      </c>
      <c r="D145" s="54"/>
      <c r="E145" s="55"/>
      <c r="F145" s="106"/>
      <c r="G145" s="50">
        <f>SUM(G139:G142)</f>
        <v>0</v>
      </c>
      <c r="H145" s="50">
        <f t="shared" ref="H145:K145" si="37">SUM(H139:H142)</f>
        <v>0</v>
      </c>
      <c r="I145" s="68">
        <f t="shared" si="37"/>
        <v>0</v>
      </c>
      <c r="J145" s="68">
        <f t="shared" si="37"/>
        <v>0</v>
      </c>
      <c r="K145" s="68">
        <f t="shared" si="37"/>
        <v>0</v>
      </c>
      <c r="L145" s="51">
        <f t="shared" si="36"/>
        <v>0</v>
      </c>
    </row>
    <row r="146" spans="1:12" ht="15.75" thickTop="1" x14ac:dyDescent="0.25">
      <c r="A146" s="185"/>
      <c r="B146" s="60"/>
      <c r="C146" s="89"/>
      <c r="D146" s="56"/>
      <c r="E146" s="56"/>
      <c r="F146" s="56"/>
      <c r="G146" s="56"/>
      <c r="H146" s="56"/>
      <c r="I146" s="174"/>
      <c r="J146" s="174"/>
      <c r="K146" s="174"/>
      <c r="L146" s="57"/>
    </row>
    <row r="147" spans="1:12" x14ac:dyDescent="0.25">
      <c r="A147" s="250" t="s">
        <v>96</v>
      </c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</row>
    <row r="148" spans="1:12" ht="26.25" x14ac:dyDescent="0.25">
      <c r="A148" s="238" t="s">
        <v>20</v>
      </c>
      <c r="B148" s="239"/>
      <c r="C148" s="72" t="s">
        <v>2</v>
      </c>
      <c r="D148" s="76" t="s">
        <v>15</v>
      </c>
      <c r="E148" s="45" t="s">
        <v>16</v>
      </c>
      <c r="F148" s="44" t="s">
        <v>19</v>
      </c>
      <c r="G148" s="7" t="s">
        <v>12</v>
      </c>
      <c r="H148" s="100" t="s">
        <v>28</v>
      </c>
      <c r="I148" s="108" t="s">
        <v>29</v>
      </c>
      <c r="J148" s="108" t="s">
        <v>30</v>
      </c>
      <c r="K148" s="104" t="s">
        <v>27</v>
      </c>
      <c r="L148" s="72" t="s">
        <v>4</v>
      </c>
    </row>
    <row r="149" spans="1:12" x14ac:dyDescent="0.25">
      <c r="A149" s="195">
        <v>44743</v>
      </c>
      <c r="B149" s="195">
        <v>45108</v>
      </c>
      <c r="C149" s="229">
        <v>18500</v>
      </c>
      <c r="D149" s="224" t="s">
        <v>52</v>
      </c>
      <c r="E149" s="203">
        <v>6080356277</v>
      </c>
      <c r="F149" s="195">
        <v>44910</v>
      </c>
      <c r="G149" s="39">
        <v>0</v>
      </c>
      <c r="H149" s="135">
        <v>0</v>
      </c>
      <c r="I149" s="40">
        <v>0</v>
      </c>
      <c r="J149" s="40">
        <v>0</v>
      </c>
      <c r="K149" s="136">
        <f t="shared" ref="K149" si="38">SUM(I149:J149)</f>
        <v>0</v>
      </c>
      <c r="L149" s="9">
        <f>K149/C149</f>
        <v>0</v>
      </c>
    </row>
    <row r="150" spans="1:12" x14ac:dyDescent="0.25">
      <c r="A150" s="195">
        <v>44378</v>
      </c>
      <c r="B150" s="195">
        <v>44743</v>
      </c>
      <c r="C150" s="229">
        <v>14000</v>
      </c>
      <c r="D150" s="224" t="s">
        <v>52</v>
      </c>
      <c r="E150" s="203">
        <v>6080356277</v>
      </c>
      <c r="F150" s="195">
        <v>44910</v>
      </c>
      <c r="G150" s="135">
        <v>0</v>
      </c>
      <c r="H150" s="135">
        <v>0</v>
      </c>
      <c r="I150" s="40">
        <v>0</v>
      </c>
      <c r="J150" s="40">
        <v>0</v>
      </c>
      <c r="K150" s="136">
        <f t="shared" ref="K150:K154" si="39">SUM(I150:J150)</f>
        <v>0</v>
      </c>
      <c r="L150" s="9">
        <f t="shared" ref="L150:L155" si="40">K150/C150</f>
        <v>0</v>
      </c>
    </row>
    <row r="151" spans="1:12" hidden="1" x14ac:dyDescent="0.25">
      <c r="A151" s="195">
        <v>44013</v>
      </c>
      <c r="B151" s="195">
        <v>44378</v>
      </c>
      <c r="C151" s="205">
        <v>9090</v>
      </c>
      <c r="D151" s="224" t="s">
        <v>52</v>
      </c>
      <c r="E151" s="203">
        <v>6080356277</v>
      </c>
      <c r="F151" s="195">
        <v>44623</v>
      </c>
      <c r="G151" s="135">
        <v>0</v>
      </c>
      <c r="H151" s="135">
        <v>0</v>
      </c>
      <c r="I151" s="40">
        <v>0</v>
      </c>
      <c r="J151" s="40">
        <v>0</v>
      </c>
      <c r="K151" s="136">
        <f t="shared" si="39"/>
        <v>0</v>
      </c>
      <c r="L151" s="9">
        <f t="shared" si="40"/>
        <v>0</v>
      </c>
    </row>
    <row r="152" spans="1:12" hidden="1" x14ac:dyDescent="0.25">
      <c r="A152" s="59">
        <v>43862</v>
      </c>
      <c r="B152" s="59">
        <v>44013</v>
      </c>
      <c r="C152" s="204">
        <v>7574</v>
      </c>
      <c r="D152" s="197" t="s">
        <v>52</v>
      </c>
      <c r="E152" s="197">
        <v>6080356277</v>
      </c>
      <c r="F152" s="195">
        <v>44623</v>
      </c>
      <c r="G152" s="135">
        <v>0</v>
      </c>
      <c r="H152" s="135">
        <v>0</v>
      </c>
      <c r="I152" s="40">
        <v>0</v>
      </c>
      <c r="J152" s="40">
        <v>0</v>
      </c>
      <c r="K152" s="136">
        <f t="shared" si="39"/>
        <v>0</v>
      </c>
      <c r="L152" s="9">
        <f t="shared" si="40"/>
        <v>0</v>
      </c>
    </row>
    <row r="153" spans="1:12" hidden="1" x14ac:dyDescent="0.25">
      <c r="A153" s="69">
        <v>43238</v>
      </c>
      <c r="B153" s="69">
        <v>43603</v>
      </c>
      <c r="C153" s="196">
        <v>0</v>
      </c>
      <c r="D153" s="197" t="s">
        <v>8</v>
      </c>
      <c r="E153" s="197" t="s">
        <v>8</v>
      </c>
      <c r="F153" s="134" t="s">
        <v>9</v>
      </c>
      <c r="G153" s="135">
        <v>0</v>
      </c>
      <c r="H153" s="135">
        <v>0</v>
      </c>
      <c r="I153" s="40">
        <v>0</v>
      </c>
      <c r="J153" s="40">
        <v>0</v>
      </c>
      <c r="K153" s="136">
        <f t="shared" si="39"/>
        <v>0</v>
      </c>
      <c r="L153" s="9" t="e">
        <f t="shared" si="40"/>
        <v>#DIV/0!</v>
      </c>
    </row>
    <row r="154" spans="1:12" hidden="1" x14ac:dyDescent="0.25">
      <c r="A154" s="69">
        <v>42873</v>
      </c>
      <c r="B154" s="69">
        <v>43238</v>
      </c>
      <c r="C154" s="196">
        <v>0</v>
      </c>
      <c r="D154" s="197" t="s">
        <v>8</v>
      </c>
      <c r="E154" s="197" t="s">
        <v>8</v>
      </c>
      <c r="F154" s="134" t="s">
        <v>9</v>
      </c>
      <c r="G154" s="135">
        <v>0</v>
      </c>
      <c r="H154" s="135">
        <v>0</v>
      </c>
      <c r="I154" s="40">
        <v>0</v>
      </c>
      <c r="J154" s="40">
        <v>0</v>
      </c>
      <c r="K154" s="136">
        <f t="shared" si="39"/>
        <v>0</v>
      </c>
      <c r="L154" s="9" t="e">
        <f t="shared" si="40"/>
        <v>#DIV/0!</v>
      </c>
    </row>
    <row r="155" spans="1:12" ht="15.75" thickBot="1" x14ac:dyDescent="0.3">
      <c r="A155" s="90"/>
      <c r="B155" s="91" t="s">
        <v>1</v>
      </c>
      <c r="C155" s="75">
        <f>SUM(C149:C150)</f>
        <v>32500</v>
      </c>
      <c r="D155" s="54"/>
      <c r="E155" s="55"/>
      <c r="F155" s="106"/>
      <c r="G155" s="148">
        <f>SUM(G149:G150)</f>
        <v>0</v>
      </c>
      <c r="H155" s="148">
        <f t="shared" ref="H155:K155" si="41">SUM(H149:H150)</f>
        <v>0</v>
      </c>
      <c r="I155" s="233">
        <f t="shared" si="41"/>
        <v>0</v>
      </c>
      <c r="J155" s="233">
        <f t="shared" si="41"/>
        <v>0</v>
      </c>
      <c r="K155" s="233">
        <f t="shared" si="41"/>
        <v>0</v>
      </c>
      <c r="L155" s="51">
        <f t="shared" si="40"/>
        <v>0</v>
      </c>
    </row>
    <row r="156" spans="1:12" ht="15.75" hidden="1" thickTop="1" x14ac:dyDescent="0.25">
      <c r="A156" s="250" t="s">
        <v>84</v>
      </c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</row>
    <row r="157" spans="1:12" ht="26.25" hidden="1" x14ac:dyDescent="0.25">
      <c r="A157" s="238" t="s">
        <v>20</v>
      </c>
      <c r="B157" s="239"/>
      <c r="C157" s="72" t="s">
        <v>2</v>
      </c>
      <c r="D157" s="76" t="s">
        <v>15</v>
      </c>
      <c r="E157" s="45" t="s">
        <v>16</v>
      </c>
      <c r="F157" s="44" t="s">
        <v>19</v>
      </c>
      <c r="G157" s="7" t="s">
        <v>12</v>
      </c>
      <c r="H157" s="100" t="s">
        <v>28</v>
      </c>
      <c r="I157" s="108" t="s">
        <v>29</v>
      </c>
      <c r="J157" s="108" t="s">
        <v>30</v>
      </c>
      <c r="K157" s="104" t="s">
        <v>27</v>
      </c>
      <c r="L157" s="72" t="s">
        <v>4</v>
      </c>
    </row>
    <row r="158" spans="1:12" hidden="1" x14ac:dyDescent="0.25">
      <c r="A158" s="195">
        <v>44013</v>
      </c>
      <c r="B158" s="195">
        <v>44378</v>
      </c>
      <c r="C158" s="205">
        <v>117217</v>
      </c>
      <c r="D158" s="224" t="s">
        <v>52</v>
      </c>
      <c r="E158" s="203">
        <v>6080910403</v>
      </c>
      <c r="F158" s="198">
        <v>44239</v>
      </c>
      <c r="G158" s="135">
        <v>0</v>
      </c>
      <c r="H158" s="135">
        <v>0</v>
      </c>
      <c r="I158" s="40">
        <v>0</v>
      </c>
      <c r="J158" s="40">
        <v>0</v>
      </c>
      <c r="K158" s="64">
        <f t="shared" ref="K158:K159" si="42">SUM(I158:J158)</f>
        <v>0</v>
      </c>
      <c r="L158" s="9">
        <f t="shared" ref="L158:L160" si="43">K158/C158</f>
        <v>0</v>
      </c>
    </row>
    <row r="159" spans="1:12" hidden="1" x14ac:dyDescent="0.25">
      <c r="A159" s="58">
        <v>43647</v>
      </c>
      <c r="B159" s="58">
        <v>44013</v>
      </c>
      <c r="C159" s="196">
        <v>91312</v>
      </c>
      <c r="D159" s="224" t="s">
        <v>52</v>
      </c>
      <c r="E159" s="197">
        <v>6078800367</v>
      </c>
      <c r="F159" s="225">
        <v>44253</v>
      </c>
      <c r="G159" s="135">
        <v>4</v>
      </c>
      <c r="H159" s="139">
        <v>1</v>
      </c>
      <c r="I159" s="140">
        <v>112871</v>
      </c>
      <c r="J159" s="140">
        <v>18059</v>
      </c>
      <c r="K159" s="67">
        <f t="shared" si="42"/>
        <v>130930</v>
      </c>
      <c r="L159" s="9">
        <f t="shared" si="43"/>
        <v>1.4338750657087787</v>
      </c>
    </row>
    <row r="160" spans="1:12" ht="15.75" hidden="1" thickBot="1" x14ac:dyDescent="0.3">
      <c r="A160" s="90"/>
      <c r="B160" s="91" t="s">
        <v>1</v>
      </c>
      <c r="C160" s="75">
        <f>SUM(C158:C159)</f>
        <v>208529</v>
      </c>
      <c r="D160" s="54"/>
      <c r="E160" s="55"/>
      <c r="F160" s="106"/>
      <c r="G160" s="50">
        <f>SUM(G158:G159)</f>
        <v>4</v>
      </c>
      <c r="H160" s="50">
        <f t="shared" ref="H160:K160" si="44">SUM(H158:H159)</f>
        <v>1</v>
      </c>
      <c r="I160" s="68">
        <f t="shared" si="44"/>
        <v>112871</v>
      </c>
      <c r="J160" s="68">
        <f t="shared" si="44"/>
        <v>18059</v>
      </c>
      <c r="K160" s="68">
        <f t="shared" si="44"/>
        <v>130930</v>
      </c>
      <c r="L160" s="51">
        <f t="shared" si="43"/>
        <v>0.62787430045701076</v>
      </c>
    </row>
    <row r="161" spans="1:12" ht="15.75" hidden="1" thickTop="1" x14ac:dyDescent="0.25">
      <c r="A161" s="250" t="s">
        <v>85</v>
      </c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</row>
    <row r="162" spans="1:12" ht="26.25" hidden="1" x14ac:dyDescent="0.25">
      <c r="A162" s="238" t="s">
        <v>20</v>
      </c>
      <c r="B162" s="239"/>
      <c r="C162" s="72" t="s">
        <v>2</v>
      </c>
      <c r="D162" s="76" t="s">
        <v>15</v>
      </c>
      <c r="E162" s="45" t="s">
        <v>16</v>
      </c>
      <c r="F162" s="44" t="s">
        <v>19</v>
      </c>
      <c r="G162" s="7" t="s">
        <v>12</v>
      </c>
      <c r="H162" s="100" t="s">
        <v>28</v>
      </c>
      <c r="I162" s="108" t="s">
        <v>29</v>
      </c>
      <c r="J162" s="108" t="s">
        <v>30</v>
      </c>
      <c r="K162" s="104" t="s">
        <v>27</v>
      </c>
      <c r="L162" s="72" t="s">
        <v>4</v>
      </c>
    </row>
    <row r="163" spans="1:12" hidden="1" x14ac:dyDescent="0.25">
      <c r="A163" s="195">
        <v>44013</v>
      </c>
      <c r="B163" s="195">
        <v>44378</v>
      </c>
      <c r="C163" s="205">
        <v>11684</v>
      </c>
      <c r="D163" s="224" t="s">
        <v>52</v>
      </c>
      <c r="E163" s="203">
        <v>6080910868</v>
      </c>
      <c r="F163" s="198">
        <v>44239</v>
      </c>
      <c r="G163" s="135">
        <v>0</v>
      </c>
      <c r="H163" s="135">
        <v>0</v>
      </c>
      <c r="I163" s="40">
        <v>0</v>
      </c>
      <c r="J163" s="40">
        <v>0</v>
      </c>
      <c r="K163" s="64">
        <f t="shared" ref="K163:K164" si="45">SUM(I163:J163)</f>
        <v>0</v>
      </c>
      <c r="L163" s="9">
        <f t="shared" ref="L163:L165" si="46">K163/C163</f>
        <v>0</v>
      </c>
    </row>
    <row r="164" spans="1:12" hidden="1" x14ac:dyDescent="0.25">
      <c r="A164" s="58">
        <v>43647</v>
      </c>
      <c r="B164" s="58">
        <v>44013</v>
      </c>
      <c r="C164" s="196">
        <v>11628</v>
      </c>
      <c r="D164" s="224" t="s">
        <v>52</v>
      </c>
      <c r="E164" s="197">
        <v>6078814284</v>
      </c>
      <c r="F164" s="138" t="s">
        <v>86</v>
      </c>
      <c r="G164" s="135">
        <v>0</v>
      </c>
      <c r="H164" s="135">
        <v>0</v>
      </c>
      <c r="I164" s="40">
        <v>0</v>
      </c>
      <c r="J164" s="40">
        <v>0</v>
      </c>
      <c r="K164" s="64">
        <f t="shared" si="45"/>
        <v>0</v>
      </c>
      <c r="L164" s="9">
        <f t="shared" si="46"/>
        <v>0</v>
      </c>
    </row>
    <row r="165" spans="1:12" ht="15.75" hidden="1" thickBot="1" x14ac:dyDescent="0.3">
      <c r="A165" s="90"/>
      <c r="B165" s="91" t="s">
        <v>1</v>
      </c>
      <c r="C165" s="75">
        <f>SUM(C163:C164)</f>
        <v>23312</v>
      </c>
      <c r="D165" s="54"/>
      <c r="E165" s="55"/>
      <c r="F165" s="106"/>
      <c r="G165" s="50">
        <f>SUM(G163:G164)</f>
        <v>0</v>
      </c>
      <c r="H165" s="50">
        <f t="shared" ref="H165:I165" si="47">SUM(H163:H164)</f>
        <v>0</v>
      </c>
      <c r="I165" s="68">
        <f t="shared" si="47"/>
        <v>0</v>
      </c>
      <c r="J165" s="68">
        <f t="shared" ref="J165" si="48">SUM(J163:J164)</f>
        <v>0</v>
      </c>
      <c r="K165" s="68">
        <f t="shared" ref="K165" si="49">SUM(K163:K164)</f>
        <v>0</v>
      </c>
      <c r="L165" s="51">
        <f t="shared" si="46"/>
        <v>0</v>
      </c>
    </row>
    <row r="166" spans="1:12" ht="15.75" thickTop="1" x14ac:dyDescent="0.25">
      <c r="A166" s="12"/>
      <c r="B166" s="60"/>
      <c r="C166" s="89"/>
      <c r="D166" s="56"/>
      <c r="E166" s="56"/>
      <c r="F166" s="56"/>
      <c r="G166" s="56"/>
      <c r="H166" s="56"/>
      <c r="I166" s="174"/>
      <c r="J166" s="174"/>
      <c r="K166" s="174"/>
      <c r="L166" s="57"/>
    </row>
    <row r="167" spans="1:12" x14ac:dyDescent="0.25">
      <c r="A167" s="237" t="s">
        <v>77</v>
      </c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</row>
    <row r="168" spans="1:12" ht="26.25" x14ac:dyDescent="0.25">
      <c r="A168" s="238" t="s">
        <v>20</v>
      </c>
      <c r="B168" s="239"/>
      <c r="C168" s="76" t="s">
        <v>2</v>
      </c>
      <c r="D168" s="76" t="s">
        <v>15</v>
      </c>
      <c r="E168" s="45" t="s">
        <v>16</v>
      </c>
      <c r="F168" s="45" t="s">
        <v>19</v>
      </c>
      <c r="G168" s="38" t="s">
        <v>12</v>
      </c>
      <c r="H168" s="107" t="s">
        <v>28</v>
      </c>
      <c r="I168" s="107" t="s">
        <v>29</v>
      </c>
      <c r="J168" s="107" t="s">
        <v>30</v>
      </c>
      <c r="K168" s="104" t="s">
        <v>27</v>
      </c>
      <c r="L168" s="72" t="s">
        <v>4</v>
      </c>
    </row>
    <row r="169" spans="1:12" x14ac:dyDescent="0.25">
      <c r="A169" s="195">
        <v>44743</v>
      </c>
      <c r="B169" s="195">
        <v>45108</v>
      </c>
      <c r="C169" s="196">
        <v>34818</v>
      </c>
      <c r="D169" s="197" t="s">
        <v>52</v>
      </c>
      <c r="E169" s="197">
        <v>6080998210</v>
      </c>
      <c r="F169" s="195">
        <v>44911</v>
      </c>
      <c r="G169" s="135">
        <v>0</v>
      </c>
      <c r="H169" s="39">
        <v>0</v>
      </c>
      <c r="I169" s="40">
        <v>0</v>
      </c>
      <c r="J169" s="40">
        <v>0</v>
      </c>
      <c r="K169" s="64">
        <f>SUM(I169:J169)</f>
        <v>0</v>
      </c>
      <c r="L169" s="9">
        <f t="shared" ref="L169" si="50">K169/C169</f>
        <v>0</v>
      </c>
    </row>
    <row r="170" spans="1:12" x14ac:dyDescent="0.25">
      <c r="A170" s="195">
        <v>44378</v>
      </c>
      <c r="B170" s="195">
        <v>44743</v>
      </c>
      <c r="C170" s="230">
        <v>32391</v>
      </c>
      <c r="D170" s="197" t="s">
        <v>52</v>
      </c>
      <c r="E170" s="197">
        <v>6080998210</v>
      </c>
      <c r="F170" s="195">
        <v>44911</v>
      </c>
      <c r="G170" s="135">
        <v>0</v>
      </c>
      <c r="H170" s="39">
        <v>0</v>
      </c>
      <c r="I170" s="40">
        <v>0</v>
      </c>
      <c r="J170" s="40">
        <v>0</v>
      </c>
      <c r="K170" s="64">
        <f>SUM(I170:J170)</f>
        <v>0</v>
      </c>
      <c r="L170" s="9">
        <f t="shared" ref="L170:L177" si="51">K170/C170</f>
        <v>0</v>
      </c>
    </row>
    <row r="171" spans="1:12" x14ac:dyDescent="0.25">
      <c r="A171" s="59">
        <v>44013</v>
      </c>
      <c r="B171" s="59">
        <v>44378</v>
      </c>
      <c r="C171" s="218">
        <v>24385</v>
      </c>
      <c r="D171" s="197" t="s">
        <v>52</v>
      </c>
      <c r="E171" s="197">
        <v>6080998210</v>
      </c>
      <c r="F171" s="195">
        <v>44911</v>
      </c>
      <c r="G171" s="135">
        <v>0</v>
      </c>
      <c r="H171" s="39">
        <v>0</v>
      </c>
      <c r="I171" s="40">
        <v>0</v>
      </c>
      <c r="J171" s="40">
        <v>0</v>
      </c>
      <c r="K171" s="64">
        <f>SUM(I171:J171)</f>
        <v>0</v>
      </c>
      <c r="L171" s="9">
        <f t="shared" si="51"/>
        <v>0</v>
      </c>
    </row>
    <row r="172" spans="1:12" hidden="1" x14ac:dyDescent="0.25">
      <c r="A172" s="59" t="s">
        <v>37</v>
      </c>
      <c r="B172" s="59" t="s">
        <v>37</v>
      </c>
      <c r="C172" s="217" t="s">
        <v>37</v>
      </c>
      <c r="D172" s="197" t="s">
        <v>37</v>
      </c>
      <c r="E172" s="197" t="s">
        <v>37</v>
      </c>
      <c r="F172" s="208" t="s">
        <v>37</v>
      </c>
      <c r="G172" s="135">
        <v>0</v>
      </c>
      <c r="H172" s="39" t="s">
        <v>37</v>
      </c>
      <c r="I172" s="40" t="s">
        <v>37</v>
      </c>
      <c r="J172" s="40" t="s">
        <v>37</v>
      </c>
      <c r="K172" s="64" t="s">
        <v>37</v>
      </c>
      <c r="L172" s="9" t="e">
        <f t="shared" si="51"/>
        <v>#VALUE!</v>
      </c>
    </row>
    <row r="173" spans="1:12" hidden="1" x14ac:dyDescent="0.25">
      <c r="A173" s="59" t="s">
        <v>9</v>
      </c>
      <c r="B173" s="59" t="s">
        <v>9</v>
      </c>
      <c r="C173" s="23">
        <v>0</v>
      </c>
      <c r="D173" s="46" t="s">
        <v>8</v>
      </c>
      <c r="E173" s="46" t="s">
        <v>8</v>
      </c>
      <c r="F173" s="26" t="s">
        <v>9</v>
      </c>
      <c r="G173" s="47">
        <v>0</v>
      </c>
      <c r="H173" s="77">
        <v>0</v>
      </c>
      <c r="I173" s="63">
        <v>0</v>
      </c>
      <c r="J173" s="63">
        <v>0</v>
      </c>
      <c r="K173" s="64">
        <f>SUM(I173:J173)</f>
        <v>0</v>
      </c>
      <c r="L173" s="9" t="e">
        <f t="shared" si="51"/>
        <v>#DIV/0!</v>
      </c>
    </row>
    <row r="174" spans="1:12" hidden="1" x14ac:dyDescent="0.25">
      <c r="A174" s="59" t="s">
        <v>9</v>
      </c>
      <c r="B174" s="59" t="s">
        <v>9</v>
      </c>
      <c r="C174" s="26">
        <v>0</v>
      </c>
      <c r="D174" s="46" t="s">
        <v>8</v>
      </c>
      <c r="E174" s="46" t="s">
        <v>8</v>
      </c>
      <c r="F174" s="26" t="s">
        <v>9</v>
      </c>
      <c r="G174" s="47">
        <v>0</v>
      </c>
      <c r="H174" s="77">
        <v>0</v>
      </c>
      <c r="I174" s="63">
        <v>0</v>
      </c>
      <c r="J174" s="63">
        <v>0</v>
      </c>
      <c r="K174" s="64">
        <f t="shared" ref="K174:K176" si="52">SUM(I174:J174)</f>
        <v>0</v>
      </c>
      <c r="L174" s="101" t="e">
        <f t="shared" si="51"/>
        <v>#DIV/0!</v>
      </c>
    </row>
    <row r="175" spans="1:12" hidden="1" x14ac:dyDescent="0.25">
      <c r="A175" s="59" t="s">
        <v>9</v>
      </c>
      <c r="B175" s="59" t="s">
        <v>9</v>
      </c>
      <c r="C175" s="26">
        <v>0</v>
      </c>
      <c r="D175" s="46" t="s">
        <v>8</v>
      </c>
      <c r="E175" s="46" t="s">
        <v>8</v>
      </c>
      <c r="F175" s="26" t="s">
        <v>9</v>
      </c>
      <c r="G175" s="47">
        <v>0</v>
      </c>
      <c r="H175" s="77">
        <v>0</v>
      </c>
      <c r="I175" s="63">
        <v>0</v>
      </c>
      <c r="J175" s="63">
        <v>0</v>
      </c>
      <c r="K175" s="64">
        <f t="shared" si="52"/>
        <v>0</v>
      </c>
      <c r="L175" s="102" t="e">
        <f t="shared" si="51"/>
        <v>#DIV/0!</v>
      </c>
    </row>
    <row r="176" spans="1:12" hidden="1" x14ac:dyDescent="0.25">
      <c r="A176" s="59" t="s">
        <v>9</v>
      </c>
      <c r="B176" s="59" t="s">
        <v>9</v>
      </c>
      <c r="C176" s="32">
        <v>0</v>
      </c>
      <c r="D176" s="46" t="s">
        <v>8</v>
      </c>
      <c r="E176" s="46" t="s">
        <v>8</v>
      </c>
      <c r="F176" s="65" t="s">
        <v>9</v>
      </c>
      <c r="G176" s="48">
        <v>0</v>
      </c>
      <c r="H176" s="78">
        <v>0</v>
      </c>
      <c r="I176" s="66">
        <v>0</v>
      </c>
      <c r="J176" s="66">
        <v>0</v>
      </c>
      <c r="K176" s="67">
        <f t="shared" si="52"/>
        <v>0</v>
      </c>
      <c r="L176" s="103" t="e">
        <f t="shared" si="51"/>
        <v>#DIV/0!</v>
      </c>
    </row>
    <row r="177" spans="1:12" ht="15.75" thickBot="1" x14ac:dyDescent="0.3">
      <c r="A177" s="90"/>
      <c r="B177" s="91" t="s">
        <v>1</v>
      </c>
      <c r="C177" s="75">
        <f>SUM(C169:C171)</f>
        <v>91594</v>
      </c>
      <c r="D177" s="55"/>
      <c r="E177" s="55"/>
      <c r="F177" s="55"/>
      <c r="G177" s="50">
        <f>SUM(G169:G172)</f>
        <v>0</v>
      </c>
      <c r="H177" s="50">
        <f t="shared" ref="H177:K177" si="53">SUM(H169:H172)</f>
        <v>0</v>
      </c>
      <c r="I177" s="68">
        <f t="shared" si="53"/>
        <v>0</v>
      </c>
      <c r="J177" s="68">
        <f t="shared" si="53"/>
        <v>0</v>
      </c>
      <c r="K177" s="68">
        <f t="shared" si="53"/>
        <v>0</v>
      </c>
      <c r="L177" s="51">
        <f t="shared" si="51"/>
        <v>0</v>
      </c>
    </row>
    <row r="178" spans="1:12" ht="15.75" thickTop="1" x14ac:dyDescent="0.25">
      <c r="A178" s="12"/>
      <c r="B178" s="60"/>
      <c r="C178" s="89"/>
      <c r="D178" s="56"/>
      <c r="E178" s="56"/>
      <c r="F178" s="56"/>
      <c r="G178" s="56"/>
      <c r="H178" s="56"/>
      <c r="I178" s="174"/>
      <c r="J178" s="174"/>
      <c r="K178" s="174"/>
      <c r="L178" s="57"/>
    </row>
    <row r="179" spans="1:12" x14ac:dyDescent="0.25">
      <c r="A179" s="250" t="s">
        <v>87</v>
      </c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</row>
    <row r="180" spans="1:12" ht="26.25" x14ac:dyDescent="0.25">
      <c r="A180" s="238" t="s">
        <v>20</v>
      </c>
      <c r="B180" s="239"/>
      <c r="C180" s="72" t="s">
        <v>2</v>
      </c>
      <c r="D180" s="76" t="s">
        <v>15</v>
      </c>
      <c r="E180" s="45" t="s">
        <v>16</v>
      </c>
      <c r="F180" s="44" t="s">
        <v>19</v>
      </c>
      <c r="G180" s="7" t="s">
        <v>12</v>
      </c>
      <c r="H180" s="100" t="s">
        <v>28</v>
      </c>
      <c r="I180" s="108" t="s">
        <v>29</v>
      </c>
      <c r="J180" s="108" t="s">
        <v>30</v>
      </c>
      <c r="K180" s="104" t="s">
        <v>27</v>
      </c>
      <c r="L180" s="72" t="s">
        <v>4</v>
      </c>
    </row>
    <row r="181" spans="1:12" x14ac:dyDescent="0.25">
      <c r="A181" s="195">
        <v>44850</v>
      </c>
      <c r="B181" s="195">
        <v>45474</v>
      </c>
      <c r="C181" s="196">
        <v>4276</v>
      </c>
      <c r="D181" s="197" t="s">
        <v>52</v>
      </c>
      <c r="E181" s="197" t="s">
        <v>100</v>
      </c>
      <c r="F181" s="195">
        <v>44914</v>
      </c>
      <c r="G181" s="135">
        <v>0</v>
      </c>
      <c r="H181" s="135">
        <v>0</v>
      </c>
      <c r="I181" s="40">
        <v>0</v>
      </c>
      <c r="J181" s="40">
        <v>0</v>
      </c>
      <c r="K181" s="136">
        <f t="shared" ref="K181" si="54">SUM(I181:J181)</f>
        <v>0</v>
      </c>
      <c r="L181" s="137">
        <f t="shared" ref="L181" si="55">K181/C181</f>
        <v>0</v>
      </c>
    </row>
    <row r="182" spans="1:12" x14ac:dyDescent="0.25">
      <c r="A182" s="232">
        <v>44485</v>
      </c>
      <c r="B182" s="59">
        <v>44850</v>
      </c>
      <c r="C182" s="196">
        <v>2500</v>
      </c>
      <c r="D182" s="197" t="s">
        <v>52</v>
      </c>
      <c r="E182" s="197" t="s">
        <v>89</v>
      </c>
      <c r="F182" s="195">
        <v>44914</v>
      </c>
      <c r="G182" s="135">
        <v>0</v>
      </c>
      <c r="H182" s="135">
        <v>0</v>
      </c>
      <c r="I182" s="40">
        <v>0</v>
      </c>
      <c r="J182" s="40">
        <v>0</v>
      </c>
      <c r="K182" s="136">
        <f t="shared" ref="K182:K187" si="56">SUM(I182:J182)</f>
        <v>0</v>
      </c>
      <c r="L182" s="137">
        <f t="shared" ref="L182:L188" si="57">K182/C182</f>
        <v>0</v>
      </c>
    </row>
    <row r="183" spans="1:12" x14ac:dyDescent="0.25">
      <c r="A183" s="59">
        <v>44120</v>
      </c>
      <c r="B183" s="59">
        <v>44485</v>
      </c>
      <c r="C183" s="196">
        <v>2500</v>
      </c>
      <c r="D183" s="197" t="s">
        <v>52</v>
      </c>
      <c r="E183" s="197" t="s">
        <v>89</v>
      </c>
      <c r="F183" s="195">
        <v>44914</v>
      </c>
      <c r="G183" s="135">
        <v>0</v>
      </c>
      <c r="H183" s="135">
        <v>0</v>
      </c>
      <c r="I183" s="40">
        <v>0</v>
      </c>
      <c r="J183" s="40">
        <v>0</v>
      </c>
      <c r="K183" s="136">
        <f t="shared" si="56"/>
        <v>0</v>
      </c>
      <c r="L183" s="137">
        <f t="shared" si="57"/>
        <v>0</v>
      </c>
    </row>
    <row r="184" spans="1:12" hidden="1" x14ac:dyDescent="0.25">
      <c r="A184" s="59" t="s">
        <v>9</v>
      </c>
      <c r="B184" s="59" t="s">
        <v>9</v>
      </c>
      <c r="C184" s="26">
        <v>0</v>
      </c>
      <c r="D184" s="46" t="s">
        <v>8</v>
      </c>
      <c r="E184" s="46" t="s">
        <v>8</v>
      </c>
      <c r="F184" s="134" t="s">
        <v>9</v>
      </c>
      <c r="G184" s="135">
        <v>0</v>
      </c>
      <c r="H184" s="135">
        <v>0</v>
      </c>
      <c r="I184" s="40">
        <v>0</v>
      </c>
      <c r="J184" s="40">
        <v>0</v>
      </c>
      <c r="K184" s="136">
        <f t="shared" si="56"/>
        <v>0</v>
      </c>
      <c r="L184" s="137" t="e">
        <f t="shared" si="57"/>
        <v>#DIV/0!</v>
      </c>
    </row>
    <row r="185" spans="1:12" hidden="1" x14ac:dyDescent="0.25">
      <c r="A185" s="59" t="s">
        <v>9</v>
      </c>
      <c r="B185" s="59" t="s">
        <v>9</v>
      </c>
      <c r="C185" s="26">
        <v>0</v>
      </c>
      <c r="D185" s="46" t="s">
        <v>8</v>
      </c>
      <c r="E185" s="46" t="s">
        <v>8</v>
      </c>
      <c r="F185" s="134" t="s">
        <v>9</v>
      </c>
      <c r="G185" s="135">
        <v>0</v>
      </c>
      <c r="H185" s="135">
        <v>0</v>
      </c>
      <c r="I185" s="40">
        <v>0</v>
      </c>
      <c r="J185" s="40">
        <v>0</v>
      </c>
      <c r="K185" s="136">
        <f t="shared" si="56"/>
        <v>0</v>
      </c>
      <c r="L185" s="137" t="e">
        <f t="shared" si="57"/>
        <v>#DIV/0!</v>
      </c>
    </row>
    <row r="186" spans="1:12" hidden="1" x14ac:dyDescent="0.25">
      <c r="A186" s="59" t="s">
        <v>9</v>
      </c>
      <c r="B186" s="59" t="s">
        <v>9</v>
      </c>
      <c r="C186" s="26">
        <v>0</v>
      </c>
      <c r="D186" s="46" t="s">
        <v>8</v>
      </c>
      <c r="E186" s="46" t="s">
        <v>8</v>
      </c>
      <c r="F186" s="134" t="s">
        <v>9</v>
      </c>
      <c r="G186" s="135">
        <v>0</v>
      </c>
      <c r="H186" s="135">
        <v>0</v>
      </c>
      <c r="I186" s="40">
        <v>0</v>
      </c>
      <c r="J186" s="40">
        <v>0</v>
      </c>
      <c r="K186" s="136">
        <f t="shared" si="56"/>
        <v>0</v>
      </c>
      <c r="L186" s="137" t="e">
        <f t="shared" si="57"/>
        <v>#DIV/0!</v>
      </c>
    </row>
    <row r="187" spans="1:12" hidden="1" x14ac:dyDescent="0.25">
      <c r="A187" s="59" t="s">
        <v>9</v>
      </c>
      <c r="B187" s="59" t="s">
        <v>9</v>
      </c>
      <c r="C187" s="26">
        <v>0</v>
      </c>
      <c r="D187" s="46" t="s">
        <v>8</v>
      </c>
      <c r="E187" s="46" t="s">
        <v>8</v>
      </c>
      <c r="F187" s="138" t="s">
        <v>9</v>
      </c>
      <c r="G187" s="139">
        <v>0</v>
      </c>
      <c r="H187" s="139">
        <v>0</v>
      </c>
      <c r="I187" s="140">
        <v>0</v>
      </c>
      <c r="J187" s="140">
        <v>0</v>
      </c>
      <c r="K187" s="141">
        <f t="shared" si="56"/>
        <v>0</v>
      </c>
      <c r="L187" s="142" t="e">
        <f t="shared" si="57"/>
        <v>#DIV/0!</v>
      </c>
    </row>
    <row r="188" spans="1:12" ht="15.75" thickBot="1" x14ac:dyDescent="0.3">
      <c r="A188" s="143"/>
      <c r="B188" s="144" t="s">
        <v>1</v>
      </c>
      <c r="C188" s="145">
        <f>SUM(C181:C183)</f>
        <v>9276</v>
      </c>
      <c r="D188" s="146"/>
      <c r="E188" s="147"/>
      <c r="F188" s="147"/>
      <c r="G188" s="148">
        <f>SUM(G181:G183)</f>
        <v>0</v>
      </c>
      <c r="H188" s="148">
        <f t="shared" ref="H188:K188" si="58">SUM(H181:H183)</f>
        <v>0</v>
      </c>
      <c r="I188" s="148">
        <f t="shared" si="58"/>
        <v>0</v>
      </c>
      <c r="J188" s="148">
        <f t="shared" si="58"/>
        <v>0</v>
      </c>
      <c r="K188" s="148">
        <f t="shared" si="58"/>
        <v>0</v>
      </c>
      <c r="L188" s="150">
        <f t="shared" si="57"/>
        <v>0</v>
      </c>
    </row>
    <row r="189" spans="1:12" ht="15.75" thickTop="1" x14ac:dyDescent="0.25">
      <c r="A189" s="185"/>
      <c r="B189" s="60"/>
      <c r="C189" s="89"/>
      <c r="D189" s="56"/>
      <c r="E189" s="56"/>
      <c r="F189" s="56"/>
      <c r="G189" s="56"/>
      <c r="H189" s="56"/>
      <c r="I189" s="174"/>
      <c r="J189" s="174"/>
      <c r="K189" s="174"/>
      <c r="L189" s="57"/>
    </row>
    <row r="190" spans="1:12" x14ac:dyDescent="0.25">
      <c r="A190" s="237" t="s">
        <v>23</v>
      </c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</row>
    <row r="191" spans="1:12" ht="26.25" x14ac:dyDescent="0.25">
      <c r="A191" s="1" t="s">
        <v>0</v>
      </c>
      <c r="B191" s="1" t="s">
        <v>41</v>
      </c>
      <c r="C191" s="14" t="s">
        <v>22</v>
      </c>
      <c r="D191" s="126" t="s">
        <v>35</v>
      </c>
      <c r="E191" s="133" t="s">
        <v>36</v>
      </c>
      <c r="F191" s="240" t="s">
        <v>14</v>
      </c>
      <c r="G191" s="241"/>
      <c r="H191" s="242"/>
      <c r="I191" s="2" t="s">
        <v>24</v>
      </c>
      <c r="J191" s="2" t="s">
        <v>29</v>
      </c>
      <c r="K191" s="133" t="s">
        <v>31</v>
      </c>
      <c r="L191" s="133" t="s">
        <v>25</v>
      </c>
    </row>
    <row r="192" spans="1:12" x14ac:dyDescent="0.25">
      <c r="A192" s="128"/>
      <c r="B192" s="128"/>
      <c r="C192" s="182"/>
      <c r="D192" s="127"/>
      <c r="E192" s="127"/>
      <c r="F192" s="243"/>
      <c r="G192" s="244"/>
      <c r="H192" s="245"/>
      <c r="I192" s="35"/>
      <c r="J192" s="15"/>
      <c r="K192" s="15"/>
      <c r="L192" s="127"/>
    </row>
    <row r="193" spans="1:12" x14ac:dyDescent="0.25">
      <c r="A193" s="130"/>
      <c r="B193" s="130"/>
      <c r="C193" s="173"/>
      <c r="D193" s="227"/>
      <c r="E193" s="98"/>
      <c r="F193" s="285"/>
      <c r="G193" s="286"/>
      <c r="H193" s="287"/>
      <c r="I193" s="36"/>
      <c r="J193" s="16"/>
      <c r="K193" s="16"/>
      <c r="L193" s="129"/>
    </row>
    <row r="194" spans="1:12" x14ac:dyDescent="0.25">
      <c r="A194" s="132" t="s">
        <v>37</v>
      </c>
      <c r="B194" s="132"/>
      <c r="C194" s="70"/>
      <c r="D194" s="99"/>
      <c r="E194" s="99"/>
      <c r="F194" s="131"/>
      <c r="G194" s="151"/>
      <c r="H194" s="132"/>
      <c r="I194" s="70"/>
      <c r="J194" s="71"/>
      <c r="K194" s="131"/>
      <c r="L194" s="131"/>
    </row>
    <row r="195" spans="1:12" x14ac:dyDescent="0.25">
      <c r="A195" s="132"/>
      <c r="B195" s="132"/>
      <c r="C195" s="70"/>
      <c r="D195" s="99"/>
      <c r="E195" s="99"/>
      <c r="F195" s="131"/>
      <c r="G195" s="151"/>
      <c r="H195" s="132"/>
      <c r="I195" s="70"/>
      <c r="J195" s="71"/>
      <c r="K195" s="131"/>
      <c r="L195" s="131"/>
    </row>
    <row r="196" spans="1:12" ht="15" customHeight="1" x14ac:dyDescent="0.25">
      <c r="A196" s="132"/>
      <c r="B196" s="132"/>
      <c r="C196" s="70"/>
      <c r="D196" s="99"/>
      <c r="E196" s="99"/>
      <c r="F196" s="234"/>
      <c r="G196" s="235"/>
      <c r="H196" s="236"/>
      <c r="I196" s="70"/>
      <c r="J196" s="71"/>
      <c r="K196" s="131"/>
      <c r="L196" s="131"/>
    </row>
    <row r="197" spans="1:12" x14ac:dyDescent="0.25">
      <c r="D197" s="79"/>
      <c r="E197" s="79"/>
      <c r="F197" s="79"/>
      <c r="G197" s="79"/>
      <c r="H197" s="79"/>
      <c r="I197" s="79"/>
      <c r="J197" s="79"/>
      <c r="K197" s="79"/>
      <c r="L197" s="79"/>
    </row>
  </sheetData>
  <mergeCells count="47">
    <mergeCell ref="A96:L96"/>
    <mergeCell ref="A97:B97"/>
    <mergeCell ref="A190:L190"/>
    <mergeCell ref="A126:B126"/>
    <mergeCell ref="F193:H193"/>
    <mergeCell ref="A125:L125"/>
    <mergeCell ref="A137:L137"/>
    <mergeCell ref="A138:B138"/>
    <mergeCell ref="A116:L116"/>
    <mergeCell ref="A106:L106"/>
    <mergeCell ref="A117:B117"/>
    <mergeCell ref="A107:B107"/>
    <mergeCell ref="F196:H196"/>
    <mergeCell ref="F191:H191"/>
    <mergeCell ref="F192:H192"/>
    <mergeCell ref="A147:L147"/>
    <mergeCell ref="A148:B148"/>
    <mergeCell ref="A156:L156"/>
    <mergeCell ref="A157:B157"/>
    <mergeCell ref="A161:L161"/>
    <mergeCell ref="A162:B162"/>
    <mergeCell ref="A179:L179"/>
    <mergeCell ref="A180:B180"/>
    <mergeCell ref="A167:L167"/>
    <mergeCell ref="A168:B168"/>
    <mergeCell ref="A1:L1"/>
    <mergeCell ref="A2:L2"/>
    <mergeCell ref="A5:B5"/>
    <mergeCell ref="A4:L4"/>
    <mergeCell ref="A70:B70"/>
    <mergeCell ref="A52:B52"/>
    <mergeCell ref="A14:B14"/>
    <mergeCell ref="A42:B42"/>
    <mergeCell ref="A13:L13"/>
    <mergeCell ref="A41:L41"/>
    <mergeCell ref="A51:L51"/>
    <mergeCell ref="A69:L69"/>
    <mergeCell ref="A22:L22"/>
    <mergeCell ref="A23:B23"/>
    <mergeCell ref="A32:L32"/>
    <mergeCell ref="A33:B33"/>
    <mergeCell ref="A78:L78"/>
    <mergeCell ref="A79:B79"/>
    <mergeCell ref="A88:L88"/>
    <mergeCell ref="A89:B89"/>
    <mergeCell ref="A60:L60"/>
    <mergeCell ref="A61:B61"/>
  </mergeCells>
  <phoneticPr fontId="15" type="noConversion"/>
  <printOptions horizontalCentered="1"/>
  <pageMargins left="0.5" right="0.5" top="0.25" bottom="0.25" header="0" footer="0"/>
  <pageSetup scale="78" fitToHeight="0" orientation="landscape" r:id="rId1"/>
  <rowBreaks count="1" manualBreakCount="1">
    <brk id="136" max="11" man="1"/>
  </rowBreaks>
  <ignoredErrors>
    <ignoredError sqref="K15:K19 K53:K57 K71:K75 K43:K48 K81:K85 K24:K29 K90:K94 K98:K100 G105:J105 K118:K122 G123:I123 G115:J115 K108:K110 K158:K159 K163:K164 K127:K129 K149:K152 K169:K171 K62:K63 K182:K183 G155:J155 C145 G177 C188 G188:J188 C155 C134 G134:H134 G145:J145 K139:K142" formulaRange="1"/>
    <ignoredError sqref="L71 L53:L57 L19 L15 L20 L58 L76 L49 L75 L159" evalError="1"/>
    <ignoredError sqref="L46" evalError="1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3"/>
  <sheetViews>
    <sheetView showGridLines="0" view="pageBreakPreview" zoomScaleNormal="100" zoomScaleSheetLayoutView="100" workbookViewId="0">
      <selection activeCell="E21" sqref="E21"/>
    </sheetView>
  </sheetViews>
  <sheetFormatPr defaultRowHeight="15" x14ac:dyDescent="0.25"/>
  <cols>
    <col min="1" max="2" width="13.28515625" style="81" customWidth="1"/>
    <col min="3" max="3" width="13.28515625" style="79" customWidth="1"/>
    <col min="4" max="12" width="13.28515625" style="81" customWidth="1"/>
    <col min="13" max="16384" width="9.140625" style="81"/>
  </cols>
  <sheetData>
    <row r="1" spans="1:13" s="79" customFormat="1" ht="26.25" x14ac:dyDescent="0.4">
      <c r="A1" s="249" t="s">
        <v>42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</row>
    <row r="2" spans="1:13" s="80" customFormat="1" ht="23.25" customHeight="1" x14ac:dyDescent="0.4">
      <c r="A2" s="249" t="s">
        <v>40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3" s="80" customFormat="1" ht="15" customHeight="1" x14ac:dyDescent="0.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s="85" customFormat="1" ht="15" customHeight="1" x14ac:dyDescent="0.25">
      <c r="A4" s="250" t="s">
        <v>87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1:13" s="85" customFormat="1" ht="26.25" x14ac:dyDescent="0.25">
      <c r="A5" s="238" t="s">
        <v>20</v>
      </c>
      <c r="B5" s="239"/>
      <c r="C5" s="72" t="s">
        <v>2</v>
      </c>
      <c r="D5" s="76" t="s">
        <v>15</v>
      </c>
      <c r="E5" s="45" t="s">
        <v>16</v>
      </c>
      <c r="F5" s="44" t="s">
        <v>19</v>
      </c>
      <c r="G5" s="7" t="s">
        <v>12</v>
      </c>
      <c r="H5" s="100" t="s">
        <v>28</v>
      </c>
      <c r="I5" s="108" t="s">
        <v>29</v>
      </c>
      <c r="J5" s="108" t="s">
        <v>30</v>
      </c>
      <c r="K5" s="104" t="s">
        <v>27</v>
      </c>
      <c r="L5" s="72" t="s">
        <v>4</v>
      </c>
    </row>
    <row r="6" spans="1:13" s="85" customFormat="1" ht="15" customHeight="1" x14ac:dyDescent="0.25">
      <c r="A6" s="59">
        <v>44120</v>
      </c>
      <c r="B6" s="59">
        <v>44485</v>
      </c>
      <c r="C6" s="196">
        <v>2500</v>
      </c>
      <c r="D6" s="197" t="s">
        <v>52</v>
      </c>
      <c r="E6" s="197" t="s">
        <v>89</v>
      </c>
      <c r="F6" s="134" t="s">
        <v>9</v>
      </c>
      <c r="G6" s="135">
        <v>0</v>
      </c>
      <c r="H6" s="135">
        <v>0</v>
      </c>
      <c r="I6" s="40">
        <v>0</v>
      </c>
      <c r="J6" s="40">
        <v>0</v>
      </c>
      <c r="K6" s="136">
        <f>SUM(I6:J6)</f>
        <v>0</v>
      </c>
      <c r="L6" s="137">
        <f t="shared" ref="L6:L11" si="0">K6/C6</f>
        <v>0</v>
      </c>
    </row>
    <row r="7" spans="1:13" s="85" customFormat="1" ht="15" hidden="1" customHeight="1" x14ac:dyDescent="0.25">
      <c r="A7" s="59" t="s">
        <v>9</v>
      </c>
      <c r="B7" s="59" t="s">
        <v>9</v>
      </c>
      <c r="C7" s="26">
        <v>0</v>
      </c>
      <c r="D7" s="46" t="s">
        <v>8</v>
      </c>
      <c r="E7" s="46" t="s">
        <v>8</v>
      </c>
      <c r="F7" s="134" t="s">
        <v>9</v>
      </c>
      <c r="G7" s="135">
        <v>0</v>
      </c>
      <c r="H7" s="135">
        <v>0</v>
      </c>
      <c r="I7" s="40">
        <v>0</v>
      </c>
      <c r="J7" s="40">
        <v>0</v>
      </c>
      <c r="K7" s="136">
        <f>SUM(I7:J7)</f>
        <v>0</v>
      </c>
      <c r="L7" s="137" t="e">
        <f t="shared" si="0"/>
        <v>#DIV/0!</v>
      </c>
    </row>
    <row r="8" spans="1:13" s="85" customFormat="1" ht="15" hidden="1" customHeight="1" x14ac:dyDescent="0.25">
      <c r="A8" s="59" t="s">
        <v>9</v>
      </c>
      <c r="B8" s="59" t="s">
        <v>9</v>
      </c>
      <c r="C8" s="26">
        <v>0</v>
      </c>
      <c r="D8" s="46" t="s">
        <v>8</v>
      </c>
      <c r="E8" s="46" t="s">
        <v>8</v>
      </c>
      <c r="F8" s="134" t="s">
        <v>9</v>
      </c>
      <c r="G8" s="135">
        <v>0</v>
      </c>
      <c r="H8" s="135">
        <v>0</v>
      </c>
      <c r="I8" s="40">
        <v>0</v>
      </c>
      <c r="J8" s="40">
        <v>0</v>
      </c>
      <c r="K8" s="136">
        <f>SUM(I8:J8)</f>
        <v>0</v>
      </c>
      <c r="L8" s="137" t="e">
        <f t="shared" si="0"/>
        <v>#DIV/0!</v>
      </c>
    </row>
    <row r="9" spans="1:13" s="85" customFormat="1" ht="15" hidden="1" customHeight="1" x14ac:dyDescent="0.25">
      <c r="A9" s="59" t="s">
        <v>9</v>
      </c>
      <c r="B9" s="59" t="s">
        <v>9</v>
      </c>
      <c r="C9" s="26">
        <v>0</v>
      </c>
      <c r="D9" s="46" t="s">
        <v>8</v>
      </c>
      <c r="E9" s="46" t="s">
        <v>8</v>
      </c>
      <c r="F9" s="134" t="s">
        <v>9</v>
      </c>
      <c r="G9" s="135">
        <v>0</v>
      </c>
      <c r="H9" s="135">
        <v>0</v>
      </c>
      <c r="I9" s="40">
        <v>0</v>
      </c>
      <c r="J9" s="40">
        <v>0</v>
      </c>
      <c r="K9" s="136">
        <f>SUM(I9:J9)</f>
        <v>0</v>
      </c>
      <c r="L9" s="137" t="e">
        <f t="shared" si="0"/>
        <v>#DIV/0!</v>
      </c>
    </row>
    <row r="10" spans="1:13" s="85" customFormat="1" ht="15" hidden="1" customHeight="1" x14ac:dyDescent="0.25">
      <c r="A10" s="59" t="s">
        <v>9</v>
      </c>
      <c r="B10" s="59" t="s">
        <v>9</v>
      </c>
      <c r="C10" s="26">
        <v>0</v>
      </c>
      <c r="D10" s="46" t="s">
        <v>8</v>
      </c>
      <c r="E10" s="46" t="s">
        <v>8</v>
      </c>
      <c r="F10" s="138" t="s">
        <v>9</v>
      </c>
      <c r="G10" s="139">
        <v>0</v>
      </c>
      <c r="H10" s="139">
        <v>0</v>
      </c>
      <c r="I10" s="140">
        <v>0</v>
      </c>
      <c r="J10" s="140">
        <v>0</v>
      </c>
      <c r="K10" s="141">
        <f>SUM(I10:J10)</f>
        <v>0</v>
      </c>
      <c r="L10" s="142" t="e">
        <f t="shared" si="0"/>
        <v>#DIV/0!</v>
      </c>
    </row>
    <row r="11" spans="1:13" s="85" customFormat="1" ht="15" customHeight="1" thickBot="1" x14ac:dyDescent="0.3">
      <c r="A11" s="143"/>
      <c r="B11" s="144" t="s">
        <v>1</v>
      </c>
      <c r="C11" s="145">
        <f>SUM(C6:C10)</f>
        <v>2500</v>
      </c>
      <c r="D11" s="146"/>
      <c r="E11" s="147"/>
      <c r="F11" s="147"/>
      <c r="G11" s="148">
        <f>SUM(G6:G10)</f>
        <v>0</v>
      </c>
      <c r="H11" s="148">
        <f>SUM(H6:H10)</f>
        <v>0</v>
      </c>
      <c r="I11" s="149">
        <f>SUM(I6:I10)</f>
        <v>0</v>
      </c>
      <c r="J11" s="149">
        <f>SUM(J6:J10)</f>
        <v>0</v>
      </c>
      <c r="K11" s="149">
        <f>SUM(K6:K10)</f>
        <v>0</v>
      </c>
      <c r="L11" s="150">
        <f t="shared" si="0"/>
        <v>0</v>
      </c>
    </row>
    <row r="12" spans="1:13" ht="15" customHeight="1" thickTop="1" x14ac:dyDescent="0.25">
      <c r="A12" s="82"/>
      <c r="B12" s="82"/>
      <c r="C12" s="12"/>
      <c r="D12" s="83"/>
      <c r="E12" s="83"/>
      <c r="F12" s="83"/>
      <c r="G12" s="83"/>
      <c r="H12" s="83"/>
      <c r="I12" s="83"/>
      <c r="J12" s="12"/>
      <c r="K12" s="12"/>
      <c r="L12" s="12"/>
      <c r="M12" s="93"/>
    </row>
    <row r="13" spans="1:13" s="85" customFormat="1" ht="15" customHeight="1" x14ac:dyDescent="0.25">
      <c r="A13" s="250" t="s">
        <v>88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</row>
    <row r="14" spans="1:13" s="85" customFormat="1" ht="26.25" x14ac:dyDescent="0.25">
      <c r="A14" s="238" t="s">
        <v>20</v>
      </c>
      <c r="B14" s="239"/>
      <c r="C14" s="72" t="s">
        <v>2</v>
      </c>
      <c r="D14" s="76" t="s">
        <v>15</v>
      </c>
      <c r="E14" s="45" t="s">
        <v>16</v>
      </c>
      <c r="F14" s="44" t="s">
        <v>19</v>
      </c>
      <c r="G14" s="7" t="s">
        <v>12</v>
      </c>
      <c r="H14" s="100" t="s">
        <v>28</v>
      </c>
      <c r="I14" s="108" t="s">
        <v>29</v>
      </c>
      <c r="J14" s="108" t="s">
        <v>30</v>
      </c>
      <c r="K14" s="104" t="s">
        <v>27</v>
      </c>
      <c r="L14" s="72" t="s">
        <v>4</v>
      </c>
    </row>
    <row r="15" spans="1:13" s="85" customFormat="1" ht="15" customHeight="1" x14ac:dyDescent="0.25">
      <c r="A15" s="59">
        <v>44120</v>
      </c>
      <c r="B15" s="59">
        <v>44485</v>
      </c>
      <c r="C15" s="196">
        <v>2500</v>
      </c>
      <c r="D15" s="197" t="s">
        <v>52</v>
      </c>
      <c r="E15" s="197" t="s">
        <v>90</v>
      </c>
      <c r="F15" s="134" t="s">
        <v>9</v>
      </c>
      <c r="G15" s="135">
        <v>0</v>
      </c>
      <c r="H15" s="135">
        <v>0</v>
      </c>
      <c r="I15" s="40">
        <v>0</v>
      </c>
      <c r="J15" s="40">
        <v>0</v>
      </c>
      <c r="K15" s="136">
        <f>SUM(I15:J15)</f>
        <v>0</v>
      </c>
      <c r="L15" s="137">
        <f t="shared" ref="L15:L20" si="1">K15/C15</f>
        <v>0</v>
      </c>
    </row>
    <row r="16" spans="1:13" s="85" customFormat="1" ht="15" hidden="1" customHeight="1" x14ac:dyDescent="0.25">
      <c r="A16" s="59" t="s">
        <v>9</v>
      </c>
      <c r="B16" s="59" t="s">
        <v>9</v>
      </c>
      <c r="C16" s="26">
        <v>0</v>
      </c>
      <c r="D16" s="46" t="s">
        <v>8</v>
      </c>
      <c r="E16" s="46" t="s">
        <v>8</v>
      </c>
      <c r="F16" s="134" t="s">
        <v>9</v>
      </c>
      <c r="G16" s="135">
        <v>0</v>
      </c>
      <c r="H16" s="135">
        <v>0</v>
      </c>
      <c r="I16" s="40">
        <v>0</v>
      </c>
      <c r="J16" s="40">
        <v>0</v>
      </c>
      <c r="K16" s="136">
        <f>SUM(I16:J16)</f>
        <v>0</v>
      </c>
      <c r="L16" s="137" t="e">
        <f t="shared" si="1"/>
        <v>#DIV/0!</v>
      </c>
    </row>
    <row r="17" spans="1:13" s="85" customFormat="1" ht="15" hidden="1" customHeight="1" x14ac:dyDescent="0.25">
      <c r="A17" s="59" t="s">
        <v>9</v>
      </c>
      <c r="B17" s="59" t="s">
        <v>9</v>
      </c>
      <c r="C17" s="26">
        <v>0</v>
      </c>
      <c r="D17" s="46" t="s">
        <v>8</v>
      </c>
      <c r="E17" s="46" t="s">
        <v>8</v>
      </c>
      <c r="F17" s="134" t="s">
        <v>9</v>
      </c>
      <c r="G17" s="135">
        <v>0</v>
      </c>
      <c r="H17" s="135">
        <v>0</v>
      </c>
      <c r="I17" s="40">
        <v>0</v>
      </c>
      <c r="J17" s="40">
        <v>0</v>
      </c>
      <c r="K17" s="136">
        <f>SUM(I17:J17)</f>
        <v>0</v>
      </c>
      <c r="L17" s="137" t="e">
        <f t="shared" si="1"/>
        <v>#DIV/0!</v>
      </c>
    </row>
    <row r="18" spans="1:13" s="85" customFormat="1" ht="15" hidden="1" customHeight="1" x14ac:dyDescent="0.25">
      <c r="A18" s="59" t="s">
        <v>9</v>
      </c>
      <c r="B18" s="59" t="s">
        <v>9</v>
      </c>
      <c r="C18" s="26">
        <v>0</v>
      </c>
      <c r="D18" s="46" t="s">
        <v>8</v>
      </c>
      <c r="E18" s="46" t="s">
        <v>8</v>
      </c>
      <c r="F18" s="134" t="s">
        <v>9</v>
      </c>
      <c r="G18" s="135">
        <v>0</v>
      </c>
      <c r="H18" s="135">
        <v>0</v>
      </c>
      <c r="I18" s="40">
        <v>0</v>
      </c>
      <c r="J18" s="40">
        <v>0</v>
      </c>
      <c r="K18" s="136">
        <f>SUM(I18:J18)</f>
        <v>0</v>
      </c>
      <c r="L18" s="137" t="e">
        <f t="shared" si="1"/>
        <v>#DIV/0!</v>
      </c>
    </row>
    <row r="19" spans="1:13" s="85" customFormat="1" ht="15" hidden="1" customHeight="1" x14ac:dyDescent="0.25">
      <c r="A19" s="59" t="s">
        <v>9</v>
      </c>
      <c r="B19" s="59" t="s">
        <v>9</v>
      </c>
      <c r="C19" s="26">
        <v>0</v>
      </c>
      <c r="D19" s="46" t="s">
        <v>8</v>
      </c>
      <c r="E19" s="46" t="s">
        <v>8</v>
      </c>
      <c r="F19" s="138" t="s">
        <v>9</v>
      </c>
      <c r="G19" s="139">
        <v>0</v>
      </c>
      <c r="H19" s="139">
        <v>0</v>
      </c>
      <c r="I19" s="140">
        <v>0</v>
      </c>
      <c r="J19" s="140">
        <v>0</v>
      </c>
      <c r="K19" s="141">
        <f>SUM(I19:J19)</f>
        <v>0</v>
      </c>
      <c r="L19" s="142" t="e">
        <f t="shared" si="1"/>
        <v>#DIV/0!</v>
      </c>
    </row>
    <row r="20" spans="1:13" s="85" customFormat="1" ht="15" customHeight="1" thickBot="1" x14ac:dyDescent="0.3">
      <c r="A20" s="143"/>
      <c r="B20" s="144" t="s">
        <v>1</v>
      </c>
      <c r="C20" s="145">
        <f>SUM(C15:C19)</f>
        <v>2500</v>
      </c>
      <c r="D20" s="146"/>
      <c r="E20" s="147"/>
      <c r="F20" s="147"/>
      <c r="G20" s="148">
        <f>SUM(G15:G19)</f>
        <v>0</v>
      </c>
      <c r="H20" s="148">
        <f>SUM(H15:H19)</f>
        <v>0</v>
      </c>
      <c r="I20" s="149">
        <f>SUM(I15:I19)</f>
        <v>0</v>
      </c>
      <c r="J20" s="149">
        <f>SUM(J15:J19)</f>
        <v>0</v>
      </c>
      <c r="K20" s="149">
        <f>SUM(K15:K19)</f>
        <v>0</v>
      </c>
      <c r="L20" s="150">
        <f t="shared" si="1"/>
        <v>0</v>
      </c>
    </row>
    <row r="21" spans="1:13" ht="15" customHeight="1" thickTop="1" x14ac:dyDescent="0.25">
      <c r="A21" s="82"/>
      <c r="B21" s="82"/>
      <c r="C21" s="12"/>
      <c r="D21" s="83"/>
      <c r="E21" s="83"/>
      <c r="F21" s="83"/>
      <c r="G21" s="83"/>
      <c r="H21" s="83"/>
      <c r="I21" s="83"/>
      <c r="J21" s="12"/>
      <c r="K21" s="12"/>
      <c r="L21" s="12"/>
      <c r="M21" s="93"/>
    </row>
    <row r="22" spans="1:13" ht="15" customHeight="1" x14ac:dyDescent="0.25">
      <c r="A22" s="237" t="s">
        <v>18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93"/>
    </row>
    <row r="23" spans="1:13" ht="26.25" x14ac:dyDescent="0.25">
      <c r="A23" s="238" t="s">
        <v>20</v>
      </c>
      <c r="B23" s="239"/>
      <c r="C23" s="76" t="s">
        <v>2</v>
      </c>
      <c r="D23" s="76" t="s">
        <v>15</v>
      </c>
      <c r="E23" s="45" t="s">
        <v>16</v>
      </c>
      <c r="F23" s="45" t="s">
        <v>19</v>
      </c>
      <c r="G23" s="38" t="s">
        <v>12</v>
      </c>
      <c r="H23" s="107" t="s">
        <v>28</v>
      </c>
      <c r="I23" s="107" t="s">
        <v>29</v>
      </c>
      <c r="J23" s="107" t="s">
        <v>30</v>
      </c>
      <c r="K23" s="104" t="s">
        <v>27</v>
      </c>
      <c r="L23" s="72" t="s">
        <v>4</v>
      </c>
      <c r="M23" s="93"/>
    </row>
    <row r="24" spans="1:13" x14ac:dyDescent="0.25">
      <c r="A24" s="59">
        <v>44013</v>
      </c>
      <c r="B24" s="59">
        <v>44378</v>
      </c>
      <c r="C24" s="207">
        <v>61337</v>
      </c>
      <c r="D24" s="197" t="s">
        <v>52</v>
      </c>
      <c r="E24" s="197">
        <v>6052101401</v>
      </c>
      <c r="F24" s="189">
        <v>44244</v>
      </c>
      <c r="G24" s="135">
        <v>0</v>
      </c>
      <c r="H24" s="39">
        <v>0</v>
      </c>
      <c r="I24" s="40">
        <v>0</v>
      </c>
      <c r="J24" s="40">
        <v>0</v>
      </c>
      <c r="K24" s="64">
        <f>SUM(I24:J24)</f>
        <v>0</v>
      </c>
      <c r="L24" s="9">
        <f t="shared" ref="L24:L30" si="2">K24/C24</f>
        <v>0</v>
      </c>
      <c r="M24" s="93"/>
    </row>
    <row r="25" spans="1:13" ht="15" customHeight="1" x14ac:dyDescent="0.25">
      <c r="A25" s="59">
        <v>43579</v>
      </c>
      <c r="B25" s="59">
        <v>44013</v>
      </c>
      <c r="C25" s="193">
        <v>39159</v>
      </c>
      <c r="D25" s="197" t="s">
        <v>52</v>
      </c>
      <c r="E25" s="197">
        <v>6052101401</v>
      </c>
      <c r="F25" s="189">
        <v>44244</v>
      </c>
      <c r="G25" s="135">
        <v>0</v>
      </c>
      <c r="H25" s="39">
        <v>0</v>
      </c>
      <c r="I25" s="40">
        <v>0</v>
      </c>
      <c r="J25" s="40">
        <v>0</v>
      </c>
      <c r="K25" s="64">
        <f>SUM(I25:J25)</f>
        <v>0</v>
      </c>
      <c r="L25" s="9">
        <f t="shared" si="2"/>
        <v>0</v>
      </c>
      <c r="M25" s="94"/>
    </row>
    <row r="26" spans="1:13" ht="15" hidden="1" customHeight="1" x14ac:dyDescent="0.25">
      <c r="A26" s="59" t="s">
        <v>9</v>
      </c>
      <c r="B26" s="59" t="s">
        <v>9</v>
      </c>
      <c r="C26" s="23">
        <v>0</v>
      </c>
      <c r="D26" s="46" t="s">
        <v>8</v>
      </c>
      <c r="E26" s="46" t="s">
        <v>8</v>
      </c>
      <c r="F26" s="216">
        <v>44244</v>
      </c>
      <c r="G26" s="47">
        <v>0</v>
      </c>
      <c r="H26" s="77">
        <v>0</v>
      </c>
      <c r="I26" s="63">
        <v>0</v>
      </c>
      <c r="J26" s="63">
        <v>0</v>
      </c>
      <c r="K26" s="64">
        <f>SUM(I26:J26)</f>
        <v>0</v>
      </c>
      <c r="L26" s="9" t="e">
        <f t="shared" si="2"/>
        <v>#DIV/0!</v>
      </c>
      <c r="M26" s="93"/>
    </row>
    <row r="27" spans="1:13" ht="15" hidden="1" customHeight="1" x14ac:dyDescent="0.25">
      <c r="A27" s="59" t="s">
        <v>9</v>
      </c>
      <c r="B27" s="59" t="s">
        <v>9</v>
      </c>
      <c r="C27" s="26">
        <v>0</v>
      </c>
      <c r="D27" s="46" t="s">
        <v>8</v>
      </c>
      <c r="E27" s="46" t="s">
        <v>8</v>
      </c>
      <c r="F27" s="216">
        <v>44244</v>
      </c>
      <c r="G27" s="47">
        <v>0</v>
      </c>
      <c r="H27" s="77">
        <v>0</v>
      </c>
      <c r="I27" s="63">
        <v>0</v>
      </c>
      <c r="J27" s="63">
        <v>0</v>
      </c>
      <c r="K27" s="64">
        <f t="shared" ref="K27:K29" si="3">SUM(I27:J27)</f>
        <v>0</v>
      </c>
      <c r="L27" s="101" t="e">
        <f t="shared" si="2"/>
        <v>#DIV/0!</v>
      </c>
      <c r="M27" s="94"/>
    </row>
    <row r="28" spans="1:13" ht="15" hidden="1" customHeight="1" x14ac:dyDescent="0.25">
      <c r="A28" s="59" t="s">
        <v>9</v>
      </c>
      <c r="B28" s="59" t="s">
        <v>9</v>
      </c>
      <c r="C28" s="26">
        <v>0</v>
      </c>
      <c r="D28" s="46" t="s">
        <v>8</v>
      </c>
      <c r="E28" s="46" t="s">
        <v>8</v>
      </c>
      <c r="F28" s="216">
        <v>44244</v>
      </c>
      <c r="G28" s="47">
        <v>0</v>
      </c>
      <c r="H28" s="77">
        <v>0</v>
      </c>
      <c r="I28" s="63">
        <v>0</v>
      </c>
      <c r="J28" s="63">
        <v>0</v>
      </c>
      <c r="K28" s="64">
        <f t="shared" si="3"/>
        <v>0</v>
      </c>
      <c r="L28" s="102" t="e">
        <f t="shared" si="2"/>
        <v>#DIV/0!</v>
      </c>
      <c r="M28" s="93"/>
    </row>
    <row r="29" spans="1:13" ht="15" hidden="1" customHeight="1" x14ac:dyDescent="0.25">
      <c r="A29" s="59" t="s">
        <v>9</v>
      </c>
      <c r="B29" s="59" t="s">
        <v>9</v>
      </c>
      <c r="C29" s="32">
        <v>0</v>
      </c>
      <c r="D29" s="46" t="s">
        <v>8</v>
      </c>
      <c r="E29" s="46" t="s">
        <v>8</v>
      </c>
      <c r="F29" s="216">
        <v>44244</v>
      </c>
      <c r="G29" s="48">
        <v>0</v>
      </c>
      <c r="H29" s="78">
        <v>0</v>
      </c>
      <c r="I29" s="66">
        <v>0</v>
      </c>
      <c r="J29" s="66">
        <v>0</v>
      </c>
      <c r="K29" s="67">
        <f t="shared" si="3"/>
        <v>0</v>
      </c>
      <c r="L29" s="103" t="e">
        <f t="shared" si="2"/>
        <v>#DIV/0!</v>
      </c>
      <c r="M29" s="93"/>
    </row>
    <row r="30" spans="1:13" ht="15" customHeight="1" thickBot="1" x14ac:dyDescent="0.3">
      <c r="A30" s="90"/>
      <c r="B30" s="91" t="s">
        <v>1</v>
      </c>
      <c r="C30" s="34">
        <f>SUM(C24:C29)</f>
        <v>100496</v>
      </c>
      <c r="D30" s="49"/>
      <c r="E30" s="49"/>
      <c r="F30" s="55"/>
      <c r="G30" s="50">
        <f>SUM(G25:G29)</f>
        <v>0</v>
      </c>
      <c r="H30" s="50">
        <f t="shared" ref="H30:K30" si="4">SUM(H25:H29)</f>
        <v>0</v>
      </c>
      <c r="I30" s="68">
        <f>SUM(I25:I29)</f>
        <v>0</v>
      </c>
      <c r="J30" s="68">
        <f t="shared" si="4"/>
        <v>0</v>
      </c>
      <c r="K30" s="68">
        <f t="shared" si="4"/>
        <v>0</v>
      </c>
      <c r="L30" s="51">
        <f t="shared" si="2"/>
        <v>0</v>
      </c>
      <c r="M30" s="93"/>
    </row>
    <row r="31" spans="1:13" ht="15" customHeight="1" thickTop="1" x14ac:dyDescent="0.25">
      <c r="A31" s="95"/>
      <c r="B31" s="92"/>
      <c r="C31" s="92"/>
      <c r="D31" s="92"/>
      <c r="E31" s="92"/>
      <c r="F31" s="19"/>
      <c r="G31" s="19"/>
      <c r="H31" s="19"/>
      <c r="I31" s="19"/>
      <c r="J31" s="19"/>
      <c r="K31" s="19"/>
      <c r="L31" s="19"/>
      <c r="M31" s="85"/>
    </row>
    <row r="32" spans="1:13" ht="15" hidden="1" customHeight="1" x14ac:dyDescent="0.25">
      <c r="A32" s="237" t="s">
        <v>21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6"/>
      <c r="M32" s="93"/>
    </row>
    <row r="33" spans="1:13" ht="26.25" hidden="1" x14ac:dyDescent="0.25">
      <c r="A33" s="238" t="s">
        <v>20</v>
      </c>
      <c r="B33" s="239"/>
      <c r="C33" s="76" t="s">
        <v>2</v>
      </c>
      <c r="D33" s="76" t="s">
        <v>15</v>
      </c>
      <c r="E33" s="45" t="s">
        <v>16</v>
      </c>
      <c r="F33" s="45" t="s">
        <v>19</v>
      </c>
      <c r="G33" s="38" t="s">
        <v>12</v>
      </c>
      <c r="H33" s="107" t="s">
        <v>28</v>
      </c>
      <c r="I33" s="107" t="s">
        <v>29</v>
      </c>
      <c r="J33" s="107" t="s">
        <v>30</v>
      </c>
      <c r="K33" s="104" t="s">
        <v>27</v>
      </c>
      <c r="L33" s="72" t="s">
        <v>4</v>
      </c>
      <c r="M33" s="93"/>
    </row>
    <row r="34" spans="1:13" ht="15" hidden="1" customHeight="1" x14ac:dyDescent="0.25">
      <c r="A34" s="59" t="e">
        <f>#REF!</f>
        <v>#REF!</v>
      </c>
      <c r="B34" s="61" t="e">
        <f>#REF!</f>
        <v>#REF!</v>
      </c>
      <c r="C34" s="26">
        <v>0</v>
      </c>
      <c r="D34" s="26" t="s">
        <v>8</v>
      </c>
      <c r="E34" s="26" t="s">
        <v>8</v>
      </c>
      <c r="F34" s="26" t="s">
        <v>8</v>
      </c>
      <c r="G34" s="47">
        <v>0</v>
      </c>
      <c r="H34" s="77">
        <v>0</v>
      </c>
      <c r="I34" s="63">
        <v>0</v>
      </c>
      <c r="J34" s="63">
        <v>0</v>
      </c>
      <c r="K34" s="64">
        <f>SUM(I34:J34)</f>
        <v>0</v>
      </c>
      <c r="L34" s="9" t="e">
        <f t="shared" ref="L34:L39" si="5">K34/C34</f>
        <v>#DIV/0!</v>
      </c>
      <c r="M34" s="94"/>
    </row>
    <row r="35" spans="1:13" ht="15" hidden="1" customHeight="1" x14ac:dyDescent="0.25">
      <c r="A35" s="69" t="e">
        <f>#REF!</f>
        <v>#REF!</v>
      </c>
      <c r="B35" s="61" t="e">
        <f>#REF!</f>
        <v>#REF!</v>
      </c>
      <c r="C35" s="26">
        <v>0</v>
      </c>
      <c r="D35" s="26" t="s">
        <v>8</v>
      </c>
      <c r="E35" s="26" t="s">
        <v>8</v>
      </c>
      <c r="F35" s="26" t="s">
        <v>8</v>
      </c>
      <c r="G35" s="47">
        <v>0</v>
      </c>
      <c r="H35" s="77">
        <v>0</v>
      </c>
      <c r="I35" s="63">
        <v>0</v>
      </c>
      <c r="J35" s="63">
        <v>0</v>
      </c>
      <c r="K35" s="64">
        <f>SUM(I35:J35)</f>
        <v>0</v>
      </c>
      <c r="L35" s="9" t="e">
        <f t="shared" si="5"/>
        <v>#DIV/0!</v>
      </c>
      <c r="M35" s="93"/>
    </row>
    <row r="36" spans="1:13" ht="15" hidden="1" customHeight="1" x14ac:dyDescent="0.25">
      <c r="A36" s="69" t="e">
        <f>#REF!</f>
        <v>#REF!</v>
      </c>
      <c r="B36" s="61" t="e">
        <f>#REF!</f>
        <v>#REF!</v>
      </c>
      <c r="C36" s="26">
        <v>0</v>
      </c>
      <c r="D36" s="46" t="s">
        <v>8</v>
      </c>
      <c r="E36" s="26" t="s">
        <v>8</v>
      </c>
      <c r="F36" s="26" t="s">
        <v>8</v>
      </c>
      <c r="G36" s="47">
        <v>0</v>
      </c>
      <c r="H36" s="77">
        <v>0</v>
      </c>
      <c r="I36" s="63">
        <v>0</v>
      </c>
      <c r="J36" s="63">
        <v>0</v>
      </c>
      <c r="K36" s="64">
        <f t="shared" ref="K36:K38" si="6">SUM(I36:J36)</f>
        <v>0</v>
      </c>
      <c r="L36" s="101" t="e">
        <f t="shared" si="5"/>
        <v>#DIV/0!</v>
      </c>
      <c r="M36" s="94"/>
    </row>
    <row r="37" spans="1:13" ht="15" hidden="1" customHeight="1" x14ac:dyDescent="0.25">
      <c r="A37" s="69" t="e">
        <f>#REF!</f>
        <v>#REF!</v>
      </c>
      <c r="B37" s="61" t="e">
        <f>#REF!</f>
        <v>#REF!</v>
      </c>
      <c r="C37" s="26">
        <v>0</v>
      </c>
      <c r="D37" s="46" t="s">
        <v>8</v>
      </c>
      <c r="E37" s="26" t="s">
        <v>8</v>
      </c>
      <c r="F37" s="26" t="s">
        <v>8</v>
      </c>
      <c r="G37" s="47">
        <v>0</v>
      </c>
      <c r="H37" s="77">
        <v>0</v>
      </c>
      <c r="I37" s="63">
        <v>0</v>
      </c>
      <c r="J37" s="63">
        <v>0</v>
      </c>
      <c r="K37" s="64">
        <f t="shared" si="6"/>
        <v>0</v>
      </c>
      <c r="L37" s="102" t="e">
        <f t="shared" si="5"/>
        <v>#DIV/0!</v>
      </c>
      <c r="M37" s="93"/>
    </row>
    <row r="38" spans="1:13" ht="15" hidden="1" customHeight="1" x14ac:dyDescent="0.25">
      <c r="A38" s="58" t="e">
        <f>#REF!</f>
        <v>#REF!</v>
      </c>
      <c r="B38" s="37" t="e">
        <f>#REF!</f>
        <v>#REF!</v>
      </c>
      <c r="C38" s="26">
        <v>0</v>
      </c>
      <c r="D38" s="46" t="s">
        <v>8</v>
      </c>
      <c r="E38" s="26" t="s">
        <v>8</v>
      </c>
      <c r="F38" s="26" t="s">
        <v>8</v>
      </c>
      <c r="G38" s="48">
        <v>0</v>
      </c>
      <c r="H38" s="78">
        <v>0</v>
      </c>
      <c r="I38" s="66">
        <v>0</v>
      </c>
      <c r="J38" s="66">
        <v>0</v>
      </c>
      <c r="K38" s="67">
        <f t="shared" si="6"/>
        <v>0</v>
      </c>
      <c r="L38" s="103" t="e">
        <f t="shared" si="5"/>
        <v>#DIV/0!</v>
      </c>
      <c r="M38" s="93"/>
    </row>
    <row r="39" spans="1:13" ht="15" hidden="1" customHeight="1" thickBot="1" x14ac:dyDescent="0.3">
      <c r="A39" s="90"/>
      <c r="B39" s="91" t="s">
        <v>1</v>
      </c>
      <c r="C39" s="96">
        <f>SUM(C34:C38)</f>
        <v>0</v>
      </c>
      <c r="D39" s="55"/>
      <c r="E39" s="55"/>
      <c r="F39" s="50"/>
      <c r="G39" s="50">
        <f t="shared" ref="G39:K39" si="7">SUM(G34:G38)</f>
        <v>0</v>
      </c>
      <c r="H39" s="50">
        <f t="shared" si="7"/>
        <v>0</v>
      </c>
      <c r="I39" s="68">
        <f t="shared" si="7"/>
        <v>0</v>
      </c>
      <c r="J39" s="68">
        <f t="shared" si="7"/>
        <v>0</v>
      </c>
      <c r="K39" s="68">
        <f t="shared" si="7"/>
        <v>0</v>
      </c>
      <c r="L39" s="51" t="e">
        <f t="shared" si="5"/>
        <v>#DIV/0!</v>
      </c>
      <c r="M39" s="93"/>
    </row>
    <row r="40" spans="1:13" ht="15" hidden="1" customHeight="1" thickTop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3" ht="13.5" customHeight="1" x14ac:dyDescent="0.25">
      <c r="A41" s="237" t="s">
        <v>21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93"/>
    </row>
    <row r="42" spans="1:13" ht="33.75" customHeight="1" x14ac:dyDescent="0.25">
      <c r="A42" s="238" t="s">
        <v>20</v>
      </c>
      <c r="B42" s="239"/>
      <c r="C42" s="76" t="s">
        <v>2</v>
      </c>
      <c r="D42" s="76" t="s">
        <v>15</v>
      </c>
      <c r="E42" s="45" t="s">
        <v>16</v>
      </c>
      <c r="F42" s="45" t="s">
        <v>19</v>
      </c>
      <c r="G42" s="38" t="s">
        <v>12</v>
      </c>
      <c r="H42" s="107" t="s">
        <v>28</v>
      </c>
      <c r="I42" s="107" t="s">
        <v>29</v>
      </c>
      <c r="J42" s="107" t="s">
        <v>30</v>
      </c>
      <c r="K42" s="104" t="s">
        <v>27</v>
      </c>
      <c r="L42" s="72" t="s">
        <v>4</v>
      </c>
      <c r="M42" s="93"/>
    </row>
    <row r="43" spans="1:13" x14ac:dyDescent="0.25">
      <c r="A43" s="59">
        <v>44378</v>
      </c>
      <c r="B43" s="59">
        <v>44743</v>
      </c>
      <c r="C43" s="192">
        <v>13476</v>
      </c>
      <c r="D43" s="197" t="s">
        <v>53</v>
      </c>
      <c r="E43" s="197" t="s">
        <v>69</v>
      </c>
      <c r="F43" s="189">
        <v>44232</v>
      </c>
      <c r="G43" s="135">
        <v>0</v>
      </c>
      <c r="H43" s="135">
        <v>0</v>
      </c>
      <c r="I43" s="40">
        <v>0</v>
      </c>
      <c r="J43" s="40">
        <v>0</v>
      </c>
      <c r="K43" s="64">
        <f>SUM(I43:J43)</f>
        <v>0</v>
      </c>
      <c r="L43" s="9">
        <f t="shared" ref="L43:L48" si="8">K43/C43</f>
        <v>0</v>
      </c>
      <c r="M43" s="93"/>
    </row>
    <row r="44" spans="1:13" ht="15" customHeight="1" x14ac:dyDescent="0.25">
      <c r="A44" s="59">
        <v>43603</v>
      </c>
      <c r="B44" s="59">
        <v>44378</v>
      </c>
      <c r="C44" s="196">
        <v>5733</v>
      </c>
      <c r="D44" s="197" t="s">
        <v>53</v>
      </c>
      <c r="E44" s="197" t="s">
        <v>69</v>
      </c>
      <c r="F44" s="189">
        <v>44232</v>
      </c>
      <c r="G44" s="135">
        <v>0</v>
      </c>
      <c r="H44" s="39">
        <v>0</v>
      </c>
      <c r="I44" s="40">
        <v>0</v>
      </c>
      <c r="J44" s="40">
        <v>0</v>
      </c>
      <c r="K44" s="64">
        <f>SUM(I44:J44)</f>
        <v>0</v>
      </c>
      <c r="L44" s="9">
        <f t="shared" si="8"/>
        <v>0</v>
      </c>
      <c r="M44" s="94"/>
    </row>
    <row r="45" spans="1:13" ht="15" customHeight="1" x14ac:dyDescent="0.25">
      <c r="A45" s="59">
        <v>43238</v>
      </c>
      <c r="B45" s="59">
        <v>43603</v>
      </c>
      <c r="C45" s="223">
        <v>5000</v>
      </c>
      <c r="D45" s="197" t="s">
        <v>53</v>
      </c>
      <c r="E45" s="197" t="s">
        <v>69</v>
      </c>
      <c r="F45" s="189">
        <v>44232</v>
      </c>
      <c r="G45" s="135">
        <v>0</v>
      </c>
      <c r="H45" s="39">
        <v>0</v>
      </c>
      <c r="I45" s="40">
        <v>0</v>
      </c>
      <c r="J45" s="40">
        <v>0</v>
      </c>
      <c r="K45" s="64">
        <f>SUM(I45:J45)</f>
        <v>0</v>
      </c>
      <c r="L45" s="9">
        <v>0</v>
      </c>
      <c r="M45" s="93"/>
    </row>
    <row r="46" spans="1:13" ht="15" customHeight="1" x14ac:dyDescent="0.25">
      <c r="A46" s="59">
        <v>42873</v>
      </c>
      <c r="B46" s="59">
        <v>43238</v>
      </c>
      <c r="C46" s="223">
        <v>5000</v>
      </c>
      <c r="D46" s="197" t="s">
        <v>53</v>
      </c>
      <c r="E46" s="197" t="s">
        <v>69</v>
      </c>
      <c r="F46" s="189">
        <v>44232</v>
      </c>
      <c r="G46" s="135">
        <v>0</v>
      </c>
      <c r="H46" s="39">
        <v>0</v>
      </c>
      <c r="I46" s="40">
        <v>0</v>
      </c>
      <c r="J46" s="40">
        <v>0</v>
      </c>
      <c r="K46" s="64">
        <f t="shared" ref="K46:K47" si="9">SUM(I46:J46)</f>
        <v>0</v>
      </c>
      <c r="L46" s="101">
        <v>0</v>
      </c>
      <c r="M46" s="94"/>
    </row>
    <row r="47" spans="1:13" ht="15" customHeight="1" x14ac:dyDescent="0.25">
      <c r="A47" s="59">
        <v>42508</v>
      </c>
      <c r="B47" s="59">
        <v>42873</v>
      </c>
      <c r="C47" s="226">
        <v>5000</v>
      </c>
      <c r="D47" s="197" t="s">
        <v>53</v>
      </c>
      <c r="E47" s="197" t="s">
        <v>69</v>
      </c>
      <c r="F47" s="189">
        <v>44232</v>
      </c>
      <c r="G47" s="135">
        <v>0</v>
      </c>
      <c r="H47" s="39">
        <v>0</v>
      </c>
      <c r="I47" s="40">
        <v>0</v>
      </c>
      <c r="J47" s="40">
        <v>0</v>
      </c>
      <c r="K47" s="64">
        <f t="shared" si="9"/>
        <v>0</v>
      </c>
      <c r="L47" s="102">
        <v>0</v>
      </c>
      <c r="M47" s="93"/>
    </row>
    <row r="48" spans="1:13" ht="15" customHeight="1" thickBot="1" x14ac:dyDescent="0.3">
      <c r="A48" s="90"/>
      <c r="B48" s="91" t="s">
        <v>1</v>
      </c>
      <c r="C48" s="34">
        <f>SUM(C43:C47)</f>
        <v>34209</v>
      </c>
      <c r="D48" s="49"/>
      <c r="E48" s="49"/>
      <c r="F48" s="55"/>
      <c r="G48" s="50">
        <f>SUM(G43:G47)</f>
        <v>0</v>
      </c>
      <c r="H48" s="50">
        <f t="shared" ref="H48:I48" si="10">SUM(H43:H47)</f>
        <v>0</v>
      </c>
      <c r="I48" s="68">
        <f t="shared" si="10"/>
        <v>0</v>
      </c>
      <c r="J48" s="68">
        <f t="shared" ref="J48" si="11">SUM(J43:J47)</f>
        <v>0</v>
      </c>
      <c r="K48" s="68">
        <f t="shared" ref="K48" si="12">SUM(K43:K47)</f>
        <v>0</v>
      </c>
      <c r="L48" s="51">
        <f t="shared" si="8"/>
        <v>0</v>
      </c>
      <c r="M48" s="93"/>
    </row>
    <row r="49" spans="1:13" ht="15" customHeight="1" thickTop="1" x14ac:dyDescent="0.25">
      <c r="A49" s="95"/>
      <c r="B49" s="92"/>
      <c r="C49" s="92"/>
      <c r="D49" s="92"/>
      <c r="E49" s="92"/>
      <c r="F49" s="19"/>
      <c r="G49" s="19"/>
      <c r="H49" s="19"/>
      <c r="I49" s="19"/>
      <c r="J49" s="19"/>
      <c r="K49" s="19"/>
      <c r="L49" s="19"/>
      <c r="M49" s="85"/>
    </row>
    <row r="50" spans="1:13" ht="15" hidden="1" customHeight="1" x14ac:dyDescent="0.25">
      <c r="A50" s="237" t="s">
        <v>32</v>
      </c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93"/>
    </row>
    <row r="51" spans="1:13" ht="26.25" hidden="1" x14ac:dyDescent="0.25">
      <c r="A51" s="238" t="s">
        <v>20</v>
      </c>
      <c r="B51" s="239"/>
      <c r="C51" s="76" t="s">
        <v>2</v>
      </c>
      <c r="D51" s="76" t="s">
        <v>15</v>
      </c>
      <c r="E51" s="45" t="s">
        <v>16</v>
      </c>
      <c r="F51" s="45" t="s">
        <v>19</v>
      </c>
      <c r="G51" s="38" t="s">
        <v>12</v>
      </c>
      <c r="H51" s="107" t="s">
        <v>28</v>
      </c>
      <c r="I51" s="107" t="s">
        <v>29</v>
      </c>
      <c r="J51" s="107" t="s">
        <v>30</v>
      </c>
      <c r="K51" s="104" t="s">
        <v>27</v>
      </c>
      <c r="L51" s="72" t="s">
        <v>4</v>
      </c>
      <c r="M51" s="93"/>
    </row>
    <row r="52" spans="1:13" ht="15" hidden="1" customHeight="1" x14ac:dyDescent="0.25">
      <c r="A52" s="59" t="s">
        <v>9</v>
      </c>
      <c r="B52" s="3" t="s">
        <v>9</v>
      </c>
      <c r="C52" s="26">
        <v>0</v>
      </c>
      <c r="D52" s="46" t="s">
        <v>8</v>
      </c>
      <c r="E52" s="26" t="s">
        <v>8</v>
      </c>
      <c r="F52" s="26" t="s">
        <v>9</v>
      </c>
      <c r="G52" s="47">
        <v>0</v>
      </c>
      <c r="H52" s="77">
        <v>0</v>
      </c>
      <c r="I52" s="63">
        <v>0</v>
      </c>
      <c r="J52" s="63">
        <v>0</v>
      </c>
      <c r="K52" s="64">
        <f>SUM(I52:J52)</f>
        <v>0</v>
      </c>
      <c r="L52" s="9" t="e">
        <f t="shared" ref="L52:L57" si="13">K52/C52</f>
        <v>#DIV/0!</v>
      </c>
      <c r="M52" s="94"/>
    </row>
    <row r="53" spans="1:13" ht="15" hidden="1" customHeight="1" x14ac:dyDescent="0.25">
      <c r="A53" s="59" t="s">
        <v>9</v>
      </c>
      <c r="B53" s="3" t="s">
        <v>9</v>
      </c>
      <c r="C53" s="26">
        <v>0</v>
      </c>
      <c r="D53" s="46" t="s">
        <v>8</v>
      </c>
      <c r="E53" s="26" t="s">
        <v>8</v>
      </c>
      <c r="F53" s="26" t="s">
        <v>9</v>
      </c>
      <c r="G53" s="47">
        <v>0</v>
      </c>
      <c r="H53" s="77">
        <v>0</v>
      </c>
      <c r="I53" s="63">
        <v>0</v>
      </c>
      <c r="J53" s="63">
        <v>0</v>
      </c>
      <c r="K53" s="64">
        <f>SUM(I53:J53)</f>
        <v>0</v>
      </c>
      <c r="L53" s="9" t="e">
        <f t="shared" si="13"/>
        <v>#DIV/0!</v>
      </c>
      <c r="M53" s="93"/>
    </row>
    <row r="54" spans="1:13" ht="15" hidden="1" customHeight="1" x14ac:dyDescent="0.25">
      <c r="A54" s="59" t="s">
        <v>9</v>
      </c>
      <c r="B54" s="3" t="s">
        <v>9</v>
      </c>
      <c r="C54" s="26">
        <v>0</v>
      </c>
      <c r="D54" s="46" t="s">
        <v>8</v>
      </c>
      <c r="E54" s="26" t="s">
        <v>8</v>
      </c>
      <c r="F54" s="26" t="s">
        <v>9</v>
      </c>
      <c r="G54" s="47">
        <v>0</v>
      </c>
      <c r="H54" s="77">
        <v>0</v>
      </c>
      <c r="I54" s="63">
        <v>0</v>
      </c>
      <c r="J54" s="63">
        <v>0</v>
      </c>
      <c r="K54" s="64">
        <f t="shared" ref="K54:K56" si="14">SUM(I54:J54)</f>
        <v>0</v>
      </c>
      <c r="L54" s="101" t="e">
        <f t="shared" si="13"/>
        <v>#DIV/0!</v>
      </c>
      <c r="M54" s="94"/>
    </row>
    <row r="55" spans="1:13" ht="15" hidden="1" customHeight="1" x14ac:dyDescent="0.25">
      <c r="A55" s="59" t="s">
        <v>9</v>
      </c>
      <c r="B55" s="3" t="s">
        <v>9</v>
      </c>
      <c r="C55" s="26">
        <v>0</v>
      </c>
      <c r="D55" s="46" t="s">
        <v>8</v>
      </c>
      <c r="E55" s="26" t="s">
        <v>8</v>
      </c>
      <c r="F55" s="26" t="s">
        <v>9</v>
      </c>
      <c r="G55" s="47">
        <v>0</v>
      </c>
      <c r="H55" s="77">
        <v>0</v>
      </c>
      <c r="I55" s="63">
        <v>0</v>
      </c>
      <c r="J55" s="63">
        <v>0</v>
      </c>
      <c r="K55" s="64">
        <f t="shared" si="14"/>
        <v>0</v>
      </c>
      <c r="L55" s="102" t="e">
        <f t="shared" si="13"/>
        <v>#DIV/0!</v>
      </c>
      <c r="M55" s="93"/>
    </row>
    <row r="56" spans="1:13" ht="15" hidden="1" customHeight="1" x14ac:dyDescent="0.25">
      <c r="A56" s="58" t="s">
        <v>9</v>
      </c>
      <c r="B56" s="3" t="s">
        <v>9</v>
      </c>
      <c r="C56" s="26">
        <v>0</v>
      </c>
      <c r="D56" s="46" t="s">
        <v>8</v>
      </c>
      <c r="E56" s="26" t="s">
        <v>8</v>
      </c>
      <c r="F56" s="26" t="s">
        <v>9</v>
      </c>
      <c r="G56" s="48">
        <v>0</v>
      </c>
      <c r="H56" s="78">
        <v>0</v>
      </c>
      <c r="I56" s="66">
        <v>0</v>
      </c>
      <c r="J56" s="66">
        <v>0</v>
      </c>
      <c r="K56" s="67">
        <f t="shared" si="14"/>
        <v>0</v>
      </c>
      <c r="L56" s="103" t="e">
        <f t="shared" si="13"/>
        <v>#DIV/0!</v>
      </c>
      <c r="M56" s="93"/>
    </row>
    <row r="57" spans="1:13" ht="15" hidden="1" customHeight="1" thickBot="1" x14ac:dyDescent="0.3">
      <c r="A57" s="90"/>
      <c r="B57" s="91" t="s">
        <v>1</v>
      </c>
      <c r="C57" s="96">
        <f>SUM(C52:C56)</f>
        <v>0</v>
      </c>
      <c r="D57" s="55"/>
      <c r="E57" s="55"/>
      <c r="F57" s="50"/>
      <c r="G57" s="50">
        <f t="shared" ref="G57:K57" si="15">SUM(G52:G56)</f>
        <v>0</v>
      </c>
      <c r="H57" s="50">
        <f t="shared" si="15"/>
        <v>0</v>
      </c>
      <c r="I57" s="68">
        <f t="shared" si="15"/>
        <v>0</v>
      </c>
      <c r="J57" s="68">
        <f t="shared" si="15"/>
        <v>0</v>
      </c>
      <c r="K57" s="68">
        <f t="shared" si="15"/>
        <v>0</v>
      </c>
      <c r="L57" s="51" t="e">
        <f t="shared" si="13"/>
        <v>#DIV/0!</v>
      </c>
      <c r="M57" s="93"/>
    </row>
    <row r="58" spans="1:13" ht="15" hidden="1" customHeight="1" thickTop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3" ht="15" hidden="1" customHeight="1" x14ac:dyDescent="0.25">
      <c r="A59" s="237" t="s">
        <v>23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3" s="79" customFormat="1" ht="26.25" hidden="1" x14ac:dyDescent="0.25">
      <c r="A60" s="1" t="s">
        <v>0</v>
      </c>
      <c r="B60" s="1" t="s">
        <v>41</v>
      </c>
      <c r="C60" s="14" t="s">
        <v>22</v>
      </c>
      <c r="D60" s="126" t="s">
        <v>35</v>
      </c>
      <c r="E60" s="133" t="s">
        <v>36</v>
      </c>
      <c r="F60" s="240" t="s">
        <v>14</v>
      </c>
      <c r="G60" s="241"/>
      <c r="H60" s="242"/>
      <c r="I60" s="2" t="s">
        <v>24</v>
      </c>
      <c r="J60" s="2" t="s">
        <v>29</v>
      </c>
      <c r="K60" s="133" t="s">
        <v>31</v>
      </c>
      <c r="L60" s="133" t="s">
        <v>25</v>
      </c>
      <c r="M60" s="172"/>
    </row>
    <row r="61" spans="1:13" s="79" customFormat="1" ht="15" hidden="1" customHeight="1" x14ac:dyDescent="0.25">
      <c r="A61" s="128"/>
      <c r="B61" s="128"/>
      <c r="C61" s="35"/>
      <c r="D61" s="97"/>
      <c r="E61" s="97"/>
      <c r="F61" s="243"/>
      <c r="G61" s="244"/>
      <c r="H61" s="245"/>
      <c r="I61" s="35"/>
      <c r="J61" s="15"/>
      <c r="K61" s="127"/>
      <c r="L61" s="127"/>
      <c r="M61" s="171"/>
    </row>
    <row r="62" spans="1:13" hidden="1" x14ac:dyDescent="0.25">
      <c r="A62" s="130"/>
      <c r="B62" s="130"/>
      <c r="C62" s="36"/>
      <c r="D62" s="98"/>
      <c r="E62" s="98"/>
      <c r="F62" s="246"/>
      <c r="G62" s="247"/>
      <c r="H62" s="248"/>
      <c r="I62" s="36"/>
      <c r="J62" s="16"/>
      <c r="K62" s="129"/>
      <c r="L62" s="129"/>
      <c r="M62" s="171"/>
    </row>
    <row r="63" spans="1:13" hidden="1" x14ac:dyDescent="0.25">
      <c r="A63" s="132"/>
      <c r="B63" s="132"/>
      <c r="C63" s="70"/>
      <c r="D63" s="99"/>
      <c r="E63" s="99"/>
      <c r="F63" s="234"/>
      <c r="G63" s="235"/>
      <c r="H63" s="236"/>
      <c r="I63" s="70"/>
      <c r="J63" s="71"/>
      <c r="K63" s="131"/>
      <c r="L63" s="131"/>
      <c r="M63" s="171"/>
    </row>
  </sheetData>
  <mergeCells count="19">
    <mergeCell ref="A50:L50"/>
    <mergeCell ref="A1:L1"/>
    <mergeCell ref="A2:L2"/>
    <mergeCell ref="A23:B23"/>
    <mergeCell ref="A32:K32"/>
    <mergeCell ref="A4:L4"/>
    <mergeCell ref="A5:B5"/>
    <mergeCell ref="A22:L22"/>
    <mergeCell ref="A13:L13"/>
    <mergeCell ref="A14:B14"/>
    <mergeCell ref="A33:B33"/>
    <mergeCell ref="A41:L41"/>
    <mergeCell ref="A42:B42"/>
    <mergeCell ref="F62:H62"/>
    <mergeCell ref="F63:H63"/>
    <mergeCell ref="A51:B51"/>
    <mergeCell ref="F61:H61"/>
    <mergeCell ref="A59:L59"/>
    <mergeCell ref="F60:H60"/>
  </mergeCells>
  <phoneticPr fontId="15" type="noConversion"/>
  <printOptions horizontalCentered="1"/>
  <pageMargins left="0.5" right="0.5" top="0.25" bottom="0.25" header="0" footer="0"/>
  <pageSetup scale="80" fitToHeight="0" orientation="landscape" r:id="rId1"/>
  <ignoredErrors>
    <ignoredError sqref="K24:K29 K34:K39 K43:K47 G30:J30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CPL</vt:lpstr>
      <vt:lpstr>PL</vt:lpstr>
      <vt:lpstr>P&amp;C</vt:lpstr>
      <vt:lpstr>Misc</vt:lpstr>
      <vt:lpstr>CPL!Print_Area</vt:lpstr>
      <vt:lpstr>Misc!Print_Area</vt:lpstr>
      <vt:lpstr>'P&amp;C'!Print_Area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mormaza</dc:creator>
  <cp:lastModifiedBy>Nicole Larsen</cp:lastModifiedBy>
  <cp:lastPrinted>2021-03-02T23:16:03Z</cp:lastPrinted>
  <dcterms:created xsi:type="dcterms:W3CDTF">2008-06-13T19:34:10Z</dcterms:created>
  <dcterms:modified xsi:type="dcterms:W3CDTF">2023-02-23T18:06:36Z</dcterms:modified>
</cp:coreProperties>
</file>