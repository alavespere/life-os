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filterPrivacy="1" codeName="ThisWorkbook" defaultThemeVersion="124226"/>
  <xr:revisionPtr revIDLastSave="0" documentId="13_ncr:1_{ED834C98-08B9-466A-9D85-F7E267AF8DFD}" xr6:coauthVersionLast="47" xr6:coauthVersionMax="47" xr10:uidLastSave="{00000000-0000-0000-0000-000000000000}"/>
  <bookViews>
    <workbookView xWindow="540" yWindow="615" windowWidth="25020" windowHeight="14715" tabRatio="891" firstSheet="3" activeTab="7" xr2:uid="{00000000-000D-0000-FFFF-FFFF00000000}"/>
  </bookViews>
  <sheets>
    <sheet name="Cover" sheetId="41" r:id="rId1"/>
    <sheet name="Schedule Named" sheetId="51" r:id="rId2"/>
    <sheet name="Named Insured Analysis " sheetId="59" state="hidden" r:id="rId3"/>
    <sheet name="Renewal Strategy" sheetId="42" r:id="rId4"/>
    <sheet name="Insurers Approached (PL)" sheetId="43" state="hidden" r:id="rId5"/>
    <sheet name="Insurers Approached (All Other)" sheetId="44" r:id="rId6"/>
    <sheet name="Explanation Renewal Comparisons" sheetId="45" r:id="rId7"/>
    <sheet name="Input" sheetId="1" r:id="rId8"/>
    <sheet name="Renewal Summary (Market)" sheetId="2" r:id="rId9"/>
    <sheet name="Renewal Summary (Incumbent)" sheetId="6" state="hidden" r:id="rId10"/>
    <sheet name="Professional Liability" sheetId="7" r:id="rId11"/>
    <sheet name="T5CS General Liab." sheetId="17" r:id="rId12"/>
    <sheet name="T5CS Inland Marine" sheetId="18" r:id="rId13"/>
    <sheet name="T5CS Business Auto" sheetId="31" r:id="rId14"/>
    <sheet name="T5CS Umbrella Liability" sheetId="14" r:id="rId15"/>
    <sheet name="T5CS 1st Excess Liab" sheetId="20" r:id="rId16"/>
    <sheet name="T5CS 2nd Excess Liab" sheetId="37" r:id="rId17"/>
    <sheet name="T5CS 3rd Excess Liab" sheetId="38" r:id="rId18"/>
    <sheet name="T5CS 4th Excess Liab" sheetId="60" r:id="rId19"/>
    <sheet name="T5DC Package - General Liab" sheetId="23" r:id="rId20"/>
    <sheet name="T5DC Package - Property" sheetId="24" r:id="rId21"/>
    <sheet name="Property Coverage by Location" sheetId="12" state="hidden" r:id="rId22"/>
    <sheet name="T5DC Business Auto" sheetId="15" r:id="rId23"/>
    <sheet name="T5DC Umbrella" sheetId="19" r:id="rId24"/>
    <sheet name="T5DC Excess Umbrella" sheetId="61" r:id="rId25"/>
    <sheet name="Workers Comp" sheetId="16" r:id="rId26"/>
    <sheet name="Workers Comp (2)" sheetId="50" r:id="rId27"/>
    <sheet name="Tech E&amp;O" sheetId="21" r:id="rId28"/>
    <sheet name="1st Excess Tech E&amp;O" sheetId="29" r:id="rId29"/>
    <sheet name="OCP" sheetId="30" state="hidden" r:id="rId30"/>
    <sheet name="2nd Excess Tech E&amp;O" sheetId="62" r:id="rId31"/>
    <sheet name="3rd Excess Tech E&amp;O" sheetId="36" r:id="rId32"/>
    <sheet name="4th Excess Tech E&amp;O" sheetId="63" r:id="rId33"/>
    <sheet name="Executive Liability" sheetId="22" r:id="rId34"/>
    <sheet name="Crime" sheetId="33" r:id="rId35"/>
    <sheet name="Excess Crime" sheetId="35" r:id="rId36"/>
    <sheet name="BTA" sheetId="28" r:id="rId37"/>
    <sheet name="T5CS Foreign Package" sheetId="27" state="hidden" r:id="rId38"/>
    <sheet name="Property" sheetId="13" state="hidden" r:id="rId39"/>
    <sheet name="Package - Inland Marine" sheetId="25" state="hidden" r:id="rId40"/>
    <sheet name="Watercraft" sheetId="26" state="hidden" r:id="rId41"/>
    <sheet name="T5DC Foreign Package" sheetId="34" state="hidden" r:id="rId42"/>
    <sheet name="Drone" sheetId="39" state="hidden" r:id="rId43"/>
    <sheet name="Employed Lawyers" sheetId="64" r:id="rId44"/>
    <sheet name="Subjectivities" sheetId="8" r:id="rId45"/>
    <sheet name="Policies Subject to Audit" sheetId="53" state="hidden" r:id="rId46"/>
    <sheet name="Premium Audit" sheetId="58" state="hidden" r:id="rId47"/>
    <sheet name="When to Call" sheetId="40" state="hidden" r:id="rId48"/>
    <sheet name="CoC" sheetId="4" state="hidden" r:id="rId49"/>
    <sheet name="Program Changes" sheetId="54" state="hidden" r:id="rId50"/>
    <sheet name="Reporting Claims" sheetId="46" r:id="rId51"/>
    <sheet name="Payment Options" sheetId="47" r:id="rId52"/>
    <sheet name="Greyling Service Team" sheetId="52" r:id="rId53"/>
    <sheet name="Appendix" sheetId="49" r:id="rId54"/>
    <sheet name="Final Page" sheetId="57" r:id="rId55"/>
  </sheets>
  <externalReferences>
    <externalReference r:id="rId56"/>
  </externalReferences>
  <definedNames>
    <definedName name="_xlnm._FilterDatabase" localSheetId="47" hidden="1">'When to Call'!$B$2:$F$32</definedName>
    <definedName name="_xlnm.Print_Area" localSheetId="28">'1st Excess Tech E&amp;O'!$B$4:$D$65</definedName>
    <definedName name="_xlnm.Print_Area" localSheetId="30">'2nd Excess Tech E&amp;O'!$B$4:$D$65</definedName>
    <definedName name="_xlnm.Print_Area" localSheetId="31">'3rd Excess Tech E&amp;O'!$B$4:$D$44</definedName>
    <definedName name="_xlnm.Print_Area" localSheetId="32">'4th Excess Tech E&amp;O'!$B$4:$D$49</definedName>
    <definedName name="_xlnm.Print_Area" localSheetId="53">Appendix!$A$1:$C$51</definedName>
    <definedName name="_xlnm.Print_Area" localSheetId="36">BTA!$B$4:$D$49</definedName>
    <definedName name="_xlnm.Print_Area" localSheetId="48">CoC!$A$1:$J$220</definedName>
    <definedName name="_xlnm.Print_Area" localSheetId="0">Cover!$B$2:$I$15</definedName>
    <definedName name="_xlnm.Print_Area" localSheetId="34">Crime!$B$4:$D$65</definedName>
    <definedName name="_xlnm.Print_Area" localSheetId="42">Drone!$B$4:$F$80</definedName>
    <definedName name="_xlnm.Print_Area" localSheetId="43">'Employed Lawyers'!$B$4:$D$47</definedName>
    <definedName name="_xlnm.Print_Area" localSheetId="35">'Excess Crime'!$B$4:$D$56</definedName>
    <definedName name="_xlnm.Print_Area" localSheetId="33">'Executive Liability'!$B$4:$D$140</definedName>
    <definedName name="_xlnm.Print_Area" localSheetId="6">'Explanation Renewal Comparisons'!$A$1:$E$24</definedName>
    <definedName name="_xlnm.Print_Area" localSheetId="5">'Insurers Approached (All Other)'!$A$1:$D$73</definedName>
    <definedName name="_xlnm.Print_Area" localSheetId="4">'Insurers Approached (PL)'!$A$1:$D$10</definedName>
    <definedName name="_xlnm.Print_Area" localSheetId="29">OCP!$B$4:$D$60</definedName>
    <definedName name="_xlnm.Print_Area" localSheetId="39">'Package - Inland Marine'!$B$4:$F$71</definedName>
    <definedName name="_xlnm.Print_Area" localSheetId="51">'Payment Options'!$A$1:$I$123</definedName>
    <definedName name="_xlnm.Print_Area" localSheetId="45">'Policies Subject to Audit'!$A$1:$A$33</definedName>
    <definedName name="_xlnm.Print_Area" localSheetId="10">'Professional Liability'!$B$4:$F$131</definedName>
    <definedName name="_xlnm.Print_Area" localSheetId="49">'Program Changes'!$A$1:$B$33</definedName>
    <definedName name="_xlnm.Print_Area" localSheetId="38">Property!$B$4:$F$96</definedName>
    <definedName name="_xlnm.Print_Area" localSheetId="21">'Property Coverage by Location'!$A$4:$Y$66</definedName>
    <definedName name="_xlnm.Print_Area" localSheetId="3">'Renewal Strategy'!$A$1:$D$10</definedName>
    <definedName name="_xlnm.Print_Area" localSheetId="9">'Renewal Summary (Incumbent)'!$B$4:$F$242</definedName>
    <definedName name="_xlnm.Print_Area" localSheetId="8">'Renewal Summary (Market)'!$B$4:$H$221</definedName>
    <definedName name="_xlnm.Print_Area" localSheetId="1">'Schedule Named'!$A$1:$E$22</definedName>
    <definedName name="_xlnm.Print_Area" localSheetId="44">Subjectivities!$B$4:$C$38</definedName>
    <definedName name="_xlnm.Print_Area" localSheetId="15">'T5CS 1st Excess Liab'!$B$4:$D$95</definedName>
    <definedName name="_xlnm.Print_Area" localSheetId="16">'T5CS 2nd Excess Liab'!$B$4:$D$129</definedName>
    <definedName name="_xlnm.Print_Area" localSheetId="17">'T5CS 3rd Excess Liab'!$B$4:$D$136</definedName>
    <definedName name="_xlnm.Print_Area" localSheetId="18">'T5CS 4th Excess Liab'!$B$4:$D$51</definedName>
    <definedName name="_xlnm.Print_Area" localSheetId="13">'T5CS Business Auto'!$B$4:$D$200</definedName>
    <definedName name="_xlnm.Print_Area" localSheetId="37">'T5CS Foreign Package'!$B$4:$D$158</definedName>
    <definedName name="_xlnm.Print_Area" localSheetId="11">'T5CS General Liab.'!$B$4:$D$109</definedName>
    <definedName name="_xlnm.Print_Area" localSheetId="12">'T5CS Inland Marine'!$B$4:$D$70</definedName>
    <definedName name="_xlnm.Print_Area" localSheetId="14">'T5CS Umbrella Liability'!$B$4:$D$136</definedName>
    <definedName name="_xlnm.Print_Area" localSheetId="22">'T5DC Business Auto'!$B$4:$D$107</definedName>
    <definedName name="_xlnm.Print_Area" localSheetId="24">'T5DC Excess Umbrella'!$B$4:$D$101</definedName>
    <definedName name="_xlnm.Print_Area" localSheetId="41">'T5DC Foreign Package'!$B$4:$D$117</definedName>
    <definedName name="_xlnm.Print_Area" localSheetId="19">'T5DC Package - General Liab'!$B$4:$D$125</definedName>
    <definedName name="_xlnm.Print_Area" localSheetId="20">'T5DC Package - Property'!$B$4:$D$79</definedName>
    <definedName name="_xlnm.Print_Area" localSheetId="23">'T5DC Umbrella'!$B$4:$D$147</definedName>
    <definedName name="_xlnm.Print_Area" localSheetId="27">'Tech E&amp;O'!$B$4:$D$96</definedName>
    <definedName name="_xlnm.Print_Area" localSheetId="40">Watercraft!$B$4:$D$65</definedName>
    <definedName name="_xlnm.Print_Area" localSheetId="47">'When to Call'!$B$1:$F$32</definedName>
    <definedName name="_xlnm.Print_Area" localSheetId="25">'Workers Comp'!$B$4:$D$104</definedName>
    <definedName name="_xlnm.Print_Area" localSheetId="26">'Workers Comp (2)'!$B$4:$D$101</definedName>
    <definedName name="_xlnm.Print_Titles" localSheetId="28">'1st Excess Tech E&amp;O'!$41:$41</definedName>
    <definedName name="_xlnm.Print_Titles" localSheetId="30">'2nd Excess Tech E&amp;O'!$41:$41</definedName>
    <definedName name="_xlnm.Print_Titles" localSheetId="31">'3rd Excess Tech E&amp;O'!$39:$39</definedName>
    <definedName name="_xlnm.Print_Titles" localSheetId="32">'4th Excess Tech E&amp;O'!$39:$39</definedName>
    <definedName name="_xlnm.Print_Titles" localSheetId="48">CoC!$5:$5</definedName>
    <definedName name="_xlnm.Print_Titles" localSheetId="42">Drone!$49:$49</definedName>
    <definedName name="_xlnm.Print_Titles" localSheetId="43">'Employed Lawyers'!$31:$31</definedName>
    <definedName name="_xlnm.Print_Titles" localSheetId="29">OCP!$39:$39</definedName>
    <definedName name="_xlnm.Print_Titles" localSheetId="9">'Renewal Summary (Incumbent)'!$4:$5</definedName>
    <definedName name="_xlnm.Print_Titles" localSheetId="8">'Renewal Summary (Market)'!$4:$5</definedName>
    <definedName name="_xlnm.Print_Titles" localSheetId="44">Subjectivities!$4:$4</definedName>
    <definedName name="_xlnm.Print_Titles" localSheetId="47">'When to Call'!$2:$2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1" l="1"/>
  <c r="D7" i="17"/>
  <c r="G1210" i="1"/>
  <c r="L204" i="1" l="1"/>
  <c r="K206" i="1"/>
  <c r="B129" i="2" l="1"/>
  <c r="B123" i="2"/>
  <c r="B117" i="2"/>
  <c r="F115" i="2" l="1"/>
  <c r="C115" i="2"/>
  <c r="F121" i="2"/>
  <c r="B128" i="2"/>
  <c r="F127" i="2"/>
  <c r="C127" i="2"/>
  <c r="B126" i="2"/>
  <c r="E130" i="2"/>
  <c r="E128" i="2"/>
  <c r="E127" i="2"/>
  <c r="F186" i="2"/>
  <c r="F178" i="2"/>
  <c r="F167" i="2"/>
  <c r="F195" i="2"/>
  <c r="F194" i="2"/>
  <c r="B195" i="2"/>
  <c r="B193" i="2"/>
  <c r="E196" i="2"/>
  <c r="G196" i="2" s="1"/>
  <c r="H195" i="2"/>
  <c r="G195" i="2"/>
  <c r="E195" i="2"/>
  <c r="E194" i="2"/>
  <c r="F60" i="2"/>
  <c r="F54" i="2"/>
  <c r="F48" i="2"/>
  <c r="D16" i="63"/>
  <c r="C16" i="63"/>
  <c r="D13" i="63"/>
  <c r="C13" i="63"/>
  <c r="D11" i="63"/>
  <c r="C11" i="63"/>
  <c r="D10" i="63"/>
  <c r="C10" i="63"/>
  <c r="D7" i="63"/>
  <c r="C7" i="63"/>
  <c r="D6" i="63"/>
  <c r="C6" i="63"/>
  <c r="D5" i="63"/>
  <c r="C5" i="63"/>
  <c r="E1297" i="1"/>
  <c r="C1297" i="1"/>
  <c r="C128" i="2" s="1"/>
  <c r="B1163" i="1"/>
  <c r="C124" i="2" s="1"/>
  <c r="D1163" i="1"/>
  <c r="F124" i="2" s="1"/>
  <c r="G1161" i="1"/>
  <c r="E1169" i="1"/>
  <c r="H1161" i="1" s="1"/>
  <c r="C1169" i="1"/>
  <c r="B1156" i="1" s="1"/>
  <c r="C123" i="2" s="1"/>
  <c r="D13" i="62"/>
  <c r="C13" i="62"/>
  <c r="D11" i="62"/>
  <c r="C11" i="62"/>
  <c r="D10" i="62"/>
  <c r="C10" i="62"/>
  <c r="D9" i="62"/>
  <c r="C9" i="62"/>
  <c r="D7" i="62"/>
  <c r="C7" i="62"/>
  <c r="D6" i="62"/>
  <c r="C6" i="62"/>
  <c r="D5" i="62"/>
  <c r="C5" i="62"/>
  <c r="E1266" i="1"/>
  <c r="F116" i="2" s="1"/>
  <c r="C1266" i="1"/>
  <c r="C116" i="2" s="1"/>
  <c r="F128" i="2" l="1"/>
  <c r="H1289" i="1"/>
  <c r="E1298" i="1"/>
  <c r="C1280" i="1" s="1"/>
  <c r="C1282" i="1" s="1"/>
  <c r="D129" i="2" s="1"/>
  <c r="D116" i="2"/>
  <c r="E1267" i="1"/>
  <c r="C1249" i="1" s="1"/>
  <c r="C1251" i="1" s="1"/>
  <c r="D117" i="2" s="1"/>
  <c r="F122" i="2"/>
  <c r="D1156" i="1"/>
  <c r="F123" i="2" s="1"/>
  <c r="B870" i="1"/>
  <c r="D870" i="1"/>
  <c r="F171" i="2" s="1"/>
  <c r="C26" i="60"/>
  <c r="G642" i="1"/>
  <c r="G59" i="64"/>
  <c r="G58" i="64"/>
  <c r="G57" i="64"/>
  <c r="G56" i="64"/>
  <c r="G55" i="64"/>
  <c r="G54" i="64"/>
  <c r="G53" i="64"/>
  <c r="G52" i="64"/>
  <c r="G51" i="64"/>
  <c r="G50" i="64"/>
  <c r="G49" i="64"/>
  <c r="G48" i="64"/>
  <c r="G47" i="64"/>
  <c r="G46" i="64"/>
  <c r="G45" i="64"/>
  <c r="G44" i="64"/>
  <c r="G43" i="64"/>
  <c r="G42" i="64"/>
  <c r="G41" i="64"/>
  <c r="G39" i="64"/>
  <c r="G38" i="64"/>
  <c r="G37" i="64"/>
  <c r="G36" i="64"/>
  <c r="G35" i="64"/>
  <c r="G34" i="64"/>
  <c r="G33" i="64"/>
  <c r="G32" i="64"/>
  <c r="G30" i="64"/>
  <c r="G29" i="64"/>
  <c r="G28" i="64"/>
  <c r="G27" i="64"/>
  <c r="G26" i="64"/>
  <c r="G25" i="64"/>
  <c r="G24" i="64"/>
  <c r="G23" i="64"/>
  <c r="L19" i="64"/>
  <c r="M17" i="64"/>
  <c r="N17" i="64" s="1"/>
  <c r="F14" i="64"/>
  <c r="D14" i="64"/>
  <c r="C14" i="64"/>
  <c r="F12" i="64"/>
  <c r="D12" i="64"/>
  <c r="C12" i="64"/>
  <c r="F11" i="64"/>
  <c r="D11" i="64"/>
  <c r="C11" i="64"/>
  <c r="F10" i="64"/>
  <c r="D10" i="64"/>
  <c r="C10" i="64"/>
  <c r="F9" i="64"/>
  <c r="D9" i="64"/>
  <c r="C9" i="64"/>
  <c r="F8" i="64"/>
  <c r="D8" i="64"/>
  <c r="C8" i="64"/>
  <c r="B8" i="64"/>
  <c r="F7" i="64"/>
  <c r="D7" i="64"/>
  <c r="C7" i="64"/>
  <c r="B7" i="64"/>
  <c r="F6" i="64"/>
  <c r="D6" i="64"/>
  <c r="C6" i="64"/>
  <c r="F5" i="64"/>
  <c r="D5" i="64"/>
  <c r="C5" i="64"/>
  <c r="F3" i="64"/>
  <c r="D3" i="64"/>
  <c r="B2" i="64"/>
  <c r="C13" i="64" l="1"/>
  <c r="D13" i="64"/>
  <c r="F13" i="64"/>
  <c r="B2" i="63"/>
  <c r="G47" i="63"/>
  <c r="G46" i="63"/>
  <c r="G45" i="63"/>
  <c r="G44" i="63"/>
  <c r="G43" i="63"/>
  <c r="G42" i="63"/>
  <c r="G41" i="63"/>
  <c r="G40" i="63"/>
  <c r="G39" i="63"/>
  <c r="G38" i="63"/>
  <c r="G37" i="63"/>
  <c r="G36" i="63"/>
  <c r="G35" i="63"/>
  <c r="G34" i="63"/>
  <c r="G33" i="63"/>
  <c r="G32" i="63"/>
  <c r="G31" i="63"/>
  <c r="G30" i="63"/>
  <c r="G29" i="63"/>
  <c r="G28" i="63"/>
  <c r="G27" i="63"/>
  <c r="F16" i="63"/>
  <c r="F14" i="63"/>
  <c r="D14" i="63"/>
  <c r="C14" i="63"/>
  <c r="B14" i="63"/>
  <c r="F13" i="63"/>
  <c r="F11" i="63"/>
  <c r="B11" i="63"/>
  <c r="F10" i="63"/>
  <c r="B10" i="63"/>
  <c r="F8" i="63"/>
  <c r="D8" i="63"/>
  <c r="C8" i="63"/>
  <c r="B8" i="63"/>
  <c r="F7" i="63"/>
  <c r="B7" i="63"/>
  <c r="F6" i="63"/>
  <c r="F5" i="63"/>
  <c r="F3" i="63"/>
  <c r="D3" i="63"/>
  <c r="B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5" i="62"/>
  <c r="G24" i="62"/>
  <c r="F13" i="62"/>
  <c r="F11" i="62"/>
  <c r="F10" i="62"/>
  <c r="F9" i="62"/>
  <c r="F8" i="62"/>
  <c r="D8" i="62"/>
  <c r="C8" i="62"/>
  <c r="B8" i="62"/>
  <c r="F7" i="62"/>
  <c r="B7" i="62"/>
  <c r="F6" i="62"/>
  <c r="F5" i="62"/>
  <c r="F3" i="62"/>
  <c r="D3" i="62"/>
  <c r="E1323" i="1"/>
  <c r="C1311" i="1" s="1"/>
  <c r="D1322" i="1"/>
  <c r="E1319" i="1"/>
  <c r="D1319" i="1"/>
  <c r="F196" i="2" s="1"/>
  <c r="C1309" i="1"/>
  <c r="C1307" i="1"/>
  <c r="E1313" i="1" l="1"/>
  <c r="D1313" i="1"/>
  <c r="C1315" i="1"/>
  <c r="C1317" i="1"/>
  <c r="E1282" i="1" l="1"/>
  <c r="D1297" i="1"/>
  <c r="E1291" i="1"/>
  <c r="D1291" i="1"/>
  <c r="B1291" i="1"/>
  <c r="G1289" i="1"/>
  <c r="B1282" i="1"/>
  <c r="C129" i="2" s="1"/>
  <c r="C1278" i="1"/>
  <c r="C1276" i="1"/>
  <c r="D127" i="2" s="1"/>
  <c r="E1251" i="1"/>
  <c r="D1266" i="1"/>
  <c r="E1260" i="1"/>
  <c r="D1260" i="1"/>
  <c r="B1260" i="1"/>
  <c r="G1258" i="1"/>
  <c r="C1256" i="1"/>
  <c r="D1251" i="1"/>
  <c r="F117" i="2" s="1"/>
  <c r="H117" i="2" s="1"/>
  <c r="B1251" i="1"/>
  <c r="C117" i="2" s="1"/>
  <c r="C1247" i="1"/>
  <c r="C1245" i="1"/>
  <c r="D115" i="2" s="1"/>
  <c r="G1061" i="1"/>
  <c r="D15" i="62" l="1"/>
  <c r="F118" i="2"/>
  <c r="C15" i="62"/>
  <c r="C14" i="62" s="1"/>
  <c r="C118" i="2"/>
  <c r="C18" i="63"/>
  <c r="C17" i="63" s="1"/>
  <c r="C130" i="2"/>
  <c r="D18" i="63"/>
  <c r="F130" i="2"/>
  <c r="D1282" i="1"/>
  <c r="F129" i="2" s="1"/>
  <c r="H129" i="2" s="1"/>
  <c r="I206" i="1"/>
  <c r="B195" i="1" s="1"/>
  <c r="C195" i="1" s="1"/>
  <c r="C193" i="1" s="1"/>
  <c r="B111" i="2"/>
  <c r="F210" i="1"/>
  <c r="F209" i="1"/>
  <c r="E211" i="1" s="1"/>
  <c r="C47" i="44"/>
  <c r="B47" i="44"/>
  <c r="C46" i="44"/>
  <c r="B46" i="44"/>
  <c r="E664" i="1" l="1"/>
  <c r="F93" i="2"/>
  <c r="E93" i="2"/>
  <c r="C93" i="2"/>
  <c r="B2" i="61"/>
  <c r="B26" i="8" s="1"/>
  <c r="D25" i="61" l="1"/>
  <c r="C25" i="61"/>
  <c r="D24" i="61"/>
  <c r="D23" i="61"/>
  <c r="D22" i="61"/>
  <c r="C24" i="61"/>
  <c r="C23" i="61"/>
  <c r="C22" i="61"/>
  <c r="D20" i="61"/>
  <c r="C20" i="61"/>
  <c r="B19" i="61"/>
  <c r="D11" i="61"/>
  <c r="C11" i="61"/>
  <c r="D9" i="61"/>
  <c r="D10" i="61"/>
  <c r="C10" i="61"/>
  <c r="C9" i="61"/>
  <c r="D7" i="61"/>
  <c r="C7" i="61"/>
  <c r="D6" i="61"/>
  <c r="C6" i="61"/>
  <c r="D5" i="61"/>
  <c r="C5" i="61"/>
  <c r="H1238" i="1"/>
  <c r="H1233" i="1"/>
  <c r="F1238" i="1"/>
  <c r="E1238" i="1"/>
  <c r="D1238" i="1"/>
  <c r="C1238" i="1"/>
  <c r="F1233" i="1"/>
  <c r="E1233" i="1"/>
  <c r="D1233" i="1"/>
  <c r="C1233" i="1"/>
  <c r="C1225" i="1"/>
  <c r="C94" i="2" s="1"/>
  <c r="H1210" i="1"/>
  <c r="H1211" i="1" s="1"/>
  <c r="C68" i="44"/>
  <c r="E1069" i="1" l="1"/>
  <c r="D110" i="2" s="1"/>
  <c r="E40" i="1" l="1"/>
  <c r="G40" i="1"/>
  <c r="F10" i="2" s="1"/>
  <c r="B95" i="2"/>
  <c r="B94" i="2"/>
  <c r="B92" i="2"/>
  <c r="G96" i="61"/>
  <c r="G95" i="61"/>
  <c r="G94" i="61"/>
  <c r="G93" i="61"/>
  <c r="G92" i="61"/>
  <c r="G91" i="61"/>
  <c r="G90" i="61"/>
  <c r="G89" i="61"/>
  <c r="G88" i="61"/>
  <c r="G87" i="61"/>
  <c r="G86" i="61"/>
  <c r="G85" i="61"/>
  <c r="G84" i="61"/>
  <c r="G83" i="61"/>
  <c r="G82" i="61"/>
  <c r="G81" i="61"/>
  <c r="G80" i="61"/>
  <c r="G79" i="61"/>
  <c r="G78" i="61"/>
  <c r="G77" i="61"/>
  <c r="G76" i="61"/>
  <c r="G75" i="61"/>
  <c r="G74" i="61"/>
  <c r="G73" i="61"/>
  <c r="G72" i="61"/>
  <c r="G71" i="61"/>
  <c r="G70" i="61"/>
  <c r="G69" i="61"/>
  <c r="G68" i="61"/>
  <c r="G67" i="61"/>
  <c r="G66" i="61"/>
  <c r="G65" i="61"/>
  <c r="G64" i="61"/>
  <c r="G63" i="61"/>
  <c r="G62" i="61"/>
  <c r="G61" i="61"/>
  <c r="G60" i="61"/>
  <c r="G59" i="61"/>
  <c r="G58" i="61"/>
  <c r="G57" i="61"/>
  <c r="G56" i="61"/>
  <c r="G55" i="61"/>
  <c r="G54" i="61"/>
  <c r="G53" i="61"/>
  <c r="G52" i="61"/>
  <c r="G51" i="61"/>
  <c r="G50" i="61"/>
  <c r="G49" i="61"/>
  <c r="G48" i="61"/>
  <c r="G47" i="61"/>
  <c r="G46" i="61"/>
  <c r="G45" i="61"/>
  <c r="G44" i="61"/>
  <c r="G43" i="61"/>
  <c r="G42" i="61"/>
  <c r="G41" i="61"/>
  <c r="G40" i="61"/>
  <c r="G39" i="61"/>
  <c r="G38" i="61"/>
  <c r="G37" i="61"/>
  <c r="G36" i="61"/>
  <c r="G35" i="61"/>
  <c r="D26" i="61"/>
  <c r="F26" i="61" s="1"/>
  <c r="B26" i="61"/>
  <c r="B25" i="61"/>
  <c r="B21" i="61"/>
  <c r="F20" i="61"/>
  <c r="B20" i="61"/>
  <c r="B18" i="61"/>
  <c r="F15" i="61"/>
  <c r="F14" i="61"/>
  <c r="D14" i="61"/>
  <c r="C14" i="61"/>
  <c r="F13" i="61"/>
  <c r="F11" i="61"/>
  <c r="B11" i="61"/>
  <c r="F10" i="61"/>
  <c r="F9" i="61"/>
  <c r="F8" i="61"/>
  <c r="D8" i="61"/>
  <c r="C8" i="61"/>
  <c r="B8" i="61"/>
  <c r="F7" i="61"/>
  <c r="B7" i="61"/>
  <c r="F6" i="61"/>
  <c r="F5" i="61"/>
  <c r="F3" i="61"/>
  <c r="D3" i="61"/>
  <c r="G1238" i="1"/>
  <c r="B1238" i="1"/>
  <c r="E1237" i="1"/>
  <c r="D1237" i="1"/>
  <c r="G1233" i="1"/>
  <c r="E1232" i="1"/>
  <c r="D1232" i="1"/>
  <c r="D1225" i="1"/>
  <c r="E1218" i="1"/>
  <c r="D1218" i="1"/>
  <c r="B1218" i="1"/>
  <c r="B1210" i="1"/>
  <c r="C95" i="2" s="1"/>
  <c r="C1206" i="1"/>
  <c r="C1204" i="1"/>
  <c r="D93" i="2" s="1"/>
  <c r="F801" i="1"/>
  <c r="E801" i="1"/>
  <c r="L205" i="1"/>
  <c r="F96" i="2" l="1"/>
  <c r="E96" i="2"/>
  <c r="D16" i="61"/>
  <c r="D13" i="61"/>
  <c r="C96" i="2"/>
  <c r="C16" i="61"/>
  <c r="C13" i="61"/>
  <c r="D664" i="1"/>
  <c r="B16" i="8" l="1"/>
  <c r="C16" i="8"/>
  <c r="G39" i="34"/>
  <c r="G40" i="34"/>
  <c r="G41" i="34"/>
  <c r="G42" i="34"/>
  <c r="G43" i="34"/>
  <c r="G44" i="34"/>
  <c r="G45" i="34"/>
  <c r="G46" i="34"/>
  <c r="G47" i="34"/>
  <c r="G48" i="34"/>
  <c r="G49" i="34"/>
  <c r="G50" i="34"/>
  <c r="G51" i="34"/>
  <c r="G52" i="34"/>
  <c r="G53" i="34"/>
  <c r="G54" i="34"/>
  <c r="G55" i="34"/>
  <c r="G56" i="34"/>
  <c r="G57" i="34"/>
  <c r="G58" i="34"/>
  <c r="G59" i="34"/>
  <c r="G60" i="34"/>
  <c r="G61" i="34"/>
  <c r="G62" i="34"/>
  <c r="G63" i="34"/>
  <c r="G64" i="34"/>
  <c r="G65" i="34"/>
  <c r="G66" i="34"/>
  <c r="G67" i="34"/>
  <c r="G68" i="34"/>
  <c r="G69" i="34"/>
  <c r="G70" i="34"/>
  <c r="G71" i="34"/>
  <c r="G72" i="34"/>
  <c r="G73" i="34"/>
  <c r="G74" i="34"/>
  <c r="G75" i="34"/>
  <c r="G76" i="34"/>
  <c r="G77" i="34"/>
  <c r="G78" i="34"/>
  <c r="G79" i="34"/>
  <c r="G80" i="34"/>
  <c r="G81" i="34"/>
  <c r="G82" i="34"/>
  <c r="G83" i="34"/>
  <c r="G84" i="34"/>
  <c r="G85" i="34"/>
  <c r="G86" i="34"/>
  <c r="G87" i="34"/>
  <c r="G88" i="34"/>
  <c r="G89" i="34"/>
  <c r="G90" i="34"/>
  <c r="G91" i="34"/>
  <c r="G92" i="34"/>
  <c r="G93" i="34"/>
  <c r="G94" i="34"/>
  <c r="G95" i="34"/>
  <c r="G96" i="34"/>
  <c r="G97" i="34"/>
  <c r="G98" i="34"/>
  <c r="G99" i="34"/>
  <c r="G100" i="34"/>
  <c r="G101" i="34"/>
  <c r="G102" i="34"/>
  <c r="G103" i="34"/>
  <c r="G104" i="34"/>
  <c r="G105" i="34"/>
  <c r="G106" i="34"/>
  <c r="G107" i="34"/>
  <c r="G108" i="34"/>
  <c r="G109" i="34"/>
  <c r="G110" i="34"/>
  <c r="G111" i="34"/>
  <c r="G112" i="34"/>
  <c r="G113" i="34"/>
  <c r="G114" i="34"/>
  <c r="G115" i="34"/>
  <c r="G116" i="34"/>
  <c r="G117" i="34"/>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83" i="27"/>
  <c r="G84" i="27"/>
  <c r="G85" i="27"/>
  <c r="G86" i="27"/>
  <c r="G87" i="27"/>
  <c r="G88" i="27"/>
  <c r="G89" i="27"/>
  <c r="G90" i="27"/>
  <c r="G91" i="27"/>
  <c r="G92" i="27"/>
  <c r="G93" i="27"/>
  <c r="G94" i="27"/>
  <c r="G95" i="27"/>
  <c r="G96" i="27"/>
  <c r="G97" i="27"/>
  <c r="G98" i="27"/>
  <c r="G99" i="27"/>
  <c r="G100" i="27"/>
  <c r="G101" i="27"/>
  <c r="G102" i="27"/>
  <c r="G103" i="27"/>
  <c r="G104" i="27"/>
  <c r="G105" i="27"/>
  <c r="G106" i="27"/>
  <c r="G107" i="27"/>
  <c r="G108" i="27"/>
  <c r="G109" i="27"/>
  <c r="G110" i="27"/>
  <c r="G111" i="27"/>
  <c r="G112" i="27"/>
  <c r="G113" i="27"/>
  <c r="G114" i="27"/>
  <c r="G115" i="27"/>
  <c r="G116" i="27"/>
  <c r="G117" i="27"/>
  <c r="G118" i="27"/>
  <c r="G119" i="27"/>
  <c r="G120" i="27"/>
  <c r="G121" i="27"/>
  <c r="G122" i="27"/>
  <c r="G123" i="27"/>
  <c r="G124" i="27"/>
  <c r="G125" i="27"/>
  <c r="G126" i="27"/>
  <c r="G127" i="27"/>
  <c r="G128" i="27"/>
  <c r="G129" i="27"/>
  <c r="G130" i="27"/>
  <c r="G131" i="27"/>
  <c r="G132" i="27"/>
  <c r="G133" i="27"/>
  <c r="G134" i="27"/>
  <c r="G135" i="27"/>
  <c r="G136" i="27"/>
  <c r="G137" i="27"/>
  <c r="G138" i="27"/>
  <c r="G139" i="27"/>
  <c r="G140" i="27"/>
  <c r="G141" i="27"/>
  <c r="G142" i="27"/>
  <c r="G143" i="27"/>
  <c r="G144" i="27"/>
  <c r="G145" i="27"/>
  <c r="G146" i="27"/>
  <c r="G147" i="27"/>
  <c r="G148" i="27"/>
  <c r="G149" i="27"/>
  <c r="G150" i="27"/>
  <c r="G151" i="27"/>
  <c r="G152" i="27"/>
  <c r="G153" i="27"/>
  <c r="G154" i="27"/>
  <c r="G155" i="27"/>
  <c r="G156" i="27"/>
  <c r="G157" i="27"/>
  <c r="G158" i="27"/>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44" i="33"/>
  <c r="G45" i="33"/>
  <c r="G46" i="33"/>
  <c r="G47" i="33"/>
  <c r="G48" i="33"/>
  <c r="G49" i="33"/>
  <c r="G50" i="33"/>
  <c r="G51" i="33"/>
  <c r="G52" i="33"/>
  <c r="G53" i="33"/>
  <c r="G54" i="33"/>
  <c r="G56" i="33"/>
  <c r="G57" i="33"/>
  <c r="G58" i="33"/>
  <c r="G59" i="33"/>
  <c r="G60" i="33"/>
  <c r="G61" i="33"/>
  <c r="G63" i="33"/>
  <c r="G64" i="33"/>
  <c r="G65" i="33"/>
  <c r="G66" i="33"/>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G73" i="50"/>
  <c r="G74" i="50"/>
  <c r="G75" i="50"/>
  <c r="G76" i="50"/>
  <c r="G77" i="50"/>
  <c r="G78" i="50"/>
  <c r="G79" i="50"/>
  <c r="G80" i="50"/>
  <c r="G81" i="50"/>
  <c r="G82" i="50"/>
  <c r="G83" i="50"/>
  <c r="G84" i="50"/>
  <c r="G85" i="50"/>
  <c r="G86" i="50"/>
  <c r="G87" i="50"/>
  <c r="G88" i="50"/>
  <c r="G89" i="50"/>
  <c r="G90" i="50"/>
  <c r="G91" i="50"/>
  <c r="G92" i="50"/>
  <c r="G93" i="50"/>
  <c r="G94" i="50"/>
  <c r="G95" i="50"/>
  <c r="G96" i="50"/>
  <c r="G97" i="50"/>
  <c r="G98" i="50"/>
  <c r="G99" i="50"/>
  <c r="G100" i="50"/>
  <c r="G101" i="50"/>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56" i="24"/>
  <c r="G57" i="24"/>
  <c r="G58" i="24"/>
  <c r="G59" i="24"/>
  <c r="G60" i="24"/>
  <c r="G61" i="24"/>
  <c r="G62" i="24"/>
  <c r="G63" i="24"/>
  <c r="G64" i="24"/>
  <c r="G65" i="24"/>
  <c r="G66" i="24"/>
  <c r="G67" i="24"/>
  <c r="G68" i="24"/>
  <c r="G69" i="24"/>
  <c r="G70" i="24"/>
  <c r="G71" i="24"/>
  <c r="G72" i="24"/>
  <c r="G73" i="24"/>
  <c r="G74" i="24"/>
  <c r="G75" i="24"/>
  <c r="G76" i="24"/>
  <c r="G77" i="24"/>
  <c r="G78" i="24"/>
  <c r="G79" i="24"/>
  <c r="G80" i="24"/>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83" i="23"/>
  <c r="G84" i="23"/>
  <c r="G85" i="23"/>
  <c r="G86" i="23"/>
  <c r="G87" i="23"/>
  <c r="G88" i="23"/>
  <c r="G89" i="23"/>
  <c r="G90" i="23"/>
  <c r="G91" i="23"/>
  <c r="G92" i="23"/>
  <c r="G93" i="23"/>
  <c r="G94" i="23"/>
  <c r="G95" i="23"/>
  <c r="G96" i="23"/>
  <c r="G97" i="23"/>
  <c r="G98" i="23"/>
  <c r="G99" i="23"/>
  <c r="G100" i="23"/>
  <c r="G101" i="23"/>
  <c r="G102" i="23"/>
  <c r="G103" i="23"/>
  <c r="G104" i="23"/>
  <c r="G105" i="23"/>
  <c r="G106" i="23"/>
  <c r="G107" i="23"/>
  <c r="G108" i="23"/>
  <c r="G109" i="23"/>
  <c r="G110" i="23"/>
  <c r="G111" i="23"/>
  <c r="G112" i="23"/>
  <c r="G113" i="23"/>
  <c r="G114" i="23"/>
  <c r="G115" i="23"/>
  <c r="G116" i="23"/>
  <c r="G117" i="23"/>
  <c r="G118" i="23"/>
  <c r="G119" i="23"/>
  <c r="G120" i="23"/>
  <c r="G121" i="23"/>
  <c r="G122" i="23"/>
  <c r="G123" i="23"/>
  <c r="G124" i="23"/>
  <c r="G125" i="23"/>
  <c r="G36" i="60"/>
  <c r="G37" i="60"/>
  <c r="G38" i="60"/>
  <c r="G39" i="60"/>
  <c r="G40" i="60"/>
  <c r="G41" i="60"/>
  <c r="G42" i="60"/>
  <c r="G43" i="60"/>
  <c r="G44" i="60"/>
  <c r="G45" i="60"/>
  <c r="G46" i="60"/>
  <c r="G47" i="60"/>
  <c r="G48" i="60"/>
  <c r="G49" i="60"/>
  <c r="G50" i="60"/>
  <c r="G51" i="60"/>
  <c r="G52" i="60"/>
  <c r="G53" i="60"/>
  <c r="G54" i="60"/>
  <c r="G55" i="60"/>
  <c r="G56" i="60"/>
  <c r="G49" i="38"/>
  <c r="G50" i="38"/>
  <c r="G51" i="38"/>
  <c r="G52" i="38"/>
  <c r="G53" i="38"/>
  <c r="G54" i="38"/>
  <c r="G55" i="38"/>
  <c r="G56" i="38"/>
  <c r="G57" i="38"/>
  <c r="G58" i="38"/>
  <c r="G59" i="38"/>
  <c r="G60" i="38"/>
  <c r="G61" i="38"/>
  <c r="G62" i="38"/>
  <c r="G63" i="38"/>
  <c r="G64" i="38"/>
  <c r="G65" i="38"/>
  <c r="G66" i="38"/>
  <c r="G67" i="38"/>
  <c r="G68" i="38"/>
  <c r="G69" i="38"/>
  <c r="G70" i="38"/>
  <c r="G71" i="38"/>
  <c r="G72" i="38"/>
  <c r="G73" i="38"/>
  <c r="G74" i="38"/>
  <c r="G75" i="38"/>
  <c r="G76" i="38"/>
  <c r="G77" i="38"/>
  <c r="G78" i="38"/>
  <c r="G79" i="38"/>
  <c r="G80" i="38"/>
  <c r="G81" i="38"/>
  <c r="G82" i="38"/>
  <c r="G83" i="38"/>
  <c r="G84" i="38"/>
  <c r="G85" i="38"/>
  <c r="G86" i="38"/>
  <c r="G87" i="38"/>
  <c r="G88" i="38"/>
  <c r="G89" i="38"/>
  <c r="G90" i="38"/>
  <c r="G91" i="38"/>
  <c r="G92" i="38"/>
  <c r="G93" i="38"/>
  <c r="G94" i="38"/>
  <c r="G95" i="38"/>
  <c r="G96" i="38"/>
  <c r="G97" i="38"/>
  <c r="G98" i="38"/>
  <c r="G99" i="38"/>
  <c r="G100" i="38"/>
  <c r="G101" i="38"/>
  <c r="G102" i="38"/>
  <c r="G103" i="38"/>
  <c r="G104" i="38"/>
  <c r="G105" i="38"/>
  <c r="G106" i="38"/>
  <c r="G107" i="38"/>
  <c r="G108" i="38"/>
  <c r="G109" i="38"/>
  <c r="G110" i="38"/>
  <c r="G111" i="38"/>
  <c r="G112" i="38"/>
  <c r="G113" i="38"/>
  <c r="G114" i="38"/>
  <c r="G115" i="38"/>
  <c r="G116" i="38"/>
  <c r="G117" i="38"/>
  <c r="G118" i="38"/>
  <c r="G119" i="38"/>
  <c r="G120" i="38"/>
  <c r="G121" i="38"/>
  <c r="G122" i="38"/>
  <c r="G123" i="38"/>
  <c r="G124" i="38"/>
  <c r="G125" i="38"/>
  <c r="G126" i="38"/>
  <c r="G127" i="38"/>
  <c r="G128" i="38"/>
  <c r="G129" i="38"/>
  <c r="G130" i="38"/>
  <c r="G131" i="38"/>
  <c r="G132" i="38"/>
  <c r="G133" i="38"/>
  <c r="G134" i="38"/>
  <c r="G135" i="38"/>
  <c r="G136" i="38"/>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83" i="37"/>
  <c r="G84" i="37"/>
  <c r="G85" i="37"/>
  <c r="G86" i="37"/>
  <c r="G87" i="37"/>
  <c r="G88" i="37"/>
  <c r="G89" i="37"/>
  <c r="G90" i="37"/>
  <c r="G91" i="37"/>
  <c r="G92"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00" i="31"/>
  <c r="G101" i="31"/>
  <c r="G102" i="31"/>
  <c r="G103" i="31"/>
  <c r="G104" i="31"/>
  <c r="G105" i="31"/>
  <c r="G106" i="31"/>
  <c r="G107" i="31"/>
  <c r="G108" i="31"/>
  <c r="G109" i="31"/>
  <c r="G110" i="31"/>
  <c r="G111" i="31"/>
  <c r="G112" i="31"/>
  <c r="G113" i="31"/>
  <c r="G114" i="31"/>
  <c r="G115" i="31"/>
  <c r="G116" i="31"/>
  <c r="G117" i="31"/>
  <c r="G118" i="31"/>
  <c r="G119" i="31"/>
  <c r="G120" i="31"/>
  <c r="G121" i="31"/>
  <c r="G122" i="31"/>
  <c r="G123" i="31"/>
  <c r="G124" i="31"/>
  <c r="G125" i="31"/>
  <c r="G126" i="31"/>
  <c r="G127" i="31"/>
  <c r="G128" i="31"/>
  <c r="G129" i="31"/>
  <c r="G130" i="31"/>
  <c r="G131" i="31"/>
  <c r="G132" i="31"/>
  <c r="G133" i="31"/>
  <c r="G134" i="31"/>
  <c r="G135" i="31"/>
  <c r="G136" i="31"/>
  <c r="G137" i="31"/>
  <c r="G138" i="31"/>
  <c r="G139" i="31"/>
  <c r="G140" i="31"/>
  <c r="G141" i="31"/>
  <c r="G142" i="31"/>
  <c r="G143" i="31"/>
  <c r="G144" i="31"/>
  <c r="G145" i="31"/>
  <c r="G146" i="31"/>
  <c r="G147" i="31"/>
  <c r="G148" i="31"/>
  <c r="G149" i="31"/>
  <c r="G150" i="31"/>
  <c r="G151" i="31"/>
  <c r="G152" i="31"/>
  <c r="G153" i="31"/>
  <c r="G154" i="31"/>
  <c r="G155" i="31"/>
  <c r="G156" i="31"/>
  <c r="G157" i="31"/>
  <c r="G158" i="31"/>
  <c r="G159" i="31"/>
  <c r="G160" i="31"/>
  <c r="G161" i="31"/>
  <c r="G162" i="31"/>
  <c r="G163" i="31"/>
  <c r="G164" i="31"/>
  <c r="G165" i="31"/>
  <c r="G166" i="31"/>
  <c r="G167" i="31"/>
  <c r="G168" i="31"/>
  <c r="G169" i="31"/>
  <c r="G170" i="31"/>
  <c r="G171" i="31"/>
  <c r="G172" i="31"/>
  <c r="G173" i="31"/>
  <c r="G174" i="31"/>
  <c r="G175" i="31"/>
  <c r="G176" i="31"/>
  <c r="G177" i="31"/>
  <c r="G178" i="31"/>
  <c r="G179" i="31"/>
  <c r="G180" i="31"/>
  <c r="G181" i="31"/>
  <c r="G182" i="31"/>
  <c r="G183" i="31"/>
  <c r="G184" i="31"/>
  <c r="G185" i="31"/>
  <c r="G186" i="31"/>
  <c r="G187" i="31"/>
  <c r="G188" i="31"/>
  <c r="G189" i="31"/>
  <c r="G190" i="31"/>
  <c r="G191" i="31"/>
  <c r="G192" i="31"/>
  <c r="G193" i="31"/>
  <c r="G194" i="31"/>
  <c r="G195" i="31"/>
  <c r="G196" i="31"/>
  <c r="G197" i="31"/>
  <c r="G198" i="31"/>
  <c r="G199" i="31"/>
  <c r="G200" i="31"/>
  <c r="G201" i="31"/>
  <c r="G43" i="18"/>
  <c r="G44" i="18"/>
  <c r="G45" i="18"/>
  <c r="G46" i="18"/>
  <c r="G47" i="18"/>
  <c r="G48" i="18"/>
  <c r="G49" i="18"/>
  <c r="G50" i="18"/>
  <c r="G51" i="18"/>
  <c r="G52" i="18"/>
  <c r="G53" i="18"/>
  <c r="G54" i="18"/>
  <c r="G55" i="18"/>
  <c r="G56" i="18"/>
  <c r="G57" i="18"/>
  <c r="G58" i="18"/>
  <c r="G59" i="18"/>
  <c r="G60" i="18"/>
  <c r="G61" i="18"/>
  <c r="G62" i="18"/>
  <c r="G63" i="18"/>
  <c r="G64" i="18"/>
  <c r="G65" i="18"/>
  <c r="G66" i="18"/>
  <c r="G67" i="18"/>
  <c r="G68" i="18"/>
  <c r="G69" i="18"/>
  <c r="G70" i="18"/>
  <c r="G71" i="18"/>
  <c r="G72" i="18"/>
  <c r="G73" i="18"/>
  <c r="G74" i="18"/>
  <c r="G75" i="18"/>
  <c r="G76" i="18"/>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B65" i="44"/>
  <c r="C65" i="44"/>
  <c r="B68" i="44"/>
  <c r="B67" i="44"/>
  <c r="C67" i="44"/>
  <c r="B66" i="44"/>
  <c r="C66" i="44"/>
  <c r="B64" i="44"/>
  <c r="C64" i="44"/>
  <c r="B63" i="44"/>
  <c r="C63" i="44"/>
  <c r="B62" i="44"/>
  <c r="C62" i="44"/>
  <c r="B61" i="44"/>
  <c r="C61" i="44"/>
  <c r="B60" i="44"/>
  <c r="C60" i="44"/>
  <c r="B59" i="44"/>
  <c r="C59" i="44"/>
  <c r="B58" i="44"/>
  <c r="C58" i="44"/>
  <c r="B57" i="44"/>
  <c r="C57" i="44"/>
  <c r="B55" i="44"/>
  <c r="C55" i="44"/>
  <c r="B54" i="44"/>
  <c r="C54" i="44"/>
  <c r="B53" i="44"/>
  <c r="C53" i="44"/>
  <c r="B52" i="44"/>
  <c r="C52" i="44"/>
  <c r="B51" i="44"/>
  <c r="C51" i="44"/>
  <c r="B49" i="44"/>
  <c r="C49" i="44"/>
  <c r="B48" i="44"/>
  <c r="C48" i="44"/>
  <c r="B42" i="44"/>
  <c r="C42" i="44"/>
  <c r="B4" i="43"/>
  <c r="C9" i="43"/>
  <c r="B9" i="43"/>
  <c r="C1069" i="1"/>
  <c r="E1070" i="1" s="1"/>
  <c r="E993" i="1"/>
  <c r="F993" i="1"/>
  <c r="E994" i="1"/>
  <c r="F994" i="1"/>
  <c r="E995" i="1"/>
  <c r="F995" i="1"/>
  <c r="E996" i="1"/>
  <c r="F996" i="1"/>
  <c r="E997" i="1"/>
  <c r="F997" i="1"/>
  <c r="E998" i="1"/>
  <c r="F998" i="1"/>
  <c r="E988" i="1"/>
  <c r="F988" i="1"/>
  <c r="E989" i="1"/>
  <c r="F989" i="1"/>
  <c r="E990" i="1"/>
  <c r="F990" i="1"/>
  <c r="E991" i="1"/>
  <c r="F991" i="1"/>
  <c r="C7" i="35"/>
  <c r="D7" i="35"/>
  <c r="D298" i="1"/>
  <c r="D299" i="1"/>
  <c r="D300" i="1"/>
  <c r="D301" i="1"/>
  <c r="D302" i="1"/>
  <c r="D303" i="1"/>
  <c r="D304" i="1"/>
  <c r="C713" i="1"/>
  <c r="D713" i="1"/>
  <c r="B16" i="40" l="1"/>
  <c r="J162" i="4"/>
  <c r="J152" i="4"/>
  <c r="B660" i="1" l="1"/>
  <c r="H420" i="1" l="1"/>
  <c r="E43" i="2" s="1"/>
  <c r="G18" i="2"/>
  <c r="G17" i="2"/>
  <c r="L203" i="1"/>
  <c r="L202" i="1"/>
  <c r="K209" i="1" s="1"/>
  <c r="J205" i="1"/>
  <c r="J204" i="1"/>
  <c r="J203" i="1"/>
  <c r="J202" i="1"/>
  <c r="F43" i="2" l="1"/>
  <c r="D414" i="1"/>
  <c r="E414" i="1"/>
  <c r="C715" i="1" l="1"/>
  <c r="C714" i="1"/>
  <c r="D58" i="19"/>
  <c r="C13" i="8"/>
  <c r="F21" i="21" l="1"/>
  <c r="F17" i="21"/>
  <c r="F18" i="21"/>
  <c r="F19" i="21"/>
  <c r="F16" i="21"/>
  <c r="F15" i="21"/>
  <c r="B12" i="21"/>
  <c r="B13" i="21"/>
  <c r="B14" i="21"/>
  <c r="B15" i="21"/>
  <c r="B16" i="21"/>
  <c r="B17" i="21"/>
  <c r="B18" i="21"/>
  <c r="B19" i="21"/>
  <c r="B21" i="21"/>
  <c r="B81" i="2" l="1"/>
  <c r="E82" i="2"/>
  <c r="F82" i="2" s="1"/>
  <c r="D82" i="2"/>
  <c r="C82" i="2"/>
  <c r="B82" i="2"/>
  <c r="F470" i="1"/>
  <c r="E476" i="1" s="1"/>
  <c r="D32" i="2"/>
  <c r="D31" i="2"/>
  <c r="H32" i="2" l="1"/>
  <c r="G32" i="2"/>
  <c r="C31" i="2" l="1"/>
  <c r="C32" i="2"/>
  <c r="B32" i="2"/>
  <c r="B31" i="2"/>
  <c r="E879" i="1"/>
  <c r="C8" i="37"/>
  <c r="C39" i="38" s="1"/>
  <c r="F32" i="21"/>
  <c r="D920" i="1" l="1"/>
  <c r="D918" i="1"/>
  <c r="F174" i="2" s="1"/>
  <c r="B69" i="2"/>
  <c r="F336" i="1"/>
  <c r="D104" i="6"/>
  <c r="G81" i="2" l="1"/>
  <c r="H81" i="2"/>
  <c r="C7" i="34" l="1"/>
  <c r="D7" i="34"/>
  <c r="D152" i="4" s="1"/>
  <c r="C38" i="27"/>
  <c r="D38" i="27"/>
  <c r="C7" i="27"/>
  <c r="D7" i="27"/>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83" i="28"/>
  <c r="G84" i="28"/>
  <c r="G85" i="28"/>
  <c r="G86" i="28"/>
  <c r="G87" i="28"/>
  <c r="G88" i="28"/>
  <c r="G89" i="28"/>
  <c r="G90" i="28"/>
  <c r="G91" i="28"/>
  <c r="G92" i="28"/>
  <c r="G93" i="28"/>
  <c r="G94" i="28"/>
  <c r="G95" i="28"/>
  <c r="G96" i="28"/>
  <c r="G97" i="28"/>
  <c r="G98" i="28"/>
  <c r="G99" i="28"/>
  <c r="G100" i="28"/>
  <c r="G101" i="28"/>
  <c r="G102" i="28"/>
  <c r="G65" i="22"/>
  <c r="G66" i="22"/>
  <c r="G67" i="22"/>
  <c r="G68" i="22"/>
  <c r="G69" i="22"/>
  <c r="G70" i="22"/>
  <c r="G71" i="22"/>
  <c r="G72" i="22"/>
  <c r="G73" i="22"/>
  <c r="G74" i="22"/>
  <c r="G75" i="22"/>
  <c r="G76" i="22"/>
  <c r="G77" i="22"/>
  <c r="G78" i="22"/>
  <c r="G79" i="22"/>
  <c r="G80" i="22"/>
  <c r="G81" i="22"/>
  <c r="G82" i="22"/>
  <c r="G83" i="22"/>
  <c r="G84" i="22"/>
  <c r="G85" i="22"/>
  <c r="G86" i="22"/>
  <c r="G87" i="22"/>
  <c r="G88" i="22"/>
  <c r="G89" i="22"/>
  <c r="G90" i="22"/>
  <c r="G91" i="22"/>
  <c r="G92" i="22"/>
  <c r="G93" i="22"/>
  <c r="G94" i="22"/>
  <c r="G95" i="22"/>
  <c r="G96" i="22"/>
  <c r="G97" i="22"/>
  <c r="G98" i="22"/>
  <c r="G99" i="22"/>
  <c r="G100" i="22"/>
  <c r="G101" i="22"/>
  <c r="G102" i="22"/>
  <c r="G103" i="22"/>
  <c r="G104" i="22"/>
  <c r="G105" i="22"/>
  <c r="G106" i="22"/>
  <c r="G107" i="22"/>
  <c r="G108" i="22"/>
  <c r="G109" i="22"/>
  <c r="G110" i="22"/>
  <c r="G111" i="22"/>
  <c r="G112" i="22"/>
  <c r="G113" i="22"/>
  <c r="G114" i="22"/>
  <c r="G115" i="22"/>
  <c r="G116" i="22"/>
  <c r="G117" i="22"/>
  <c r="G118" i="22"/>
  <c r="G119" i="22"/>
  <c r="G120" i="22"/>
  <c r="G121" i="22"/>
  <c r="G122" i="22"/>
  <c r="G123" i="22"/>
  <c r="G124" i="22"/>
  <c r="G125" i="22"/>
  <c r="G126" i="22"/>
  <c r="G127" i="22"/>
  <c r="G128" i="22"/>
  <c r="G129" i="22"/>
  <c r="G130" i="22"/>
  <c r="G131" i="22"/>
  <c r="G132" i="22"/>
  <c r="G133" i="22"/>
  <c r="G134" i="22"/>
  <c r="G135" i="22"/>
  <c r="G136" i="22"/>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126" i="23"/>
  <c r="C7" i="38"/>
  <c r="D7" i="38"/>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10" i="17"/>
  <c r="B30" i="44"/>
  <c r="B29" i="44"/>
  <c r="B28" i="44"/>
  <c r="B27" i="44"/>
  <c r="B26" i="44"/>
  <c r="B25" i="44"/>
  <c r="B24" i="44"/>
  <c r="B13" i="44"/>
  <c r="B11" i="44"/>
  <c r="B12" i="44"/>
  <c r="B6" i="44"/>
  <c r="B8" i="44"/>
  <c r="B7" i="44"/>
  <c r="B14" i="44"/>
  <c r="B16" i="44"/>
  <c r="B15" i="44"/>
  <c r="B5" i="44"/>
  <c r="B9" i="44"/>
  <c r="B17" i="44"/>
  <c r="B10" i="44"/>
  <c r="B4" i="44"/>
  <c r="E889" i="1"/>
  <c r="F889" i="1"/>
  <c r="E890" i="1"/>
  <c r="F890" i="1"/>
  <c r="E891" i="1"/>
  <c r="F891" i="1"/>
  <c r="E892" i="1"/>
  <c r="F892" i="1"/>
  <c r="E893" i="1"/>
  <c r="F893" i="1"/>
  <c r="E894" i="1"/>
  <c r="F894" i="1"/>
  <c r="E895" i="1"/>
  <c r="F895" i="1"/>
  <c r="E896" i="1"/>
  <c r="F896" i="1"/>
  <c r="E897" i="1"/>
  <c r="F897" i="1"/>
  <c r="E898" i="1"/>
  <c r="F898" i="1"/>
  <c r="E899" i="1"/>
  <c r="F899" i="1"/>
  <c r="E900" i="1"/>
  <c r="F900" i="1"/>
  <c r="E842" i="1"/>
  <c r="F842" i="1"/>
  <c r="E843" i="1"/>
  <c r="F843" i="1"/>
  <c r="E844" i="1"/>
  <c r="F844" i="1"/>
  <c r="E845" i="1"/>
  <c r="F845" i="1"/>
  <c r="E846" i="1"/>
  <c r="F846" i="1"/>
  <c r="E847" i="1"/>
  <c r="F847" i="1"/>
  <c r="E848" i="1"/>
  <c r="F848" i="1"/>
  <c r="E849" i="1"/>
  <c r="F849" i="1"/>
  <c r="E850" i="1"/>
  <c r="F850" i="1"/>
  <c r="E851" i="1"/>
  <c r="F851" i="1"/>
  <c r="G193" i="4" l="1"/>
  <c r="D177" i="1"/>
  <c r="D1091" i="1" l="1"/>
  <c r="E647" i="1" l="1"/>
  <c r="D647" i="1"/>
  <c r="G647" i="1"/>
  <c r="H647" i="1"/>
  <c r="H92" i="1"/>
  <c r="G92" i="1"/>
  <c r="G87" i="1"/>
  <c r="F92" i="1"/>
  <c r="F87" i="1"/>
  <c r="E92" i="1"/>
  <c r="E87" i="1"/>
  <c r="D92" i="1"/>
  <c r="D87" i="1"/>
  <c r="C92" i="1"/>
  <c r="C87" i="1"/>
  <c r="C78" i="1"/>
  <c r="C68" i="1" s="1"/>
  <c r="B54" i="1" s="1"/>
  <c r="E78" i="1"/>
  <c r="E68" i="1" s="1"/>
  <c r="G68" i="1" s="1"/>
  <c r="E91" i="1"/>
  <c r="D91" i="1"/>
  <c r="E86" i="1"/>
  <c r="D86" i="1"/>
  <c r="D78" i="1"/>
  <c r="E54" i="1" l="1"/>
  <c r="D54" i="1"/>
  <c r="F56" i="2" s="1"/>
  <c r="E79" i="1"/>
  <c r="F399" i="1"/>
  <c r="F398" i="1"/>
  <c r="F397" i="1"/>
  <c r="D8" i="37"/>
  <c r="D39" i="38" s="1"/>
  <c r="C8" i="60"/>
  <c r="C8" i="33"/>
  <c r="C8" i="22"/>
  <c r="D763" i="1"/>
  <c r="E763" i="1"/>
  <c r="B763" i="1"/>
  <c r="F774" i="1"/>
  <c r="E1024" i="1" l="1"/>
  <c r="E1025" i="1"/>
  <c r="E1026" i="1"/>
  <c r="E1027" i="1"/>
  <c r="E1036" i="1"/>
  <c r="F1036" i="1"/>
  <c r="E1037" i="1"/>
  <c r="F1037" i="1"/>
  <c r="E1038" i="1"/>
  <c r="F1038" i="1"/>
  <c r="E1039" i="1"/>
  <c r="F1039" i="1"/>
  <c r="E1040" i="1"/>
  <c r="F1040" i="1"/>
  <c r="D1081" i="1" l="1"/>
  <c r="E938" i="1"/>
  <c r="D103" i="6"/>
  <c r="C102" i="6"/>
  <c r="C103" i="6"/>
  <c r="C104" i="6"/>
  <c r="C105" i="6"/>
  <c r="D633" i="1"/>
  <c r="F103" i="6" l="1"/>
  <c r="D715" i="1"/>
  <c r="D714" i="1"/>
  <c r="B455" i="1" l="1"/>
  <c r="F10" i="6" l="1"/>
  <c r="C9" i="6"/>
  <c r="G28" i="28" l="1"/>
  <c r="C14" i="8" l="1"/>
  <c r="C7" i="28"/>
  <c r="C7" i="33"/>
  <c r="C7" i="22"/>
  <c r="G28" i="36"/>
  <c r="G29" i="36"/>
  <c r="G30" i="36"/>
  <c r="G31" i="36"/>
  <c r="G32" i="36"/>
  <c r="G33" i="36"/>
  <c r="G34" i="36"/>
  <c r="G35" i="36"/>
  <c r="G36" i="36"/>
  <c r="G37" i="36"/>
  <c r="G38" i="36"/>
  <c r="G39" i="36"/>
  <c r="G40" i="36"/>
  <c r="G41" i="36"/>
  <c r="G42" i="36"/>
  <c r="G43" i="36"/>
  <c r="G44" i="36"/>
  <c r="G45" i="36"/>
  <c r="G46" i="36"/>
  <c r="C7" i="36"/>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C7" i="30"/>
  <c r="C7" i="29"/>
  <c r="C7" i="21"/>
  <c r="C7" i="50"/>
  <c r="C7" i="16"/>
  <c r="C7" i="19"/>
  <c r="C7" i="15"/>
  <c r="C7" i="24"/>
  <c r="C7" i="23"/>
  <c r="C7" i="60"/>
  <c r="C7" i="37"/>
  <c r="C33" i="38" s="1"/>
  <c r="C7" i="20"/>
  <c r="C7" i="14"/>
  <c r="C7" i="31"/>
  <c r="C7" i="18"/>
  <c r="C7" i="17"/>
  <c r="C7" i="7"/>
  <c r="D40" i="14" l="1"/>
  <c r="B25" i="31"/>
  <c r="B26" i="31"/>
  <c r="B27" i="31"/>
  <c r="C27" i="31"/>
  <c r="B28" i="31"/>
  <c r="C28" i="31"/>
  <c r="B29" i="31"/>
  <c r="C29" i="31"/>
  <c r="B30" i="31"/>
  <c r="C30" i="31"/>
  <c r="B32" i="31"/>
  <c r="C32" i="31"/>
  <c r="B33" i="31"/>
  <c r="C33" i="31"/>
  <c r="B34" i="31"/>
  <c r="C34" i="31"/>
  <c r="B35" i="31"/>
  <c r="C35" i="31"/>
  <c r="B36" i="31"/>
  <c r="C36" i="31"/>
  <c r="B37" i="31"/>
  <c r="C37" i="31"/>
  <c r="B38" i="31"/>
  <c r="C38" i="31"/>
  <c r="B39" i="31"/>
  <c r="C39" i="31"/>
  <c r="B40" i="31"/>
  <c r="C40" i="31"/>
  <c r="B41" i="31"/>
  <c r="C41" i="31"/>
  <c r="B42" i="31"/>
  <c r="C42" i="31"/>
  <c r="B43" i="31"/>
  <c r="C43" i="31"/>
  <c r="B44" i="31"/>
  <c r="C44" i="31"/>
  <c r="B45" i="31"/>
  <c r="C45" i="31"/>
  <c r="B46" i="31"/>
  <c r="C46" i="31"/>
  <c r="B47" i="31"/>
  <c r="C47" i="31"/>
  <c r="B48" i="31"/>
  <c r="C48" i="31"/>
  <c r="B50" i="31"/>
  <c r="C50" i="31"/>
  <c r="B51" i="31"/>
  <c r="C51" i="31"/>
  <c r="B52" i="31"/>
  <c r="C52" i="31"/>
  <c r="B53" i="31"/>
  <c r="C53" i="31"/>
  <c r="B54" i="31"/>
  <c r="C54" i="31"/>
  <c r="B56" i="31"/>
  <c r="C56" i="31"/>
  <c r="B57" i="31"/>
  <c r="C57" i="31"/>
  <c r="B58" i="31"/>
  <c r="C58" i="31"/>
  <c r="B59" i="31"/>
  <c r="C59" i="31"/>
  <c r="B60" i="31"/>
  <c r="C60" i="31"/>
  <c r="B61" i="31"/>
  <c r="C61" i="31"/>
  <c r="B62" i="31"/>
  <c r="C62" i="31"/>
  <c r="B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1" i="31"/>
  <c r="C81" i="31"/>
  <c r="B82" i="31"/>
  <c r="C82" i="31"/>
  <c r="B83" i="31"/>
  <c r="C83" i="31"/>
  <c r="B84" i="31"/>
  <c r="C84" i="31"/>
  <c r="B85" i="31"/>
  <c r="C85" i="31"/>
  <c r="A27" i="53" l="1"/>
  <c r="I210" i="4"/>
  <c r="I38" i="4" l="1"/>
  <c r="H38" i="4"/>
  <c r="G42" i="4"/>
  <c r="G41" i="4"/>
  <c r="G40" i="4"/>
  <c r="B69" i="4"/>
  <c r="J142" i="4" l="1"/>
  <c r="G47" i="36"/>
  <c r="C1097" i="1" l="1"/>
  <c r="C85" i="6" s="1"/>
  <c r="B187" i="6" l="1"/>
  <c r="B113" i="6"/>
  <c r="C113" i="6"/>
  <c r="D113" i="6"/>
  <c r="E113" i="6"/>
  <c r="F113" i="6" l="1"/>
  <c r="B29" i="33"/>
  <c r="C29" i="33"/>
  <c r="F29" i="33"/>
  <c r="G121" i="1" l="1"/>
  <c r="B322" i="1"/>
  <c r="H466" i="1"/>
  <c r="H465" i="1"/>
  <c r="C453" i="1"/>
  <c r="C455" i="1" s="1"/>
  <c r="D280" i="1"/>
  <c r="F23" i="6"/>
  <c r="D455" i="1"/>
  <c r="G385" i="1"/>
  <c r="C385" i="1"/>
  <c r="F394" i="1"/>
  <c r="H155" i="1"/>
  <c r="H156" i="1" s="1"/>
  <c r="H157" i="1" s="1"/>
  <c r="D966" i="1"/>
  <c r="D77" i="6"/>
  <c r="B1054" i="1"/>
  <c r="D105" i="1" l="1"/>
  <c r="D88" i="2"/>
  <c r="C78" i="6"/>
  <c r="C111" i="2"/>
  <c r="D1054" i="1"/>
  <c r="E1097" i="1"/>
  <c r="D85" i="6" s="1"/>
  <c r="F85" i="6" s="1"/>
  <c r="B54" i="22"/>
  <c r="B53" i="22"/>
  <c r="B52" i="22"/>
  <c r="E78" i="6" l="1"/>
  <c r="E111" i="2"/>
  <c r="D442" i="1"/>
  <c r="F22" i="61" s="1"/>
  <c r="D26" i="60" l="1"/>
  <c r="B19" i="60"/>
  <c r="F647" i="1"/>
  <c r="F642" i="1"/>
  <c r="E642" i="1"/>
  <c r="D642" i="1"/>
  <c r="C647" i="1"/>
  <c r="C642" i="1"/>
  <c r="G182" i="1"/>
  <c r="G178" i="1"/>
  <c r="E182" i="1"/>
  <c r="E178" i="1"/>
  <c r="D178" i="1"/>
  <c r="D182" i="1"/>
  <c r="C178" i="1"/>
  <c r="B178" i="1"/>
  <c r="B182" i="1" s="1"/>
  <c r="C24" i="6"/>
  <c r="E22" i="6"/>
  <c r="E23" i="6"/>
  <c r="C163" i="6"/>
  <c r="D163" i="6"/>
  <c r="E163" i="6"/>
  <c r="C23" i="6"/>
  <c r="C22" i="6"/>
  <c r="F22" i="6"/>
  <c r="E1054" i="1"/>
  <c r="F111" i="2" s="1"/>
  <c r="C463" i="1" l="1"/>
  <c r="F38" i="27"/>
  <c r="F36" i="27" s="1"/>
  <c r="D732" i="1"/>
  <c r="B16" i="23"/>
  <c r="C121" i="1"/>
  <c r="G122" i="1" s="1"/>
  <c r="C103" i="1" s="1"/>
  <c r="B105" i="1" l="1"/>
  <c r="C105" i="1"/>
  <c r="D25" i="6"/>
  <c r="B38" i="19"/>
  <c r="B33" i="19"/>
  <c r="B37" i="19"/>
  <c r="B32" i="19"/>
  <c r="B36" i="19"/>
  <c r="B31" i="19"/>
  <c r="B35" i="19"/>
  <c r="B30" i="19"/>
  <c r="B34" i="19"/>
  <c r="B2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28" i="19"/>
  <c r="B27" i="19"/>
  <c r="B26" i="19"/>
  <c r="B25" i="19"/>
  <c r="B24" i="19"/>
  <c r="B23" i="19"/>
  <c r="B22" i="19"/>
  <c r="B21" i="19"/>
  <c r="B20" i="19"/>
  <c r="B19" i="19"/>
  <c r="B18" i="19"/>
  <c r="G396" i="1"/>
  <c r="G397" i="1" s="1"/>
  <c r="G134" i="1"/>
  <c r="J129" i="1"/>
  <c r="J130" i="1" s="1"/>
  <c r="J131" i="1" s="1"/>
  <c r="J132" i="1" s="1"/>
  <c r="F129" i="1"/>
  <c r="F130" i="1" s="1"/>
  <c r="F131" i="1" s="1"/>
  <c r="F132" i="1" s="1"/>
  <c r="C133" i="1"/>
  <c r="C45" i="19" s="1"/>
  <c r="E134" i="1"/>
  <c r="E136" i="1" s="1"/>
  <c r="C62" i="19" s="1"/>
  <c r="D137" i="1"/>
  <c r="D136" i="1"/>
  <c r="D135" i="1"/>
  <c r="D134" i="1"/>
  <c r="C138" i="1"/>
  <c r="C35" i="19" s="1"/>
  <c r="C131" i="1"/>
  <c r="C30" i="19" s="1"/>
  <c r="C129" i="1"/>
  <c r="C132" i="1" s="1"/>
  <c r="C40" i="19" s="1"/>
  <c r="I139" i="1"/>
  <c r="H139" i="1"/>
  <c r="G139" i="1"/>
  <c r="E139" i="1"/>
  <c r="D139" i="1"/>
  <c r="C139" i="1"/>
  <c r="I131" i="1"/>
  <c r="I129" i="1"/>
  <c r="I130" i="1" s="1"/>
  <c r="C137" i="1" l="1"/>
  <c r="I132" i="1"/>
  <c r="G135" i="1"/>
  <c r="G136" i="1"/>
  <c r="G398" i="1"/>
  <c r="C130" i="1"/>
  <c r="C25" i="19" s="1"/>
  <c r="C20" i="19"/>
  <c r="J133" i="1"/>
  <c r="J134" i="1" s="1"/>
  <c r="J135" i="1" s="1"/>
  <c r="J136" i="1" s="1"/>
  <c r="D43" i="19"/>
  <c r="F133" i="1"/>
  <c r="C43" i="19"/>
  <c r="G137" i="1"/>
  <c r="C136" i="1"/>
  <c r="C135" i="1"/>
  <c r="E135" i="1"/>
  <c r="E137" i="1"/>
  <c r="C67" i="19" s="1"/>
  <c r="C57" i="19" l="1"/>
  <c r="C52" i="19"/>
  <c r="F135" i="1"/>
  <c r="F136" i="1" s="1"/>
  <c r="F137" i="1" s="1"/>
  <c r="F138" i="1" s="1"/>
  <c r="C58" i="19"/>
  <c r="C63" i="19" s="1"/>
  <c r="C68" i="19" s="1"/>
  <c r="J137" i="1"/>
  <c r="J138" i="1" s="1"/>
  <c r="C21" i="27"/>
  <c r="J139" i="1" l="1"/>
  <c r="D38" i="19"/>
  <c r="F139" i="1"/>
  <c r="B11" i="7"/>
  <c r="F57" i="31" l="1"/>
  <c r="F58" i="31"/>
  <c r="F59" i="31"/>
  <c r="F60" i="31"/>
  <c r="F61" i="31"/>
  <c r="F62" i="31"/>
  <c r="D535" i="1"/>
  <c r="D58" i="31" s="1"/>
  <c r="D536" i="1"/>
  <c r="D59" i="31" s="1"/>
  <c r="D537" i="1"/>
  <c r="D60" i="31" s="1"/>
  <c r="G65" i="13"/>
  <c r="F14" i="36" l="1"/>
  <c r="F13" i="36"/>
  <c r="D14" i="36"/>
  <c r="D13" i="36"/>
  <c r="C14" i="36"/>
  <c r="C13" i="36"/>
  <c r="B14" i="36"/>
  <c r="B11" i="36"/>
  <c r="B10" i="36"/>
  <c r="F19" i="35" l="1"/>
  <c r="D19" i="35"/>
  <c r="C19" i="35"/>
  <c r="B19" i="35"/>
  <c r="F18" i="35"/>
  <c r="D18" i="35"/>
  <c r="C18" i="35"/>
  <c r="B18" i="35"/>
  <c r="F24" i="35"/>
  <c r="F23" i="35"/>
  <c r="C24" i="35"/>
  <c r="C23" i="35"/>
  <c r="B24" i="35"/>
  <c r="B23" i="35"/>
  <c r="H1143" i="1"/>
  <c r="D24" i="35" s="1"/>
  <c r="H1142" i="1"/>
  <c r="D23" i="35" s="1"/>
  <c r="H1134" i="1"/>
  <c r="B11" i="35" l="1"/>
  <c r="C11" i="35"/>
  <c r="F11" i="35"/>
  <c r="B12" i="35"/>
  <c r="C12" i="35"/>
  <c r="F12" i="35"/>
  <c r="B13" i="35"/>
  <c r="C13" i="35"/>
  <c r="F13" i="35"/>
  <c r="B14" i="35"/>
  <c r="C14" i="35"/>
  <c r="F14" i="35"/>
  <c r="B15" i="35"/>
  <c r="B16" i="35"/>
  <c r="C16" i="35"/>
  <c r="F16" i="35"/>
  <c r="B17" i="35"/>
  <c r="C17" i="35"/>
  <c r="F17" i="35"/>
  <c r="G1134" i="1" l="1"/>
  <c r="F1140" i="1"/>
  <c r="D16" i="35" s="1"/>
  <c r="D578" i="1" l="1"/>
  <c r="D577" i="1"/>
  <c r="D576" i="1"/>
  <c r="D511" i="1"/>
  <c r="D34" i="31" s="1"/>
  <c r="D510" i="1"/>
  <c r="D33" i="31" s="1"/>
  <c r="D509" i="1"/>
  <c r="D32" i="31" s="1"/>
  <c r="A1" i="47"/>
  <c r="B14" i="26" l="1"/>
  <c r="B13" i="26"/>
  <c r="B11" i="26"/>
  <c r="B10" i="26"/>
  <c r="F14" i="38" l="1"/>
  <c r="C14" i="38"/>
  <c r="B14" i="38"/>
  <c r="F15" i="38"/>
  <c r="F13" i="38"/>
  <c r="C15" i="38"/>
  <c r="C13" i="38"/>
  <c r="B15" i="38"/>
  <c r="B13" i="38"/>
  <c r="D15" i="38"/>
  <c r="D13" i="38"/>
  <c r="D14" i="38"/>
  <c r="F72" i="1"/>
  <c r="B31" i="22"/>
  <c r="C31" i="22"/>
  <c r="F31" i="22"/>
  <c r="B32" i="22"/>
  <c r="C32" i="22"/>
  <c r="F32" i="22"/>
  <c r="C23" i="21"/>
  <c r="F39" i="4" l="1"/>
  <c r="F38" i="4"/>
  <c r="G38" i="4"/>
  <c r="D38" i="4"/>
  <c r="D10" i="40" s="1"/>
  <c r="C38" i="4"/>
  <c r="C10" i="40" s="1"/>
  <c r="B38" i="4"/>
  <c r="A38" i="4"/>
  <c r="B10" i="40" s="1"/>
  <c r="E60" i="2"/>
  <c r="C60" i="2"/>
  <c r="B59" i="2"/>
  <c r="D24" i="60"/>
  <c r="F24" i="60" s="1"/>
  <c r="D23" i="60"/>
  <c r="F23" i="60" s="1"/>
  <c r="D22" i="60"/>
  <c r="F22" i="60" s="1"/>
  <c r="C24" i="60"/>
  <c r="C23" i="60"/>
  <c r="C22" i="60"/>
  <c r="F15" i="60"/>
  <c r="D15" i="60"/>
  <c r="C15" i="60"/>
  <c r="F14" i="60"/>
  <c r="D14" i="60"/>
  <c r="C14" i="60"/>
  <c r="F13" i="60"/>
  <c r="D13" i="60"/>
  <c r="C13" i="60"/>
  <c r="F11" i="60"/>
  <c r="D11" i="60"/>
  <c r="C11" i="60"/>
  <c r="F10" i="60"/>
  <c r="D10" i="60"/>
  <c r="C10" i="60"/>
  <c r="F9" i="60"/>
  <c r="D9" i="60"/>
  <c r="C9" i="60"/>
  <c r="F7" i="60"/>
  <c r="D7" i="60"/>
  <c r="F6" i="60"/>
  <c r="D6" i="60"/>
  <c r="C6" i="60"/>
  <c r="F5" i="60"/>
  <c r="D5" i="60"/>
  <c r="C5" i="60"/>
  <c r="F3" i="60"/>
  <c r="D3" i="60"/>
  <c r="A18" i="53" l="1"/>
  <c r="G68" i="60"/>
  <c r="G67" i="60"/>
  <c r="G66" i="60"/>
  <c r="G65" i="60"/>
  <c r="G64" i="60"/>
  <c r="G63" i="60"/>
  <c r="G62" i="60"/>
  <c r="G61" i="60"/>
  <c r="G60" i="60"/>
  <c r="G59" i="60"/>
  <c r="G58" i="60"/>
  <c r="G57" i="60"/>
  <c r="G35" i="60"/>
  <c r="B2" i="60"/>
  <c r="F8" i="60"/>
  <c r="D8" i="60"/>
  <c r="B8" i="60"/>
  <c r="B7" i="60"/>
  <c r="E54" i="6"/>
  <c r="C54" i="6"/>
  <c r="B56" i="6"/>
  <c r="B62" i="2" s="1"/>
  <c r="B55" i="6"/>
  <c r="B61" i="2" s="1"/>
  <c r="B53" i="6"/>
  <c r="D20" i="60"/>
  <c r="F20" i="60" s="1"/>
  <c r="C20" i="60"/>
  <c r="C25" i="60"/>
  <c r="D25" i="60"/>
  <c r="F25" i="60" s="1"/>
  <c r="D627" i="1"/>
  <c r="E627" i="1"/>
  <c r="B627" i="1"/>
  <c r="E618" i="1"/>
  <c r="D618" i="1"/>
  <c r="C618" i="1"/>
  <c r="E646" i="1"/>
  <c r="D646" i="1"/>
  <c r="E641" i="1"/>
  <c r="G39" i="4" s="1"/>
  <c r="D641" i="1"/>
  <c r="C623" i="1"/>
  <c r="C615" i="1"/>
  <c r="C613" i="1"/>
  <c r="J38" i="4" l="1"/>
  <c r="F63" i="2"/>
  <c r="D54" i="6"/>
  <c r="D60" i="2"/>
  <c r="C57" i="6"/>
  <c r="C63" i="2"/>
  <c r="C16" i="60"/>
  <c r="F16" i="60"/>
  <c r="E57" i="6"/>
  <c r="E63" i="2"/>
  <c r="D16" i="60"/>
  <c r="G44" i="35" l="1"/>
  <c r="G43" i="35"/>
  <c r="G42" i="35"/>
  <c r="G41" i="35"/>
  <c r="G40" i="35"/>
  <c r="G39" i="35"/>
  <c r="G38" i="35"/>
  <c r="G27" i="36"/>
  <c r="I169" i="4"/>
  <c r="I177" i="4"/>
  <c r="I45" i="4"/>
  <c r="I68" i="4"/>
  <c r="I107" i="4"/>
  <c r="G29" i="4"/>
  <c r="A3" i="4"/>
  <c r="G47" i="27"/>
  <c r="B14" i="39" l="1"/>
  <c r="B13" i="39"/>
  <c r="B12" i="39"/>
  <c r="B11" i="39"/>
  <c r="B10" i="39"/>
  <c r="B9" i="39"/>
  <c r="C28" i="21" l="1"/>
  <c r="F28" i="21"/>
  <c r="C29" i="21"/>
  <c r="F29" i="21"/>
  <c r="C30" i="21"/>
  <c r="F30" i="21"/>
  <c r="C31" i="21"/>
  <c r="F31" i="21"/>
  <c r="C33" i="21"/>
  <c r="F33" i="21"/>
  <c r="F27" i="21"/>
  <c r="C27" i="21"/>
  <c r="B33" i="21"/>
  <c r="B31" i="21"/>
  <c r="B30" i="21"/>
  <c r="B29" i="21"/>
  <c r="B28" i="21"/>
  <c r="B27" i="21"/>
  <c r="B26" i="21"/>
  <c r="B25" i="21"/>
  <c r="B24" i="21"/>
  <c r="F12" i="21"/>
  <c r="F13" i="21"/>
  <c r="F14" i="21"/>
  <c r="C12" i="21"/>
  <c r="C13" i="21"/>
  <c r="C14" i="21"/>
  <c r="C15" i="21"/>
  <c r="C16" i="21"/>
  <c r="C17" i="21"/>
  <c r="C18" i="21"/>
  <c r="C19" i="21"/>
  <c r="C21" i="21"/>
  <c r="B11" i="21"/>
  <c r="B9" i="21"/>
  <c r="D16" i="21"/>
  <c r="D28" i="21"/>
  <c r="D17" i="21"/>
  <c r="D29" i="21"/>
  <c r="D18" i="21"/>
  <c r="D30" i="21"/>
  <c r="D19" i="21"/>
  <c r="D31" i="21"/>
  <c r="D21" i="21"/>
  <c r="D33" i="21"/>
  <c r="B18" i="33" l="1"/>
  <c r="C18" i="33"/>
  <c r="F18" i="33"/>
  <c r="B19" i="33"/>
  <c r="C19" i="33"/>
  <c r="F19" i="33"/>
  <c r="D19" i="33"/>
  <c r="F952" i="1"/>
  <c r="D29" i="33" s="1"/>
  <c r="D18" i="33"/>
  <c r="B49" i="22"/>
  <c r="C49" i="22"/>
  <c r="F49" i="22"/>
  <c r="B50" i="22"/>
  <c r="C50" i="22"/>
  <c r="F50" i="22"/>
  <c r="B35" i="22"/>
  <c r="B36" i="22"/>
  <c r="B37" i="22"/>
  <c r="C35" i="22"/>
  <c r="F35" i="22"/>
  <c r="C36" i="22"/>
  <c r="F36" i="22"/>
  <c r="C37" i="22"/>
  <c r="F37" i="22"/>
  <c r="F21" i="22"/>
  <c r="C21" i="22"/>
  <c r="B21" i="22"/>
  <c r="F20" i="22"/>
  <c r="C20" i="22"/>
  <c r="B20" i="22"/>
  <c r="F19" i="22"/>
  <c r="C19" i="22"/>
  <c r="B19" i="22"/>
  <c r="F18" i="22"/>
  <c r="C18" i="22"/>
  <c r="B18" i="22"/>
  <c r="F17" i="22"/>
  <c r="C17" i="22"/>
  <c r="B17" i="22"/>
  <c r="F15" i="22"/>
  <c r="C15" i="22"/>
  <c r="F14" i="22"/>
  <c r="C14" i="22"/>
  <c r="B15" i="22"/>
  <c r="B14" i="22"/>
  <c r="F12" i="22"/>
  <c r="C12" i="22"/>
  <c r="B12" i="22"/>
  <c r="F11" i="22"/>
  <c r="C11" i="22"/>
  <c r="B11" i="22"/>
  <c r="D37" i="22"/>
  <c r="D36" i="22"/>
  <c r="F886" i="1"/>
  <c r="D35" i="22" s="1"/>
  <c r="F911" i="1"/>
  <c r="D50" i="22" s="1"/>
  <c r="E911" i="1"/>
  <c r="D32" i="22" s="1"/>
  <c r="F910" i="1"/>
  <c r="D49" i="22" s="1"/>
  <c r="E910" i="1"/>
  <c r="D31" i="22" s="1"/>
  <c r="D15" i="22"/>
  <c r="D14" i="22"/>
  <c r="D21" i="22"/>
  <c r="D20" i="22"/>
  <c r="D19" i="22"/>
  <c r="D18" i="22"/>
  <c r="D17" i="22"/>
  <c r="D12" i="22"/>
  <c r="D11" i="22"/>
  <c r="B11" i="28" l="1"/>
  <c r="C11" i="28"/>
  <c r="F11" i="28"/>
  <c r="B12" i="28"/>
  <c r="C12" i="28"/>
  <c r="F12" i="28"/>
  <c r="B13" i="28"/>
  <c r="C13" i="28"/>
  <c r="F13" i="28"/>
  <c r="D810" i="1"/>
  <c r="D11" i="28" s="1"/>
  <c r="D811" i="1"/>
  <c r="D12" i="28" s="1"/>
  <c r="D812" i="1"/>
  <c r="D13" i="28" s="1"/>
  <c r="G30" i="26"/>
  <c r="G29" i="26"/>
  <c r="G28" i="26"/>
  <c r="G27" i="26"/>
  <c r="F37" i="21" l="1"/>
  <c r="D37" i="21"/>
  <c r="C37" i="21"/>
  <c r="D976" i="1"/>
  <c r="E976" i="1"/>
  <c r="B976" i="1"/>
  <c r="C972" i="1"/>
  <c r="F15" i="37"/>
  <c r="D15" i="37"/>
  <c r="C15" i="37"/>
  <c r="D163" i="1"/>
  <c r="E163" i="1"/>
  <c r="B163" i="1"/>
  <c r="C25" i="1"/>
  <c r="C111" i="1"/>
  <c r="C159" i="1"/>
  <c r="E43" i="6" l="1"/>
  <c r="F51" i="2"/>
  <c r="F15" i="19"/>
  <c r="D15" i="19"/>
  <c r="C15" i="19"/>
  <c r="D115" i="1"/>
  <c r="E115" i="1"/>
  <c r="B115" i="1"/>
  <c r="H1216" i="1" l="1"/>
  <c r="E1210" i="1" s="1"/>
  <c r="E1225" i="1"/>
  <c r="F16" i="19"/>
  <c r="C16" i="19"/>
  <c r="D16" i="19"/>
  <c r="B129" i="31"/>
  <c r="F833" i="1"/>
  <c r="D539" i="1"/>
  <c r="D62" i="31" s="1"/>
  <c r="D534" i="1"/>
  <c r="D57" i="31" s="1"/>
  <c r="D538" i="1"/>
  <c r="D61" i="31" s="1"/>
  <c r="F441" i="1"/>
  <c r="B24" i="61" s="1"/>
  <c r="F436" i="1"/>
  <c r="F337" i="1"/>
  <c r="D337" i="1"/>
  <c r="F181" i="1"/>
  <c r="F177" i="1"/>
  <c r="K168" i="1"/>
  <c r="K120" i="1"/>
  <c r="F18" i="7"/>
  <c r="D18" i="7"/>
  <c r="C18" i="7"/>
  <c r="D29" i="1"/>
  <c r="E29" i="1"/>
  <c r="B29" i="1"/>
  <c r="C12" i="6" s="1"/>
  <c r="F163" i="6" l="1"/>
  <c r="H82" i="2"/>
  <c r="G82" i="2"/>
  <c r="F162" i="6"/>
  <c r="E338" i="1"/>
  <c r="C320" i="1" s="1"/>
  <c r="C20" i="7"/>
  <c r="F19" i="7"/>
  <c r="D19" i="7"/>
  <c r="C19" i="7"/>
  <c r="C322" i="1" l="1"/>
  <c r="G43" i="25"/>
  <c r="F35" i="24"/>
  <c r="F36" i="24"/>
  <c r="F37" i="24"/>
  <c r="F38" i="24"/>
  <c r="F39" i="24"/>
  <c r="F40" i="24"/>
  <c r="F34" i="24"/>
  <c r="C35" i="24"/>
  <c r="C36" i="24"/>
  <c r="C37" i="24"/>
  <c r="C38" i="24"/>
  <c r="C39" i="24"/>
  <c r="C40" i="24"/>
  <c r="C34" i="24"/>
  <c r="B35" i="24"/>
  <c r="B36" i="24"/>
  <c r="B37" i="24"/>
  <c r="B38" i="24"/>
  <c r="B39" i="24"/>
  <c r="B40" i="24"/>
  <c r="B34" i="24"/>
  <c r="D743" i="1"/>
  <c r="D40" i="24" s="1"/>
  <c r="D742" i="1"/>
  <c r="D39" i="24" s="1"/>
  <c r="D741" i="1"/>
  <c r="D38" i="24" s="1"/>
  <c r="D740" i="1"/>
  <c r="D37" i="24" s="1"/>
  <c r="D739" i="1"/>
  <c r="D36" i="24" s="1"/>
  <c r="D738" i="1"/>
  <c r="D35" i="24" s="1"/>
  <c r="D737" i="1"/>
  <c r="D34" i="24" s="1"/>
  <c r="G55" i="24"/>
  <c r="G34" i="23"/>
  <c r="B18" i="23"/>
  <c r="B9" i="23"/>
  <c r="B18" i="17"/>
  <c r="B9" i="17"/>
  <c r="B35" i="13" l="1"/>
  <c r="C35" i="13"/>
  <c r="F35" i="13"/>
  <c r="B36" i="13"/>
  <c r="C36" i="13"/>
  <c r="F36" i="13"/>
  <c r="B37" i="13"/>
  <c r="C37" i="13"/>
  <c r="F37" i="13"/>
  <c r="B38" i="13"/>
  <c r="C38" i="13"/>
  <c r="F38" i="13"/>
  <c r="B39" i="13"/>
  <c r="C39" i="13"/>
  <c r="F39" i="13"/>
  <c r="B40" i="13"/>
  <c r="C40" i="13"/>
  <c r="F40" i="13"/>
  <c r="C34" i="13"/>
  <c r="F34" i="13"/>
  <c r="B34" i="13"/>
  <c r="D602" i="1"/>
  <c r="D36" i="13" s="1"/>
  <c r="D601" i="1"/>
  <c r="D35" i="13" s="1"/>
  <c r="D606" i="1"/>
  <c r="D40" i="13" s="1"/>
  <c r="D605" i="1"/>
  <c r="D39" i="13" s="1"/>
  <c r="D604" i="1"/>
  <c r="D38" i="13" s="1"/>
  <c r="D603" i="1"/>
  <c r="D37" i="13" s="1"/>
  <c r="F25" i="31"/>
  <c r="C25" i="31"/>
  <c r="F24" i="31"/>
  <c r="C24" i="31"/>
  <c r="B24" i="31"/>
  <c r="D498" i="1"/>
  <c r="D497" i="1"/>
  <c r="B442" i="1"/>
  <c r="B73" i="14"/>
  <c r="B72" i="14"/>
  <c r="B71" i="14"/>
  <c r="B70" i="14"/>
  <c r="B69" i="14"/>
  <c r="F37" i="14"/>
  <c r="F36" i="14"/>
  <c r="F35" i="14"/>
  <c r="D37" i="14"/>
  <c r="D36" i="14"/>
  <c r="D35" i="14"/>
  <c r="C37" i="14"/>
  <c r="C36" i="14"/>
  <c r="C35" i="14"/>
  <c r="B38" i="14"/>
  <c r="B37" i="14"/>
  <c r="B36" i="14"/>
  <c r="B35" i="14"/>
  <c r="B34" i="14"/>
  <c r="J394" i="1"/>
  <c r="F38" i="14" s="1"/>
  <c r="C38" i="14"/>
  <c r="J401" i="1"/>
  <c r="F73" i="14" s="1"/>
  <c r="I401" i="1"/>
  <c r="D72" i="14" s="1"/>
  <c r="H401" i="1"/>
  <c r="F71" i="14" s="1"/>
  <c r="G401" i="1"/>
  <c r="F70" i="14" s="1"/>
  <c r="E401" i="1"/>
  <c r="C72" i="14" s="1"/>
  <c r="D401" i="1"/>
  <c r="C71" i="14" s="1"/>
  <c r="C401" i="1"/>
  <c r="C70" i="14" s="1"/>
  <c r="F401" i="1"/>
  <c r="C73" i="14" s="1"/>
  <c r="F47" i="15"/>
  <c r="F28" i="50"/>
  <c r="F27" i="50"/>
  <c r="F26" i="50"/>
  <c r="F25" i="50"/>
  <c r="F24" i="50"/>
  <c r="F23" i="50"/>
  <c r="F22" i="50"/>
  <c r="F21" i="50"/>
  <c r="F20" i="50"/>
  <c r="F19" i="50"/>
  <c r="F18" i="50"/>
  <c r="D28" i="50"/>
  <c r="D27" i="50"/>
  <c r="D26" i="50"/>
  <c r="D25" i="50"/>
  <c r="D24" i="50"/>
  <c r="D23" i="50"/>
  <c r="D22" i="50"/>
  <c r="D21" i="50"/>
  <c r="D20" i="50"/>
  <c r="D19" i="50"/>
  <c r="D18" i="50"/>
  <c r="C28" i="50"/>
  <c r="C27" i="50"/>
  <c r="C26" i="50"/>
  <c r="C25" i="50"/>
  <c r="C24" i="50"/>
  <c r="C23" i="50"/>
  <c r="C22" i="50"/>
  <c r="C21" i="50"/>
  <c r="C20" i="50"/>
  <c r="C19" i="50"/>
  <c r="C18" i="50"/>
  <c r="I309" i="1"/>
  <c r="I308" i="1"/>
  <c r="I307" i="1"/>
  <c r="I306" i="1"/>
  <c r="I305" i="1"/>
  <c r="I304" i="1"/>
  <c r="I303" i="1"/>
  <c r="I302" i="1"/>
  <c r="I301" i="1"/>
  <c r="I300" i="1"/>
  <c r="I299" i="1"/>
  <c r="I298" i="1"/>
  <c r="F28" i="16"/>
  <c r="D28" i="16"/>
  <c r="C28" i="16"/>
  <c r="I267" i="1"/>
  <c r="F26" i="16"/>
  <c r="D26" i="16"/>
  <c r="C26" i="16"/>
  <c r="F25" i="16"/>
  <c r="D25" i="16"/>
  <c r="C25" i="16"/>
  <c r="I265" i="1"/>
  <c r="I264" i="1"/>
  <c r="F23" i="16"/>
  <c r="D23" i="16"/>
  <c r="C23" i="16"/>
  <c r="F22" i="16"/>
  <c r="D22" i="16"/>
  <c r="C22" i="16"/>
  <c r="I262" i="1"/>
  <c r="I261" i="1"/>
  <c r="F21" i="16"/>
  <c r="D21" i="16"/>
  <c r="C21" i="16"/>
  <c r="I260" i="1"/>
  <c r="F20" i="16"/>
  <c r="D20" i="16"/>
  <c r="C20" i="16"/>
  <c r="I259" i="1"/>
  <c r="F19" i="16"/>
  <c r="D19" i="16"/>
  <c r="C19" i="16"/>
  <c r="I258" i="1"/>
  <c r="G48" i="38"/>
  <c r="B11" i="37"/>
  <c r="B11" i="19"/>
  <c r="D24" i="31" l="1"/>
  <c r="F29" i="4"/>
  <c r="D25" i="31"/>
  <c r="H29" i="4"/>
  <c r="D38" i="14"/>
  <c r="D70" i="14"/>
  <c r="F72" i="14"/>
  <c r="D71" i="14"/>
  <c r="D73" i="14"/>
  <c r="M2" i="51"/>
  <c r="L2" i="51"/>
  <c r="K2" i="51"/>
  <c r="J2" i="51"/>
  <c r="I2" i="51"/>
  <c r="H2" i="51"/>
  <c r="G2" i="51"/>
  <c r="F2" i="51"/>
  <c r="Y2" i="59"/>
  <c r="X2" i="59"/>
  <c r="W2" i="59"/>
  <c r="E2" i="59"/>
  <c r="V2" i="59"/>
  <c r="U2" i="59"/>
  <c r="T2" i="59"/>
  <c r="S2" i="59"/>
  <c r="P2" i="59"/>
  <c r="L2" i="59"/>
  <c r="Q2" i="59"/>
  <c r="H2" i="59"/>
  <c r="J2" i="59"/>
  <c r="G2" i="59"/>
  <c r="F14" i="7" l="1"/>
  <c r="D14" i="7"/>
  <c r="C14" i="7"/>
  <c r="B14" i="7"/>
  <c r="F13" i="7"/>
  <c r="D13" i="7"/>
  <c r="C13" i="7"/>
  <c r="B13" i="7"/>
  <c r="F12" i="7"/>
  <c r="D12" i="7"/>
  <c r="C12" i="7"/>
  <c r="B12" i="7"/>
  <c r="C1087" i="1" l="1"/>
  <c r="C1059" i="1"/>
  <c r="C970" i="1"/>
  <c r="C791" i="1"/>
  <c r="C759" i="1"/>
  <c r="C58" i="1"/>
  <c r="C157" i="1"/>
  <c r="C109" i="1"/>
  <c r="C23" i="1"/>
  <c r="A31" i="53" l="1"/>
  <c r="A30" i="53"/>
  <c r="A29" i="53"/>
  <c r="A28" i="53"/>
  <c r="A22" i="53"/>
  <c r="A21" i="53"/>
  <c r="A26" i="53"/>
  <c r="A25" i="53"/>
  <c r="A24" i="53"/>
  <c r="A23" i="53"/>
  <c r="A3" i="53"/>
  <c r="A16" i="53"/>
  <c r="A15" i="53"/>
  <c r="A14" i="53"/>
  <c r="A11" i="53"/>
  <c r="A13" i="53"/>
  <c r="A12" i="53"/>
  <c r="A10" i="53"/>
  <c r="A7" i="53"/>
  <c r="A19" i="53"/>
  <c r="A5" i="53"/>
  <c r="A4" i="53"/>
  <c r="A2" i="53"/>
  <c r="F33" i="15" l="1"/>
  <c r="B40" i="22" l="1"/>
  <c r="H17" i="4" l="1"/>
  <c r="I17" i="4"/>
  <c r="F168" i="4" l="1"/>
  <c r="B22" i="22"/>
  <c r="I25" i="4"/>
  <c r="I43" i="4" l="1"/>
  <c r="I44" i="4"/>
  <c r="I119" i="4"/>
  <c r="I120" i="4"/>
  <c r="I121" i="4"/>
  <c r="I118" i="4"/>
  <c r="G61" i="4"/>
  <c r="C17" i="23"/>
  <c r="F17" i="23"/>
  <c r="B17" i="23"/>
  <c r="D694" i="1"/>
  <c r="D695" i="1"/>
  <c r="D17" i="23" s="1"/>
  <c r="I124" i="4"/>
  <c r="I125" i="4"/>
  <c r="I126" i="4"/>
  <c r="I127" i="4"/>
  <c r="F66" i="31"/>
  <c r="F67" i="31"/>
  <c r="F68" i="31"/>
  <c r="G127" i="4"/>
  <c r="G124" i="4"/>
  <c r="G125" i="4"/>
  <c r="G126" i="4"/>
  <c r="H513" i="1"/>
  <c r="D68" i="31" s="1"/>
  <c r="H511" i="1"/>
  <c r="D66" i="31" s="1"/>
  <c r="I98" i="4"/>
  <c r="G99" i="4"/>
  <c r="F125" i="4" l="1"/>
  <c r="F127" i="4"/>
  <c r="A23" i="54"/>
  <c r="B71" i="2"/>
  <c r="B152" i="6"/>
  <c r="B16" i="2"/>
  <c r="B16" i="6"/>
  <c r="E24" i="46"/>
  <c r="A18" i="46" l="1"/>
  <c r="B11" i="20" l="1"/>
  <c r="B11" i="14"/>
  <c r="C160" i="2"/>
  <c r="D160" i="2"/>
  <c r="E160" i="2"/>
  <c r="F160" i="2"/>
  <c r="C161" i="2"/>
  <c r="D161" i="2"/>
  <c r="E161" i="2"/>
  <c r="F161" i="2"/>
  <c r="C162" i="2"/>
  <c r="D162" i="2"/>
  <c r="E162" i="2"/>
  <c r="F162" i="2"/>
  <c r="C163" i="2"/>
  <c r="D163" i="2"/>
  <c r="E163" i="2"/>
  <c r="F163" i="2"/>
  <c r="B160" i="2"/>
  <c r="B161" i="2"/>
  <c r="B162" i="2"/>
  <c r="B163" i="2"/>
  <c r="E179" i="6"/>
  <c r="E180" i="6"/>
  <c r="E181" i="6"/>
  <c r="E182" i="6"/>
  <c r="B179" i="6"/>
  <c r="B180" i="6"/>
  <c r="B181" i="6"/>
  <c r="B182" i="6"/>
  <c r="B114" i="6"/>
  <c r="B115" i="6"/>
  <c r="G163" i="2" l="1"/>
  <c r="G162" i="2"/>
  <c r="G161" i="2"/>
  <c r="G160" i="2"/>
  <c r="H162" i="2"/>
  <c r="H160" i="2"/>
  <c r="H163" i="2"/>
  <c r="H161" i="2"/>
  <c r="F442" i="1"/>
  <c r="E442" i="1"/>
  <c r="D22" i="20"/>
  <c r="F22" i="20" s="1"/>
  <c r="D32" i="37"/>
  <c r="F32" i="37" s="1"/>
  <c r="D31" i="37"/>
  <c r="F31" i="37" s="1"/>
  <c r="D30" i="37"/>
  <c r="F30" i="37" s="1"/>
  <c r="D24" i="37"/>
  <c r="F24" i="37" s="1"/>
  <c r="D23" i="37"/>
  <c r="F23" i="37" s="1"/>
  <c r="D22" i="37"/>
  <c r="F22" i="37" s="1"/>
  <c r="C437" i="1"/>
  <c r="C400" i="1"/>
  <c r="C395" i="1"/>
  <c r="C393" i="1"/>
  <c r="C391" i="1"/>
  <c r="D23" i="20" l="1"/>
  <c r="F23" i="20" s="1"/>
  <c r="F23" i="61"/>
  <c r="D24" i="20"/>
  <c r="F24" i="20" s="1"/>
  <c r="F24" i="61"/>
  <c r="E965" i="1"/>
  <c r="D965" i="1"/>
  <c r="C965" i="1"/>
  <c r="E754" i="1"/>
  <c r="D754" i="1"/>
  <c r="C754" i="1"/>
  <c r="E665" i="1"/>
  <c r="D665" i="1"/>
  <c r="C665" i="1"/>
  <c r="E659" i="1"/>
  <c r="D659" i="1"/>
  <c r="C659" i="1"/>
  <c r="E454" i="1"/>
  <c r="D454" i="1"/>
  <c r="C454" i="1"/>
  <c r="E369" i="1"/>
  <c r="D369" i="1"/>
  <c r="C369" i="1"/>
  <c r="E321" i="1"/>
  <c r="D321" i="1"/>
  <c r="C321" i="1"/>
  <c r="E279" i="1"/>
  <c r="D279" i="1"/>
  <c r="C279" i="1"/>
  <c r="E237" i="1"/>
  <c r="D237" i="1"/>
  <c r="C237" i="1"/>
  <c r="E194" i="1"/>
  <c r="D194" i="1"/>
  <c r="C194" i="1"/>
  <c r="E53" i="1"/>
  <c r="D53" i="1"/>
  <c r="C53" i="1"/>
  <c r="G29" i="7" l="1"/>
  <c r="G137" i="7"/>
  <c r="B40" i="15" l="1"/>
  <c r="C40" i="15"/>
  <c r="F40" i="15"/>
  <c r="A1" i="43" l="1"/>
  <c r="G77" i="4" l="1"/>
  <c r="C47" i="15"/>
  <c r="C33" i="15"/>
  <c r="B47" i="15"/>
  <c r="B33" i="15"/>
  <c r="H355" i="1"/>
  <c r="G355" i="1"/>
  <c r="F354" i="1"/>
  <c r="F355" i="1"/>
  <c r="D33" i="15" s="1"/>
  <c r="D47" i="15" l="1"/>
  <c r="H77" i="4"/>
  <c r="D40" i="15"/>
  <c r="F77" i="4"/>
  <c r="F7" i="39"/>
  <c r="D7" i="39"/>
  <c r="B7" i="39"/>
  <c r="F7" i="36"/>
  <c r="D7" i="36"/>
  <c r="B7" i="36"/>
  <c r="F7" i="35"/>
  <c r="B7" i="35"/>
  <c r="F7" i="30"/>
  <c r="D7" i="30"/>
  <c r="B7" i="30"/>
  <c r="F7" i="29"/>
  <c r="D7" i="29"/>
  <c r="B7" i="29"/>
  <c r="F7" i="34"/>
  <c r="C50" i="19"/>
  <c r="B7" i="34"/>
  <c r="F7" i="21"/>
  <c r="D7" i="21"/>
  <c r="B7" i="21"/>
  <c r="F7" i="33"/>
  <c r="D7" i="33"/>
  <c r="B7" i="33"/>
  <c r="F7" i="22"/>
  <c r="D7" i="22"/>
  <c r="B7" i="22"/>
  <c r="F7" i="27"/>
  <c r="B7" i="27"/>
  <c r="F7" i="28"/>
  <c r="D7" i="28"/>
  <c r="B7" i="28"/>
  <c r="F7" i="26"/>
  <c r="D7" i="26"/>
  <c r="B7" i="26"/>
  <c r="F7" i="25"/>
  <c r="D7" i="25"/>
  <c r="B7" i="25"/>
  <c r="F7" i="24"/>
  <c r="D7" i="24"/>
  <c r="B7" i="24"/>
  <c r="F7" i="23"/>
  <c r="D7" i="23"/>
  <c r="G129" i="1" s="1"/>
  <c r="B7" i="23"/>
  <c r="F7" i="18"/>
  <c r="D7" i="18"/>
  <c r="B7" i="18"/>
  <c r="F7" i="13"/>
  <c r="D7" i="13"/>
  <c r="B7" i="13"/>
  <c r="F7" i="31"/>
  <c r="D7" i="31"/>
  <c r="B7" i="31"/>
  <c r="F7" i="20"/>
  <c r="D7" i="20"/>
  <c r="B7" i="20"/>
  <c r="F7" i="14"/>
  <c r="D7" i="14"/>
  <c r="B7" i="14"/>
  <c r="F7" i="15"/>
  <c r="D7" i="15"/>
  <c r="G133" i="1" s="1"/>
  <c r="D45" i="19" s="1"/>
  <c r="B7" i="15"/>
  <c r="F7" i="50"/>
  <c r="D7" i="50"/>
  <c r="G138" i="1" s="1"/>
  <c r="D35" i="19" s="1"/>
  <c r="B7" i="50"/>
  <c r="F7" i="16"/>
  <c r="D7" i="16"/>
  <c r="G131" i="1" s="1"/>
  <c r="B7" i="16"/>
  <c r="F7" i="17"/>
  <c r="B7" i="17"/>
  <c r="F7" i="38"/>
  <c r="B7" i="38"/>
  <c r="F7" i="37"/>
  <c r="D7" i="37"/>
  <c r="D33" i="38" s="1"/>
  <c r="B7" i="37"/>
  <c r="F7" i="19"/>
  <c r="D7" i="19"/>
  <c r="B7" i="19"/>
  <c r="F7" i="7"/>
  <c r="D7" i="7"/>
  <c r="B7" i="7"/>
  <c r="C55" i="19" l="1"/>
  <c r="D50" i="19"/>
  <c r="G130" i="1"/>
  <c r="D25" i="19" s="1"/>
  <c r="G132" i="1"/>
  <c r="D40" i="19" s="1"/>
  <c r="D20" i="19"/>
  <c r="F3" i="50"/>
  <c r="D3" i="50"/>
  <c r="F30" i="50"/>
  <c r="D30" i="50"/>
  <c r="C30" i="50"/>
  <c r="F32" i="50"/>
  <c r="D32" i="50"/>
  <c r="C32" i="50"/>
  <c r="F31" i="50"/>
  <c r="D31" i="50"/>
  <c r="C31" i="50"/>
  <c r="F16" i="50"/>
  <c r="D16" i="50"/>
  <c r="C16" i="50"/>
  <c r="C15" i="50"/>
  <c r="C14" i="50"/>
  <c r="C13" i="50"/>
  <c r="C12" i="50"/>
  <c r="C11" i="50"/>
  <c r="D138" i="1" s="1"/>
  <c r="C36" i="19" s="1"/>
  <c r="D10" i="50"/>
  <c r="C10" i="50"/>
  <c r="C9" i="50"/>
  <c r="B15" i="50"/>
  <c r="B14" i="50"/>
  <c r="B13" i="50"/>
  <c r="B12" i="50"/>
  <c r="B11" i="50"/>
  <c r="B10" i="50"/>
  <c r="B9" i="50"/>
  <c r="F6" i="50"/>
  <c r="C6" i="50"/>
  <c r="F5" i="50"/>
  <c r="C5" i="50"/>
  <c r="E138" i="1" s="1"/>
  <c r="C37" i="19" s="1"/>
  <c r="F140" i="2"/>
  <c r="E140" i="2"/>
  <c r="D140" i="2"/>
  <c r="C140" i="2"/>
  <c r="F139" i="2"/>
  <c r="C139" i="2"/>
  <c r="B141" i="2"/>
  <c r="B140" i="2"/>
  <c r="B138" i="2"/>
  <c r="E141" i="6"/>
  <c r="D141" i="6"/>
  <c r="C141" i="6"/>
  <c r="C140" i="6"/>
  <c r="B142" i="6"/>
  <c r="B141" i="6"/>
  <c r="B139" i="6"/>
  <c r="C10" i="8"/>
  <c r="G89" i="4"/>
  <c r="G88" i="4"/>
  <c r="G87" i="4"/>
  <c r="G86" i="4"/>
  <c r="D86" i="4"/>
  <c r="D18" i="40" s="1"/>
  <c r="C86" i="4"/>
  <c r="C18" i="40" s="1"/>
  <c r="B86" i="4"/>
  <c r="A86" i="4"/>
  <c r="B18" i="40" s="1"/>
  <c r="C60" i="19" l="1"/>
  <c r="D55" i="19"/>
  <c r="E5" i="41"/>
  <c r="E10" i="41"/>
  <c r="C65" i="19" l="1"/>
  <c r="D65" i="19" s="1"/>
  <c r="D60" i="19"/>
  <c r="D169" i="1"/>
  <c r="D121" i="1"/>
  <c r="D386" i="1" l="1"/>
  <c r="D385" i="1"/>
  <c r="D384" i="1"/>
  <c r="H146" i="4" l="1"/>
  <c r="F146" i="4"/>
  <c r="G146" i="4"/>
  <c r="B29" i="27"/>
  <c r="C29" i="27"/>
  <c r="F29" i="27"/>
  <c r="B14" i="27"/>
  <c r="C14" i="27"/>
  <c r="F14" i="27"/>
  <c r="D29" i="27"/>
  <c r="D14" i="27"/>
  <c r="B2" i="50" l="1"/>
  <c r="B10" i="8" s="1"/>
  <c r="G42" i="50"/>
  <c r="F8" i="50"/>
  <c r="D8" i="50"/>
  <c r="C8" i="50"/>
  <c r="B8" i="50"/>
  <c r="F15" i="50"/>
  <c r="F14" i="50"/>
  <c r="D14" i="50"/>
  <c r="F13" i="50"/>
  <c r="F12" i="50"/>
  <c r="F11" i="50"/>
  <c r="F10" i="50"/>
  <c r="F9" i="50"/>
  <c r="E295" i="1"/>
  <c r="D294" i="1"/>
  <c r="E288" i="1"/>
  <c r="D288" i="1"/>
  <c r="J86" i="4" s="1"/>
  <c r="B288" i="1"/>
  <c r="E280" i="1"/>
  <c r="F141" i="2" s="1"/>
  <c r="B280" i="1"/>
  <c r="D6" i="50"/>
  <c r="C276" i="1"/>
  <c r="C274" i="1"/>
  <c r="D12" i="50" l="1"/>
  <c r="F88" i="4"/>
  <c r="D9" i="50"/>
  <c r="F86" i="4"/>
  <c r="D13" i="50"/>
  <c r="F89" i="4"/>
  <c r="D11" i="50"/>
  <c r="H138" i="1" s="1"/>
  <c r="D36" i="19" s="1"/>
  <c r="F87" i="4"/>
  <c r="D15" i="50"/>
  <c r="H86" i="4"/>
  <c r="C284" i="1"/>
  <c r="C278" i="1"/>
  <c r="C280" i="1" s="1"/>
  <c r="C33" i="50"/>
  <c r="C142" i="2"/>
  <c r="C143" i="6"/>
  <c r="C286" i="1"/>
  <c r="H140" i="2"/>
  <c r="G140" i="2"/>
  <c r="F141" i="6"/>
  <c r="D139" i="2"/>
  <c r="D140" i="6"/>
  <c r="C142" i="6"/>
  <c r="C141" i="2"/>
  <c r="E142" i="2"/>
  <c r="E143" i="6"/>
  <c r="D33" i="50"/>
  <c r="D5" i="50"/>
  <c r="I138" i="1" s="1"/>
  <c r="D37" i="19" s="1"/>
  <c r="E139" i="2"/>
  <c r="E140" i="6"/>
  <c r="E142" i="6"/>
  <c r="E141" i="2"/>
  <c r="F142" i="2"/>
  <c r="F33" i="50"/>
  <c r="C30" i="14"/>
  <c r="C20" i="14"/>
  <c r="C288" i="1" l="1"/>
  <c r="E282" i="1"/>
  <c r="D282" i="1"/>
  <c r="D142" i="2" l="1"/>
  <c r="D143" i="6"/>
  <c r="D142" i="6"/>
  <c r="F142" i="6" s="1"/>
  <c r="D141" i="2"/>
  <c r="D28" i="37"/>
  <c r="C34" i="4"/>
  <c r="F143" i="6" l="1"/>
  <c r="H141" i="2"/>
  <c r="G141" i="2"/>
  <c r="G142" i="2"/>
  <c r="H142" i="2"/>
  <c r="C392" i="1"/>
  <c r="C25" i="14" s="1"/>
  <c r="D1194" i="1" l="1"/>
  <c r="D1097" i="1"/>
  <c r="D1069" i="1"/>
  <c r="D40" i="1"/>
  <c r="F386" i="1"/>
  <c r="F385" i="1"/>
  <c r="F384" i="1"/>
  <c r="F121" i="1"/>
  <c r="F169" i="1"/>
  <c r="B3" i="4" l="1"/>
  <c r="D26" i="20" l="1"/>
  <c r="F26" i="20" s="1"/>
  <c r="D20" i="20"/>
  <c r="F20" i="20" s="1"/>
  <c r="C20" i="20"/>
  <c r="G393" i="1"/>
  <c r="D30" i="19" s="1"/>
  <c r="C60" i="14"/>
  <c r="C55" i="14"/>
  <c r="C50" i="14"/>
  <c r="C45" i="14"/>
  <c r="C65" i="14"/>
  <c r="C40" i="14"/>
  <c r="H437" i="1"/>
  <c r="G437" i="1"/>
  <c r="F437" i="1"/>
  <c r="E437" i="1"/>
  <c r="E436" i="1"/>
  <c r="D436" i="1"/>
  <c r="D437" i="1"/>
  <c r="E400" i="1"/>
  <c r="C67" i="14" s="1"/>
  <c r="D400" i="1"/>
  <c r="C66" i="14" s="1"/>
  <c r="C61" i="14"/>
  <c r="C56" i="14"/>
  <c r="C51" i="14"/>
  <c r="C62" i="14"/>
  <c r="C46" i="14"/>
  <c r="E395" i="1"/>
  <c r="C42" i="14" s="1"/>
  <c r="D395" i="1"/>
  <c r="C41" i="14" s="1"/>
  <c r="F400" i="1"/>
  <c r="C68" i="14" s="1"/>
  <c r="C48" i="14"/>
  <c r="F395" i="1"/>
  <c r="F393" i="1"/>
  <c r="F392" i="1"/>
  <c r="E393" i="1"/>
  <c r="D393" i="1"/>
  <c r="C31" i="14" s="1"/>
  <c r="F391" i="1"/>
  <c r="E391" i="1"/>
  <c r="D391" i="1"/>
  <c r="F34" i="37"/>
  <c r="D34" i="37"/>
  <c r="F28" i="37"/>
  <c r="C28" i="37"/>
  <c r="H178" i="1"/>
  <c r="C34" i="37" s="1"/>
  <c r="C33" i="37"/>
  <c r="C32" i="37"/>
  <c r="C31" i="37"/>
  <c r="C30" i="37"/>
  <c r="C20" i="37"/>
  <c r="E177" i="1"/>
  <c r="B19" i="37"/>
  <c r="C24" i="37"/>
  <c r="C26" i="20" l="1"/>
  <c r="C26" i="61"/>
  <c r="C24" i="20"/>
  <c r="C25" i="20"/>
  <c r="C23" i="20"/>
  <c r="C22" i="20"/>
  <c r="C43" i="14"/>
  <c r="C48" i="19"/>
  <c r="C53" i="14"/>
  <c r="C23" i="14"/>
  <c r="C23" i="19"/>
  <c r="C58" i="14"/>
  <c r="C63" i="14"/>
  <c r="C32" i="14"/>
  <c r="C32" i="19"/>
  <c r="C28" i="14"/>
  <c r="C28" i="19"/>
  <c r="C33" i="14"/>
  <c r="C33" i="19"/>
  <c r="C38" i="19" s="1"/>
  <c r="F30" i="14"/>
  <c r="D30" i="14"/>
  <c r="D392" i="1"/>
  <c r="C26" i="14" s="1"/>
  <c r="C21" i="14"/>
  <c r="E392" i="1"/>
  <c r="C27" i="14" s="1"/>
  <c r="C22" i="14"/>
  <c r="C57" i="14"/>
  <c r="C47" i="14"/>
  <c r="C52" i="14"/>
  <c r="C25" i="37"/>
  <c r="D187" i="4"/>
  <c r="H151" i="4"/>
  <c r="F151" i="4"/>
  <c r="H150" i="4"/>
  <c r="F150" i="4"/>
  <c r="G151" i="4"/>
  <c r="G150" i="4"/>
  <c r="C36" i="27" l="1"/>
  <c r="E6" i="4"/>
  <c r="E86" i="4" l="1"/>
  <c r="E18" i="40" s="1"/>
  <c r="E38" i="4"/>
  <c r="E10" i="40" s="1"/>
  <c r="B24" i="40"/>
  <c r="E3" i="40"/>
  <c r="F200" i="2" l="1"/>
  <c r="E200" i="2"/>
  <c r="D200" i="2"/>
  <c r="C200" i="2"/>
  <c r="F199" i="2"/>
  <c r="C199" i="2"/>
  <c r="B200" i="2"/>
  <c r="B198" i="2"/>
  <c r="E230" i="6"/>
  <c r="D230" i="6"/>
  <c r="C230" i="6"/>
  <c r="C229" i="6"/>
  <c r="B230" i="6"/>
  <c r="B228" i="6"/>
  <c r="J212" i="4"/>
  <c r="H212" i="4"/>
  <c r="H213" i="4"/>
  <c r="F212" i="4"/>
  <c r="F213" i="4"/>
  <c r="G213" i="4"/>
  <c r="G212" i="4"/>
  <c r="E212" i="4"/>
  <c r="E30" i="40" s="1"/>
  <c r="D212" i="4"/>
  <c r="D30" i="40" s="1"/>
  <c r="C212" i="4"/>
  <c r="C30" i="40" s="1"/>
  <c r="B212" i="4"/>
  <c r="A212" i="4"/>
  <c r="B30" i="40" s="1"/>
  <c r="C38" i="8"/>
  <c r="F17" i="39"/>
  <c r="F16" i="39"/>
  <c r="D17" i="39"/>
  <c r="D16" i="39"/>
  <c r="C17" i="39"/>
  <c r="C16" i="39"/>
  <c r="F14" i="39"/>
  <c r="F11" i="39"/>
  <c r="F13" i="39"/>
  <c r="F10" i="39"/>
  <c r="D14" i="39"/>
  <c r="D11" i="39"/>
  <c r="D13" i="39"/>
  <c r="D10" i="39"/>
  <c r="C14" i="39"/>
  <c r="C11" i="39"/>
  <c r="C13" i="39"/>
  <c r="C10" i="39"/>
  <c r="F6" i="39"/>
  <c r="C6" i="39"/>
  <c r="F5" i="39"/>
  <c r="C5" i="39"/>
  <c r="E1188" i="1"/>
  <c r="F201" i="2" s="1"/>
  <c r="D1188" i="1"/>
  <c r="D18" i="39" s="1"/>
  <c r="B1188" i="1"/>
  <c r="C231" i="6" s="1"/>
  <c r="F3" i="39"/>
  <c r="D3" i="39"/>
  <c r="B2" i="39"/>
  <c r="B38" i="8" s="1"/>
  <c r="G80" i="39"/>
  <c r="G79" i="39"/>
  <c r="G78" i="39"/>
  <c r="G77" i="39"/>
  <c r="G76" i="39"/>
  <c r="G75" i="39"/>
  <c r="G74" i="39"/>
  <c r="G73" i="39"/>
  <c r="G72" i="39"/>
  <c r="G71" i="39"/>
  <c r="G70" i="39"/>
  <c r="G69" i="39"/>
  <c r="G68" i="39"/>
  <c r="G67" i="39"/>
  <c r="G66" i="39"/>
  <c r="G63" i="39"/>
  <c r="G62" i="39"/>
  <c r="G61" i="39"/>
  <c r="G60" i="39"/>
  <c r="G59" i="39"/>
  <c r="G51" i="39"/>
  <c r="G50" i="39"/>
  <c r="G48" i="39"/>
  <c r="G47" i="39"/>
  <c r="G46" i="39"/>
  <c r="G45" i="39"/>
  <c r="G32" i="39"/>
  <c r="G31" i="39"/>
  <c r="G30" i="39"/>
  <c r="G29" i="39"/>
  <c r="G28" i="39"/>
  <c r="G27" i="39"/>
  <c r="F8" i="39"/>
  <c r="D8" i="39"/>
  <c r="C8" i="39"/>
  <c r="B8" i="39"/>
  <c r="E1195" i="1"/>
  <c r="C1182" i="1" s="1"/>
  <c r="E1184" i="1" s="1"/>
  <c r="D6" i="39"/>
  <c r="C1180" i="1"/>
  <c r="E199" i="2"/>
  <c r="C1178" i="1"/>
  <c r="D199" i="2" s="1"/>
  <c r="H11" i="4"/>
  <c r="F18" i="4"/>
  <c r="F17" i="4"/>
  <c r="F16" i="4"/>
  <c r="F15" i="4"/>
  <c r="F14" i="4"/>
  <c r="F13" i="4"/>
  <c r="F12" i="4"/>
  <c r="F11" i="4"/>
  <c r="F10" i="4"/>
  <c r="G18" i="4"/>
  <c r="G17" i="4"/>
  <c r="G16" i="4"/>
  <c r="G15" i="4"/>
  <c r="G14" i="4"/>
  <c r="G13" i="4"/>
  <c r="G12" i="4"/>
  <c r="G11" i="4"/>
  <c r="G37" i="4"/>
  <c r="G36" i="4"/>
  <c r="E36" i="4"/>
  <c r="E8" i="40" s="1"/>
  <c r="D36" i="4"/>
  <c r="D8" i="40" s="1"/>
  <c r="C36" i="4"/>
  <c r="C8" i="40" s="1"/>
  <c r="B36" i="4"/>
  <c r="A36" i="4"/>
  <c r="B8" i="40" s="1"/>
  <c r="F55" i="2"/>
  <c r="E55" i="2"/>
  <c r="C55" i="2"/>
  <c r="C54" i="2"/>
  <c r="B56" i="2"/>
  <c r="B55" i="2"/>
  <c r="B53" i="2"/>
  <c r="E49" i="6"/>
  <c r="D49" i="6"/>
  <c r="C49" i="6"/>
  <c r="C48" i="6"/>
  <c r="B50" i="6"/>
  <c r="B49" i="6"/>
  <c r="B47" i="6"/>
  <c r="E966" i="1"/>
  <c r="E755" i="1"/>
  <c r="D755" i="1"/>
  <c r="E322" i="1"/>
  <c r="D322" i="1"/>
  <c r="E238" i="1"/>
  <c r="D238" i="1"/>
  <c r="E195" i="1"/>
  <c r="D195" i="1"/>
  <c r="C15" i="8"/>
  <c r="G56" i="35"/>
  <c r="G55" i="35"/>
  <c r="G54" i="35"/>
  <c r="G53" i="35"/>
  <c r="G52" i="35"/>
  <c r="G51" i="35"/>
  <c r="G50" i="35"/>
  <c r="G49" i="35"/>
  <c r="G48" i="35"/>
  <c r="G47" i="35"/>
  <c r="G71" i="29"/>
  <c r="G70" i="29"/>
  <c r="G69" i="29"/>
  <c r="G68" i="29"/>
  <c r="G67" i="29"/>
  <c r="G75" i="33"/>
  <c r="G74" i="33"/>
  <c r="G73" i="33"/>
  <c r="G72" i="33"/>
  <c r="G71" i="33"/>
  <c r="G70" i="33"/>
  <c r="G69" i="33"/>
  <c r="G68" i="33"/>
  <c r="G67" i="33"/>
  <c r="G70" i="26"/>
  <c r="G69" i="26"/>
  <c r="G68" i="26"/>
  <c r="G67" i="26"/>
  <c r="G66" i="26"/>
  <c r="G65" i="26"/>
  <c r="G64" i="26"/>
  <c r="G63" i="26"/>
  <c r="G62" i="26"/>
  <c r="G61" i="26"/>
  <c r="G60" i="26"/>
  <c r="G59" i="26"/>
  <c r="G58" i="26"/>
  <c r="G57" i="26"/>
  <c r="G56" i="26"/>
  <c r="G55" i="26"/>
  <c r="G54" i="26"/>
  <c r="G53" i="26"/>
  <c r="G71" i="25"/>
  <c r="G70" i="25"/>
  <c r="G69" i="25"/>
  <c r="G68" i="25"/>
  <c r="G67" i="25"/>
  <c r="G66" i="25"/>
  <c r="G65" i="25"/>
  <c r="G64" i="25"/>
  <c r="G63" i="25"/>
  <c r="G62" i="25"/>
  <c r="G61" i="25"/>
  <c r="G60" i="25"/>
  <c r="G59" i="25"/>
  <c r="G58" i="25"/>
  <c r="G57" i="25"/>
  <c r="G56" i="25"/>
  <c r="G55" i="25"/>
  <c r="G54" i="25"/>
  <c r="G91" i="24"/>
  <c r="G90" i="24"/>
  <c r="G89" i="24"/>
  <c r="G88" i="24"/>
  <c r="G87" i="24"/>
  <c r="G86" i="24"/>
  <c r="G85" i="24"/>
  <c r="G84" i="24"/>
  <c r="G83" i="24"/>
  <c r="G82" i="24"/>
  <c r="G81" i="24"/>
  <c r="G92" i="18"/>
  <c r="G91" i="18"/>
  <c r="G90" i="18"/>
  <c r="G89" i="18"/>
  <c r="G88" i="18"/>
  <c r="G87" i="18"/>
  <c r="G86" i="18"/>
  <c r="G85" i="18"/>
  <c r="G84" i="18"/>
  <c r="G83" i="18"/>
  <c r="G82" i="18"/>
  <c r="G81" i="18"/>
  <c r="G80" i="18"/>
  <c r="G79" i="18"/>
  <c r="G78" i="18"/>
  <c r="G77" i="18"/>
  <c r="G96" i="13"/>
  <c r="G95" i="13"/>
  <c r="G94" i="13"/>
  <c r="G93" i="13"/>
  <c r="G92" i="13"/>
  <c r="G91" i="13"/>
  <c r="G90" i="13"/>
  <c r="G89" i="13"/>
  <c r="G88" i="13"/>
  <c r="G87" i="13"/>
  <c r="G86" i="13"/>
  <c r="G85" i="13"/>
  <c r="G84" i="13"/>
  <c r="G83" i="13"/>
  <c r="G82" i="13"/>
  <c r="G81" i="13"/>
  <c r="G80" i="13"/>
  <c r="G79" i="13"/>
  <c r="G146" i="14"/>
  <c r="G145" i="14"/>
  <c r="G144" i="14"/>
  <c r="G143" i="14"/>
  <c r="G142" i="14"/>
  <c r="G141" i="14"/>
  <c r="G140" i="14"/>
  <c r="G139" i="14"/>
  <c r="G117" i="15"/>
  <c r="G116" i="15"/>
  <c r="G115" i="15"/>
  <c r="G114" i="15"/>
  <c r="G113" i="15"/>
  <c r="G112" i="15"/>
  <c r="G111" i="15"/>
  <c r="G110" i="15"/>
  <c r="G109" i="15"/>
  <c r="G108" i="16"/>
  <c r="G107" i="16"/>
  <c r="G106" i="16"/>
  <c r="F28" i="38"/>
  <c r="D28" i="38"/>
  <c r="C28" i="38"/>
  <c r="F26" i="38"/>
  <c r="C26" i="38"/>
  <c r="F25" i="38"/>
  <c r="C25" i="38"/>
  <c r="F18" i="38"/>
  <c r="F19" i="38"/>
  <c r="F20" i="38"/>
  <c r="F21" i="38"/>
  <c r="F22" i="38"/>
  <c r="F23" i="38"/>
  <c r="F24" i="38"/>
  <c r="C18" i="38"/>
  <c r="C19" i="38"/>
  <c r="C20" i="38"/>
  <c r="C21" i="38"/>
  <c r="C22" i="38"/>
  <c r="C23" i="38"/>
  <c r="C24" i="38"/>
  <c r="F17" i="38"/>
  <c r="C17" i="38"/>
  <c r="F12" i="38"/>
  <c r="C12" i="38"/>
  <c r="F11" i="38"/>
  <c r="C11" i="38"/>
  <c r="F10" i="38"/>
  <c r="C10" i="38"/>
  <c r="B12" i="38"/>
  <c r="B10" i="38"/>
  <c r="F9" i="38"/>
  <c r="C9" i="38"/>
  <c r="F6" i="38"/>
  <c r="C6" i="38"/>
  <c r="F5" i="38"/>
  <c r="C5" i="38"/>
  <c r="B26" i="38"/>
  <c r="B25" i="38"/>
  <c r="B24" i="38"/>
  <c r="B23" i="38"/>
  <c r="B22" i="38"/>
  <c r="B21" i="38"/>
  <c r="B20" i="38"/>
  <c r="B19" i="38"/>
  <c r="B18" i="38"/>
  <c r="B17" i="38"/>
  <c r="B16" i="38"/>
  <c r="B11" i="38"/>
  <c r="B9" i="38"/>
  <c r="F3" i="38"/>
  <c r="D3" i="38"/>
  <c r="B2" i="38"/>
  <c r="B15" i="8" s="1"/>
  <c r="F8" i="38"/>
  <c r="D8" i="38"/>
  <c r="C8" i="38"/>
  <c r="B8" i="38"/>
  <c r="D21" i="38"/>
  <c r="D22" i="38"/>
  <c r="D23" i="38"/>
  <c r="D24" i="38"/>
  <c r="E56" i="2"/>
  <c r="D26" i="38"/>
  <c r="D25" i="38"/>
  <c r="D20" i="38"/>
  <c r="D19" i="38"/>
  <c r="D18" i="38"/>
  <c r="D17" i="38"/>
  <c r="F74" i="1"/>
  <c r="D12" i="38" s="1"/>
  <c r="E74" i="1"/>
  <c r="D11" i="38" s="1"/>
  <c r="F73" i="1"/>
  <c r="D10" i="38" s="1"/>
  <c r="E73" i="1"/>
  <c r="D9" i="38" s="1"/>
  <c r="E69" i="1"/>
  <c r="D68" i="1"/>
  <c r="F68" i="1" s="1"/>
  <c r="E62" i="1"/>
  <c r="F30" i="38" s="1"/>
  <c r="D62" i="1"/>
  <c r="B62" i="1"/>
  <c r="C50" i="6"/>
  <c r="D6" i="38"/>
  <c r="C50" i="1"/>
  <c r="D5" i="38"/>
  <c r="C48" i="1"/>
  <c r="D48" i="6" s="1"/>
  <c r="E633" i="1" l="1"/>
  <c r="F57" i="2"/>
  <c r="C30" i="38"/>
  <c r="C29" i="38" s="1"/>
  <c r="C633" i="1"/>
  <c r="E619" i="1"/>
  <c r="D619" i="1"/>
  <c r="F62" i="2" s="1"/>
  <c r="E634" i="1"/>
  <c r="J36" i="4"/>
  <c r="F37" i="4"/>
  <c r="F36" i="4"/>
  <c r="H36" i="4"/>
  <c r="H37" i="4"/>
  <c r="D30" i="38"/>
  <c r="D29" i="38" s="1"/>
  <c r="E229" i="6"/>
  <c r="D229" i="6"/>
  <c r="F18" i="39"/>
  <c r="D5" i="39"/>
  <c r="E231" i="6"/>
  <c r="C201" i="2"/>
  <c r="H200" i="2"/>
  <c r="C18" i="39"/>
  <c r="G200" i="2"/>
  <c r="E201" i="2"/>
  <c r="F230" i="6"/>
  <c r="C1186" i="1"/>
  <c r="C1188" i="1" s="1"/>
  <c r="C57" i="2"/>
  <c r="D1184" i="1"/>
  <c r="G55" i="2"/>
  <c r="E57" i="2"/>
  <c r="C56" i="2"/>
  <c r="E50" i="6"/>
  <c r="D54" i="2"/>
  <c r="E54" i="2"/>
  <c r="E51" i="6"/>
  <c r="E48" i="6"/>
  <c r="F49" i="6"/>
  <c r="H55" i="2"/>
  <c r="F29" i="38"/>
  <c r="C60" i="1"/>
  <c r="F3" i="37"/>
  <c r="D3" i="37"/>
  <c r="J34" i="4"/>
  <c r="H34" i="4"/>
  <c r="F35" i="4"/>
  <c r="F34" i="4"/>
  <c r="G35" i="4"/>
  <c r="G34" i="4"/>
  <c r="E34" i="4"/>
  <c r="D34" i="4"/>
  <c r="D9" i="40" s="1"/>
  <c r="C9" i="40"/>
  <c r="B34" i="4"/>
  <c r="A34" i="4"/>
  <c r="B9" i="40" s="1"/>
  <c r="C48" i="2"/>
  <c r="B50" i="2"/>
  <c r="B49" i="2"/>
  <c r="B47" i="2"/>
  <c r="C40" i="6"/>
  <c r="B42" i="6"/>
  <c r="B41" i="6"/>
  <c r="B39" i="6"/>
  <c r="C7" i="8"/>
  <c r="C23" i="8"/>
  <c r="B27" i="37"/>
  <c r="B34" i="37"/>
  <c r="B33" i="37"/>
  <c r="B32" i="37"/>
  <c r="B29" i="37"/>
  <c r="B26" i="37"/>
  <c r="B25" i="37"/>
  <c r="B24" i="37"/>
  <c r="B21" i="37"/>
  <c r="B20" i="37"/>
  <c r="B28" i="37"/>
  <c r="F13" i="37"/>
  <c r="F14" i="37" s="1"/>
  <c r="D13" i="37"/>
  <c r="D14" i="37" s="1"/>
  <c r="C13" i="37"/>
  <c r="C14" i="37" s="1"/>
  <c r="F11" i="37"/>
  <c r="D11" i="37"/>
  <c r="D37" i="38" s="1"/>
  <c r="C11" i="37"/>
  <c r="C37" i="38" s="1"/>
  <c r="F10" i="37"/>
  <c r="D10" i="37"/>
  <c r="D36" i="38" s="1"/>
  <c r="C10" i="37"/>
  <c r="C36" i="38" s="1"/>
  <c r="F9" i="37"/>
  <c r="D9" i="37"/>
  <c r="D35" i="38" s="1"/>
  <c r="C9" i="37"/>
  <c r="C35" i="38" s="1"/>
  <c r="F6" i="37"/>
  <c r="C6" i="37"/>
  <c r="F5" i="37"/>
  <c r="C5" i="37"/>
  <c r="C38" i="38" s="1"/>
  <c r="B2" i="37"/>
  <c r="B7" i="8" s="1"/>
  <c r="G43" i="37"/>
  <c r="B18" i="37"/>
  <c r="F8" i="37"/>
  <c r="B8" i="37"/>
  <c r="C182" i="1"/>
  <c r="H182" i="1"/>
  <c r="E181" i="1"/>
  <c r="B23" i="37" s="1"/>
  <c r="D181" i="1"/>
  <c r="B30" i="37" s="1"/>
  <c r="E51" i="2"/>
  <c r="C51" i="2"/>
  <c r="D6" i="37"/>
  <c r="C149" i="1"/>
  <c r="C147" i="1"/>
  <c r="D48" i="2" s="1"/>
  <c r="F61" i="2" l="1"/>
  <c r="H626" i="1"/>
  <c r="B619" i="1"/>
  <c r="C55" i="6"/>
  <c r="D55" i="6"/>
  <c r="E55" i="6"/>
  <c r="E9" i="40"/>
  <c r="E40" i="6"/>
  <c r="D201" i="2"/>
  <c r="D231" i="6"/>
  <c r="F231" i="6" s="1"/>
  <c r="C16" i="37"/>
  <c r="C43" i="6"/>
  <c r="D5" i="37"/>
  <c r="D38" i="38" s="1"/>
  <c r="D16" i="37"/>
  <c r="E48" i="2"/>
  <c r="D40" i="6"/>
  <c r="B31" i="37"/>
  <c r="F16" i="37"/>
  <c r="B22" i="37"/>
  <c r="C122" i="2"/>
  <c r="C121" i="2"/>
  <c r="B122" i="2"/>
  <c r="B120" i="2"/>
  <c r="C93" i="6"/>
  <c r="C92" i="6"/>
  <c r="B93" i="6"/>
  <c r="B91" i="6"/>
  <c r="C210" i="4"/>
  <c r="C29" i="40" s="1"/>
  <c r="H210" i="4"/>
  <c r="F210" i="4"/>
  <c r="G211" i="4"/>
  <c r="G210" i="4"/>
  <c r="F211" i="4"/>
  <c r="F200" i="4"/>
  <c r="C185" i="4"/>
  <c r="C24" i="40" s="1"/>
  <c r="A210" i="4"/>
  <c r="B29" i="40" s="1"/>
  <c r="B210" i="4"/>
  <c r="D210" i="4"/>
  <c r="D29" i="40" s="1"/>
  <c r="E210" i="4"/>
  <c r="E29" i="40" s="1"/>
  <c r="F16" i="36"/>
  <c r="C16" i="36"/>
  <c r="F11" i="36"/>
  <c r="D11" i="36"/>
  <c r="C11" i="36"/>
  <c r="F10" i="36"/>
  <c r="D10" i="36"/>
  <c r="C10" i="36"/>
  <c r="F6" i="36"/>
  <c r="C6" i="36"/>
  <c r="F5" i="36"/>
  <c r="C5" i="36"/>
  <c r="C37" i="8"/>
  <c r="F3" i="36"/>
  <c r="D3" i="36"/>
  <c r="B2" i="36"/>
  <c r="B37" i="8" s="1"/>
  <c r="B2" i="35"/>
  <c r="B31" i="8" s="1"/>
  <c r="F8" i="36"/>
  <c r="D8" i="36"/>
  <c r="C8" i="36"/>
  <c r="B8" i="36"/>
  <c r="D1169" i="1"/>
  <c r="E1163" i="1"/>
  <c r="D6" i="36"/>
  <c r="C1152" i="1"/>
  <c r="E121" i="2"/>
  <c r="C1150" i="1"/>
  <c r="D92" i="6" s="1"/>
  <c r="F3" i="35"/>
  <c r="D3" i="35"/>
  <c r="C31" i="8"/>
  <c r="F189" i="2"/>
  <c r="E189" i="2"/>
  <c r="D189" i="2"/>
  <c r="C189" i="2"/>
  <c r="F188" i="2"/>
  <c r="E188" i="2"/>
  <c r="D188" i="2"/>
  <c r="C188" i="2"/>
  <c r="C187" i="2"/>
  <c r="C186" i="2"/>
  <c r="B188" i="2"/>
  <c r="B189" i="2"/>
  <c r="B187" i="2"/>
  <c r="B185" i="2"/>
  <c r="D219" i="6"/>
  <c r="E219" i="6"/>
  <c r="D220" i="6"/>
  <c r="E220" i="6"/>
  <c r="C219" i="6"/>
  <c r="C220" i="6"/>
  <c r="C218" i="6"/>
  <c r="B220" i="6"/>
  <c r="B219" i="6"/>
  <c r="B218" i="6"/>
  <c r="C217" i="6"/>
  <c r="B216" i="6"/>
  <c r="C28" i="35"/>
  <c r="F28" i="35"/>
  <c r="D28" i="35"/>
  <c r="F27" i="35"/>
  <c r="D27" i="35"/>
  <c r="C27" i="35"/>
  <c r="F26" i="35"/>
  <c r="D26" i="35"/>
  <c r="C26" i="35"/>
  <c r="F21" i="35"/>
  <c r="B10" i="35"/>
  <c r="C21" i="35"/>
  <c r="C10" i="35"/>
  <c r="F10" i="35"/>
  <c r="F6" i="35"/>
  <c r="C6" i="35"/>
  <c r="F5" i="35"/>
  <c r="C5" i="35"/>
  <c r="H209" i="4"/>
  <c r="H208" i="4"/>
  <c r="H207" i="4"/>
  <c r="H206" i="4"/>
  <c r="H186" i="4"/>
  <c r="H185" i="4"/>
  <c r="G186" i="4"/>
  <c r="G206" i="4"/>
  <c r="G207" i="4"/>
  <c r="G208" i="4"/>
  <c r="G209" i="4"/>
  <c r="G185" i="4"/>
  <c r="E185" i="4"/>
  <c r="E24" i="40" s="1"/>
  <c r="D185" i="4"/>
  <c r="D24" i="40" s="1"/>
  <c r="C202" i="4"/>
  <c r="C27" i="40" s="1"/>
  <c r="F8" i="35"/>
  <c r="D8" i="35"/>
  <c r="C8" i="35"/>
  <c r="B8" i="35"/>
  <c r="F1141" i="1"/>
  <c r="D17" i="35" s="1"/>
  <c r="F1138" i="1"/>
  <c r="D14" i="35" s="1"/>
  <c r="F1137" i="1"/>
  <c r="D13" i="35" s="1"/>
  <c r="F1136" i="1"/>
  <c r="D12" i="35" s="1"/>
  <c r="F1135" i="1"/>
  <c r="D11" i="35" s="1"/>
  <c r="D21" i="35"/>
  <c r="F1134" i="1"/>
  <c r="D10" i="35" s="1"/>
  <c r="E1119" i="1"/>
  <c r="D1119" i="1"/>
  <c r="B1119" i="1"/>
  <c r="D6" i="35"/>
  <c r="C1109" i="1"/>
  <c r="E217" i="6"/>
  <c r="C1107" i="1"/>
  <c r="D217" i="6" s="1"/>
  <c r="D29" i="35" l="1"/>
  <c r="F190" i="2"/>
  <c r="C29" i="35"/>
  <c r="C190" i="2"/>
  <c r="F18" i="36"/>
  <c r="F17" i="36" s="1"/>
  <c r="F18" i="63"/>
  <c r="F17" i="63" s="1"/>
  <c r="F186" i="4"/>
  <c r="F209" i="4"/>
  <c r="F208" i="4"/>
  <c r="F185" i="4"/>
  <c r="J185" i="4"/>
  <c r="F206" i="4"/>
  <c r="F207" i="4"/>
  <c r="C18" i="36"/>
  <c r="C17" i="36" s="1"/>
  <c r="C95" i="6"/>
  <c r="J210" i="4"/>
  <c r="H201" i="2"/>
  <c r="G201" i="2"/>
  <c r="D5" i="36"/>
  <c r="E92" i="6"/>
  <c r="D121" i="2"/>
  <c r="G188" i="2"/>
  <c r="F29" i="35"/>
  <c r="F219" i="6"/>
  <c r="D5" i="35"/>
  <c r="G189" i="2"/>
  <c r="C221" i="6"/>
  <c r="D186" i="2"/>
  <c r="E221" i="6"/>
  <c r="F220" i="6"/>
  <c r="E186" i="2"/>
  <c r="E190" i="2"/>
  <c r="H188" i="2"/>
  <c r="H189" i="2"/>
  <c r="E27" i="4"/>
  <c r="E5" i="40" s="1"/>
  <c r="C94" i="6" l="1"/>
  <c r="D20" i="37" l="1"/>
  <c r="F20" i="37" s="1"/>
  <c r="H442" i="1"/>
  <c r="G391" i="1"/>
  <c r="J400" i="1"/>
  <c r="D63" i="19"/>
  <c r="D68" i="19" s="1"/>
  <c r="J395" i="1"/>
  <c r="D48" i="19" s="1"/>
  <c r="J393" i="1"/>
  <c r="D33" i="19" s="1"/>
  <c r="J392" i="1"/>
  <c r="D28" i="19" s="1"/>
  <c r="J391" i="1"/>
  <c r="D23" i="19" s="1"/>
  <c r="F48" i="22"/>
  <c r="C48" i="22"/>
  <c r="B48" i="22"/>
  <c r="F30" i="22"/>
  <c r="C30" i="22"/>
  <c r="B30" i="22"/>
  <c r="F26" i="25"/>
  <c r="F27" i="25"/>
  <c r="F28" i="25"/>
  <c r="F29" i="25"/>
  <c r="F25" i="25"/>
  <c r="C26" i="25"/>
  <c r="C27" i="25"/>
  <c r="C28" i="25"/>
  <c r="C29" i="25"/>
  <c r="C25" i="25"/>
  <c r="B26" i="25"/>
  <c r="B27" i="25"/>
  <c r="B28" i="25"/>
  <c r="B29" i="25"/>
  <c r="B25" i="25"/>
  <c r="G24" i="30"/>
  <c r="G24" i="29"/>
  <c r="G38" i="34"/>
  <c r="G47" i="21"/>
  <c r="G43" i="33"/>
  <c r="G64" i="22"/>
  <c r="G50" i="26"/>
  <c r="G49" i="26"/>
  <c r="G48" i="26"/>
  <c r="G47" i="26"/>
  <c r="G45" i="26"/>
  <c r="G44" i="26"/>
  <c r="G43" i="26"/>
  <c r="G42" i="26"/>
  <c r="G39" i="26"/>
  <c r="G38" i="26"/>
  <c r="G37" i="26"/>
  <c r="G36" i="26"/>
  <c r="G35" i="26"/>
  <c r="G34" i="26"/>
  <c r="G33" i="26"/>
  <c r="G32" i="26"/>
  <c r="G31" i="26"/>
  <c r="G51" i="25"/>
  <c r="G50" i="25"/>
  <c r="G49" i="25"/>
  <c r="G46" i="25"/>
  <c r="G45" i="25"/>
  <c r="G44" i="25"/>
  <c r="G42" i="25"/>
  <c r="G41" i="25"/>
  <c r="G40" i="25"/>
  <c r="G39" i="25"/>
  <c r="G42" i="18"/>
  <c r="G76" i="13"/>
  <c r="G75" i="13"/>
  <c r="G74" i="13"/>
  <c r="G72" i="13"/>
  <c r="G71" i="13"/>
  <c r="G70" i="13"/>
  <c r="G69" i="13"/>
  <c r="G68" i="13"/>
  <c r="G64" i="13"/>
  <c r="G63" i="13"/>
  <c r="G62" i="13"/>
  <c r="G61" i="13"/>
  <c r="G60" i="13"/>
  <c r="G59" i="13"/>
  <c r="G58" i="13"/>
  <c r="G57" i="13"/>
  <c r="G56" i="13"/>
  <c r="G55" i="13"/>
  <c r="G54" i="13"/>
  <c r="G99" i="31"/>
  <c r="G35" i="20"/>
  <c r="G82" i="14"/>
  <c r="G63" i="15"/>
  <c r="G42" i="16"/>
  <c r="G34" i="17"/>
  <c r="G77" i="19"/>
  <c r="F11" i="20"/>
  <c r="F10" i="20"/>
  <c r="F9" i="20"/>
  <c r="F27" i="16"/>
  <c r="D27" i="16"/>
  <c r="C27" i="16"/>
  <c r="F24" i="16"/>
  <c r="D24" i="16"/>
  <c r="C24" i="16"/>
  <c r="F18" i="16"/>
  <c r="D18" i="16"/>
  <c r="C18" i="16"/>
  <c r="D26" i="37" l="1"/>
  <c r="F26" i="37" s="1"/>
  <c r="F26" i="60"/>
  <c r="F28" i="14"/>
  <c r="D28" i="14"/>
  <c r="F53" i="14"/>
  <c r="D53" i="14"/>
  <c r="F20" i="14"/>
  <c r="D20" i="14"/>
  <c r="F33" i="14"/>
  <c r="D33" i="14"/>
  <c r="F58" i="14"/>
  <c r="D58" i="14"/>
  <c r="F43" i="14"/>
  <c r="D43" i="14"/>
  <c r="F63" i="14"/>
  <c r="D63" i="14"/>
  <c r="F23" i="14"/>
  <c r="D23" i="14"/>
  <c r="D48" i="14"/>
  <c r="F48" i="14"/>
  <c r="F68" i="14"/>
  <c r="D68" i="14"/>
  <c r="G203" i="4" l="1"/>
  <c r="F203" i="4"/>
  <c r="H202" i="4"/>
  <c r="G202" i="4"/>
  <c r="F202" i="4"/>
  <c r="E202" i="4"/>
  <c r="E27" i="40" s="1"/>
  <c r="D202" i="4"/>
  <c r="D27" i="40" s="1"/>
  <c r="B202" i="4"/>
  <c r="A202" i="4"/>
  <c r="B27" i="40" s="1"/>
  <c r="G201" i="4"/>
  <c r="F201" i="4"/>
  <c r="H200" i="4"/>
  <c r="G200" i="4"/>
  <c r="E200" i="4"/>
  <c r="E26" i="40" s="1"/>
  <c r="D200" i="4"/>
  <c r="D26" i="40" s="1"/>
  <c r="C200" i="4"/>
  <c r="C26" i="40" s="1"/>
  <c r="B200" i="4"/>
  <c r="A200" i="4"/>
  <c r="B26" i="40" s="1"/>
  <c r="G199" i="4"/>
  <c r="G198" i="4"/>
  <c r="G197" i="4"/>
  <c r="G196" i="4"/>
  <c r="G195" i="4"/>
  <c r="E195" i="4"/>
  <c r="E16" i="40" s="1"/>
  <c r="D195" i="4"/>
  <c r="D16" i="40" s="1"/>
  <c r="C195" i="4"/>
  <c r="C16" i="40" s="1"/>
  <c r="B195" i="4"/>
  <c r="A195" i="4"/>
  <c r="H194" i="4"/>
  <c r="G194" i="4"/>
  <c r="F194" i="4"/>
  <c r="F193" i="4"/>
  <c r="H193" i="4"/>
  <c r="G192" i="4"/>
  <c r="F192" i="4"/>
  <c r="G191" i="4"/>
  <c r="G190" i="4"/>
  <c r="G189" i="4"/>
  <c r="G188" i="4"/>
  <c r="J187" i="4"/>
  <c r="G187" i="4"/>
  <c r="E187" i="4"/>
  <c r="E25" i="40" s="1"/>
  <c r="C187" i="4"/>
  <c r="C25" i="40" s="1"/>
  <c r="B187" i="4"/>
  <c r="A187" i="4"/>
  <c r="B25" i="40" s="1"/>
  <c r="G184" i="4"/>
  <c r="G183" i="4"/>
  <c r="G182" i="4"/>
  <c r="G181" i="4"/>
  <c r="G180" i="4"/>
  <c r="G179" i="4"/>
  <c r="G178" i="4"/>
  <c r="G177" i="4"/>
  <c r="E177" i="4"/>
  <c r="E23" i="40" s="1"/>
  <c r="D177" i="4"/>
  <c r="D23" i="40" s="1"/>
  <c r="C177" i="4"/>
  <c r="C23" i="40" s="1"/>
  <c r="A177" i="4"/>
  <c r="B23" i="40" s="1"/>
  <c r="G176" i="4"/>
  <c r="G175" i="4"/>
  <c r="G174" i="4"/>
  <c r="G173" i="4"/>
  <c r="G172" i="4"/>
  <c r="G171" i="4"/>
  <c r="G170" i="4"/>
  <c r="G169" i="4"/>
  <c r="G167" i="4"/>
  <c r="G166" i="4"/>
  <c r="G165" i="4"/>
  <c r="E165" i="4"/>
  <c r="E22" i="40" s="1"/>
  <c r="D165" i="4"/>
  <c r="D22" i="40" s="1"/>
  <c r="C165" i="4"/>
  <c r="C22" i="40" s="1"/>
  <c r="A165" i="4"/>
  <c r="B22" i="40" s="1"/>
  <c r="H149" i="4"/>
  <c r="G149" i="4"/>
  <c r="F149" i="4"/>
  <c r="H148" i="4"/>
  <c r="G148" i="4"/>
  <c r="F148" i="4"/>
  <c r="H147" i="4"/>
  <c r="G147" i="4"/>
  <c r="F147" i="4"/>
  <c r="H145" i="4"/>
  <c r="G145" i="4"/>
  <c r="F145" i="4"/>
  <c r="H144" i="4"/>
  <c r="G144" i="4"/>
  <c r="F144" i="4"/>
  <c r="H143" i="4"/>
  <c r="G143" i="4"/>
  <c r="F143" i="4"/>
  <c r="H142" i="4"/>
  <c r="G142" i="4"/>
  <c r="F142" i="4"/>
  <c r="E12" i="40"/>
  <c r="D142" i="4"/>
  <c r="D12" i="40" s="1"/>
  <c r="C142" i="4"/>
  <c r="C12" i="40" s="1"/>
  <c r="B142" i="4"/>
  <c r="A142" i="4"/>
  <c r="B12" i="40" s="1"/>
  <c r="G141" i="4"/>
  <c r="G140" i="4"/>
  <c r="G139" i="4"/>
  <c r="E139" i="4"/>
  <c r="E20" i="40" s="1"/>
  <c r="D139" i="4"/>
  <c r="D20" i="40" s="1"/>
  <c r="C139" i="4"/>
  <c r="C20" i="40" s="1"/>
  <c r="B139" i="4"/>
  <c r="A139" i="4"/>
  <c r="B20" i="40" s="1"/>
  <c r="H138" i="4"/>
  <c r="G138" i="4"/>
  <c r="F138" i="4"/>
  <c r="J137" i="4"/>
  <c r="H137" i="4"/>
  <c r="G137" i="4"/>
  <c r="F137" i="4"/>
  <c r="E137" i="4"/>
  <c r="E19" i="40" s="1"/>
  <c r="D137" i="4"/>
  <c r="D19" i="40" s="1"/>
  <c r="C137" i="4"/>
  <c r="C19" i="40" s="1"/>
  <c r="B137" i="4"/>
  <c r="A137" i="4"/>
  <c r="B19" i="40" s="1"/>
  <c r="I136" i="4"/>
  <c r="I135" i="4"/>
  <c r="I134" i="4"/>
  <c r="I133" i="4"/>
  <c r="I132" i="4"/>
  <c r="G132" i="4"/>
  <c r="I67" i="4"/>
  <c r="G67" i="4"/>
  <c r="I66" i="4"/>
  <c r="G66" i="4"/>
  <c r="F66" i="4"/>
  <c r="I65" i="4"/>
  <c r="G65" i="4"/>
  <c r="F65" i="4"/>
  <c r="I64" i="4"/>
  <c r="H64" i="4"/>
  <c r="G64" i="4"/>
  <c r="F64" i="4"/>
  <c r="I63" i="4"/>
  <c r="G63" i="4"/>
  <c r="F63" i="4"/>
  <c r="G60" i="4"/>
  <c r="F60" i="4"/>
  <c r="G59" i="4"/>
  <c r="G58" i="4"/>
  <c r="G57" i="4"/>
  <c r="G56" i="4"/>
  <c r="G55" i="4"/>
  <c r="G54" i="4"/>
  <c r="E53" i="4"/>
  <c r="E13" i="40" s="1"/>
  <c r="D53" i="4"/>
  <c r="D13" i="40" s="1"/>
  <c r="C53" i="4"/>
  <c r="C13" i="40" s="1"/>
  <c r="B53" i="4"/>
  <c r="A53" i="4"/>
  <c r="B13" i="40" s="1"/>
  <c r="G43" i="4"/>
  <c r="E40" i="4"/>
  <c r="E11" i="40" s="1"/>
  <c r="D40" i="4"/>
  <c r="D11" i="40" s="1"/>
  <c r="C40" i="4"/>
  <c r="C11" i="40" s="1"/>
  <c r="A40" i="4"/>
  <c r="B11" i="40" s="1"/>
  <c r="I123" i="4"/>
  <c r="G123" i="4"/>
  <c r="F122" i="4"/>
  <c r="G121" i="4"/>
  <c r="G120" i="4"/>
  <c r="G119" i="4"/>
  <c r="G118" i="4"/>
  <c r="G117" i="4"/>
  <c r="G116" i="4"/>
  <c r="G115" i="4"/>
  <c r="G114" i="4"/>
  <c r="G113" i="4"/>
  <c r="G112" i="4"/>
  <c r="G111" i="4"/>
  <c r="G110" i="4"/>
  <c r="G109" i="4"/>
  <c r="G108" i="4"/>
  <c r="G107" i="4"/>
  <c r="F107" i="4"/>
  <c r="G106" i="4"/>
  <c r="F106" i="4"/>
  <c r="I105" i="4"/>
  <c r="G105" i="4"/>
  <c r="F105" i="4"/>
  <c r="F104" i="4"/>
  <c r="G103" i="4"/>
  <c r="G102" i="4"/>
  <c r="G101" i="4"/>
  <c r="F100" i="4"/>
  <c r="G28" i="4"/>
  <c r="F27" i="4"/>
  <c r="G98" i="4"/>
  <c r="F97" i="4"/>
  <c r="G96" i="4"/>
  <c r="G95" i="4"/>
  <c r="G94" i="4"/>
  <c r="G93" i="4"/>
  <c r="G92" i="4"/>
  <c r="G91" i="4"/>
  <c r="F90" i="4"/>
  <c r="D27" i="4"/>
  <c r="D5" i="40" s="1"/>
  <c r="C27" i="4"/>
  <c r="C5" i="40" s="1"/>
  <c r="A27" i="4"/>
  <c r="B5" i="40" s="1"/>
  <c r="G33" i="4"/>
  <c r="F33" i="4"/>
  <c r="I32" i="4"/>
  <c r="H32" i="4"/>
  <c r="G32" i="4"/>
  <c r="F32" i="4"/>
  <c r="E32" i="4"/>
  <c r="E7" i="40" s="1"/>
  <c r="D32" i="4"/>
  <c r="D7" i="40" s="1"/>
  <c r="C32" i="4"/>
  <c r="C7" i="40" s="1"/>
  <c r="B32" i="4"/>
  <c r="A32" i="4"/>
  <c r="B7" i="40" s="1"/>
  <c r="G31" i="4"/>
  <c r="F31" i="4"/>
  <c r="I30" i="4"/>
  <c r="H30" i="4"/>
  <c r="G30" i="4"/>
  <c r="F30" i="4"/>
  <c r="E30" i="4"/>
  <c r="E6" i="40" s="1"/>
  <c r="D30" i="4"/>
  <c r="D6" i="40" s="1"/>
  <c r="C30" i="4"/>
  <c r="C6" i="40" s="1"/>
  <c r="B30" i="4"/>
  <c r="A30" i="4"/>
  <c r="B6" i="40" s="1"/>
  <c r="G79" i="4"/>
  <c r="G78" i="4"/>
  <c r="G76" i="4"/>
  <c r="G75" i="4"/>
  <c r="G74" i="4"/>
  <c r="G73" i="4"/>
  <c r="G72" i="4"/>
  <c r="G71" i="4"/>
  <c r="G70" i="4"/>
  <c r="G69" i="4"/>
  <c r="E69" i="4"/>
  <c r="E14" i="40" s="1"/>
  <c r="D69" i="4"/>
  <c r="D14" i="40" s="1"/>
  <c r="C69" i="4"/>
  <c r="C14" i="40" s="1"/>
  <c r="A69" i="4"/>
  <c r="B14" i="40" s="1"/>
  <c r="G85" i="4"/>
  <c r="G84" i="4"/>
  <c r="G83" i="4"/>
  <c r="G82" i="4"/>
  <c r="E82" i="4"/>
  <c r="E17" i="40" s="1"/>
  <c r="D82" i="4"/>
  <c r="D17" i="40" s="1"/>
  <c r="C82" i="4"/>
  <c r="C17" i="40" s="1"/>
  <c r="B82" i="4"/>
  <c r="A82" i="4"/>
  <c r="B17" i="40" s="1"/>
  <c r="G26" i="4"/>
  <c r="G25" i="4"/>
  <c r="G24" i="4"/>
  <c r="G23" i="4"/>
  <c r="G22" i="4"/>
  <c r="G21" i="4"/>
  <c r="G20" i="4"/>
  <c r="G19" i="4"/>
  <c r="E19" i="4"/>
  <c r="E4" i="40" s="1"/>
  <c r="D19" i="4"/>
  <c r="D4" i="40" s="1"/>
  <c r="C19" i="4"/>
  <c r="C4" i="40" s="1"/>
  <c r="A19" i="4"/>
  <c r="B4" i="40" s="1"/>
  <c r="G81" i="4"/>
  <c r="F81" i="4"/>
  <c r="J80" i="4"/>
  <c r="H80" i="4"/>
  <c r="G80" i="4"/>
  <c r="F80" i="4"/>
  <c r="E80" i="4"/>
  <c r="E15" i="40" s="1"/>
  <c r="D80" i="4"/>
  <c r="D15" i="40" s="1"/>
  <c r="C80" i="4"/>
  <c r="C15" i="40" s="1"/>
  <c r="B80" i="4"/>
  <c r="A80" i="4"/>
  <c r="B15" i="40" s="1"/>
  <c r="G7" i="4"/>
  <c r="F7" i="4"/>
  <c r="H6" i="4"/>
  <c r="G6" i="4"/>
  <c r="F6" i="4"/>
  <c r="D6" i="4"/>
  <c r="D3" i="40" s="1"/>
  <c r="B6" i="4"/>
  <c r="A6" i="4"/>
  <c r="B3" i="40" s="1"/>
  <c r="A2" i="4"/>
  <c r="C35" i="8"/>
  <c r="C34" i="8"/>
  <c r="C33" i="8"/>
  <c r="C32" i="8"/>
  <c r="C30" i="8"/>
  <c r="C29" i="8"/>
  <c r="C28" i="8"/>
  <c r="C27" i="8"/>
  <c r="C25" i="8"/>
  <c r="B24" i="8"/>
  <c r="C21" i="8"/>
  <c r="B21" i="8"/>
  <c r="C20" i="8"/>
  <c r="B20" i="8"/>
  <c r="C19" i="8"/>
  <c r="B19" i="8"/>
  <c r="C18" i="8"/>
  <c r="B18" i="8"/>
  <c r="C17" i="8"/>
  <c r="C12" i="8"/>
  <c r="C22" i="8"/>
  <c r="C9" i="8"/>
  <c r="C11" i="8"/>
  <c r="C5" i="8"/>
  <c r="F13" i="30"/>
  <c r="C13" i="30"/>
  <c r="F11" i="30"/>
  <c r="D11" i="30"/>
  <c r="C11" i="30"/>
  <c r="F10" i="30"/>
  <c r="D10" i="30"/>
  <c r="C10" i="30"/>
  <c r="F9" i="30"/>
  <c r="D9" i="30"/>
  <c r="C9" i="30"/>
  <c r="F8" i="30"/>
  <c r="D8" i="30"/>
  <c r="C8" i="30"/>
  <c r="B8" i="30"/>
  <c r="F6" i="30"/>
  <c r="C6" i="30"/>
  <c r="F5" i="30"/>
  <c r="C5" i="30"/>
  <c r="F3" i="30"/>
  <c r="D3" i="30"/>
  <c r="B2" i="30"/>
  <c r="B35" i="8" s="1"/>
  <c r="F13" i="29"/>
  <c r="D13" i="29"/>
  <c r="C13" i="29"/>
  <c r="F11" i="29"/>
  <c r="D11" i="29"/>
  <c r="C11" i="29"/>
  <c r="F10" i="29"/>
  <c r="D10" i="29"/>
  <c r="C10" i="29"/>
  <c r="F9" i="29"/>
  <c r="D9" i="29"/>
  <c r="C9" i="29"/>
  <c r="F8" i="29"/>
  <c r="D8" i="29"/>
  <c r="C8" i="29"/>
  <c r="B8" i="29"/>
  <c r="F6" i="29"/>
  <c r="C6" i="29"/>
  <c r="F5" i="29"/>
  <c r="C5" i="29"/>
  <c r="F3" i="29"/>
  <c r="D3" i="29"/>
  <c r="B2" i="29"/>
  <c r="B34" i="8" s="1"/>
  <c r="F28" i="34"/>
  <c r="D28" i="34"/>
  <c r="C28" i="34"/>
  <c r="F27" i="34"/>
  <c r="D27" i="34"/>
  <c r="C27" i="34"/>
  <c r="F26" i="34"/>
  <c r="D26" i="34"/>
  <c r="C26" i="34"/>
  <c r="F24" i="34"/>
  <c r="C24" i="34"/>
  <c r="B24" i="34"/>
  <c r="F23" i="34"/>
  <c r="C23" i="34"/>
  <c r="B23" i="34"/>
  <c r="F22" i="34"/>
  <c r="C22" i="34"/>
  <c r="B22" i="34"/>
  <c r="F21" i="34"/>
  <c r="C21" i="34"/>
  <c r="B21" i="34"/>
  <c r="F20" i="34"/>
  <c r="C20" i="34"/>
  <c r="B20" i="34"/>
  <c r="F14" i="34"/>
  <c r="C14" i="34"/>
  <c r="B14" i="34"/>
  <c r="F13" i="34"/>
  <c r="C13" i="34"/>
  <c r="B13" i="34"/>
  <c r="F12" i="34"/>
  <c r="C12" i="34"/>
  <c r="B12" i="34"/>
  <c r="F11" i="34"/>
  <c r="C11" i="34"/>
  <c r="C51" i="19" s="1"/>
  <c r="C56" i="19" s="1"/>
  <c r="C61" i="19" s="1"/>
  <c r="C66" i="19" s="1"/>
  <c r="B11" i="34"/>
  <c r="C10" i="34"/>
  <c r="B10" i="34"/>
  <c r="F8" i="34"/>
  <c r="C8" i="34"/>
  <c r="B8" i="34"/>
  <c r="F6" i="34"/>
  <c r="C6" i="34"/>
  <c r="F5" i="34"/>
  <c r="C5" i="34"/>
  <c r="F3" i="34"/>
  <c r="D3" i="34"/>
  <c r="B2" i="34"/>
  <c r="B33" i="8" s="1"/>
  <c r="F35" i="21"/>
  <c r="F36" i="21" s="1"/>
  <c r="D35" i="21"/>
  <c r="D36" i="21" s="1"/>
  <c r="C35" i="21"/>
  <c r="C36" i="21" s="1"/>
  <c r="F26" i="21"/>
  <c r="C26" i="21"/>
  <c r="F25" i="21"/>
  <c r="C25" i="21"/>
  <c r="F24" i="21"/>
  <c r="C24" i="21"/>
  <c r="F23" i="21"/>
  <c r="B23" i="21"/>
  <c r="F11" i="21"/>
  <c r="C11" i="21"/>
  <c r="F8" i="21"/>
  <c r="D8" i="21"/>
  <c r="C8" i="21"/>
  <c r="B8" i="21"/>
  <c r="F6" i="21"/>
  <c r="C6" i="21"/>
  <c r="F5" i="21"/>
  <c r="C5" i="21"/>
  <c r="F3" i="21"/>
  <c r="D3" i="21"/>
  <c r="B2" i="21"/>
  <c r="B32" i="8" s="1"/>
  <c r="F33" i="33"/>
  <c r="D33" i="33"/>
  <c r="C33" i="33"/>
  <c r="F32" i="33"/>
  <c r="D32" i="33"/>
  <c r="C32" i="33"/>
  <c r="F31" i="33"/>
  <c r="D31" i="33"/>
  <c r="C31" i="33"/>
  <c r="F28" i="33"/>
  <c r="C28" i="33"/>
  <c r="B28" i="33"/>
  <c r="F27" i="33"/>
  <c r="C27" i="33"/>
  <c r="B27" i="33"/>
  <c r="F26" i="33"/>
  <c r="C26" i="33"/>
  <c r="B26" i="33"/>
  <c r="F25" i="33"/>
  <c r="C25" i="33"/>
  <c r="B25" i="33"/>
  <c r="F24" i="33"/>
  <c r="C24" i="33"/>
  <c r="B24" i="33"/>
  <c r="F23" i="33"/>
  <c r="C23" i="33"/>
  <c r="B23" i="33"/>
  <c r="F22" i="33"/>
  <c r="C22" i="33"/>
  <c r="B22" i="33"/>
  <c r="F21" i="33"/>
  <c r="C21" i="33"/>
  <c r="B21" i="33"/>
  <c r="F17" i="33"/>
  <c r="C17" i="33"/>
  <c r="B17" i="33"/>
  <c r="F16" i="33"/>
  <c r="C16" i="33"/>
  <c r="B16" i="33"/>
  <c r="F15" i="33"/>
  <c r="C15" i="33"/>
  <c r="B15" i="33"/>
  <c r="F14" i="33"/>
  <c r="C14" i="33"/>
  <c r="B14" i="33"/>
  <c r="F13" i="33"/>
  <c r="C13" i="33"/>
  <c r="B13" i="33"/>
  <c r="F12" i="33"/>
  <c r="C12" i="33"/>
  <c r="B12" i="33"/>
  <c r="F11" i="33"/>
  <c r="C11" i="33"/>
  <c r="B11" i="33"/>
  <c r="F10" i="33"/>
  <c r="C10" i="33"/>
  <c r="B10" i="33"/>
  <c r="F8" i="33"/>
  <c r="D8" i="33"/>
  <c r="B8" i="33"/>
  <c r="F6" i="33"/>
  <c r="C6" i="33"/>
  <c r="F5" i="33"/>
  <c r="C5" i="33"/>
  <c r="F3" i="33"/>
  <c r="D3" i="33"/>
  <c r="B2" i="33"/>
  <c r="B30" i="8" s="1"/>
  <c r="F54" i="22"/>
  <c r="D54" i="22"/>
  <c r="C54" i="22"/>
  <c r="F53" i="22"/>
  <c r="D53" i="22"/>
  <c r="C53" i="22"/>
  <c r="F52" i="22"/>
  <c r="D52" i="22"/>
  <c r="C52" i="22"/>
  <c r="F47" i="22"/>
  <c r="C47" i="22"/>
  <c r="B47" i="22"/>
  <c r="F46" i="22"/>
  <c r="C46" i="22"/>
  <c r="B46" i="22"/>
  <c r="F45" i="22"/>
  <c r="C45" i="22"/>
  <c r="B45" i="22"/>
  <c r="F44" i="22"/>
  <c r="C44" i="22"/>
  <c r="B44" i="22"/>
  <c r="F43" i="22"/>
  <c r="C43" i="22"/>
  <c r="B43" i="22"/>
  <c r="F42" i="22"/>
  <c r="C42" i="22"/>
  <c r="B42" i="22"/>
  <c r="F41" i="22"/>
  <c r="C41" i="22"/>
  <c r="B41" i="22"/>
  <c r="F39" i="22"/>
  <c r="C39" i="22"/>
  <c r="B39" i="22"/>
  <c r="F38" i="22"/>
  <c r="C38" i="22"/>
  <c r="B38" i="22"/>
  <c r="B34" i="22"/>
  <c r="F29" i="22"/>
  <c r="C29" i="22"/>
  <c r="B29" i="22"/>
  <c r="F28" i="22"/>
  <c r="C28" i="22"/>
  <c r="B28" i="22"/>
  <c r="F27" i="22"/>
  <c r="C27" i="22"/>
  <c r="B27" i="22"/>
  <c r="F26" i="22"/>
  <c r="C26" i="22"/>
  <c r="B26" i="22"/>
  <c r="F25" i="22"/>
  <c r="C25" i="22"/>
  <c r="B25" i="22"/>
  <c r="F24" i="22"/>
  <c r="C24" i="22"/>
  <c r="B24" i="22"/>
  <c r="F23" i="22"/>
  <c r="C23" i="22"/>
  <c r="B23" i="22"/>
  <c r="F16" i="22"/>
  <c r="C16" i="22"/>
  <c r="B16" i="22"/>
  <c r="F13" i="22"/>
  <c r="C13" i="22"/>
  <c r="B13" i="22"/>
  <c r="F10" i="22"/>
  <c r="C10" i="22"/>
  <c r="B10" i="22"/>
  <c r="F8" i="22"/>
  <c r="D8" i="22"/>
  <c r="B8" i="22"/>
  <c r="F6" i="22"/>
  <c r="C6" i="22"/>
  <c r="F5" i="22"/>
  <c r="C5" i="22"/>
  <c r="F3" i="22"/>
  <c r="D3" i="22"/>
  <c r="B2" i="22"/>
  <c r="B29" i="8" s="1"/>
  <c r="F34" i="27"/>
  <c r="C34" i="27"/>
  <c r="B34" i="27"/>
  <c r="F33" i="27"/>
  <c r="C33" i="27"/>
  <c r="B33" i="27"/>
  <c r="F31" i="27"/>
  <c r="C31" i="27"/>
  <c r="B31" i="27"/>
  <c r="F32" i="27"/>
  <c r="C32" i="27"/>
  <c r="B32" i="27"/>
  <c r="F30" i="27"/>
  <c r="C30" i="27"/>
  <c r="B30" i="27"/>
  <c r="F28" i="27"/>
  <c r="C28" i="27"/>
  <c r="B28" i="27"/>
  <c r="F27" i="27"/>
  <c r="C27" i="27"/>
  <c r="B27" i="27"/>
  <c r="F26" i="27"/>
  <c r="C26" i="27"/>
  <c r="B26" i="27"/>
  <c r="F25" i="27"/>
  <c r="C25" i="27"/>
  <c r="B25" i="27"/>
  <c r="F19" i="27"/>
  <c r="C19" i="27"/>
  <c r="B19" i="27"/>
  <c r="F18" i="27"/>
  <c r="C18" i="27"/>
  <c r="B18" i="27"/>
  <c r="F16" i="27"/>
  <c r="C16" i="27"/>
  <c r="B16" i="27"/>
  <c r="F17" i="27"/>
  <c r="C17" i="27"/>
  <c r="B17" i="27"/>
  <c r="F15" i="27"/>
  <c r="C15" i="27"/>
  <c r="B15" i="27"/>
  <c r="F13" i="27"/>
  <c r="C13" i="27"/>
  <c r="B13" i="27"/>
  <c r="F12" i="27"/>
  <c r="C12" i="27"/>
  <c r="B12" i="27"/>
  <c r="F11" i="27"/>
  <c r="C11" i="27"/>
  <c r="B11" i="27"/>
  <c r="F10" i="27"/>
  <c r="C10" i="27"/>
  <c r="B10" i="27"/>
  <c r="C8" i="27"/>
  <c r="B8" i="27"/>
  <c r="F6" i="27"/>
  <c r="C6" i="27"/>
  <c r="F5" i="27"/>
  <c r="C5" i="27"/>
  <c r="F3" i="27"/>
  <c r="D3" i="27"/>
  <c r="B2" i="27"/>
  <c r="B28" i="8" s="1"/>
  <c r="F17" i="28"/>
  <c r="D17" i="28"/>
  <c r="C17" i="28"/>
  <c r="F15" i="28"/>
  <c r="C15" i="28"/>
  <c r="B15" i="28"/>
  <c r="F14" i="28"/>
  <c r="C14" i="28"/>
  <c r="B14" i="28"/>
  <c r="F10" i="28"/>
  <c r="C10" i="28"/>
  <c r="B10" i="28"/>
  <c r="F9" i="28"/>
  <c r="C9" i="28"/>
  <c r="B9" i="28"/>
  <c r="F8" i="28"/>
  <c r="D8" i="28"/>
  <c r="C8" i="28"/>
  <c r="B8" i="28"/>
  <c r="F6" i="28"/>
  <c r="C6" i="28"/>
  <c r="F5" i="28"/>
  <c r="C5" i="28"/>
  <c r="F3" i="28"/>
  <c r="D3" i="28"/>
  <c r="B2" i="28"/>
  <c r="B27" i="8" s="1"/>
  <c r="F16" i="26"/>
  <c r="D16" i="26"/>
  <c r="C16" i="26"/>
  <c r="F14" i="26"/>
  <c r="C14" i="26"/>
  <c r="F13" i="26"/>
  <c r="C13" i="26"/>
  <c r="F11" i="26"/>
  <c r="C11" i="26"/>
  <c r="F10" i="26"/>
  <c r="C10" i="26"/>
  <c r="F8" i="26"/>
  <c r="D8" i="26"/>
  <c r="C8" i="26"/>
  <c r="B8" i="26"/>
  <c r="F6" i="26"/>
  <c r="C6" i="26"/>
  <c r="F5" i="26"/>
  <c r="C5" i="26"/>
  <c r="F3" i="26"/>
  <c r="D3" i="26"/>
  <c r="B2" i="26"/>
  <c r="B25" i="8" s="1"/>
  <c r="F23" i="25"/>
  <c r="C23" i="25"/>
  <c r="B23" i="25"/>
  <c r="F22" i="25"/>
  <c r="C22" i="25"/>
  <c r="B22" i="25"/>
  <c r="F21" i="25"/>
  <c r="C21" i="25"/>
  <c r="B21" i="25"/>
  <c r="F20" i="25"/>
  <c r="C20" i="25"/>
  <c r="B20" i="25"/>
  <c r="F19" i="25"/>
  <c r="C19" i="25"/>
  <c r="B19" i="25"/>
  <c r="F18" i="25"/>
  <c r="C18" i="25"/>
  <c r="B18" i="25"/>
  <c r="F17" i="25"/>
  <c r="C17" i="25"/>
  <c r="B17" i="25"/>
  <c r="F16" i="25"/>
  <c r="C16" i="25"/>
  <c r="B16" i="25"/>
  <c r="F15" i="25"/>
  <c r="C15" i="25"/>
  <c r="B15" i="25"/>
  <c r="F14" i="25"/>
  <c r="C14" i="25"/>
  <c r="B14" i="25"/>
  <c r="F13" i="25"/>
  <c r="C13" i="25"/>
  <c r="B13" i="25"/>
  <c r="F12" i="25"/>
  <c r="C12" i="25"/>
  <c r="B12" i="25"/>
  <c r="F11" i="25"/>
  <c r="C11" i="25"/>
  <c r="B11" i="25"/>
  <c r="B10" i="25"/>
  <c r="F8" i="25"/>
  <c r="D8" i="25"/>
  <c r="C8" i="25"/>
  <c r="B8" i="25"/>
  <c r="F6" i="25"/>
  <c r="C6" i="25"/>
  <c r="F5" i="25"/>
  <c r="C5" i="25"/>
  <c r="F3" i="25"/>
  <c r="D3" i="25"/>
  <c r="F44" i="24"/>
  <c r="D44" i="24"/>
  <c r="C44" i="24"/>
  <c r="F43" i="24"/>
  <c r="D43" i="24"/>
  <c r="C43" i="24"/>
  <c r="F42" i="24"/>
  <c r="D42" i="24"/>
  <c r="C42" i="24"/>
  <c r="F32" i="24"/>
  <c r="C32" i="24"/>
  <c r="B32" i="24"/>
  <c r="F31" i="24"/>
  <c r="C31" i="24"/>
  <c r="B31" i="24"/>
  <c r="F30" i="24"/>
  <c r="C30" i="24"/>
  <c r="B30" i="24"/>
  <c r="F29" i="24"/>
  <c r="C29" i="24"/>
  <c r="B29" i="24"/>
  <c r="F28" i="24"/>
  <c r="C28" i="24"/>
  <c r="B28" i="24"/>
  <c r="F26" i="24"/>
  <c r="C26" i="24"/>
  <c r="B26" i="24"/>
  <c r="F25" i="24"/>
  <c r="C25" i="24"/>
  <c r="B25" i="24"/>
  <c r="F24" i="24"/>
  <c r="C24" i="24"/>
  <c r="B24" i="24"/>
  <c r="F23" i="24"/>
  <c r="C23" i="24"/>
  <c r="B23" i="24"/>
  <c r="F22" i="24"/>
  <c r="C22" i="24"/>
  <c r="B22" i="24"/>
  <c r="F21" i="24"/>
  <c r="C21" i="24"/>
  <c r="B21" i="24"/>
  <c r="F20" i="24"/>
  <c r="C20" i="24"/>
  <c r="B20" i="24"/>
  <c r="F19" i="24"/>
  <c r="C19" i="24"/>
  <c r="B19" i="24"/>
  <c r="F18" i="24"/>
  <c r="C18" i="24"/>
  <c r="B18" i="24"/>
  <c r="F17" i="24"/>
  <c r="C17" i="24"/>
  <c r="B17" i="24"/>
  <c r="F16" i="24"/>
  <c r="C16" i="24"/>
  <c r="B16" i="24"/>
  <c r="F15" i="24"/>
  <c r="C15" i="24"/>
  <c r="B15" i="24"/>
  <c r="F14" i="24"/>
  <c r="C14" i="24"/>
  <c r="B14" i="24"/>
  <c r="F13" i="24"/>
  <c r="C13" i="24"/>
  <c r="B13" i="24"/>
  <c r="B12" i="24"/>
  <c r="B11" i="24"/>
  <c r="B10" i="24"/>
  <c r="F8" i="24"/>
  <c r="D8" i="24"/>
  <c r="C8" i="24"/>
  <c r="B8" i="24"/>
  <c r="F6" i="24"/>
  <c r="C6" i="24"/>
  <c r="F5" i="24"/>
  <c r="C5" i="24"/>
  <c r="F3" i="24"/>
  <c r="D3" i="24"/>
  <c r="F24" i="23"/>
  <c r="D24" i="23"/>
  <c r="C24" i="23"/>
  <c r="F23" i="23"/>
  <c r="D23" i="23"/>
  <c r="C23" i="23"/>
  <c r="F22" i="23"/>
  <c r="D22" i="23"/>
  <c r="C22" i="23"/>
  <c r="F20" i="23"/>
  <c r="C20" i="23"/>
  <c r="B20" i="23"/>
  <c r="F19" i="23"/>
  <c r="C19" i="23"/>
  <c r="B19" i="23"/>
  <c r="F16" i="23"/>
  <c r="D16" i="23"/>
  <c r="C16" i="23"/>
  <c r="F15" i="23"/>
  <c r="C15" i="23"/>
  <c r="B15" i="23"/>
  <c r="F14" i="23"/>
  <c r="C14" i="23"/>
  <c r="B14" i="23"/>
  <c r="F13" i="23"/>
  <c r="C13" i="23"/>
  <c r="B13" i="23"/>
  <c r="F12" i="23"/>
  <c r="C12" i="23"/>
  <c r="B12" i="23"/>
  <c r="F11" i="23"/>
  <c r="C11" i="23"/>
  <c r="B11" i="23"/>
  <c r="F10" i="23"/>
  <c r="C10" i="23"/>
  <c r="D129" i="1" s="1"/>
  <c r="B10" i="23"/>
  <c r="F8" i="23"/>
  <c r="D8" i="23"/>
  <c r="C8" i="23"/>
  <c r="B8" i="23"/>
  <c r="F6" i="23"/>
  <c r="C6" i="23"/>
  <c r="F5" i="23"/>
  <c r="C5" i="23"/>
  <c r="E129" i="1" s="1"/>
  <c r="F3" i="23"/>
  <c r="D3" i="23"/>
  <c r="F32" i="18"/>
  <c r="C32" i="18"/>
  <c r="B32" i="18"/>
  <c r="F31" i="18"/>
  <c r="C31" i="18"/>
  <c r="B31" i="18"/>
  <c r="F30" i="18"/>
  <c r="C30" i="18"/>
  <c r="B30" i="18"/>
  <c r="F29" i="18"/>
  <c r="C29" i="18"/>
  <c r="B29" i="18"/>
  <c r="F28" i="18"/>
  <c r="C28" i="18"/>
  <c r="B28" i="18"/>
  <c r="F26" i="18"/>
  <c r="C26" i="18"/>
  <c r="B26" i="18"/>
  <c r="F25" i="18"/>
  <c r="C25" i="18"/>
  <c r="B25" i="18"/>
  <c r="F24" i="18"/>
  <c r="C24" i="18"/>
  <c r="B24" i="18"/>
  <c r="F23" i="18"/>
  <c r="C23" i="18"/>
  <c r="B23" i="18"/>
  <c r="F22" i="18"/>
  <c r="C22" i="18"/>
  <c r="B22" i="18"/>
  <c r="F21" i="18"/>
  <c r="C21" i="18"/>
  <c r="B21" i="18"/>
  <c r="F20" i="18"/>
  <c r="C20" i="18"/>
  <c r="B20" i="18"/>
  <c r="F19" i="18"/>
  <c r="C19" i="18"/>
  <c r="B19" i="18"/>
  <c r="F18" i="18"/>
  <c r="C18" i="18"/>
  <c r="B18" i="18"/>
  <c r="F17" i="18"/>
  <c r="C17" i="18"/>
  <c r="B17" i="18"/>
  <c r="F16" i="18"/>
  <c r="C16" i="18"/>
  <c r="B16" i="18"/>
  <c r="F14" i="18"/>
  <c r="C14" i="18"/>
  <c r="B14" i="18"/>
  <c r="F13" i="18"/>
  <c r="C13" i="18"/>
  <c r="B13" i="18"/>
  <c r="F12" i="18"/>
  <c r="C12" i="18"/>
  <c r="B12" i="18"/>
  <c r="F11" i="18"/>
  <c r="C11" i="18"/>
  <c r="B11" i="18"/>
  <c r="B10" i="18"/>
  <c r="F8" i="18"/>
  <c r="D8" i="18"/>
  <c r="C8" i="18"/>
  <c r="B8" i="18"/>
  <c r="F6" i="18"/>
  <c r="C6" i="18"/>
  <c r="F5" i="18"/>
  <c r="C5" i="18"/>
  <c r="F3" i="18"/>
  <c r="D3" i="18"/>
  <c r="F44" i="13"/>
  <c r="D44" i="13"/>
  <c r="C44" i="13"/>
  <c r="F43" i="13"/>
  <c r="D43" i="13"/>
  <c r="C43" i="13"/>
  <c r="F42" i="13"/>
  <c r="D42" i="13"/>
  <c r="C42" i="13"/>
  <c r="F32" i="13"/>
  <c r="C32" i="13"/>
  <c r="B32" i="13"/>
  <c r="F31" i="13"/>
  <c r="C31" i="13"/>
  <c r="B31" i="13"/>
  <c r="F30" i="13"/>
  <c r="C30" i="13"/>
  <c r="B30" i="13"/>
  <c r="F29" i="13"/>
  <c r="C29" i="13"/>
  <c r="B29" i="13"/>
  <c r="F28" i="13"/>
  <c r="C28" i="13"/>
  <c r="B28" i="13"/>
  <c r="F26" i="13"/>
  <c r="C26" i="13"/>
  <c r="B26" i="13"/>
  <c r="F25" i="13"/>
  <c r="C25" i="13"/>
  <c r="B25" i="13"/>
  <c r="F24" i="13"/>
  <c r="C24" i="13"/>
  <c r="B24" i="13"/>
  <c r="F23" i="13"/>
  <c r="C23" i="13"/>
  <c r="B23" i="13"/>
  <c r="F22" i="13"/>
  <c r="C22" i="13"/>
  <c r="B22" i="13"/>
  <c r="F21" i="13"/>
  <c r="C21" i="13"/>
  <c r="B21" i="13"/>
  <c r="F20" i="13"/>
  <c r="C20" i="13"/>
  <c r="B20" i="13"/>
  <c r="F19" i="13"/>
  <c r="C19" i="13"/>
  <c r="B19" i="13"/>
  <c r="F18" i="13"/>
  <c r="C18" i="13"/>
  <c r="B18" i="13"/>
  <c r="F17" i="13"/>
  <c r="C17" i="13"/>
  <c r="B17" i="13"/>
  <c r="F16" i="13"/>
  <c r="C16" i="13"/>
  <c r="B16" i="13"/>
  <c r="F15" i="13"/>
  <c r="C15" i="13"/>
  <c r="B15" i="13"/>
  <c r="F14" i="13"/>
  <c r="C14" i="13"/>
  <c r="B14" i="13"/>
  <c r="F13" i="13"/>
  <c r="C13" i="13"/>
  <c r="B13" i="13"/>
  <c r="B12" i="13"/>
  <c r="B11" i="13"/>
  <c r="B10" i="13"/>
  <c r="F8" i="13"/>
  <c r="D8" i="13"/>
  <c r="C8" i="13"/>
  <c r="B8" i="13"/>
  <c r="F6" i="13"/>
  <c r="C6" i="13"/>
  <c r="F5" i="13"/>
  <c r="C5" i="13"/>
  <c r="F3" i="13"/>
  <c r="D3" i="13"/>
  <c r="F89" i="31"/>
  <c r="D89" i="31"/>
  <c r="C89" i="31"/>
  <c r="F88" i="31"/>
  <c r="D88" i="31"/>
  <c r="C88" i="31"/>
  <c r="F87" i="31"/>
  <c r="D87" i="31"/>
  <c r="C87" i="31"/>
  <c r="F85" i="31"/>
  <c r="F84" i="31"/>
  <c r="F83" i="31"/>
  <c r="F82" i="31"/>
  <c r="F81" i="31"/>
  <c r="F79" i="31"/>
  <c r="F78" i="31"/>
  <c r="F77" i="31"/>
  <c r="F76" i="31"/>
  <c r="F75" i="31"/>
  <c r="F74" i="31"/>
  <c r="F73" i="31"/>
  <c r="F72" i="31"/>
  <c r="F71" i="31"/>
  <c r="F70" i="31"/>
  <c r="F69" i="31"/>
  <c r="F65" i="31"/>
  <c r="F56" i="31"/>
  <c r="F54" i="31"/>
  <c r="F53" i="31"/>
  <c r="F52" i="31"/>
  <c r="F51" i="31"/>
  <c r="F50" i="31"/>
  <c r="F48" i="31"/>
  <c r="F47" i="31"/>
  <c r="F46" i="31"/>
  <c r="F45" i="31"/>
  <c r="F44" i="31"/>
  <c r="F43" i="31"/>
  <c r="F42" i="31"/>
  <c r="F41" i="31"/>
  <c r="F40" i="31"/>
  <c r="F39" i="31"/>
  <c r="F38" i="31"/>
  <c r="F37" i="31"/>
  <c r="F36" i="31"/>
  <c r="F35" i="31"/>
  <c r="F30" i="31"/>
  <c r="F29" i="31"/>
  <c r="F28" i="31"/>
  <c r="F27" i="31"/>
  <c r="F23" i="31"/>
  <c r="C23" i="31"/>
  <c r="B23" i="31"/>
  <c r="F22" i="31"/>
  <c r="C22" i="31"/>
  <c r="B22" i="31"/>
  <c r="B21" i="31"/>
  <c r="F20" i="31"/>
  <c r="C20" i="31"/>
  <c r="B20" i="31"/>
  <c r="F19" i="31"/>
  <c r="C19" i="31"/>
  <c r="B19" i="31"/>
  <c r="F18" i="31"/>
  <c r="C18" i="31"/>
  <c r="B18" i="31"/>
  <c r="F16" i="31"/>
  <c r="C16" i="31"/>
  <c r="B16" i="31"/>
  <c r="F15" i="31"/>
  <c r="C15" i="31"/>
  <c r="B15" i="31"/>
  <c r="F14" i="31"/>
  <c r="C14" i="31"/>
  <c r="B14" i="31"/>
  <c r="F13" i="31"/>
  <c r="C13" i="31"/>
  <c r="B13" i="31"/>
  <c r="F12" i="31"/>
  <c r="C12" i="31"/>
  <c r="B12" i="31"/>
  <c r="F11" i="31"/>
  <c r="C11" i="31"/>
  <c r="B11" i="31"/>
  <c r="F10" i="31"/>
  <c r="C10" i="31"/>
  <c r="B10" i="31"/>
  <c r="F8" i="31"/>
  <c r="D8" i="31"/>
  <c r="C8" i="31"/>
  <c r="B8" i="31"/>
  <c r="F6" i="31"/>
  <c r="C6" i="31"/>
  <c r="F5" i="31"/>
  <c r="C5" i="31"/>
  <c r="F3" i="31"/>
  <c r="D3" i="31"/>
  <c r="B2" i="31"/>
  <c r="B17" i="8" s="1"/>
  <c r="B26" i="20"/>
  <c r="B25" i="20"/>
  <c r="B24" i="20"/>
  <c r="B21" i="20"/>
  <c r="B20" i="20"/>
  <c r="B19" i="20"/>
  <c r="B18" i="20"/>
  <c r="F15" i="20"/>
  <c r="D15" i="20"/>
  <c r="C15" i="20"/>
  <c r="F14" i="20"/>
  <c r="D14" i="20"/>
  <c r="C14" i="20"/>
  <c r="F13" i="20"/>
  <c r="D13" i="20"/>
  <c r="C13" i="20"/>
  <c r="D11" i="20"/>
  <c r="C11" i="20"/>
  <c r="D10" i="20"/>
  <c r="C10" i="20"/>
  <c r="D9" i="20"/>
  <c r="C9" i="20"/>
  <c r="F8" i="20"/>
  <c r="D8" i="20"/>
  <c r="C8" i="20"/>
  <c r="B8" i="20"/>
  <c r="F6" i="20"/>
  <c r="C6" i="20"/>
  <c r="F5" i="20"/>
  <c r="C5" i="20"/>
  <c r="F3" i="20"/>
  <c r="D3" i="20"/>
  <c r="B2" i="20"/>
  <c r="B13" i="8" s="1"/>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3" i="14"/>
  <c r="B32" i="14"/>
  <c r="B31" i="14"/>
  <c r="B30" i="14"/>
  <c r="B29" i="14"/>
  <c r="B28" i="14"/>
  <c r="B27" i="14"/>
  <c r="B26" i="14"/>
  <c r="B25" i="14"/>
  <c r="B24" i="14"/>
  <c r="B23" i="14"/>
  <c r="B22" i="14"/>
  <c r="B21" i="14"/>
  <c r="B20" i="14"/>
  <c r="B19" i="14"/>
  <c r="B18" i="14"/>
  <c r="F15" i="14"/>
  <c r="D15" i="14"/>
  <c r="C15" i="14"/>
  <c r="F14" i="14"/>
  <c r="D14" i="14"/>
  <c r="C14" i="14"/>
  <c r="F13" i="14"/>
  <c r="D13" i="14"/>
  <c r="C13" i="14"/>
  <c r="F11" i="14"/>
  <c r="D11" i="14"/>
  <c r="C11" i="14"/>
  <c r="F10" i="14"/>
  <c r="D10" i="14"/>
  <c r="C10" i="14"/>
  <c r="F9" i="14"/>
  <c r="D9" i="14"/>
  <c r="C9" i="14"/>
  <c r="F8" i="14"/>
  <c r="D8" i="14"/>
  <c r="C8" i="14"/>
  <c r="B8" i="14"/>
  <c r="F6" i="14"/>
  <c r="C6" i="14"/>
  <c r="F5" i="14"/>
  <c r="C5" i="14"/>
  <c r="F3" i="14"/>
  <c r="D3" i="14"/>
  <c r="B2" i="14"/>
  <c r="B12" i="8" s="1"/>
  <c r="F53" i="15"/>
  <c r="D53" i="15"/>
  <c r="C53" i="15"/>
  <c r="F52" i="15"/>
  <c r="D52" i="15"/>
  <c r="C52" i="15"/>
  <c r="F51" i="15"/>
  <c r="D51" i="15"/>
  <c r="C51" i="15"/>
  <c r="F49" i="15"/>
  <c r="C49" i="15"/>
  <c r="B49" i="15"/>
  <c r="F48" i="15"/>
  <c r="C48" i="15"/>
  <c r="B48" i="15"/>
  <c r="F46" i="15"/>
  <c r="C46" i="15"/>
  <c r="B46" i="15"/>
  <c r="F45" i="15"/>
  <c r="C45" i="15"/>
  <c r="B45" i="15"/>
  <c r="F44" i="15"/>
  <c r="C44" i="15"/>
  <c r="B44" i="15"/>
  <c r="F42" i="15"/>
  <c r="C42" i="15"/>
  <c r="B42" i="15"/>
  <c r="F41" i="15"/>
  <c r="C41" i="15"/>
  <c r="B41" i="15"/>
  <c r="F39" i="15"/>
  <c r="C39" i="15"/>
  <c r="B39" i="15"/>
  <c r="F38" i="15"/>
  <c r="C38" i="15"/>
  <c r="B38" i="15"/>
  <c r="F37" i="15"/>
  <c r="C37" i="15"/>
  <c r="B37" i="15"/>
  <c r="F35" i="15"/>
  <c r="C35" i="15"/>
  <c r="B35" i="15"/>
  <c r="F34" i="15"/>
  <c r="C34" i="15"/>
  <c r="B34" i="15"/>
  <c r="F32" i="15"/>
  <c r="C32" i="15"/>
  <c r="B32" i="15"/>
  <c r="F31" i="15"/>
  <c r="C31" i="15"/>
  <c r="B31" i="15"/>
  <c r="F30" i="15"/>
  <c r="C30" i="15"/>
  <c r="B30" i="15"/>
  <c r="B29" i="15"/>
  <c r="F27" i="15"/>
  <c r="C27" i="15"/>
  <c r="B27" i="15"/>
  <c r="F26" i="15"/>
  <c r="C26" i="15"/>
  <c r="B26" i="15"/>
  <c r="F25" i="15"/>
  <c r="C25" i="15"/>
  <c r="B25" i="15"/>
  <c r="F24" i="15"/>
  <c r="C24" i="15"/>
  <c r="B24" i="15"/>
  <c r="F23" i="15"/>
  <c r="C23" i="15"/>
  <c r="B23" i="15"/>
  <c r="F21" i="15"/>
  <c r="C21" i="15"/>
  <c r="B21" i="15"/>
  <c r="F20" i="15"/>
  <c r="C20" i="15"/>
  <c r="B20" i="15"/>
  <c r="F19" i="15"/>
  <c r="C19" i="15"/>
  <c r="B19" i="15"/>
  <c r="F18" i="15"/>
  <c r="C18" i="15"/>
  <c r="B18" i="15"/>
  <c r="F17" i="15"/>
  <c r="C17" i="15"/>
  <c r="D133" i="1" s="1"/>
  <c r="C46" i="19" s="1"/>
  <c r="B17" i="15"/>
  <c r="F15" i="15"/>
  <c r="C15" i="15"/>
  <c r="B15" i="15"/>
  <c r="F14" i="15"/>
  <c r="C14" i="15"/>
  <c r="B14" i="15"/>
  <c r="F13" i="15"/>
  <c r="C13" i="15"/>
  <c r="B13" i="15"/>
  <c r="F12" i="15"/>
  <c r="C12" i="15"/>
  <c r="B12" i="15"/>
  <c r="F11" i="15"/>
  <c r="C11" i="15"/>
  <c r="B11" i="15"/>
  <c r="B10" i="15"/>
  <c r="F8" i="15"/>
  <c r="D8" i="15"/>
  <c r="C8" i="15"/>
  <c r="B8" i="15"/>
  <c r="F6" i="15"/>
  <c r="C6" i="15"/>
  <c r="F5" i="15"/>
  <c r="C5" i="15"/>
  <c r="E133" i="1" s="1"/>
  <c r="C47" i="19" s="1"/>
  <c r="F3" i="15"/>
  <c r="D3" i="15"/>
  <c r="B2" i="15"/>
  <c r="B22" i="8" s="1"/>
  <c r="F32" i="16"/>
  <c r="D32" i="16"/>
  <c r="C32" i="16"/>
  <c r="F31" i="16"/>
  <c r="D31" i="16"/>
  <c r="C31" i="16"/>
  <c r="F30" i="16"/>
  <c r="D30" i="16"/>
  <c r="C30" i="16"/>
  <c r="F16" i="16"/>
  <c r="D16" i="16"/>
  <c r="C16" i="16"/>
  <c r="C15" i="16"/>
  <c r="B15" i="16"/>
  <c r="C14" i="16"/>
  <c r="B14" i="16"/>
  <c r="C13" i="16"/>
  <c r="B13" i="16"/>
  <c r="C12" i="16"/>
  <c r="B12" i="16"/>
  <c r="C11" i="16"/>
  <c r="D131" i="1" s="1"/>
  <c r="C31" i="19" s="1"/>
  <c r="B11" i="16"/>
  <c r="D10" i="16"/>
  <c r="C10" i="16"/>
  <c r="B10" i="16"/>
  <c r="C9" i="16"/>
  <c r="B9" i="16"/>
  <c r="F8" i="16"/>
  <c r="D8" i="16"/>
  <c r="C8" i="16"/>
  <c r="B8" i="16"/>
  <c r="F6" i="16"/>
  <c r="C6" i="16"/>
  <c r="F5" i="16"/>
  <c r="C5" i="16"/>
  <c r="E131" i="1" s="1"/>
  <c r="C27" i="19" s="1"/>
  <c r="F3" i="16"/>
  <c r="D3" i="16"/>
  <c r="B2" i="16"/>
  <c r="B9" i="8" s="1"/>
  <c r="F24" i="17"/>
  <c r="D24" i="17"/>
  <c r="C24" i="17"/>
  <c r="F23" i="17"/>
  <c r="D23" i="17"/>
  <c r="C23" i="17"/>
  <c r="F22" i="17"/>
  <c r="D22" i="17"/>
  <c r="C22" i="17"/>
  <c r="F20" i="17"/>
  <c r="C20" i="17"/>
  <c r="B20" i="17"/>
  <c r="F19" i="17"/>
  <c r="C19" i="17"/>
  <c r="B19" i="17"/>
  <c r="F17" i="17"/>
  <c r="C17" i="17"/>
  <c r="B17" i="17"/>
  <c r="F16" i="17"/>
  <c r="C16" i="17"/>
  <c r="B16" i="17"/>
  <c r="F15" i="17"/>
  <c r="C15" i="17"/>
  <c r="B15" i="17"/>
  <c r="F14" i="17"/>
  <c r="C14" i="17"/>
  <c r="B14" i="17"/>
  <c r="F13" i="17"/>
  <c r="C13" i="17"/>
  <c r="B13" i="17"/>
  <c r="F12" i="17"/>
  <c r="C12" i="17"/>
  <c r="B12" i="17"/>
  <c r="F11" i="17"/>
  <c r="C11" i="17"/>
  <c r="B11" i="17"/>
  <c r="F10" i="17"/>
  <c r="C10" i="17"/>
  <c r="B10" i="17"/>
  <c r="F8" i="17"/>
  <c r="D8" i="17"/>
  <c r="C8" i="17"/>
  <c r="B8" i="17"/>
  <c r="F6" i="17"/>
  <c r="C6" i="17"/>
  <c r="F5" i="17"/>
  <c r="C5" i="17"/>
  <c r="F3" i="17"/>
  <c r="D3" i="17"/>
  <c r="B2" i="17"/>
  <c r="B11" i="8" s="1"/>
  <c r="F13" i="19"/>
  <c r="F14" i="19" s="1"/>
  <c r="D13" i="19"/>
  <c r="D14" i="19" s="1"/>
  <c r="C13" i="19"/>
  <c r="C14" i="19" s="1"/>
  <c r="F11" i="19"/>
  <c r="D11" i="19"/>
  <c r="C11" i="19"/>
  <c r="F10" i="19"/>
  <c r="D10" i="19"/>
  <c r="C10" i="19"/>
  <c r="F9" i="19"/>
  <c r="D9" i="19"/>
  <c r="C9" i="19"/>
  <c r="F8" i="19"/>
  <c r="D8" i="19"/>
  <c r="C8" i="19"/>
  <c r="B8" i="19"/>
  <c r="F6" i="19"/>
  <c r="C6" i="19"/>
  <c r="F5" i="19"/>
  <c r="C5" i="19"/>
  <c r="F3" i="19"/>
  <c r="D3" i="19"/>
  <c r="B2" i="19"/>
  <c r="B23" i="8" s="1"/>
  <c r="F16" i="7"/>
  <c r="D16" i="7"/>
  <c r="C16" i="7"/>
  <c r="C17" i="7" s="1"/>
  <c r="F10" i="7"/>
  <c r="D10" i="7"/>
  <c r="C10" i="7"/>
  <c r="F9" i="7"/>
  <c r="D9" i="7"/>
  <c r="C9" i="7"/>
  <c r="F8" i="7"/>
  <c r="D8" i="7"/>
  <c r="C8" i="7"/>
  <c r="B8" i="7"/>
  <c r="F6" i="7"/>
  <c r="C6" i="7"/>
  <c r="F5" i="7"/>
  <c r="C5" i="7"/>
  <c r="F3" i="7"/>
  <c r="D3" i="7"/>
  <c r="B2" i="7"/>
  <c r="B5" i="8" s="1"/>
  <c r="E116" i="2"/>
  <c r="B116" i="2"/>
  <c r="B114" i="2"/>
  <c r="F110" i="2"/>
  <c r="E110" i="2"/>
  <c r="C110" i="2"/>
  <c r="B110" i="2"/>
  <c r="F109" i="2"/>
  <c r="C109" i="2"/>
  <c r="B108" i="2"/>
  <c r="F182" i="2"/>
  <c r="E182" i="2"/>
  <c r="D182" i="2"/>
  <c r="C182" i="2"/>
  <c r="B182" i="2"/>
  <c r="F181" i="2"/>
  <c r="C181" i="2"/>
  <c r="B180" i="2"/>
  <c r="B105" i="2"/>
  <c r="F104" i="2"/>
  <c r="E104" i="2"/>
  <c r="D104" i="2"/>
  <c r="C104" i="2"/>
  <c r="B104" i="2"/>
  <c r="F103" i="2"/>
  <c r="C103" i="2"/>
  <c r="B102" i="2"/>
  <c r="E178" i="2"/>
  <c r="C178" i="2"/>
  <c r="F177" i="2"/>
  <c r="E177" i="2"/>
  <c r="D177" i="2"/>
  <c r="C177" i="2"/>
  <c r="B177" i="2"/>
  <c r="F176" i="2"/>
  <c r="E176" i="2"/>
  <c r="D176" i="2"/>
  <c r="C176" i="2"/>
  <c r="B176" i="2"/>
  <c r="F175" i="2"/>
  <c r="E175" i="2"/>
  <c r="D175" i="2"/>
  <c r="C175" i="2"/>
  <c r="B175" i="2"/>
  <c r="C174" i="2"/>
  <c r="B173" i="2"/>
  <c r="F170" i="2"/>
  <c r="E170" i="2"/>
  <c r="D170" i="2"/>
  <c r="C170" i="2"/>
  <c r="B170" i="2"/>
  <c r="F169" i="2"/>
  <c r="E169" i="2"/>
  <c r="D169" i="2"/>
  <c r="C169" i="2"/>
  <c r="B169" i="2"/>
  <c r="F168" i="2"/>
  <c r="E168" i="2"/>
  <c r="D168" i="2"/>
  <c r="C168" i="2"/>
  <c r="B168" i="2"/>
  <c r="C167" i="2"/>
  <c r="B166" i="2"/>
  <c r="F164" i="2"/>
  <c r="E164" i="2"/>
  <c r="C164" i="2"/>
  <c r="F159" i="2"/>
  <c r="E159" i="2"/>
  <c r="D159" i="2"/>
  <c r="C159" i="2"/>
  <c r="B159" i="2"/>
  <c r="F158" i="2"/>
  <c r="C158" i="2"/>
  <c r="B157" i="2"/>
  <c r="F154" i="2"/>
  <c r="E154" i="2"/>
  <c r="D154" i="2"/>
  <c r="C154" i="2"/>
  <c r="B154" i="2"/>
  <c r="F153" i="2"/>
  <c r="E153" i="2"/>
  <c r="D153" i="2"/>
  <c r="C153" i="2"/>
  <c r="B153" i="2"/>
  <c r="F152" i="2"/>
  <c r="E152" i="2"/>
  <c r="D152" i="2"/>
  <c r="C152" i="2"/>
  <c r="B152" i="2"/>
  <c r="F151" i="2"/>
  <c r="C151" i="2"/>
  <c r="B150" i="2"/>
  <c r="E148" i="2"/>
  <c r="B147" i="2"/>
  <c r="F146" i="2"/>
  <c r="E146" i="2"/>
  <c r="D146" i="2"/>
  <c r="C146" i="2"/>
  <c r="B146" i="2"/>
  <c r="F145" i="2"/>
  <c r="C145" i="2"/>
  <c r="B144" i="2"/>
  <c r="F76" i="2"/>
  <c r="E76" i="2"/>
  <c r="C76" i="2"/>
  <c r="B75" i="2"/>
  <c r="B74" i="2"/>
  <c r="F73" i="2"/>
  <c r="E73" i="2"/>
  <c r="C73" i="2"/>
  <c r="B72" i="2"/>
  <c r="F71" i="2"/>
  <c r="E71" i="2"/>
  <c r="D71" i="2"/>
  <c r="C71" i="2"/>
  <c r="F70" i="2"/>
  <c r="C70" i="2"/>
  <c r="B26" i="2"/>
  <c r="B25" i="2"/>
  <c r="F24" i="2"/>
  <c r="C24" i="2"/>
  <c r="B23" i="2"/>
  <c r="F30" i="2"/>
  <c r="C30" i="2"/>
  <c r="B29" i="2"/>
  <c r="B44" i="2"/>
  <c r="B43" i="2"/>
  <c r="F42" i="2"/>
  <c r="C42" i="2"/>
  <c r="B41" i="2"/>
  <c r="B38" i="2"/>
  <c r="B37" i="2"/>
  <c r="F36" i="2"/>
  <c r="C36" i="2"/>
  <c r="B35" i="2"/>
  <c r="B83" i="2"/>
  <c r="F81" i="2"/>
  <c r="E81" i="2"/>
  <c r="D81" i="2"/>
  <c r="C81" i="2"/>
  <c r="F80" i="2"/>
  <c r="C80" i="2"/>
  <c r="B79" i="2"/>
  <c r="B135" i="2"/>
  <c r="F134" i="2"/>
  <c r="E134" i="2"/>
  <c r="D134" i="2"/>
  <c r="C134" i="2"/>
  <c r="B134" i="2"/>
  <c r="F133" i="2"/>
  <c r="C133" i="2"/>
  <c r="B132" i="2"/>
  <c r="B20" i="2"/>
  <c r="F16" i="2"/>
  <c r="E16" i="2"/>
  <c r="D16" i="2"/>
  <c r="C16" i="2"/>
  <c r="F15" i="2"/>
  <c r="C15" i="2"/>
  <c r="B14" i="2"/>
  <c r="B89" i="2"/>
  <c r="B88" i="2"/>
  <c r="F87" i="2"/>
  <c r="C87" i="2"/>
  <c r="B86" i="2"/>
  <c r="B11" i="2"/>
  <c r="B10" i="2"/>
  <c r="F9" i="2"/>
  <c r="C9" i="2"/>
  <c r="B8" i="2"/>
  <c r="E85" i="6"/>
  <c r="B85" i="6"/>
  <c r="C84" i="6"/>
  <c r="B83" i="6"/>
  <c r="E77" i="6"/>
  <c r="C77" i="6"/>
  <c r="F77" i="6" s="1"/>
  <c r="B77" i="6"/>
  <c r="C76" i="6"/>
  <c r="B75" i="6"/>
  <c r="E212" i="6"/>
  <c r="D212" i="6"/>
  <c r="C212" i="6"/>
  <c r="B212" i="6"/>
  <c r="C211" i="6"/>
  <c r="B210" i="6"/>
  <c r="B70" i="6"/>
  <c r="E69" i="6"/>
  <c r="D69" i="6"/>
  <c r="C69" i="6"/>
  <c r="B69" i="6"/>
  <c r="C68" i="6"/>
  <c r="B67" i="6"/>
  <c r="E126" i="6"/>
  <c r="D126" i="6"/>
  <c r="C126" i="6"/>
  <c r="B126" i="6"/>
  <c r="E125" i="6"/>
  <c r="D125" i="6"/>
  <c r="C125" i="6"/>
  <c r="B125" i="6"/>
  <c r="E124" i="6"/>
  <c r="D124" i="6"/>
  <c r="C124" i="6"/>
  <c r="B124" i="6"/>
  <c r="C123" i="6"/>
  <c r="B122" i="6"/>
  <c r="E115" i="6"/>
  <c r="D115" i="6"/>
  <c r="C115" i="6"/>
  <c r="E114" i="6"/>
  <c r="D114" i="6"/>
  <c r="C114" i="6"/>
  <c r="E112" i="6"/>
  <c r="D112" i="6"/>
  <c r="C112" i="6"/>
  <c r="B112" i="6"/>
  <c r="C111" i="6"/>
  <c r="B110" i="6"/>
  <c r="E183" i="6"/>
  <c r="E178" i="6"/>
  <c r="D178" i="6"/>
  <c r="C178" i="6"/>
  <c r="B178" i="6"/>
  <c r="C177" i="6"/>
  <c r="B176" i="6"/>
  <c r="E105" i="6"/>
  <c r="B105" i="6"/>
  <c r="E104" i="6"/>
  <c r="B104" i="6"/>
  <c r="E103" i="6"/>
  <c r="B103" i="6"/>
  <c r="B101" i="6"/>
  <c r="B205" i="6"/>
  <c r="E204" i="6"/>
  <c r="D204" i="6"/>
  <c r="C204" i="6"/>
  <c r="B204" i="6"/>
  <c r="C203" i="6"/>
  <c r="B202" i="6"/>
  <c r="E157" i="6"/>
  <c r="C157" i="6"/>
  <c r="B156" i="6"/>
  <c r="B155" i="6"/>
  <c r="E154" i="6"/>
  <c r="C154" i="6"/>
  <c r="B153" i="6"/>
  <c r="E152" i="6"/>
  <c r="D152" i="6"/>
  <c r="C152" i="6"/>
  <c r="C151" i="6"/>
  <c r="B150" i="6"/>
  <c r="B188" i="6"/>
  <c r="B185" i="6"/>
  <c r="B24" i="6"/>
  <c r="C21" i="6"/>
  <c r="B20" i="6"/>
  <c r="B36" i="6"/>
  <c r="B35" i="6"/>
  <c r="C34" i="6"/>
  <c r="B33" i="6"/>
  <c r="B30" i="6"/>
  <c r="B29" i="6"/>
  <c r="C28" i="6"/>
  <c r="B27" i="6"/>
  <c r="B164" i="6"/>
  <c r="E162" i="6"/>
  <c r="D162" i="6"/>
  <c r="C162" i="6"/>
  <c r="C161" i="6"/>
  <c r="B160" i="6"/>
  <c r="B134" i="6"/>
  <c r="E133" i="6"/>
  <c r="D133" i="6"/>
  <c r="C133" i="6"/>
  <c r="B133" i="6"/>
  <c r="C132" i="6"/>
  <c r="B131" i="6"/>
  <c r="B17" i="6"/>
  <c r="E16" i="6"/>
  <c r="D16" i="6"/>
  <c r="C16" i="6"/>
  <c r="C15" i="6"/>
  <c r="B14" i="6"/>
  <c r="B170" i="6"/>
  <c r="B169" i="6"/>
  <c r="C168" i="6"/>
  <c r="B167" i="6"/>
  <c r="B11" i="6"/>
  <c r="B10" i="6"/>
  <c r="B8" i="6"/>
  <c r="E1098" i="1"/>
  <c r="C1089" i="1" s="1"/>
  <c r="E1091" i="1"/>
  <c r="B1091" i="1"/>
  <c r="C87" i="6" s="1"/>
  <c r="C1081" i="1"/>
  <c r="C1079" i="1"/>
  <c r="E1063" i="1"/>
  <c r="F15" i="62" s="1"/>
  <c r="F14" i="62" s="1"/>
  <c r="D1063" i="1"/>
  <c r="B1063" i="1"/>
  <c r="D6" i="29"/>
  <c r="C1050" i="1"/>
  <c r="C1048" i="1"/>
  <c r="F1041" i="1"/>
  <c r="D24" i="34" s="1"/>
  <c r="E1041" i="1"/>
  <c r="D14" i="34" s="1"/>
  <c r="F1035" i="1"/>
  <c r="D23" i="34" s="1"/>
  <c r="E1035" i="1"/>
  <c r="D13" i="34" s="1"/>
  <c r="F1034" i="1"/>
  <c r="D22" i="34" s="1"/>
  <c r="E1034" i="1"/>
  <c r="D12" i="34" s="1"/>
  <c r="F1033" i="1"/>
  <c r="D21" i="34" s="1"/>
  <c r="E1033" i="1"/>
  <c r="D11" i="34" s="1"/>
  <c r="F1032" i="1"/>
  <c r="D20" i="34" s="1"/>
  <c r="E1032" i="1"/>
  <c r="F195" i="4" s="1"/>
  <c r="E1023" i="1"/>
  <c r="E1017" i="1"/>
  <c r="D1017" i="1"/>
  <c r="J195" i="4" s="1"/>
  <c r="B1017" i="1"/>
  <c r="D6" i="34"/>
  <c r="C1007" i="1"/>
  <c r="C1005" i="1"/>
  <c r="D15" i="21"/>
  <c r="D26" i="21"/>
  <c r="D14" i="21"/>
  <c r="D25" i="21"/>
  <c r="D13" i="21"/>
  <c r="D24" i="21"/>
  <c r="D12" i="21"/>
  <c r="D23" i="21"/>
  <c r="D11" i="21"/>
  <c r="E983" i="1"/>
  <c r="C964" i="1" s="1"/>
  <c r="H1061" i="1" s="1"/>
  <c r="D982" i="1"/>
  <c r="C38" i="21"/>
  <c r="F105" i="2"/>
  <c r="E105" i="2"/>
  <c r="B966" i="1"/>
  <c r="D6" i="21"/>
  <c r="C962" i="1"/>
  <c r="C960" i="1"/>
  <c r="F951" i="1"/>
  <c r="H184" i="4" s="1"/>
  <c r="E951" i="1"/>
  <c r="F184" i="4" s="1"/>
  <c r="F950" i="1"/>
  <c r="H183" i="4" s="1"/>
  <c r="E950" i="1"/>
  <c r="F183" i="4" s="1"/>
  <c r="F949" i="1"/>
  <c r="H182" i="4" s="1"/>
  <c r="E949" i="1"/>
  <c r="F182" i="4" s="1"/>
  <c r="F948" i="1"/>
  <c r="H181" i="4" s="1"/>
  <c r="E948" i="1"/>
  <c r="F181" i="4" s="1"/>
  <c r="F947" i="1"/>
  <c r="H180" i="4" s="1"/>
  <c r="E947" i="1"/>
  <c r="F180" i="4" s="1"/>
  <c r="F946" i="1"/>
  <c r="H179" i="4" s="1"/>
  <c r="E946" i="1"/>
  <c r="F179" i="4" s="1"/>
  <c r="F945" i="1"/>
  <c r="H178" i="4" s="1"/>
  <c r="E945" i="1"/>
  <c r="F178" i="4" s="1"/>
  <c r="F944" i="1"/>
  <c r="H177" i="4" s="1"/>
  <c r="E944" i="1"/>
  <c r="F177" i="4" s="1"/>
  <c r="E937" i="1"/>
  <c r="E936" i="1"/>
  <c r="E930" i="1"/>
  <c r="D930" i="1"/>
  <c r="B930" i="1"/>
  <c r="C920" i="1"/>
  <c r="C918" i="1"/>
  <c r="D174" i="2" s="1"/>
  <c r="F909" i="1"/>
  <c r="D48" i="22" s="1"/>
  <c r="E909" i="1"/>
  <c r="D30" i="22" s="1"/>
  <c r="F908" i="1"/>
  <c r="D47" i="22" s="1"/>
  <c r="E908" i="1"/>
  <c r="D29" i="22" s="1"/>
  <c r="F907" i="1"/>
  <c r="D46" i="22" s="1"/>
  <c r="E907" i="1"/>
  <c r="D28" i="22" s="1"/>
  <c r="F906" i="1"/>
  <c r="D45" i="22" s="1"/>
  <c r="E906" i="1"/>
  <c r="D27" i="22" s="1"/>
  <c r="F905" i="1"/>
  <c r="D44" i="22" s="1"/>
  <c r="E905" i="1"/>
  <c r="D26" i="22" s="1"/>
  <c r="F904" i="1"/>
  <c r="D43" i="22" s="1"/>
  <c r="E904" i="1"/>
  <c r="D25" i="22" s="1"/>
  <c r="F903" i="1"/>
  <c r="D42" i="22" s="1"/>
  <c r="E903" i="1"/>
  <c r="D24" i="22" s="1"/>
  <c r="F902" i="1"/>
  <c r="D41" i="22" s="1"/>
  <c r="E902" i="1"/>
  <c r="D23" i="22" s="1"/>
  <c r="D39" i="22"/>
  <c r="D16" i="22"/>
  <c r="D38" i="22"/>
  <c r="D13" i="22"/>
  <c r="E885" i="1"/>
  <c r="D10" i="22" s="1"/>
  <c r="E878" i="1"/>
  <c r="E877" i="1"/>
  <c r="E876" i="1"/>
  <c r="E870" i="1"/>
  <c r="E171" i="2"/>
  <c r="D6" i="22"/>
  <c r="C860" i="1"/>
  <c r="C858" i="1"/>
  <c r="D167" i="2" s="1"/>
  <c r="D34" i="27"/>
  <c r="D19" i="27"/>
  <c r="D33" i="27"/>
  <c r="D18" i="27"/>
  <c r="D31" i="27"/>
  <c r="D32" i="27"/>
  <c r="D17" i="27"/>
  <c r="D30" i="27"/>
  <c r="D15" i="27"/>
  <c r="D28" i="27"/>
  <c r="D27" i="27"/>
  <c r="D26" i="27"/>
  <c r="D25" i="27"/>
  <c r="D10" i="27"/>
  <c r="F837" i="1"/>
  <c r="D837" i="1"/>
  <c r="F836" i="1"/>
  <c r="D836" i="1"/>
  <c r="F835" i="1"/>
  <c r="D835" i="1"/>
  <c r="F834" i="1"/>
  <c r="D834" i="1"/>
  <c r="D833" i="1"/>
  <c r="D6" i="27"/>
  <c r="C823" i="1"/>
  <c r="I396" i="1"/>
  <c r="D47" i="14" s="1"/>
  <c r="F47" i="14" s="1"/>
  <c r="C821" i="1"/>
  <c r="D814" i="1"/>
  <c r="D15" i="28" s="1"/>
  <c r="D813" i="1"/>
  <c r="D14" i="28" s="1"/>
  <c r="D809" i="1"/>
  <c r="D10" i="28" s="1"/>
  <c r="D9" i="28"/>
  <c r="D803" i="1"/>
  <c r="D105" i="6" s="1"/>
  <c r="F802" i="1"/>
  <c r="F804" i="1" s="1"/>
  <c r="D802" i="1"/>
  <c r="D801" i="1"/>
  <c r="E795" i="1"/>
  <c r="D795" i="1"/>
  <c r="J139" i="4" s="1"/>
  <c r="B795" i="1"/>
  <c r="C106" i="6" s="1"/>
  <c r="D6" i="28"/>
  <c r="C785" i="1"/>
  <c r="D5" i="28"/>
  <c r="C783" i="1"/>
  <c r="F776" i="1"/>
  <c r="D14" i="26" s="1"/>
  <c r="E776" i="1"/>
  <c r="D13" i="26"/>
  <c r="E774" i="1"/>
  <c r="D10" i="26" s="1"/>
  <c r="E770" i="1"/>
  <c r="H146" i="2" s="1"/>
  <c r="D769" i="1"/>
  <c r="D18" i="26"/>
  <c r="F147" i="2"/>
  <c r="E147" i="2"/>
  <c r="B755" i="1"/>
  <c r="C147" i="2" s="1"/>
  <c r="D6" i="26"/>
  <c r="C751" i="1"/>
  <c r="I400" i="1"/>
  <c r="D67" i="14" s="1"/>
  <c r="F67" i="14" s="1"/>
  <c r="C749" i="1"/>
  <c r="H735" i="1"/>
  <c r="D29" i="25" s="1"/>
  <c r="D735" i="1"/>
  <c r="D32" i="24" s="1"/>
  <c r="H734" i="1"/>
  <c r="D28" i="25" s="1"/>
  <c r="D734" i="1"/>
  <c r="D31" i="24" s="1"/>
  <c r="H733" i="1"/>
  <c r="D27" i="25" s="1"/>
  <c r="D733" i="1"/>
  <c r="D30" i="24" s="1"/>
  <c r="H732" i="1"/>
  <c r="D26" i="25" s="1"/>
  <c r="D29" i="24"/>
  <c r="H731" i="1"/>
  <c r="D25" i="25" s="1"/>
  <c r="D731" i="1"/>
  <c r="D729" i="1"/>
  <c r="D26" i="24" s="1"/>
  <c r="D728" i="1"/>
  <c r="D25" i="24" s="1"/>
  <c r="D727" i="1"/>
  <c r="D24" i="24" s="1"/>
  <c r="H726" i="1"/>
  <c r="D23" i="25" s="1"/>
  <c r="D726" i="1"/>
  <c r="D23" i="24" s="1"/>
  <c r="H725" i="1"/>
  <c r="D22" i="25" s="1"/>
  <c r="D725" i="1"/>
  <c r="D22" i="24" s="1"/>
  <c r="H724" i="1"/>
  <c r="D21" i="25" s="1"/>
  <c r="D724" i="1"/>
  <c r="D21" i="24" s="1"/>
  <c r="H723" i="1"/>
  <c r="D20" i="25" s="1"/>
  <c r="D723" i="1"/>
  <c r="D20" i="24" s="1"/>
  <c r="H722" i="1"/>
  <c r="D19" i="25" s="1"/>
  <c r="D722" i="1"/>
  <c r="D19" i="24" s="1"/>
  <c r="H721" i="1"/>
  <c r="D18" i="25" s="1"/>
  <c r="D721" i="1"/>
  <c r="D18" i="24" s="1"/>
  <c r="H720" i="1"/>
  <c r="D17" i="25" s="1"/>
  <c r="D720" i="1"/>
  <c r="D17" i="24" s="1"/>
  <c r="H719" i="1"/>
  <c r="D16" i="25" s="1"/>
  <c r="D719" i="1"/>
  <c r="D16" i="24" s="1"/>
  <c r="H718" i="1"/>
  <c r="D15" i="25" s="1"/>
  <c r="D718" i="1"/>
  <c r="D15" i="24" s="1"/>
  <c r="H717" i="1"/>
  <c r="D14" i="25" s="1"/>
  <c r="D717" i="1"/>
  <c r="D14" i="24" s="1"/>
  <c r="H716" i="1"/>
  <c r="D13" i="25" s="1"/>
  <c r="D13" i="24"/>
  <c r="H715" i="1"/>
  <c r="D12" i="25" s="1"/>
  <c r="F12" i="24"/>
  <c r="D12" i="24"/>
  <c r="C12" i="24"/>
  <c r="H714" i="1"/>
  <c r="D11" i="25" s="1"/>
  <c r="D11" i="24"/>
  <c r="C11" i="24"/>
  <c r="F10" i="25"/>
  <c r="H713" i="1"/>
  <c r="D10" i="25" s="1"/>
  <c r="G713" i="1"/>
  <c r="C10" i="25" s="1"/>
  <c r="F10" i="24"/>
  <c r="D10" i="24"/>
  <c r="C10" i="24"/>
  <c r="E709" i="1"/>
  <c r="D709" i="1"/>
  <c r="C709" i="1"/>
  <c r="D708" i="1"/>
  <c r="D707" i="1"/>
  <c r="D706" i="1"/>
  <c r="D705" i="1"/>
  <c r="D704" i="1"/>
  <c r="D703" i="1"/>
  <c r="D699" i="1"/>
  <c r="D20" i="23" s="1"/>
  <c r="D698" i="1"/>
  <c r="D19" i="23" s="1"/>
  <c r="D693" i="1"/>
  <c r="D15" i="23" s="1"/>
  <c r="D692" i="1"/>
  <c r="D14" i="23" s="1"/>
  <c r="D691" i="1"/>
  <c r="D13" i="23" s="1"/>
  <c r="D690" i="1"/>
  <c r="D12" i="23" s="1"/>
  <c r="D689" i="1"/>
  <c r="D11" i="23" s="1"/>
  <c r="D688" i="1"/>
  <c r="D10" i="23" s="1"/>
  <c r="H129" i="1" s="1"/>
  <c r="E685" i="1"/>
  <c r="H71" i="2" s="1"/>
  <c r="D684" i="1"/>
  <c r="E678" i="1"/>
  <c r="F46" i="24" s="1"/>
  <c r="D678" i="1"/>
  <c r="J53" i="4" s="1"/>
  <c r="B678" i="1"/>
  <c r="C158" i="6" s="1"/>
  <c r="E660" i="1"/>
  <c r="F72" i="2" s="1"/>
  <c r="D660" i="1"/>
  <c r="E72" i="2" s="1"/>
  <c r="C72" i="2"/>
  <c r="C656" i="1"/>
  <c r="C654" i="1"/>
  <c r="H598" i="1"/>
  <c r="H597" i="1"/>
  <c r="D600" i="1"/>
  <c r="H596" i="1"/>
  <c r="D598" i="1"/>
  <c r="D32" i="13" s="1"/>
  <c r="H595" i="1"/>
  <c r="D597" i="1"/>
  <c r="D31" i="13" s="1"/>
  <c r="H594" i="1"/>
  <c r="D596" i="1"/>
  <c r="D30" i="13" s="1"/>
  <c r="D595" i="1"/>
  <c r="D29" i="13" s="1"/>
  <c r="D594" i="1"/>
  <c r="D28" i="13" s="1"/>
  <c r="D592" i="1"/>
  <c r="D26" i="13" s="1"/>
  <c r="H591" i="1"/>
  <c r="D26" i="18" s="1"/>
  <c r="D591" i="1"/>
  <c r="D25" i="13" s="1"/>
  <c r="H590" i="1"/>
  <c r="D25" i="18" s="1"/>
  <c r="D590" i="1"/>
  <c r="D24" i="13" s="1"/>
  <c r="H589" i="1"/>
  <c r="D24" i="18" s="1"/>
  <c r="D589" i="1"/>
  <c r="D23" i="13" s="1"/>
  <c r="H588" i="1"/>
  <c r="D23" i="18" s="1"/>
  <c r="D588" i="1"/>
  <c r="D22" i="13" s="1"/>
  <c r="H587" i="1"/>
  <c r="D22" i="18" s="1"/>
  <c r="D587" i="1"/>
  <c r="D21" i="13" s="1"/>
  <c r="H586" i="1"/>
  <c r="D21" i="18" s="1"/>
  <c r="D586" i="1"/>
  <c r="D20" i="13" s="1"/>
  <c r="H585" i="1"/>
  <c r="D20" i="18" s="1"/>
  <c r="D585" i="1"/>
  <c r="H584" i="1"/>
  <c r="D19" i="18" s="1"/>
  <c r="D584" i="1"/>
  <c r="D18" i="13" s="1"/>
  <c r="H583" i="1"/>
  <c r="D18" i="18" s="1"/>
  <c r="D583" i="1"/>
  <c r="D17" i="13" s="1"/>
  <c r="H582" i="1"/>
  <c r="D17" i="18" s="1"/>
  <c r="D582" i="1"/>
  <c r="D16" i="13" s="1"/>
  <c r="H581" i="1"/>
  <c r="D581" i="1"/>
  <c r="D15" i="13" s="1"/>
  <c r="H580" i="1"/>
  <c r="D580" i="1"/>
  <c r="H579" i="1"/>
  <c r="D579" i="1"/>
  <c r="D13" i="13" s="1"/>
  <c r="H578" i="1"/>
  <c r="D12" i="18" s="1"/>
  <c r="F12" i="13"/>
  <c r="D12" i="13"/>
  <c r="C12" i="13"/>
  <c r="H577" i="1"/>
  <c r="D11" i="18" s="1"/>
  <c r="D11" i="13"/>
  <c r="C11" i="13"/>
  <c r="I576" i="1"/>
  <c r="F10" i="18" s="1"/>
  <c r="H576" i="1"/>
  <c r="D10" i="18" s="1"/>
  <c r="G576" i="1"/>
  <c r="C10" i="18" s="1"/>
  <c r="F10" i="13"/>
  <c r="D10" i="13"/>
  <c r="C10" i="13"/>
  <c r="E572" i="1"/>
  <c r="D572" i="1"/>
  <c r="C572" i="1"/>
  <c r="D571" i="1"/>
  <c r="D570" i="1"/>
  <c r="D569" i="1"/>
  <c r="D568" i="1"/>
  <c r="D567" i="1"/>
  <c r="D566" i="1"/>
  <c r="E560" i="1"/>
  <c r="D560" i="1"/>
  <c r="B560" i="1"/>
  <c r="C548" i="1"/>
  <c r="C546" i="1"/>
  <c r="D24" i="2" s="1"/>
  <c r="D533" i="1"/>
  <c r="D56" i="31" s="1"/>
  <c r="H531" i="1"/>
  <c r="D85" i="31" s="1"/>
  <c r="D531" i="1"/>
  <c r="D54" i="31" s="1"/>
  <c r="H530" i="1"/>
  <c r="D84" i="31" s="1"/>
  <c r="D530" i="1"/>
  <c r="D53" i="31" s="1"/>
  <c r="H529" i="1"/>
  <c r="D83" i="31" s="1"/>
  <c r="D529" i="1"/>
  <c r="D52" i="31" s="1"/>
  <c r="H528" i="1"/>
  <c r="D82" i="31" s="1"/>
  <c r="D528" i="1"/>
  <c r="D51" i="31" s="1"/>
  <c r="H527" i="1"/>
  <c r="D81" i="31" s="1"/>
  <c r="D527" i="1"/>
  <c r="D50" i="31" s="1"/>
  <c r="D525" i="1"/>
  <c r="D48" i="31" s="1"/>
  <c r="D524" i="1"/>
  <c r="D47" i="31" s="1"/>
  <c r="D523" i="1"/>
  <c r="D46" i="31" s="1"/>
  <c r="H524" i="1"/>
  <c r="D79" i="31" s="1"/>
  <c r="D522" i="1"/>
  <c r="D45" i="31" s="1"/>
  <c r="H523" i="1"/>
  <c r="D78" i="31" s="1"/>
  <c r="D521" i="1"/>
  <c r="D44" i="31" s="1"/>
  <c r="H522" i="1"/>
  <c r="D77" i="31" s="1"/>
  <c r="D520" i="1"/>
  <c r="D43" i="31" s="1"/>
  <c r="H521" i="1"/>
  <c r="D76" i="31" s="1"/>
  <c r="D519" i="1"/>
  <c r="D42" i="31" s="1"/>
  <c r="H520" i="1"/>
  <c r="D75" i="31" s="1"/>
  <c r="D518" i="1"/>
  <c r="D41" i="31" s="1"/>
  <c r="H519" i="1"/>
  <c r="D74" i="31" s="1"/>
  <c r="D517" i="1"/>
  <c r="D40" i="31" s="1"/>
  <c r="H518" i="1"/>
  <c r="D73" i="31" s="1"/>
  <c r="D516" i="1"/>
  <c r="D39" i="31" s="1"/>
  <c r="H517" i="1"/>
  <c r="D72" i="31" s="1"/>
  <c r="D515" i="1"/>
  <c r="D38" i="31" s="1"/>
  <c r="H516" i="1"/>
  <c r="D71" i="31" s="1"/>
  <c r="D514" i="1"/>
  <c r="D37" i="31" s="1"/>
  <c r="H515" i="1"/>
  <c r="D70" i="31" s="1"/>
  <c r="D513" i="1"/>
  <c r="D36" i="31" s="1"/>
  <c r="H514" i="1"/>
  <c r="D69" i="31" s="1"/>
  <c r="D512" i="1"/>
  <c r="D35" i="31" s="1"/>
  <c r="H512" i="1"/>
  <c r="D67" i="31" s="1"/>
  <c r="F34" i="31"/>
  <c r="H510" i="1"/>
  <c r="D65" i="31" s="1"/>
  <c r="F33" i="31"/>
  <c r="I509" i="1"/>
  <c r="F64" i="31" s="1"/>
  <c r="H509" i="1"/>
  <c r="D64" i="31" s="1"/>
  <c r="G509" i="1"/>
  <c r="C64" i="31" s="1"/>
  <c r="F32" i="31"/>
  <c r="D505" i="1"/>
  <c r="D30" i="31" s="1"/>
  <c r="D504" i="1"/>
  <c r="D29" i="31" s="1"/>
  <c r="D503" i="1"/>
  <c r="D28" i="31" s="1"/>
  <c r="D502" i="1"/>
  <c r="D27" i="31" s="1"/>
  <c r="D496" i="1"/>
  <c r="D23" i="31" s="1"/>
  <c r="D495" i="1"/>
  <c r="D22" i="31" s="1"/>
  <c r="D491" i="1"/>
  <c r="D20" i="31" s="1"/>
  <c r="D490" i="1"/>
  <c r="D19" i="31" s="1"/>
  <c r="D489" i="1"/>
  <c r="D18" i="31" s="1"/>
  <c r="D485" i="1"/>
  <c r="D16" i="31" s="1"/>
  <c r="D484" i="1"/>
  <c r="D15" i="31" s="1"/>
  <c r="D483" i="1"/>
  <c r="D14" i="31" s="1"/>
  <c r="D482" i="1"/>
  <c r="D13" i="31" s="1"/>
  <c r="D481" i="1"/>
  <c r="D12" i="31" s="1"/>
  <c r="D480" i="1"/>
  <c r="D11" i="31" s="1"/>
  <c r="D479" i="1"/>
  <c r="D10" i="31" s="1"/>
  <c r="D474" i="1"/>
  <c r="D473" i="1"/>
  <c r="D472" i="1"/>
  <c r="D471" i="1"/>
  <c r="D470" i="1"/>
  <c r="D469" i="1"/>
  <c r="E463" i="1"/>
  <c r="D463" i="1"/>
  <c r="B463" i="1"/>
  <c r="C384" i="1" s="1"/>
  <c r="D6" i="31"/>
  <c r="C451" i="1"/>
  <c r="C449" i="1"/>
  <c r="C442" i="1"/>
  <c r="E441" i="1"/>
  <c r="D441" i="1"/>
  <c r="C429" i="1"/>
  <c r="E422" i="1"/>
  <c r="F16" i="61" s="1"/>
  <c r="D422" i="1"/>
  <c r="B422" i="1"/>
  <c r="D6" i="20"/>
  <c r="C410" i="1"/>
  <c r="C408" i="1"/>
  <c r="D42" i="2" s="1"/>
  <c r="G400" i="1"/>
  <c r="G395" i="1"/>
  <c r="G392" i="1"/>
  <c r="E378" i="1"/>
  <c r="D378" i="1"/>
  <c r="E31" i="6" s="1"/>
  <c r="B378" i="1"/>
  <c r="D6" i="14"/>
  <c r="C366" i="1"/>
  <c r="G442" i="1"/>
  <c r="C364" i="1"/>
  <c r="D36" i="2" s="1"/>
  <c r="H357" i="1"/>
  <c r="D49" i="15" s="1"/>
  <c r="G357" i="1"/>
  <c r="D42" i="15" s="1"/>
  <c r="F357" i="1"/>
  <c r="D35" i="15" s="1"/>
  <c r="H356" i="1"/>
  <c r="D48" i="15" s="1"/>
  <c r="G356" i="1"/>
  <c r="D41" i="15" s="1"/>
  <c r="F356" i="1"/>
  <c r="D34" i="15" s="1"/>
  <c r="H354" i="1"/>
  <c r="D46" i="15" s="1"/>
  <c r="G354" i="1"/>
  <c r="D39" i="15" s="1"/>
  <c r="D32" i="15"/>
  <c r="H353" i="1"/>
  <c r="D45" i="15" s="1"/>
  <c r="G353" i="1"/>
  <c r="D38" i="15" s="1"/>
  <c r="F353" i="1"/>
  <c r="D31" i="15" s="1"/>
  <c r="H352" i="1"/>
  <c r="D44" i="15" s="1"/>
  <c r="G352" i="1"/>
  <c r="D37" i="15" s="1"/>
  <c r="F352" i="1"/>
  <c r="D30" i="15" s="1"/>
  <c r="H347" i="1"/>
  <c r="D27" i="15" s="1"/>
  <c r="G347" i="1"/>
  <c r="D21" i="15" s="1"/>
  <c r="F347" i="1"/>
  <c r="D15" i="15" s="1"/>
  <c r="H346" i="1"/>
  <c r="D26" i="15" s="1"/>
  <c r="G346" i="1"/>
  <c r="D20" i="15" s="1"/>
  <c r="F346" i="1"/>
  <c r="D14" i="15" s="1"/>
  <c r="H345" i="1"/>
  <c r="D25" i="15" s="1"/>
  <c r="G345" i="1"/>
  <c r="D19" i="15" s="1"/>
  <c r="F345" i="1"/>
  <c r="D13" i="15" s="1"/>
  <c r="H344" i="1"/>
  <c r="D24" i="15" s="1"/>
  <c r="G344" i="1"/>
  <c r="D18" i="15" s="1"/>
  <c r="F344" i="1"/>
  <c r="D12" i="15" s="1"/>
  <c r="H343" i="1"/>
  <c r="D23" i="15" s="1"/>
  <c r="G343" i="1"/>
  <c r="H395" i="1" s="1"/>
  <c r="D41" i="14" s="1"/>
  <c r="F41" i="14" s="1"/>
  <c r="F343" i="1"/>
  <c r="D11" i="15" s="1"/>
  <c r="D336" i="1"/>
  <c r="E330" i="1"/>
  <c r="D330" i="1"/>
  <c r="J69" i="4" s="1"/>
  <c r="B330" i="1"/>
  <c r="C54" i="15" s="1"/>
  <c r="F83" i="2"/>
  <c r="E83" i="2"/>
  <c r="C83" i="2"/>
  <c r="D6" i="15"/>
  <c r="C318" i="1"/>
  <c r="I395" i="1"/>
  <c r="D42" i="14" s="1"/>
  <c r="F42" i="14" s="1"/>
  <c r="C316" i="1"/>
  <c r="D80" i="2" s="1"/>
  <c r="D262" i="1"/>
  <c r="H82" i="4" s="1"/>
  <c r="D261" i="1"/>
  <c r="D260" i="1"/>
  <c r="F85" i="4" s="1"/>
  <c r="I266" i="1"/>
  <c r="D259" i="1"/>
  <c r="F84" i="4" s="1"/>
  <c r="I263" i="1"/>
  <c r="D258" i="1"/>
  <c r="H393" i="1" s="1"/>
  <c r="I257" i="1"/>
  <c r="I256" i="1"/>
  <c r="D256" i="1"/>
  <c r="F82" i="4" s="1"/>
  <c r="E253" i="1"/>
  <c r="D252" i="1"/>
  <c r="E246" i="1"/>
  <c r="D246" i="1"/>
  <c r="J82" i="4" s="1"/>
  <c r="B246" i="1"/>
  <c r="F135" i="2"/>
  <c r="E135" i="2"/>
  <c r="B238" i="1"/>
  <c r="C135" i="2" s="1"/>
  <c r="C234" i="1"/>
  <c r="I393" i="1"/>
  <c r="C232" i="1"/>
  <c r="D225" i="1"/>
  <c r="D224" i="1"/>
  <c r="D19" i="17" s="1"/>
  <c r="D221" i="1"/>
  <c r="D17" i="17" s="1"/>
  <c r="D220" i="1"/>
  <c r="D16" i="17" s="1"/>
  <c r="D219" i="1"/>
  <c r="D15" i="17" s="1"/>
  <c r="D218" i="1"/>
  <c r="D14" i="17" s="1"/>
  <c r="D217" i="1"/>
  <c r="D13" i="17" s="1"/>
  <c r="D216" i="1"/>
  <c r="D12" i="17" s="1"/>
  <c r="D215" i="1"/>
  <c r="D11" i="17" s="1"/>
  <c r="D214" i="1"/>
  <c r="H391" i="1" s="1"/>
  <c r="D21" i="14" s="1"/>
  <c r="F21" i="14" s="1"/>
  <c r="D209" i="1"/>
  <c r="E203" i="1"/>
  <c r="D203" i="1"/>
  <c r="J19" i="4" s="1"/>
  <c r="B203" i="1"/>
  <c r="F20" i="2"/>
  <c r="D6" i="17"/>
  <c r="C191" i="1"/>
  <c r="I391" i="1"/>
  <c r="D22" i="14" s="1"/>
  <c r="F22" i="14" s="1"/>
  <c r="C189" i="1"/>
  <c r="D15" i="2" s="1"/>
  <c r="D6" i="19"/>
  <c r="C101" i="1"/>
  <c r="D33" i="37"/>
  <c r="F33" i="37" s="1"/>
  <c r="C99" i="1"/>
  <c r="D168" i="6" s="1"/>
  <c r="C40" i="1"/>
  <c r="G41" i="1" s="1"/>
  <c r="F20" i="7"/>
  <c r="J6" i="4"/>
  <c r="D6" i="7"/>
  <c r="C15" i="1"/>
  <c r="C13" i="1"/>
  <c r="D9" i="6" s="1"/>
  <c r="B414" i="1" l="1"/>
  <c r="H421" i="1"/>
  <c r="C412" i="1" s="1"/>
  <c r="C414" i="1" s="1"/>
  <c r="J177" i="4"/>
  <c r="D1125" i="1"/>
  <c r="J200" i="4"/>
  <c r="D14" i="62"/>
  <c r="H110" i="2"/>
  <c r="C1052" i="1"/>
  <c r="C1054" i="1" s="1"/>
  <c r="D25" i="20"/>
  <c r="F25" i="20" s="1"/>
  <c r="F25" i="61"/>
  <c r="B22" i="20"/>
  <c r="B22" i="61"/>
  <c r="B23" i="20"/>
  <c r="B23" i="61"/>
  <c r="E33" i="2"/>
  <c r="G384" i="1"/>
  <c r="G386" i="1" s="1"/>
  <c r="D370" i="1" s="1"/>
  <c r="D666" i="1"/>
  <c r="J32" i="4"/>
  <c r="G169" i="1"/>
  <c r="C199" i="1"/>
  <c r="G16" i="2"/>
  <c r="H192" i="4"/>
  <c r="H191" i="4"/>
  <c r="C86" i="6"/>
  <c r="H195" i="4"/>
  <c r="F198" i="4"/>
  <c r="F196" i="4"/>
  <c r="H198" i="4"/>
  <c r="F199" i="4"/>
  <c r="H196" i="4"/>
  <c r="F197" i="4"/>
  <c r="H199" i="4"/>
  <c r="H197" i="4"/>
  <c r="C1013" i="1"/>
  <c r="E1028" i="1"/>
  <c r="D151" i="2"/>
  <c r="D102" i="6"/>
  <c r="C44" i="2"/>
  <c r="C61" i="2"/>
  <c r="E573" i="1"/>
  <c r="D10" i="6"/>
  <c r="E10" i="6"/>
  <c r="E41" i="1"/>
  <c r="C10" i="6"/>
  <c r="C793" i="1"/>
  <c r="D28" i="24"/>
  <c r="H68" i="4"/>
  <c r="D33" i="18"/>
  <c r="J40" i="4"/>
  <c r="D14" i="18"/>
  <c r="F41" i="4"/>
  <c r="D34" i="13"/>
  <c r="H45" i="4"/>
  <c r="F43" i="4"/>
  <c r="D16" i="18"/>
  <c r="F42" i="4"/>
  <c r="H43" i="4"/>
  <c r="D13" i="18"/>
  <c r="F40" i="4"/>
  <c r="H44" i="4"/>
  <c r="F21" i="4"/>
  <c r="F25" i="4"/>
  <c r="D20" i="17"/>
  <c r="H25" i="4"/>
  <c r="F19" i="4"/>
  <c r="F22" i="4"/>
  <c r="F26" i="4"/>
  <c r="H19" i="4"/>
  <c r="F23" i="4"/>
  <c r="F20" i="4"/>
  <c r="F24" i="4"/>
  <c r="F83" i="4"/>
  <c r="H69" i="4"/>
  <c r="F72" i="4"/>
  <c r="F69" i="4"/>
  <c r="F74" i="4"/>
  <c r="H76" i="4"/>
  <c r="H71" i="4"/>
  <c r="F78" i="4"/>
  <c r="F75" i="4"/>
  <c r="H78" i="4"/>
  <c r="F70" i="4"/>
  <c r="H72" i="4"/>
  <c r="F79" i="4"/>
  <c r="F73" i="4"/>
  <c r="H75" i="4"/>
  <c r="H70" i="4"/>
  <c r="F76" i="4"/>
  <c r="H79" i="4"/>
  <c r="H74" i="4"/>
  <c r="F71" i="4"/>
  <c r="H73" i="4"/>
  <c r="H127" i="4"/>
  <c r="H91" i="4"/>
  <c r="J30" i="4"/>
  <c r="F102" i="4"/>
  <c r="F92" i="4"/>
  <c r="F96" i="4"/>
  <c r="F28" i="4"/>
  <c r="F110" i="4"/>
  <c r="F114" i="4"/>
  <c r="F118" i="4"/>
  <c r="H119" i="4"/>
  <c r="F103" i="4"/>
  <c r="F93" i="4"/>
  <c r="H28" i="4"/>
  <c r="F111" i="4"/>
  <c r="F115" i="4"/>
  <c r="F119" i="4"/>
  <c r="H123" i="4"/>
  <c r="F124" i="4"/>
  <c r="F123" i="4"/>
  <c r="F126" i="4"/>
  <c r="H120" i="4"/>
  <c r="F98" i="4"/>
  <c r="H107" i="4"/>
  <c r="J27" i="4"/>
  <c r="F94" i="4"/>
  <c r="F101" i="4"/>
  <c r="F108" i="4"/>
  <c r="F112" i="4"/>
  <c r="F116" i="4"/>
  <c r="F120" i="4"/>
  <c r="H124" i="4"/>
  <c r="H121" i="4"/>
  <c r="F91" i="4"/>
  <c r="H98" i="4"/>
  <c r="H125" i="4"/>
  <c r="H118" i="4"/>
  <c r="F95" i="4"/>
  <c r="F99" i="4"/>
  <c r="H101" i="4"/>
  <c r="H105" i="4"/>
  <c r="F109" i="4"/>
  <c r="F113" i="4"/>
  <c r="F117" i="4"/>
  <c r="F121" i="4"/>
  <c r="H126" i="4"/>
  <c r="F58" i="4"/>
  <c r="F140" i="4"/>
  <c r="H134" i="4"/>
  <c r="H54" i="4"/>
  <c r="H67" i="4"/>
  <c r="H63" i="4"/>
  <c r="H65" i="4"/>
  <c r="F55" i="4"/>
  <c r="F59" i="4"/>
  <c r="F56" i="4"/>
  <c r="F132" i="4"/>
  <c r="H135" i="4"/>
  <c r="H66" i="4"/>
  <c r="F57" i="4"/>
  <c r="H132" i="4"/>
  <c r="H136" i="4"/>
  <c r="F54" i="4"/>
  <c r="F67" i="4"/>
  <c r="H60" i="4"/>
  <c r="H133" i="4"/>
  <c r="F141" i="4"/>
  <c r="F139" i="4"/>
  <c r="J165" i="4"/>
  <c r="H171" i="4"/>
  <c r="H187" i="4"/>
  <c r="H175" i="4"/>
  <c r="H166" i="4"/>
  <c r="F173" i="4"/>
  <c r="F169" i="4"/>
  <c r="F190" i="4"/>
  <c r="F188" i="4"/>
  <c r="H190" i="4"/>
  <c r="F191" i="4"/>
  <c r="H188" i="4"/>
  <c r="F189" i="4"/>
  <c r="F187" i="4"/>
  <c r="H189" i="4"/>
  <c r="C45" i="13"/>
  <c r="C33" i="18"/>
  <c r="E880" i="1"/>
  <c r="C862" i="1" s="1"/>
  <c r="C966" i="1"/>
  <c r="D968" i="1"/>
  <c r="C37" i="6"/>
  <c r="C169" i="1"/>
  <c r="G170" i="1" s="1"/>
  <c r="C151" i="1" s="1"/>
  <c r="E37" i="6"/>
  <c r="B19" i="1"/>
  <c r="C11" i="6" s="1"/>
  <c r="E939" i="1"/>
  <c r="H130" i="1"/>
  <c r="H132" i="1"/>
  <c r="D41" i="19" s="1"/>
  <c r="D21" i="19"/>
  <c r="E132" i="1"/>
  <c r="C42" i="19" s="1"/>
  <c r="C22" i="19"/>
  <c r="E130" i="1"/>
  <c r="H134" i="1"/>
  <c r="D51" i="19" s="1"/>
  <c r="H396" i="1"/>
  <c r="D46" i="14" s="1"/>
  <c r="F46" i="14" s="1"/>
  <c r="D130" i="1"/>
  <c r="D132" i="1"/>
  <c r="C41" i="19" s="1"/>
  <c r="C21" i="19"/>
  <c r="H135" i="1"/>
  <c r="D56" i="19" s="1"/>
  <c r="H397" i="1"/>
  <c r="D51" i="14" s="1"/>
  <c r="F51" i="14" s="1"/>
  <c r="H398" i="1"/>
  <c r="D56" i="14" s="1"/>
  <c r="F56" i="14" s="1"/>
  <c r="H136" i="1"/>
  <c r="D61" i="19" s="1"/>
  <c r="H399" i="1"/>
  <c r="D61" i="14" s="1"/>
  <c r="F61" i="14" s="1"/>
  <c r="H137" i="1"/>
  <c r="D66" i="19" s="1"/>
  <c r="D31" i="14"/>
  <c r="F31" i="14" s="1"/>
  <c r="D31" i="19"/>
  <c r="D32" i="14"/>
  <c r="F32" i="14" s="1"/>
  <c r="D32" i="19"/>
  <c r="F167" i="4"/>
  <c r="H170" i="4"/>
  <c r="F176" i="4"/>
  <c r="F165" i="4"/>
  <c r="F166" i="4"/>
  <c r="H169" i="4"/>
  <c r="F171" i="4"/>
  <c r="H173" i="4"/>
  <c r="F175" i="4"/>
  <c r="F172" i="4"/>
  <c r="H174" i="4"/>
  <c r="H167" i="4"/>
  <c r="F170" i="4"/>
  <c r="H172" i="4"/>
  <c r="F174" i="4"/>
  <c r="H176" i="4"/>
  <c r="F838" i="1" a="1"/>
  <c r="F838" i="1" s="1"/>
  <c r="C825" i="1" s="1"/>
  <c r="E61" i="2"/>
  <c r="D14" i="13"/>
  <c r="D19" i="13"/>
  <c r="D27" i="21"/>
  <c r="D10" i="34"/>
  <c r="G1032" i="1"/>
  <c r="F10" i="34" s="1"/>
  <c r="H400" i="1"/>
  <c r="D66" i="14" s="1"/>
  <c r="F66" i="14" s="1"/>
  <c r="C244" i="1"/>
  <c r="C242" i="1"/>
  <c r="I392" i="1"/>
  <c r="D27" i="14" s="1"/>
  <c r="F27" i="14" s="1"/>
  <c r="H392" i="1"/>
  <c r="D26" i="14" s="1"/>
  <c r="F26" i="14" s="1"/>
  <c r="D25" i="37"/>
  <c r="F25" i="37" s="1"/>
  <c r="E18" i="6"/>
  <c r="F14" i="16"/>
  <c r="F10" i="16"/>
  <c r="D13" i="16"/>
  <c r="D33" i="16"/>
  <c r="D9" i="16"/>
  <c r="D12" i="16"/>
  <c r="F13" i="16"/>
  <c r="F15" i="16"/>
  <c r="D6" i="16"/>
  <c r="C136" i="2"/>
  <c r="D15" i="16"/>
  <c r="F9" i="16"/>
  <c r="F12" i="16"/>
  <c r="D14" i="16"/>
  <c r="F65" i="14"/>
  <c r="D65" i="14"/>
  <c r="F40" i="14"/>
  <c r="F45" i="14"/>
  <c r="D45" i="14"/>
  <c r="F25" i="14"/>
  <c r="D25" i="14"/>
  <c r="B666" i="1"/>
  <c r="C75" i="2" s="1"/>
  <c r="D11" i="27"/>
  <c r="D5" i="15"/>
  <c r="I133" i="1" s="1"/>
  <c r="D47" i="19" s="1"/>
  <c r="D16" i="27"/>
  <c r="D5" i="16"/>
  <c r="D13" i="27"/>
  <c r="D12" i="27"/>
  <c r="F11" i="16"/>
  <c r="D10" i="17"/>
  <c r="F17" i="7"/>
  <c r="D6" i="30"/>
  <c r="E84" i="6"/>
  <c r="H16" i="2"/>
  <c r="F25" i="17"/>
  <c r="E455" i="1"/>
  <c r="D324" i="1"/>
  <c r="E666" i="1"/>
  <c r="F75" i="2" s="1"/>
  <c r="E552" i="1"/>
  <c r="F26" i="2" s="1"/>
  <c r="D552" i="1"/>
  <c r="E188" i="6" s="1"/>
  <c r="E10" i="2"/>
  <c r="E19" i="1"/>
  <c r="F11" i="2" s="1"/>
  <c r="D19" i="1"/>
  <c r="E11" i="6" s="1"/>
  <c r="C79" i="6"/>
  <c r="E79" i="6"/>
  <c r="F15" i="29"/>
  <c r="F14" i="29" s="1"/>
  <c r="D24" i="33"/>
  <c r="F34" i="33"/>
  <c r="D12" i="33"/>
  <c r="D16" i="33"/>
  <c r="D23" i="33"/>
  <c r="D27" i="33"/>
  <c r="D14" i="33"/>
  <c r="D6" i="33"/>
  <c r="D21" i="33"/>
  <c r="D25" i="33"/>
  <c r="D17" i="33"/>
  <c r="D28" i="33"/>
  <c r="D10" i="33"/>
  <c r="D11" i="33"/>
  <c r="D15" i="33"/>
  <c r="D13" i="33"/>
  <c r="D22" i="33"/>
  <c r="D26" i="33"/>
  <c r="D5" i="7"/>
  <c r="C6" i="4"/>
  <c r="C3" i="40" s="1"/>
  <c r="H177" i="2"/>
  <c r="C658" i="1"/>
  <c r="E121" i="1" s="1"/>
  <c r="C672" i="1"/>
  <c r="F112" i="6"/>
  <c r="C201" i="1"/>
  <c r="G71" i="2"/>
  <c r="H170" i="2"/>
  <c r="C1083" i="1"/>
  <c r="F212" i="6"/>
  <c r="H116" i="2"/>
  <c r="D87" i="2"/>
  <c r="E90" i="2"/>
  <c r="C27" i="2"/>
  <c r="G153" i="2"/>
  <c r="F115" i="6"/>
  <c r="C153" i="6"/>
  <c r="F178" i="6"/>
  <c r="G146" i="2"/>
  <c r="H154" i="2"/>
  <c r="H175" i="2"/>
  <c r="F126" i="6"/>
  <c r="D9" i="2"/>
  <c r="H159" i="2"/>
  <c r="H176" i="2"/>
  <c r="C106" i="2"/>
  <c r="D17" i="26"/>
  <c r="D15" i="6"/>
  <c r="C670" i="1"/>
  <c r="C761" i="1"/>
  <c r="E9" i="6"/>
  <c r="D123" i="6"/>
  <c r="H168" i="2"/>
  <c r="G169" i="2"/>
  <c r="G182" i="2"/>
  <c r="F25" i="23"/>
  <c r="D5" i="26"/>
  <c r="F21" i="2"/>
  <c r="H152" i="2"/>
  <c r="H182" i="2"/>
  <c r="F11" i="13"/>
  <c r="E171" i="6"/>
  <c r="C134" i="6"/>
  <c r="E153" i="6"/>
  <c r="E70" i="6"/>
  <c r="E80" i="2"/>
  <c r="C84" i="2"/>
  <c r="H153" i="2"/>
  <c r="F112" i="2"/>
  <c r="C25" i="23"/>
  <c r="C45" i="24"/>
  <c r="F45" i="24"/>
  <c r="E164" i="6"/>
  <c r="D34" i="6"/>
  <c r="C236" i="1"/>
  <c r="C238" i="1" s="1"/>
  <c r="F11" i="24"/>
  <c r="C205" i="6"/>
  <c r="F12" i="2"/>
  <c r="E151" i="2"/>
  <c r="H169" i="2"/>
  <c r="D90" i="31"/>
  <c r="C753" i="1"/>
  <c r="E135" i="6"/>
  <c r="C164" i="6"/>
  <c r="E25" i="6"/>
  <c r="F204" i="6"/>
  <c r="F114" i="6"/>
  <c r="F124" i="6"/>
  <c r="F125" i="6"/>
  <c r="C71" i="6"/>
  <c r="G104" i="2"/>
  <c r="G116" i="2"/>
  <c r="E27" i="2"/>
  <c r="E189" i="6"/>
  <c r="C25" i="2"/>
  <c r="F68" i="4"/>
  <c r="F74" i="2"/>
  <c r="E74" i="2"/>
  <c r="E155" i="6"/>
  <c r="D5" i="27"/>
  <c r="I134" i="1" s="1"/>
  <c r="E177" i="6"/>
  <c r="E158" i="2"/>
  <c r="D84" i="6"/>
  <c r="E87" i="2"/>
  <c r="D5" i="19"/>
  <c r="F33" i="16"/>
  <c r="F136" i="2"/>
  <c r="D29" i="18"/>
  <c r="D31" i="18"/>
  <c r="D11" i="26"/>
  <c r="C55" i="22"/>
  <c r="C171" i="2"/>
  <c r="C116" i="6"/>
  <c r="D5" i="34"/>
  <c r="E211" i="6"/>
  <c r="E181" i="2"/>
  <c r="C12" i="2"/>
  <c r="D5" i="17"/>
  <c r="E15" i="2"/>
  <c r="E15" i="6"/>
  <c r="C20" i="2"/>
  <c r="C17" i="6"/>
  <c r="E324" i="1"/>
  <c r="D30" i="2"/>
  <c r="D21" i="6"/>
  <c r="D6" i="13"/>
  <c r="D6" i="18"/>
  <c r="F25" i="2"/>
  <c r="D25" i="2"/>
  <c r="E187" i="6"/>
  <c r="C74" i="2"/>
  <c r="C155" i="6"/>
  <c r="E710" i="1"/>
  <c r="C664" i="1" s="1"/>
  <c r="C666" i="1" s="1"/>
  <c r="C18" i="26"/>
  <c r="C17" i="26" s="1"/>
  <c r="C148" i="2"/>
  <c r="C206" i="6"/>
  <c r="D19" i="28"/>
  <c r="D18" i="28" s="1"/>
  <c r="E106" i="6"/>
  <c r="E155" i="2"/>
  <c r="D55" i="22"/>
  <c r="E116" i="6"/>
  <c r="D5" i="33"/>
  <c r="E123" i="6"/>
  <c r="E174" i="2"/>
  <c r="C29" i="34"/>
  <c r="C183" i="2"/>
  <c r="C213" i="6"/>
  <c r="C15" i="30"/>
  <c r="C14" i="30" s="1"/>
  <c r="D161" i="6"/>
  <c r="D28" i="6"/>
  <c r="D155" i="6"/>
  <c r="E206" i="6"/>
  <c r="D74" i="2"/>
  <c r="D45" i="13"/>
  <c r="C25" i="17"/>
  <c r="C21" i="2"/>
  <c r="D5" i="18"/>
  <c r="D5" i="13"/>
  <c r="E24" i="2"/>
  <c r="E186" i="6"/>
  <c r="D46" i="24"/>
  <c r="E77" i="2"/>
  <c r="E111" i="6"/>
  <c r="D5" i="22"/>
  <c r="E167" i="2"/>
  <c r="D34" i="33"/>
  <c r="E127" i="6"/>
  <c r="D25" i="17"/>
  <c r="E21" i="2"/>
  <c r="D11" i="16"/>
  <c r="H131" i="1" s="1"/>
  <c r="C326" i="1"/>
  <c r="C19" i="28"/>
  <c r="C18" i="28" s="1"/>
  <c r="C155" i="2"/>
  <c r="D103" i="2"/>
  <c r="D68" i="6"/>
  <c r="H104" i="2"/>
  <c r="C1015" i="1"/>
  <c r="C1009" i="1"/>
  <c r="D5" i="29"/>
  <c r="E109" i="2"/>
  <c r="E76" i="6"/>
  <c r="D20" i="7"/>
  <c r="D17" i="7" s="1"/>
  <c r="E12" i="2"/>
  <c r="E12" i="6"/>
  <c r="F90" i="2"/>
  <c r="E20" i="2"/>
  <c r="E17" i="6"/>
  <c r="D133" i="2"/>
  <c r="D132" i="6"/>
  <c r="H134" i="2"/>
  <c r="G134" i="2"/>
  <c r="C328" i="1"/>
  <c r="F54" i="15"/>
  <c r="F84" i="2"/>
  <c r="D17" i="15"/>
  <c r="H133" i="1" s="1"/>
  <c r="D46" i="19" s="1"/>
  <c r="F16" i="14"/>
  <c r="F39" i="2"/>
  <c r="G399" i="1"/>
  <c r="F16" i="20"/>
  <c r="F45" i="2"/>
  <c r="F90" i="31"/>
  <c r="F33" i="2"/>
  <c r="B552" i="1"/>
  <c r="D28" i="18"/>
  <c r="D30" i="18"/>
  <c r="D151" i="6"/>
  <c r="D70" i="2"/>
  <c r="C46" i="24"/>
  <c r="C77" i="2"/>
  <c r="D145" i="2"/>
  <c r="D203" i="6"/>
  <c r="C34" i="33"/>
  <c r="C127" i="6"/>
  <c r="C974" i="1"/>
  <c r="F106" i="2"/>
  <c r="F38" i="21"/>
  <c r="D29" i="34"/>
  <c r="E183" i="2"/>
  <c r="E213" i="6"/>
  <c r="E168" i="6"/>
  <c r="C18" i="6"/>
  <c r="F133" i="6"/>
  <c r="E158" i="6"/>
  <c r="F69" i="6"/>
  <c r="C10" i="2"/>
  <c r="E25" i="2"/>
  <c r="G177" i="2"/>
  <c r="C90" i="2"/>
  <c r="C171" i="6"/>
  <c r="E133" i="2"/>
  <c r="E132" i="6"/>
  <c r="D5" i="14"/>
  <c r="E28" i="6"/>
  <c r="C16" i="14"/>
  <c r="C39" i="2"/>
  <c r="D5" i="20"/>
  <c r="E42" i="2"/>
  <c r="C16" i="20"/>
  <c r="C45" i="2"/>
  <c r="C35" i="6"/>
  <c r="C43" i="2"/>
  <c r="D5" i="31"/>
  <c r="E30" i="2"/>
  <c r="E21" i="6"/>
  <c r="C33" i="2"/>
  <c r="C25" i="6"/>
  <c r="C90" i="31"/>
  <c r="F45" i="13"/>
  <c r="F27" i="2"/>
  <c r="D5" i="25"/>
  <c r="D5" i="23"/>
  <c r="D22" i="19" s="1"/>
  <c r="D5" i="24"/>
  <c r="E145" i="2"/>
  <c r="E203" i="6"/>
  <c r="F19" i="28"/>
  <c r="F18" i="28" s="1"/>
  <c r="F155" i="2"/>
  <c r="D158" i="2"/>
  <c r="D177" i="6"/>
  <c r="D38" i="21"/>
  <c r="D25" i="40"/>
  <c r="E106" i="2"/>
  <c r="D15" i="29"/>
  <c r="D14" i="29" s="1"/>
  <c r="E112" i="2"/>
  <c r="E115" i="2"/>
  <c r="D5" i="30"/>
  <c r="F16" i="6"/>
  <c r="C135" i="6"/>
  <c r="C165" i="6"/>
  <c r="C169" i="6" s="1"/>
  <c r="E34" i="6"/>
  <c r="E151" i="6"/>
  <c r="F152" i="6"/>
  <c r="E205" i="6"/>
  <c r="E102" i="6"/>
  <c r="D111" i="6"/>
  <c r="E71" i="6"/>
  <c r="E9" i="2"/>
  <c r="D10" i="2"/>
  <c r="E36" i="2"/>
  <c r="F77" i="2"/>
  <c r="G170" i="2"/>
  <c r="C33" i="16"/>
  <c r="E84" i="2"/>
  <c r="D54" i="15"/>
  <c r="D16" i="14"/>
  <c r="E39" i="2"/>
  <c r="D16" i="20"/>
  <c r="E45" i="2"/>
  <c r="D32" i="18"/>
  <c r="D6" i="24"/>
  <c r="D6" i="23"/>
  <c r="D6" i="25"/>
  <c r="F18" i="26"/>
  <c r="F17" i="26" s="1"/>
  <c r="F148" i="2"/>
  <c r="F55" i="22"/>
  <c r="D5" i="21"/>
  <c r="E103" i="2"/>
  <c r="C105" i="2"/>
  <c r="C70" i="6"/>
  <c r="D181" i="2"/>
  <c r="D211" i="6"/>
  <c r="F183" i="2"/>
  <c r="F29" i="34"/>
  <c r="D109" i="2"/>
  <c r="D76" i="6"/>
  <c r="C15" i="29"/>
  <c r="C14" i="29" s="1"/>
  <c r="C112" i="2"/>
  <c r="F15" i="30"/>
  <c r="F14" i="30" s="1"/>
  <c r="E134" i="6"/>
  <c r="E161" i="6"/>
  <c r="E165" i="6"/>
  <c r="C31" i="6"/>
  <c r="E68" i="6"/>
  <c r="E136" i="2"/>
  <c r="E70" i="2"/>
  <c r="G154" i="2"/>
  <c r="G152" i="2"/>
  <c r="G159" i="2"/>
  <c r="G168" i="2"/>
  <c r="G175" i="2"/>
  <c r="G176" i="2"/>
  <c r="G110" i="2"/>
  <c r="D45" i="24"/>
  <c r="D25" i="23"/>
  <c r="F203" i="2" l="1"/>
  <c r="C203" i="2"/>
  <c r="F98" i="2"/>
  <c r="F65" i="2"/>
  <c r="F205" i="2" s="1"/>
  <c r="D153" i="1"/>
  <c r="F50" i="2" s="1"/>
  <c r="E169" i="1"/>
  <c r="D78" i="6"/>
  <c r="F78" i="6" s="1"/>
  <c r="D111" i="2"/>
  <c r="D218" i="6"/>
  <c r="F218" i="6" s="1"/>
  <c r="E1125" i="1"/>
  <c r="E1128" i="1" s="1"/>
  <c r="E187" i="2"/>
  <c r="E218" i="6"/>
  <c r="F187" i="2"/>
  <c r="D187" i="2"/>
  <c r="C65" i="2"/>
  <c r="C205" i="2" s="1"/>
  <c r="D1057" i="1"/>
  <c r="H1258" i="1"/>
  <c r="H1259" i="1" s="1"/>
  <c r="C1063" i="1"/>
  <c r="D79" i="6" s="1"/>
  <c r="F79" i="6" s="1"/>
  <c r="E1057" i="1"/>
  <c r="F207" i="2"/>
  <c r="C209" i="2"/>
  <c r="E203" i="2"/>
  <c r="E209" i="2" s="1"/>
  <c r="E65" i="2"/>
  <c r="E205" i="2"/>
  <c r="C98" i="2"/>
  <c r="C207" i="2" s="1"/>
  <c r="E98" i="2"/>
  <c r="E207" i="2" s="1"/>
  <c r="J214" i="4"/>
  <c r="E37" i="2"/>
  <c r="G25" i="2"/>
  <c r="C550" i="1"/>
  <c r="C552" i="1" s="1"/>
  <c r="B153" i="1"/>
  <c r="C99" i="6"/>
  <c r="C236" i="6"/>
  <c r="C197" i="6"/>
  <c r="E197" i="6"/>
  <c r="E199" i="6"/>
  <c r="E173" i="6"/>
  <c r="E61" i="6"/>
  <c r="C36" i="6"/>
  <c r="C763" i="1"/>
  <c r="D206" i="6" s="1"/>
  <c r="C147" i="6"/>
  <c r="E1085" i="1"/>
  <c r="D1085" i="1"/>
  <c r="C173" i="6"/>
  <c r="C199" i="6"/>
  <c r="C61" i="6"/>
  <c r="C787" i="1"/>
  <c r="E789" i="1" s="1"/>
  <c r="F44" i="4"/>
  <c r="C194" i="6"/>
  <c r="E194" i="6"/>
  <c r="C866" i="1"/>
  <c r="C870" i="1" s="1"/>
  <c r="E122" i="1"/>
  <c r="C170" i="6"/>
  <c r="C88" i="2"/>
  <c r="D20" i="2"/>
  <c r="G20" i="2" s="1"/>
  <c r="E386" i="1"/>
  <c r="C11" i="2"/>
  <c r="D27" i="19"/>
  <c r="D42" i="19"/>
  <c r="D52" i="19"/>
  <c r="I136" i="1"/>
  <c r="D62" i="19" s="1"/>
  <c r="I137" i="1"/>
  <c r="D67" i="19" s="1"/>
  <c r="I135" i="1"/>
  <c r="D57" i="19" s="1"/>
  <c r="C41" i="6"/>
  <c r="C49" i="2"/>
  <c r="C926" i="1"/>
  <c r="C922" i="1"/>
  <c r="D178" i="2" s="1"/>
  <c r="C928" i="1"/>
  <c r="C23" i="37"/>
  <c r="C26" i="19"/>
  <c r="C22" i="37"/>
  <c r="D26" i="19"/>
  <c r="C26" i="37"/>
  <c r="C56" i="6"/>
  <c r="C62" i="2"/>
  <c r="C976" i="1"/>
  <c r="D71" i="6" s="1"/>
  <c r="F71" i="6" s="1"/>
  <c r="D827" i="1"/>
  <c r="D164" i="2"/>
  <c r="G164" i="2" s="1"/>
  <c r="E827" i="1"/>
  <c r="F60" i="14"/>
  <c r="D60" i="14"/>
  <c r="F50" i="14"/>
  <c r="D50" i="14"/>
  <c r="F55" i="14"/>
  <c r="D55" i="14"/>
  <c r="C156" i="6"/>
  <c r="E968" i="1"/>
  <c r="D70" i="6"/>
  <c r="F70" i="6" s="1"/>
  <c r="E662" i="1"/>
  <c r="D662" i="1"/>
  <c r="D757" i="1"/>
  <c r="C755" i="1"/>
  <c r="E26" i="2"/>
  <c r="C660" i="1"/>
  <c r="D72" i="2" s="1"/>
  <c r="G72" i="2" s="1"/>
  <c r="D154" i="6"/>
  <c r="F154" i="6" s="1"/>
  <c r="E24" i="6"/>
  <c r="D73" i="2"/>
  <c r="H73" i="2" s="1"/>
  <c r="C89" i="2"/>
  <c r="C1091" i="1"/>
  <c r="D87" i="6" s="1"/>
  <c r="C246" i="1"/>
  <c r="D135" i="6" s="1"/>
  <c r="E197" i="1"/>
  <c r="C330" i="1"/>
  <c r="C386" i="1"/>
  <c r="G387" i="1" s="1"/>
  <c r="E757" i="1"/>
  <c r="C203" i="1"/>
  <c r="D197" i="1"/>
  <c r="D240" i="1"/>
  <c r="E240" i="1"/>
  <c r="I398" i="1"/>
  <c r="D57" i="14" s="1"/>
  <c r="F57" i="14" s="1"/>
  <c r="I397" i="1"/>
  <c r="D52" i="14" s="1"/>
  <c r="F52" i="14" s="1"/>
  <c r="I399" i="1"/>
  <c r="H74" i="2"/>
  <c r="C676" i="1"/>
  <c r="F155" i="6"/>
  <c r="C674" i="1"/>
  <c r="E11" i="2"/>
  <c r="C26" i="2"/>
  <c r="H25" i="2"/>
  <c r="C558" i="1"/>
  <c r="C556" i="1"/>
  <c r="C1017" i="1"/>
  <c r="E1011" i="1"/>
  <c r="D1011" i="1"/>
  <c r="G74" i="2"/>
  <c r="E864" i="1"/>
  <c r="D864" i="1"/>
  <c r="D83" i="2"/>
  <c r="D164" i="6"/>
  <c r="F164" i="6" s="1"/>
  <c r="G10" i="2"/>
  <c r="H10" i="2"/>
  <c r="C27" i="1"/>
  <c r="C17" i="1"/>
  <c r="E75" i="2"/>
  <c r="E156" i="6"/>
  <c r="D112" i="2" l="1"/>
  <c r="G112" i="2" s="1"/>
  <c r="G37" i="2"/>
  <c r="G111" i="2"/>
  <c r="H111" i="2"/>
  <c r="C1115" i="1"/>
  <c r="C1117" i="1"/>
  <c r="C1111" i="1"/>
  <c r="G187" i="2"/>
  <c r="H187" i="2"/>
  <c r="F209" i="2"/>
  <c r="F211" i="2"/>
  <c r="B370" i="1"/>
  <c r="C30" i="6" s="1"/>
  <c r="E387" i="1"/>
  <c r="C211" i="2"/>
  <c r="E211" i="2"/>
  <c r="D13" i="30"/>
  <c r="D86" i="6"/>
  <c r="D789" i="1"/>
  <c r="C795" i="1"/>
  <c r="D106" i="6" s="1"/>
  <c r="F106" i="6" s="1"/>
  <c r="D171" i="2"/>
  <c r="D107" i="1"/>
  <c r="D17" i="6"/>
  <c r="F17" i="6" s="1"/>
  <c r="C42" i="6"/>
  <c r="C50" i="2"/>
  <c r="E924" i="1"/>
  <c r="C930" i="1"/>
  <c r="D127" i="6" s="1"/>
  <c r="F127" i="6" s="1"/>
  <c r="D924" i="1"/>
  <c r="F206" i="6"/>
  <c r="E56" i="6"/>
  <c r="E62" i="2"/>
  <c r="F55" i="6"/>
  <c r="H61" i="2"/>
  <c r="G61" i="2"/>
  <c r="C625" i="1"/>
  <c r="C29" i="1"/>
  <c r="D12" i="6" s="1"/>
  <c r="F12" i="6" s="1"/>
  <c r="H164" i="2"/>
  <c r="F135" i="6"/>
  <c r="E29" i="6"/>
  <c r="C37" i="2"/>
  <c r="C29" i="6"/>
  <c r="D62" i="14"/>
  <c r="F62" i="14" s="1"/>
  <c r="D105" i="2"/>
  <c r="H105" i="2" s="1"/>
  <c r="E668" i="1"/>
  <c r="D668" i="1"/>
  <c r="E457" i="1"/>
  <c r="D24" i="6"/>
  <c r="F24" i="6" s="1"/>
  <c r="C19" i="1"/>
  <c r="D11" i="6" s="1"/>
  <c r="F11" i="6" s="1"/>
  <c r="H72" i="2"/>
  <c r="D153" i="6"/>
  <c r="F153" i="6" s="1"/>
  <c r="G73" i="2"/>
  <c r="D148" i="2"/>
  <c r="D165" i="6"/>
  <c r="F165" i="6" s="1"/>
  <c r="D136" i="2"/>
  <c r="D457" i="1"/>
  <c r="F25" i="6"/>
  <c r="H112" i="2"/>
  <c r="D84" i="2"/>
  <c r="H84" i="2" s="1"/>
  <c r="D106" i="2"/>
  <c r="H106" i="2" s="1"/>
  <c r="D18" i="6"/>
  <c r="D21" i="2"/>
  <c r="D134" i="6"/>
  <c r="F134" i="6" s="1"/>
  <c r="D135" i="2"/>
  <c r="D205" i="6"/>
  <c r="F205" i="6" s="1"/>
  <c r="D147" i="2"/>
  <c r="C560" i="1"/>
  <c r="E554" i="1"/>
  <c r="D554" i="1"/>
  <c r="H83" i="2"/>
  <c r="G83" i="2"/>
  <c r="H178" i="2"/>
  <c r="G178" i="2"/>
  <c r="H20" i="2"/>
  <c r="D21" i="1"/>
  <c r="E21" i="1"/>
  <c r="D183" i="2"/>
  <c r="D213" i="6"/>
  <c r="F213" i="6" s="1"/>
  <c r="D76" i="2"/>
  <c r="D157" i="6"/>
  <c r="F157" i="6" s="1"/>
  <c r="C678" i="1"/>
  <c r="D1113" i="1" l="1"/>
  <c r="C1119" i="1"/>
  <c r="E1113" i="1"/>
  <c r="D155" i="2"/>
  <c r="J202" i="4"/>
  <c r="E118" i="2"/>
  <c r="E87" i="6"/>
  <c r="D15" i="30"/>
  <c r="D14" i="30" s="1"/>
  <c r="E93" i="6"/>
  <c r="E122" i="2"/>
  <c r="D93" i="6"/>
  <c r="E1170" i="1"/>
  <c r="C1154" i="1" s="1"/>
  <c r="C1156" i="1" s="1"/>
  <c r="D123" i="2" s="1"/>
  <c r="H123" i="2" s="1"/>
  <c r="D116" i="6"/>
  <c r="D194" i="6" s="1"/>
  <c r="F194" i="6" s="1"/>
  <c r="G148" i="2"/>
  <c r="F18" i="6"/>
  <c r="D169" i="6"/>
  <c r="G136" i="2"/>
  <c r="F37" i="2"/>
  <c r="G105" i="2"/>
  <c r="E370" i="1"/>
  <c r="F38" i="2" s="1"/>
  <c r="E38" i="2"/>
  <c r="J38" i="2" s="1"/>
  <c r="E105" i="1"/>
  <c r="F89" i="2" s="1"/>
  <c r="H148" i="2"/>
  <c r="G106" i="2"/>
  <c r="D33" i="2"/>
  <c r="H33" i="2" s="1"/>
  <c r="C38" i="2"/>
  <c r="G84" i="2"/>
  <c r="H136" i="2"/>
  <c r="H135" i="2"/>
  <c r="G135" i="2"/>
  <c r="H147" i="2"/>
  <c r="G147" i="2"/>
  <c r="G21" i="2"/>
  <c r="H21" i="2"/>
  <c r="D77" i="2"/>
  <c r="D158" i="6"/>
  <c r="F158" i="6" s="1"/>
  <c r="D75" i="2"/>
  <c r="D156" i="6"/>
  <c r="F156" i="6" s="1"/>
  <c r="D12" i="2"/>
  <c r="G171" i="2"/>
  <c r="H171" i="2"/>
  <c r="D26" i="2"/>
  <c r="G183" i="2"/>
  <c r="H183" i="2"/>
  <c r="E88" i="2"/>
  <c r="E169" i="6"/>
  <c r="F88" i="2"/>
  <c r="D11" i="2"/>
  <c r="D27" i="2"/>
  <c r="G76" i="2"/>
  <c r="H76" i="2"/>
  <c r="D190" i="2" l="1"/>
  <c r="D221" i="6"/>
  <c r="F221" i="6" s="1"/>
  <c r="G155" i="2"/>
  <c r="H155" i="2"/>
  <c r="E86" i="6"/>
  <c r="F86" i="6" s="1"/>
  <c r="F87" i="6"/>
  <c r="F93" i="6"/>
  <c r="F116" i="6"/>
  <c r="C368" i="1"/>
  <c r="D372" i="1" s="1"/>
  <c r="C374" i="1"/>
  <c r="D29" i="6"/>
  <c r="F29" i="6" s="1"/>
  <c r="D37" i="2"/>
  <c r="K35" i="2" s="1"/>
  <c r="K36" i="2" s="1"/>
  <c r="E30" i="6"/>
  <c r="G33" i="2"/>
  <c r="H75" i="2"/>
  <c r="G75" i="2"/>
  <c r="H88" i="2"/>
  <c r="G88" i="2"/>
  <c r="C113" i="1"/>
  <c r="F169" i="6"/>
  <c r="E89" i="2"/>
  <c r="E170" i="6"/>
  <c r="H26" i="2"/>
  <c r="G26" i="2"/>
  <c r="H12" i="2"/>
  <c r="G12" i="2"/>
  <c r="H77" i="2"/>
  <c r="G77" i="2"/>
  <c r="G27" i="2"/>
  <c r="H27" i="2"/>
  <c r="G11" i="2"/>
  <c r="H11" i="2"/>
  <c r="H190" i="2" l="1"/>
  <c r="C376" i="1"/>
  <c r="C115" i="1"/>
  <c r="H37" i="2"/>
  <c r="E107" i="1"/>
  <c r="D1210" i="1" l="1"/>
  <c r="F94" i="2"/>
  <c r="E94" i="2"/>
  <c r="D94" i="2"/>
  <c r="E1226" i="1"/>
  <c r="H94" i="2" s="1"/>
  <c r="H1217" i="1"/>
  <c r="C378" i="1"/>
  <c r="E429" i="1" s="1"/>
  <c r="C370" i="1"/>
  <c r="G372" i="1" s="1"/>
  <c r="E124" i="2"/>
  <c r="D16" i="36"/>
  <c r="D17" i="63"/>
  <c r="E372" i="1"/>
  <c r="E153" i="1"/>
  <c r="E42" i="6"/>
  <c r="E49" i="2"/>
  <c r="F49" i="2"/>
  <c r="D170" i="6"/>
  <c r="F170" i="6" s="1"/>
  <c r="D89" i="2"/>
  <c r="D90" i="2"/>
  <c r="D171" i="6"/>
  <c r="G94" i="2" l="1"/>
  <c r="C1216" i="1"/>
  <c r="C1208" i="1"/>
  <c r="C1214" i="1"/>
  <c r="F95" i="2"/>
  <c r="E95" i="2"/>
  <c r="D31" i="6"/>
  <c r="F31" i="6" s="1"/>
  <c r="D30" i="6"/>
  <c r="F30" i="6" s="1"/>
  <c r="D38" i="2"/>
  <c r="G38" i="2" s="1"/>
  <c r="D18" i="36"/>
  <c r="D17" i="36" s="1"/>
  <c r="E95" i="6"/>
  <c r="D199" i="6"/>
  <c r="F199" i="6" s="1"/>
  <c r="D173" i="6"/>
  <c r="F173" i="6" s="1"/>
  <c r="D39" i="2"/>
  <c r="E44" i="2"/>
  <c r="F44" i="2"/>
  <c r="E50" i="2"/>
  <c r="F171" i="6"/>
  <c r="H90" i="2"/>
  <c r="G90" i="2"/>
  <c r="H89" i="2"/>
  <c r="G89" i="2"/>
  <c r="D35" i="6" l="1"/>
  <c r="E430" i="1"/>
  <c r="E35" i="6"/>
  <c r="C1218" i="1"/>
  <c r="D96" i="2" s="1"/>
  <c r="D1212" i="1"/>
  <c r="C1210" i="1"/>
  <c r="D95" i="2" s="1"/>
  <c r="E1212" i="1"/>
  <c r="D43" i="2"/>
  <c r="G43" i="2" s="1"/>
  <c r="H38" i="2"/>
  <c r="J39" i="2"/>
  <c r="K39" i="2" s="1"/>
  <c r="K38" i="2"/>
  <c r="H39" i="2"/>
  <c r="E236" i="6"/>
  <c r="E99" i="6"/>
  <c r="E147" i="6"/>
  <c r="E94" i="6"/>
  <c r="G39" i="2"/>
  <c r="C418" i="1"/>
  <c r="E36" i="6"/>
  <c r="F35" i="6"/>
  <c r="H43" i="2" l="1"/>
  <c r="H95" i="2"/>
  <c r="G95" i="2"/>
  <c r="H96" i="2"/>
  <c r="G96" i="2"/>
  <c r="D98" i="2"/>
  <c r="D207" i="2" s="1"/>
  <c r="D44" i="2"/>
  <c r="G44" i="2" s="1"/>
  <c r="D416" i="1"/>
  <c r="C422" i="1"/>
  <c r="D37" i="6" s="1"/>
  <c r="E416" i="1"/>
  <c r="H207" i="2" l="1"/>
  <c r="G207" i="2"/>
  <c r="E170" i="1"/>
  <c r="D41" i="6"/>
  <c r="E41" i="6"/>
  <c r="D36" i="6"/>
  <c r="F36" i="6" s="1"/>
  <c r="H44" i="2"/>
  <c r="D49" i="2"/>
  <c r="F37" i="6"/>
  <c r="D45" i="2"/>
  <c r="C153" i="1" l="1"/>
  <c r="E155" i="1"/>
  <c r="D155" i="1"/>
  <c r="G49" i="2"/>
  <c r="C161" i="1"/>
  <c r="H49" i="2"/>
  <c r="H45" i="2"/>
  <c r="G45" i="2"/>
  <c r="C163" i="1" l="1"/>
  <c r="G98" i="2"/>
  <c r="H98" i="2"/>
  <c r="G69" i="1" l="1"/>
  <c r="C52" i="1" s="1"/>
  <c r="C54" i="1" s="1"/>
  <c r="D55" i="2"/>
  <c r="D51" i="2"/>
  <c r="D43" i="6"/>
  <c r="D50" i="2"/>
  <c r="H50" i="2" s="1"/>
  <c r="D42" i="6"/>
  <c r="F42" i="6" s="1"/>
  <c r="D56" i="1" l="1"/>
  <c r="E56" i="1"/>
  <c r="C62" i="1"/>
  <c r="D57" i="2" s="1"/>
  <c r="H57" i="2" s="1"/>
  <c r="D56" i="2"/>
  <c r="G56" i="2" s="1"/>
  <c r="D50" i="6"/>
  <c r="G51" i="2"/>
  <c r="H51" i="2"/>
  <c r="G50" i="2"/>
  <c r="F43" i="6"/>
  <c r="H627" i="1" l="1"/>
  <c r="C617" i="1" s="1"/>
  <c r="E621" i="1" s="1"/>
  <c r="D61" i="2"/>
  <c r="G57" i="2"/>
  <c r="H56" i="2"/>
  <c r="C627" i="1" l="1"/>
  <c r="D57" i="6" s="1"/>
  <c r="C619" i="1"/>
  <c r="D62" i="2" s="1"/>
  <c r="D621" i="1"/>
  <c r="D56" i="6" l="1"/>
  <c r="F56" i="6" s="1"/>
  <c r="D63" i="2"/>
  <c r="D65" i="2" s="1"/>
  <c r="D205" i="2" s="1"/>
  <c r="G62" i="2"/>
  <c r="H62" i="2"/>
  <c r="F57" i="6"/>
  <c r="D61" i="6"/>
  <c r="F61" i="6" s="1"/>
  <c r="D197" i="6"/>
  <c r="F197" i="6" s="1"/>
  <c r="G63" i="2" l="1"/>
  <c r="H63" i="2"/>
  <c r="G205" i="2"/>
  <c r="H205" i="2"/>
  <c r="H65" i="2"/>
  <c r="G65" i="2"/>
  <c r="D1254" i="1" l="1"/>
  <c r="C1260" i="1"/>
  <c r="D118" i="2" s="1"/>
  <c r="E1254" i="1"/>
  <c r="H118" i="2" l="1"/>
  <c r="G118" i="2"/>
  <c r="D122" i="2"/>
  <c r="H122" i="2" s="1"/>
  <c r="H1162" i="1"/>
  <c r="G122" i="2" l="1"/>
  <c r="D128" i="2"/>
  <c r="C1163" i="1"/>
  <c r="E1156" i="1"/>
  <c r="D95" i="6" l="1"/>
  <c r="F95" i="6" s="1"/>
  <c r="D124" i="2"/>
  <c r="H124" i="2" s="1"/>
  <c r="G128" i="2"/>
  <c r="H128" i="2"/>
  <c r="E1285" i="1"/>
  <c r="D236" i="6" l="1"/>
  <c r="F236" i="6" s="1"/>
  <c r="D147" i="6"/>
  <c r="F147" i="6" s="1"/>
  <c r="D94" i="6"/>
  <c r="F94" i="6" s="1"/>
  <c r="D99" i="6"/>
  <c r="F99" i="6" s="1"/>
  <c r="G124" i="2"/>
  <c r="C1291" i="1"/>
  <c r="D130" i="2" s="1"/>
  <c r="D203" i="2" s="1"/>
  <c r="D1285" i="1"/>
  <c r="H203" i="2" l="1"/>
  <c r="D209" i="2"/>
  <c r="G203" i="2"/>
  <c r="D211" i="2"/>
  <c r="G130" i="2"/>
  <c r="H130" i="2"/>
  <c r="G211" i="2" l="1"/>
  <c r="H211" i="2"/>
  <c r="H209" i="2"/>
  <c r="G209" i="2"/>
</calcChain>
</file>

<file path=xl/sharedStrings.xml><?xml version="1.0" encoding="utf-8"?>
<sst xmlns="http://schemas.openxmlformats.org/spreadsheetml/2006/main" count="8484" uniqueCount="2145">
  <si>
    <t>Description</t>
  </si>
  <si>
    <t>Policy Number</t>
  </si>
  <si>
    <t>Expiring Premium</t>
  </si>
  <si>
    <t>Expiring Adjusted</t>
  </si>
  <si>
    <t>Renewal</t>
  </si>
  <si>
    <t>% Change Exp. Adj. vs. Option I</t>
  </si>
  <si>
    <t>% Change Exp. Adj. vs. Option II</t>
  </si>
  <si>
    <t>Exposure Base</t>
  </si>
  <si>
    <t>Option I</t>
  </si>
  <si>
    <t>Policy Limits</t>
  </si>
  <si>
    <t>Expiring</t>
  </si>
  <si>
    <t>Each Claim</t>
  </si>
  <si>
    <t>Aggregate</t>
  </si>
  <si>
    <t>% Change</t>
  </si>
  <si>
    <t>Total Expiring</t>
  </si>
  <si>
    <t>Total Exp. Adjusted</t>
  </si>
  <si>
    <t>General Liability</t>
  </si>
  <si>
    <t>Coverage applies to third party bodily injury or property damage losses arising from non-professional activities.</t>
  </si>
  <si>
    <t>Each Occurrence Limit</t>
  </si>
  <si>
    <t>Personal and Advertising Injury Limit</t>
  </si>
  <si>
    <t>General Aggregate Limit</t>
  </si>
  <si>
    <t>Damage to Premises Rented to You Limit</t>
  </si>
  <si>
    <t>Medical Payments Limit</t>
  </si>
  <si>
    <t>Deductible</t>
  </si>
  <si>
    <t>Workers Compensation</t>
  </si>
  <si>
    <t>Statutory Benefit</t>
  </si>
  <si>
    <t>EMR Change</t>
  </si>
  <si>
    <t>AOS</t>
  </si>
  <si>
    <t>CA</t>
  </si>
  <si>
    <t>NJ</t>
  </si>
  <si>
    <t>PA</t>
  </si>
  <si>
    <t>State</t>
  </si>
  <si>
    <t>Coverage applies to third-party liability and physical damage arising from operating autos.</t>
  </si>
  <si>
    <t>Uninsured Motorist</t>
  </si>
  <si>
    <t>Underinsured Motorist</t>
  </si>
  <si>
    <t>Personal Injury Protection</t>
  </si>
  <si>
    <t>Rental Reimbursement</t>
  </si>
  <si>
    <t>Policy Deductibles</t>
  </si>
  <si>
    <t>Coverage applies to claims in excess of the limits of underlying primary policies.</t>
  </si>
  <si>
    <t>Expiring Calculation</t>
  </si>
  <si>
    <t>Renewal Calculation</t>
  </si>
  <si>
    <t>Building</t>
  </si>
  <si>
    <t>Business Personal Property</t>
  </si>
  <si>
    <t>Business Income &amp; Extra Expense</t>
  </si>
  <si>
    <t>Valuable Papers</t>
  </si>
  <si>
    <t>Accounts Receivable</t>
  </si>
  <si>
    <t>Utility Service - Direct Damage</t>
  </si>
  <si>
    <t>Utility Service - Time Element</t>
  </si>
  <si>
    <t>Overhead Transmission Lines</t>
  </si>
  <si>
    <t xml:space="preserve">Civil Authority </t>
  </si>
  <si>
    <t>Ingress / Egress</t>
  </si>
  <si>
    <t>Ordinance or Law</t>
  </si>
  <si>
    <t>Newly Acquired Building</t>
  </si>
  <si>
    <t>Flood</t>
  </si>
  <si>
    <t>Earthquake</t>
  </si>
  <si>
    <t>Windstorm</t>
  </si>
  <si>
    <t>Named Storm</t>
  </si>
  <si>
    <t>Deductibles</t>
  </si>
  <si>
    <t>Renewal Summary</t>
  </si>
  <si>
    <t>Coverage</t>
  </si>
  <si>
    <t>Insurer</t>
  </si>
  <si>
    <t>Notes:</t>
  </si>
  <si>
    <t>Expiring Program</t>
  </si>
  <si>
    <t>Renewal Program</t>
  </si>
  <si>
    <t>Total Premium</t>
  </si>
  <si>
    <t>Commercial General Liability</t>
  </si>
  <si>
    <t>Coverages and Limits of Liability</t>
  </si>
  <si>
    <t>Renewal Option I</t>
  </si>
  <si>
    <t>Renewal Option II</t>
  </si>
  <si>
    <t>AM Best Rating</t>
  </si>
  <si>
    <t>Each Claim Limit</t>
  </si>
  <si>
    <t>Annual Aggregate Limit</t>
  </si>
  <si>
    <t>Key Terms &amp; Conditions</t>
  </si>
  <si>
    <t>Admitted or non-admitted coverage?</t>
  </si>
  <si>
    <t>Policy Form</t>
  </si>
  <si>
    <t>Retroactive Date</t>
  </si>
  <si>
    <t>Minimum Earned Premium</t>
  </si>
  <si>
    <t>Is policy subject to audit?</t>
  </si>
  <si>
    <t>Broad Form Named Insured</t>
  </si>
  <si>
    <t>Broad definition of Covered Operations</t>
  </si>
  <si>
    <t>Waiver of subrogation clause to apply to any entity</t>
  </si>
  <si>
    <t>Worldwide coverage</t>
  </si>
  <si>
    <t>Unintentional Errors &amp; Omissions</t>
  </si>
  <si>
    <t>Notice of claim amended to General Counsel and Risk Manager</t>
  </si>
  <si>
    <t>Notice of cancellation to certificate holders - 30 days</t>
  </si>
  <si>
    <t>Notice of cancellation to named insured - 60 days</t>
  </si>
  <si>
    <t>Pre-claims assistance</t>
  </si>
  <si>
    <t>Extended Reporting Period options</t>
  </si>
  <si>
    <t>Automatic coverage for acquired entities up to 90 days</t>
  </si>
  <si>
    <t>Coverage for punitive damages or multiple damages</t>
  </si>
  <si>
    <t>Excess DIC/DIL coverage over project specific placements</t>
  </si>
  <si>
    <t>Technology and Privacy coverage</t>
  </si>
  <si>
    <t>Liability from any act, error or omission (delete “negligence”)</t>
  </si>
  <si>
    <t>Liability for defense costs arising from indemnity agreements</t>
  </si>
  <si>
    <t>Cost of rectifying a problem to prevent it from becoming a claim</t>
  </si>
  <si>
    <t>Cost of mitigating a problem to prevent it from becoming a claim</t>
  </si>
  <si>
    <t>The Insured shall have sole authority to settle any claim within the SIR (Hammer Clause)</t>
  </si>
  <si>
    <t>Coverage applies to liability arising from JV participation</t>
  </si>
  <si>
    <t>Insured’s choice of defense counsel</t>
  </si>
  <si>
    <t>Non-owned disposal sites coverage</t>
  </si>
  <si>
    <t>Transportation of waste coverage</t>
  </si>
  <si>
    <t>Affirmative coverage for natural resource damages</t>
  </si>
  <si>
    <t>LSRP coverage</t>
  </si>
  <si>
    <t>Notable Exclusions</t>
  </si>
  <si>
    <t>Liability assumed under contract</t>
  </si>
  <si>
    <t>War, civil war, or TRIA exclusions deleted</t>
  </si>
  <si>
    <t>Faulty workmanship exclusion deleted</t>
  </si>
  <si>
    <t>Liquidated damages exclusion carve-back for negligence</t>
  </si>
  <si>
    <t>Warranties and guarantees excl. carve-back for negligence</t>
  </si>
  <si>
    <t>Delete or modify products liability exclusion</t>
  </si>
  <si>
    <t>Patent infringement exclusion deleted</t>
  </si>
  <si>
    <t>Third party over action coverage if claim is professional services in nature</t>
  </si>
  <si>
    <t>Amendment to employers liability exclusion for CPL</t>
  </si>
  <si>
    <t>Asbestos exclusion deleted</t>
  </si>
  <si>
    <t>Mold exclusion deleted</t>
  </si>
  <si>
    <t>Fraudulent, criminal, malicious act or omission, intentional omissions</t>
  </si>
  <si>
    <t>Knowing, willful, deliberate noncompliance with statutes, regulations</t>
  </si>
  <si>
    <t>Insured vs. Insured</t>
  </si>
  <si>
    <t>Discrimination</t>
  </si>
  <si>
    <t>Failure to require, obtain, maintain, or advise with respect to insurance or surety</t>
  </si>
  <si>
    <t>Cost to repair or replace faulty workmanship, construction, installation or remediation</t>
  </si>
  <si>
    <t>Civil, administrative, or criminal fines or penalties</t>
  </si>
  <si>
    <t>Claims based on bankruptcy or insolvency of Insured</t>
  </si>
  <si>
    <t>Workers Compensation, unemployment, or similar laws</t>
  </si>
  <si>
    <t>Ownership, operation, use, loading/unloading of watercraft, aircraft, motor vehicle, or rolling stock</t>
  </si>
  <si>
    <t>Radioactive, toxic or explosive properties of Nuclear Material for which U.S. DoE or Price Anderson Act indemnifies or provides protection for the Insured</t>
  </si>
  <si>
    <t>Confirmation of Coverage</t>
  </si>
  <si>
    <t>Note:</t>
  </si>
  <si>
    <t>Total Values Insured</t>
  </si>
  <si>
    <t>Each Occurrence</t>
  </si>
  <si>
    <t>Insurance Company</t>
  </si>
  <si>
    <t>Insurer Expiring Program</t>
  </si>
  <si>
    <t>Insurer Expiring Adjusted</t>
  </si>
  <si>
    <t>Insurer Renewal Option I</t>
  </si>
  <si>
    <t>Insurer Renewal Option II</t>
  </si>
  <si>
    <t>AM Best Expiring Program</t>
  </si>
  <si>
    <t>AM Best Expiring Adjusted</t>
  </si>
  <si>
    <t>AM Best Renewal Option I</t>
  </si>
  <si>
    <t>Renewal Option I: Incumbents</t>
  </si>
  <si>
    <t>AM Best Renewal Option II</t>
  </si>
  <si>
    <t>Renewal Premium Option I</t>
  </si>
  <si>
    <t>Renewal Premium Option II</t>
  </si>
  <si>
    <t>Total Renewal Option I</t>
  </si>
  <si>
    <t>Total Renewal Option II</t>
  </si>
  <si>
    <t>Notes</t>
  </si>
  <si>
    <t>Subjectivities</t>
  </si>
  <si>
    <t>Renewal Option</t>
  </si>
  <si>
    <t>Policy</t>
  </si>
  <si>
    <t>Required Subjectivity</t>
  </si>
  <si>
    <t>Due Date</t>
  </si>
  <si>
    <t>- Zzz</t>
  </si>
  <si>
    <t>Coverage Trigger</t>
  </si>
  <si>
    <t>Minimum Earned Premium?</t>
  </si>
  <si>
    <t>Blanket Waiver of Subrogation where required by written contract</t>
  </si>
  <si>
    <t>Excess coverage for Wrap-Ups/OCIPs/CCIPs</t>
  </si>
  <si>
    <t>Contractual Liability Coverage for Personal &amp; Advertising Injury</t>
  </si>
  <si>
    <t>Violation of Status in Connection with Sending, Transmitting, or Communicating Any Material or Information Form</t>
  </si>
  <si>
    <t>ü</t>
  </si>
  <si>
    <t>Experience Modification Rate (EMR): CA</t>
  </si>
  <si>
    <t>Experience Modification Rate (EMR): NJ</t>
  </si>
  <si>
    <t>Experience Modification Rate (EMR): PA</t>
  </si>
  <si>
    <t>Alternate Employer</t>
  </si>
  <si>
    <t>Blanket Waiver of Rights to Recovery from Others</t>
  </si>
  <si>
    <t>Unintentional Failure to Disclose Hazards</t>
  </si>
  <si>
    <t>Blanket Additional Insured (Lessor) and Loss Payee</t>
  </si>
  <si>
    <t>Employee Hired Autos</t>
  </si>
  <si>
    <t>Employees as Insureds</t>
  </si>
  <si>
    <t>Hired Autos Specified as Covered Autos You Own - autos leased by the insured for 180 days or more</t>
  </si>
  <si>
    <t>Foreign Operations Follow Form</t>
  </si>
  <si>
    <t>Employee Benefits Liability Follow Form</t>
  </si>
  <si>
    <t>Defense Cost in Addition to Limits of Insurance</t>
  </si>
  <si>
    <t>Inland Marine</t>
  </si>
  <si>
    <t>Property Policy Limits</t>
  </si>
  <si>
    <t>Property Deductibles</t>
  </si>
  <si>
    <t>Inland Marine Policy Limits</t>
  </si>
  <si>
    <t>Inland Marine Deductibles</t>
  </si>
  <si>
    <t>Scheduled Equipment</t>
  </si>
  <si>
    <t>Unscheduled Equipment</t>
  </si>
  <si>
    <t>Leased or Rented Equipment</t>
  </si>
  <si>
    <t>Contractor’s Employees Property</t>
  </si>
  <si>
    <t>Continuing Lease or Rental Payments</t>
  </si>
  <si>
    <t>Expediting Expense</t>
  </si>
  <si>
    <t xml:space="preserve">Pollutant Clean Up </t>
  </si>
  <si>
    <t xml:space="preserve">Rental Reimbursement </t>
  </si>
  <si>
    <t>Newly Acquired Equipment</t>
  </si>
  <si>
    <t>Waterborne Equipment</t>
  </si>
  <si>
    <t>Coinsurance provision?</t>
  </si>
  <si>
    <t>Blanket Waiver of Subrogation</t>
  </si>
  <si>
    <t>Blanket Loss Payee</t>
  </si>
  <si>
    <t>Property</t>
  </si>
  <si>
    <t>Flood / Quake / Wind Coverage Comparison</t>
  </si>
  <si>
    <t>Address</t>
  </si>
  <si>
    <t>City</t>
  </si>
  <si>
    <t>Quake</t>
  </si>
  <si>
    <t>Wind</t>
  </si>
  <si>
    <t xml:space="preserve">Quake </t>
  </si>
  <si>
    <t>Property Coverage by Location</t>
  </si>
  <si>
    <t>Policy Limits and Deductibles</t>
  </si>
  <si>
    <t>Media Liability</t>
  </si>
  <si>
    <t>Aggregate Limit</t>
  </si>
  <si>
    <t>Limit</t>
  </si>
  <si>
    <t>First and third-party liability arising from network and privacy breach.</t>
  </si>
  <si>
    <t>Medical Payments</t>
  </si>
  <si>
    <t>Policy Fee - Expiring</t>
  </si>
  <si>
    <t>Policy Fee - Exp. Adj.</t>
  </si>
  <si>
    <t>Policy Fee - Option I</t>
  </si>
  <si>
    <t>Policy Fee - Option II</t>
  </si>
  <si>
    <t>Expiring Exposure</t>
  </si>
  <si>
    <t>Renewal Exposure</t>
  </si>
  <si>
    <t>Overall % Change</t>
  </si>
  <si>
    <t>Employment Practices Liability</t>
  </si>
  <si>
    <t>Fiduciary Liability</t>
  </si>
  <si>
    <t>Crime</t>
  </si>
  <si>
    <t>GL Expiring Premium</t>
  </si>
  <si>
    <t>GL Expiring Adjusted</t>
  </si>
  <si>
    <t>GL Renewal Premium Option I</t>
  </si>
  <si>
    <t>GL Renewal Premium Option II</t>
  </si>
  <si>
    <t>Property Expiring Premium</t>
  </si>
  <si>
    <t>Property Expiring Adjusted</t>
  </si>
  <si>
    <t>Property Renewal Premium Option I</t>
  </si>
  <si>
    <t>Property Renewal Premium Option II</t>
  </si>
  <si>
    <t>GL Exposure Base</t>
  </si>
  <si>
    <t>GL Premium</t>
  </si>
  <si>
    <t>Property Premium</t>
  </si>
  <si>
    <t>Total Package Premium</t>
  </si>
  <si>
    <t>Package - Inland Marine</t>
  </si>
  <si>
    <t>Payment of Loss</t>
  </si>
  <si>
    <t>Rights of Recovery</t>
  </si>
  <si>
    <t>Premium Earned</t>
  </si>
  <si>
    <t>Collision Liability/ Towers Liability Clause</t>
  </si>
  <si>
    <t>Covers physical damage to vessels and liability arising from the use of vessels.</t>
  </si>
  <si>
    <t>Business Travel Accident</t>
  </si>
  <si>
    <t>24-Hour Accident Protection While on a Trip (Business Only)</t>
  </si>
  <si>
    <t>On-Premises Bomb Scare</t>
  </si>
  <si>
    <t>Seat Belt &amp; Air Bag (Percentage of Principal Sum Amount) Benefit</t>
  </si>
  <si>
    <t>Modified Payment of Claims</t>
  </si>
  <si>
    <t>Limits</t>
  </si>
  <si>
    <t>Automobile Liability</t>
  </si>
  <si>
    <t>Voluntary Compensation</t>
  </si>
  <si>
    <t>Employers Liability</t>
  </si>
  <si>
    <t>Kidnap and Ransom</t>
  </si>
  <si>
    <t>Repatriation</t>
  </si>
  <si>
    <t>Waiver of Our Rights to Recover From Others</t>
  </si>
  <si>
    <t>Unintentional Error and Omissions</t>
  </si>
  <si>
    <t>Coverage applies to overseas exposures associated with foreign operations.</t>
  </si>
  <si>
    <t>Foreign Revenues</t>
  </si>
  <si>
    <t>Number of Trips</t>
  </si>
  <si>
    <t>Foreign Payroll</t>
  </si>
  <si>
    <t>Total Assets</t>
  </si>
  <si>
    <t>Employee Count</t>
  </si>
  <si>
    <t>Plan Assets</t>
  </si>
  <si>
    <t>Terrorism Coverage</t>
  </si>
  <si>
    <t>Expected or Intended Injury</t>
  </si>
  <si>
    <t>Pollution</t>
  </si>
  <si>
    <t>War</t>
  </si>
  <si>
    <t>Asbestos</t>
  </si>
  <si>
    <t>Coverage provides accidental death and dismemberment benefits for employees while traveling on company business.</t>
  </si>
  <si>
    <t>Employee Benefits Liability</t>
  </si>
  <si>
    <t>Hired and Non-Owned Auto Liability Limit</t>
  </si>
  <si>
    <t>Self Insured Retention (each occurrence)</t>
  </si>
  <si>
    <t xml:space="preserve">Property </t>
  </si>
  <si>
    <t xml:space="preserve">Employee Benefits Liability </t>
  </si>
  <si>
    <t>BOP Expiring Premium</t>
  </si>
  <si>
    <t>BOP Expiring Adjusted</t>
  </si>
  <si>
    <t>BOP Renewal Premium Option I</t>
  </si>
  <si>
    <t>BOP Renewal Premium Option II</t>
  </si>
  <si>
    <t>Each Employee Limit</t>
  </si>
  <si>
    <t xml:space="preserve">Insurer </t>
  </si>
  <si>
    <t>General Liability Policy Limits</t>
  </si>
  <si>
    <t xml:space="preserve">General Liability </t>
  </si>
  <si>
    <t>Each Accident</t>
  </si>
  <si>
    <t>Liability for bodily injury or property damage due to operations of designated contractor for named insured Owner.</t>
  </si>
  <si>
    <t>Total Aggregate Days</t>
  </si>
  <si>
    <t>Full Prior Acts Included?</t>
  </si>
  <si>
    <t>Social Engineering</t>
  </si>
  <si>
    <t>Telecommunications Fraud Coverage</t>
  </si>
  <si>
    <t>Media Liability Covering Both Online and Offline Media?</t>
  </si>
  <si>
    <t>No Encrypted Mobile Device Restriction</t>
  </si>
  <si>
    <t>No Hammer Clause</t>
  </si>
  <si>
    <t>Prejudice Notice Threshold</t>
  </si>
  <si>
    <t>Antitrust Cover (Defense &amp; Damages)</t>
  </si>
  <si>
    <t>"Accepted" Prior Notice Trigger</t>
  </si>
  <si>
    <t>Investigations of Insured Persons</t>
  </si>
  <si>
    <t>Settlor Liability and Broad Definition of ERISA</t>
  </si>
  <si>
    <t>N/A</t>
  </si>
  <si>
    <t>Rate as Percentage of Underlying Premium</t>
  </si>
  <si>
    <t>Business Auto</t>
  </si>
  <si>
    <t>Rate as Percentage of Exposure</t>
  </si>
  <si>
    <t># of Employees Who Travel 50+ Days</t>
  </si>
  <si>
    <t>Commercial Crime</t>
  </si>
  <si>
    <t>Revenue</t>
  </si>
  <si>
    <t>Employee Dishonesty</t>
  </si>
  <si>
    <t>Forgery or Alteration</t>
  </si>
  <si>
    <t>Inside the Premises</t>
  </si>
  <si>
    <t>Computer Fraud</t>
  </si>
  <si>
    <t>Money Orders and Counterfeit Paper Currency</t>
  </si>
  <si>
    <t>Funds Transfer Fraud</t>
  </si>
  <si>
    <t>Liability arising from employee injury at foreign US bases.</t>
  </si>
  <si>
    <t>Policy Deductible</t>
  </si>
  <si>
    <t>GL Policy Fee - Expiring</t>
  </si>
  <si>
    <t>GL Policy Fee - Exp. Adj.</t>
  </si>
  <si>
    <t>GL Policy Fee - Option I</t>
  </si>
  <si>
    <t>GL Policy Fee - Option II</t>
  </si>
  <si>
    <t>Property Policy Fee - Expiring</t>
  </si>
  <si>
    <t>Property Policy Fee - Exp. Adj.</t>
  </si>
  <si>
    <t>Property Policy Fee - Option I</t>
  </si>
  <si>
    <t>Property Policy Fee - Option II</t>
  </si>
  <si>
    <t>Total Insurance Program Cost</t>
  </si>
  <si>
    <t>Property Values</t>
  </si>
  <si>
    <t>Values Insured</t>
  </si>
  <si>
    <t>Limits of Liability</t>
  </si>
  <si>
    <t>Schedule of Underlying Insurance</t>
  </si>
  <si>
    <t>Employer's Liability</t>
  </si>
  <si>
    <t>Watercraft Liability</t>
  </si>
  <si>
    <t>Foreign General Liability</t>
  </si>
  <si>
    <t>Foreign Employee Benefits Liability</t>
  </si>
  <si>
    <t>Foreign Employer's Liability</t>
  </si>
  <si>
    <t>Liability arising from employee injury during the scope of employment.</t>
  </si>
  <si>
    <t>Primary Umbrella Policy</t>
  </si>
  <si>
    <t>Primary Policy Exp. Premium</t>
  </si>
  <si>
    <t>Payroll</t>
  </si>
  <si>
    <t>General Liability Premium</t>
  </si>
  <si>
    <t>Total</t>
  </si>
  <si>
    <t>Auto Premium</t>
  </si>
  <si>
    <t>Betterments &amp; Improvements</t>
  </si>
  <si>
    <t>Computer Software/Hardware</t>
  </si>
  <si>
    <t>Business Income/EE</t>
  </si>
  <si>
    <t>Scheduled Field Equipment</t>
  </si>
  <si>
    <t>Policy Period</t>
  </si>
  <si>
    <t>All States except those listed above in Part One and monopolistic states</t>
  </si>
  <si>
    <t>States Scheduled under Part One (WC)</t>
  </si>
  <si>
    <t>Other States Insurance Part Three</t>
  </si>
  <si>
    <t>Part Two - Employer's Liability - Bodily Injury By Accident - Each Accident</t>
  </si>
  <si>
    <t>Part Two - Employer's Liability - Bodily Injury By Disease - Each Employee</t>
  </si>
  <si>
    <t>Part Two - Employer's Liability - Bodily Injury By Disease - Policy Limit</t>
  </si>
  <si>
    <t>Policy Limits: Liability Coverage</t>
  </si>
  <si>
    <t>Symbol</t>
  </si>
  <si>
    <t xml:space="preserve">Liability </t>
  </si>
  <si>
    <t>Policy Limits: Physical Damage Coverage</t>
  </si>
  <si>
    <t>Towing</t>
  </si>
  <si>
    <t>Auto Liability Coverage</t>
  </si>
  <si>
    <t>Auto Physical Damage Coverage</t>
  </si>
  <si>
    <t>Gross Revenue</t>
  </si>
  <si>
    <t>Premium</t>
  </si>
  <si>
    <t>Definition of Professional Services</t>
  </si>
  <si>
    <t>Architect</t>
  </si>
  <si>
    <t>Engineer</t>
  </si>
  <si>
    <t>Technology coverage</t>
  </si>
  <si>
    <t>Privacy coverage</t>
  </si>
  <si>
    <t>The Insured shall have sole authority to settle any claim within the SIR</t>
  </si>
  <si>
    <t>Contractors Pollution Additional Insured</t>
  </si>
  <si>
    <t>Licensed Site Remediation Professional (LSRP) coverage</t>
  </si>
  <si>
    <t>Mediation deductible credit</t>
  </si>
  <si>
    <t>War or civil war</t>
  </si>
  <si>
    <t>Terrorism</t>
  </si>
  <si>
    <t>Faulty workmanship, construction, installation, or remediation</t>
  </si>
  <si>
    <t>Patent infringement</t>
  </si>
  <si>
    <t>Mold</t>
  </si>
  <si>
    <t>Carveback for Intentional Acts</t>
  </si>
  <si>
    <t>Endorsements</t>
  </si>
  <si>
    <t xml:space="preserve">o 12 months for 
o 24 months for 
o 36 months for </t>
  </si>
  <si>
    <t>Not Covered</t>
  </si>
  <si>
    <t>Covered</t>
  </si>
  <si>
    <t>Policy Review Comments</t>
  </si>
  <si>
    <t>Definition of Covered Operations</t>
  </si>
  <si>
    <t>Policy Fees</t>
  </si>
  <si>
    <t>Surcharges</t>
  </si>
  <si>
    <t>Policy Premium</t>
  </si>
  <si>
    <t>Total Premium Including Surcharges and Fees</t>
  </si>
  <si>
    <t>Total Premium Including Taxes and Fees</t>
  </si>
  <si>
    <t>Total GL Premium Including Surcharges and Fees</t>
  </si>
  <si>
    <t>Total Property Premium Including Surcharges and Fees</t>
  </si>
  <si>
    <t xml:space="preserve">Included in Total Package Premium </t>
  </si>
  <si>
    <t>Total Package (GL, Property, Inland Marine) Premium Amount</t>
  </si>
  <si>
    <t>Surplus Lines Taxes and Fees</t>
  </si>
  <si>
    <t>Total Insured Value</t>
  </si>
  <si>
    <t>All Other Perils</t>
  </si>
  <si>
    <t>Renewal Date</t>
  </si>
  <si>
    <t>Named Insured</t>
  </si>
  <si>
    <t>Expiring Policy Period</t>
  </si>
  <si>
    <t>Contractors Equipment</t>
  </si>
  <si>
    <t>Exposure Base - Payroll</t>
  </si>
  <si>
    <t>Exposure Base - Underlying Umbrella Premium</t>
  </si>
  <si>
    <t>Exposure Base - Total Values Insured</t>
  </si>
  <si>
    <t>Property Exposure Base - Total Values Insured</t>
  </si>
  <si>
    <t>Exposure Base - Values Insured</t>
  </si>
  <si>
    <t>Unscheduled Equipment - Max Per Item</t>
  </si>
  <si>
    <t>Leased or Rented Equipment - Max Per Item</t>
  </si>
  <si>
    <t>Minimum Premium</t>
  </si>
  <si>
    <r>
      <rPr>
        <sz val="10"/>
        <color rgb="FFFF0000"/>
        <rFont val="Calibri"/>
        <family val="2"/>
        <scheme val="minor"/>
      </rPr>
      <t>(If yes..)</t>
    </r>
    <r>
      <rPr>
        <sz val="10"/>
        <color theme="1"/>
        <rFont val="Calibri"/>
        <family val="2"/>
        <scheme val="minor"/>
      </rPr>
      <t xml:space="preserve">
Rate</t>
    </r>
  </si>
  <si>
    <t>Terrorism Coverage?</t>
  </si>
  <si>
    <t>û</t>
  </si>
  <si>
    <t>Bound</t>
  </si>
  <si>
    <t>Zip Code</t>
  </si>
  <si>
    <t>Experience Modification Rate (EMR): NCCI (AOS)</t>
  </si>
  <si>
    <t>The coverage provides protection for In-House Counsel in the event that their employer's Directors &amp; Officers Liability policy will not or cannot protect them for liability resulting from professional services.</t>
  </si>
  <si>
    <t>Reduced deductible agreement</t>
  </si>
  <si>
    <t>Nuclear liability amendment providing low-level coverage</t>
  </si>
  <si>
    <t>Longshore &amp; Harbor Workers Coverage</t>
  </si>
  <si>
    <t>Knowledge and Notice to the Insured</t>
  </si>
  <si>
    <t>Notice of Occurrence</t>
  </si>
  <si>
    <t>Drive Other Car</t>
  </si>
  <si>
    <t>Knowledge by Position or Department</t>
  </si>
  <si>
    <t>MCS-90</t>
  </si>
  <si>
    <t>Combined Single Limit of Liability</t>
  </si>
  <si>
    <t>1st Excess Policy Exp. Premium</t>
  </si>
  <si>
    <t>Professional Liability</t>
  </si>
  <si>
    <t>PL: Third-party liability arising from the rendering or failure to render covered professional services. 
CPL: Pollution liability arising from contracting activities.</t>
  </si>
  <si>
    <t>Aircraft (Drone) Liability</t>
  </si>
  <si>
    <t>Number of Drones</t>
  </si>
  <si>
    <t>Liability</t>
  </si>
  <si>
    <t>Physical Damage</t>
  </si>
  <si>
    <t>Policy Fee</t>
  </si>
  <si>
    <t xml:space="preserve">Coverage applies to third-party liability and physical damage arising from operating scheduled drones. </t>
  </si>
  <si>
    <t>Cover the perils of kidnap, extortion, wrongful detention, and hijacking.</t>
  </si>
  <si>
    <t>Policy No.</t>
  </si>
  <si>
    <t>Who to Call</t>
  </si>
  <si>
    <t>Greyling
(770) 552-4225</t>
  </si>
  <si>
    <t>Contractual Liability - Railroads</t>
  </si>
  <si>
    <t>Renewal Policy Period</t>
  </si>
  <si>
    <t>Maritime Jones Act</t>
  </si>
  <si>
    <t>Outer Continental Shelf Lands Act Coverage</t>
  </si>
  <si>
    <t>Avg.</t>
  </si>
  <si>
    <t>Premium
(incl. taxes/fees)</t>
  </si>
  <si>
    <t>Voluntary Compensation and Employers' Liability Coverage</t>
  </si>
  <si>
    <t>Option 1: Incumbent</t>
  </si>
  <si>
    <t>Option 2: Hybrid</t>
  </si>
  <si>
    <t>Option 3: Market</t>
  </si>
  <si>
    <t>Description:</t>
  </si>
  <si>
    <t>Negotiate only with the existing insurer to develop a renewal program</t>
  </si>
  <si>
    <t>Negotiate early with the existing insurer based on agreed benchmarks; if benchmarks are not met go to option 3</t>
  </si>
  <si>
    <t>Approach the existing insurer and competing insurers for renewal proposals</t>
  </si>
  <si>
    <t>Recommended Frequency:</t>
  </si>
  <si>
    <t>Applicable to most renewals if insurance program is competitive and insurer is providing good service.</t>
  </si>
  <si>
    <t>Should be used as an alternative approach between options 1 and 3 if needed to maintain competition but insured is not likely to change insurers</t>
  </si>
  <si>
    <t>Once every three to five years.</t>
  </si>
  <si>
    <t>Coverages</t>
  </si>
  <si>
    <t>Status</t>
  </si>
  <si>
    <t>The following pages contain a comparison of the expiring and renewal insurance programs. We have provided several comparisons to help you better understand and compare the results of the renewal negotiations. An explanation of each column on the tables on the following pages is below:</t>
  </si>
  <si>
    <r>
      <t xml:space="preserve">• </t>
    </r>
    <r>
      <rPr>
        <b/>
        <sz val="10"/>
        <color theme="1"/>
        <rFont val="Calibri"/>
        <family val="2"/>
      </rPr>
      <t xml:space="preserve">Expiring Adjusted: </t>
    </r>
    <r>
      <rPr>
        <sz val="10"/>
        <color theme="1"/>
        <rFont val="Calibri"/>
        <family val="2"/>
      </rPr>
      <t>The premiums in this column are for comparison purposes only. They are developed by multiplying the expiring policy rates by the renewal exposure information. The purpose is to provide an adjusted premium that is an apples-to-apples comparison to the renewal premium. For example, if a company’s revenue went down 10 percent and its insurance premium went down five percent, then on an adjusted basis, the company is paying five percent more.</t>
    </r>
  </si>
  <si>
    <t>Throughout this document, we have used symbols to denote the renewal terms as they compare to expiring, which are:</t>
  </si>
  <si>
    <t>Meaning</t>
  </si>
  <si>
    <t>Note: Failure to report known claims or circumstances before the current policy expires may result in loss of coverage under both the current and future policies. Please review this section of the report and the claim and circumstance sections of your expiring and renewal policies carefully.</t>
  </si>
  <si>
    <t xml:space="preserve">For specific details, please refer to conditions and definitions listed on the policies. </t>
  </si>
  <si>
    <t>For a sample claims/circumstances reporting memo, please contact us.</t>
  </si>
  <si>
    <t>The following options are available for paying the premium this renewal:</t>
  </si>
  <si>
    <t>For those members who join between billing dates, the installments are pro-rated to the next quarterly installments.</t>
  </si>
  <si>
    <t>Name</t>
  </si>
  <si>
    <t>FEIN Number</t>
  </si>
  <si>
    <t>Explanation of A.M. Best Rating Information</t>
  </si>
  <si>
    <t>Financial Strength Ratings</t>
  </si>
  <si>
    <t>A.M. Best's Financial Strength Rating (FSR) is an opinion of an insurer's ability to meet its obligations to policyholders. Rating Modifiers and Affiliation Codes may also be associated with these ratings. The following list outlines our rating scale and associated descriptions.</t>
  </si>
  <si>
    <t>Secure</t>
  </si>
  <si>
    <t>Vulnerable</t>
  </si>
  <si>
    <t>A++, A+ (Superior)</t>
  </si>
  <si>
    <t>B, B- (Fair)</t>
  </si>
  <si>
    <t>A, A- (Excellent)</t>
  </si>
  <si>
    <t>C++, C+ (Marginal)</t>
  </si>
  <si>
    <t>B++, B+ (Good)</t>
  </si>
  <si>
    <t>C, C- (Weak)</t>
  </si>
  <si>
    <t>D (Poor)</t>
  </si>
  <si>
    <t>E (Under Regulatory Supervision)</t>
  </si>
  <si>
    <t>F (In Liquidation)</t>
  </si>
  <si>
    <t>S (Rating Suspended)</t>
  </si>
  <si>
    <t>Ratings Outlook</t>
  </si>
  <si>
    <t>Assigned to an Interactive Financial Strength Rating (A++ to D) to indicate the potential direction over an intermediate term, generally defined as 12 to 36 months.</t>
  </si>
  <si>
    <t>Positive</t>
  </si>
  <si>
    <t>Indicates possible rating upgrade due to favorable financial/market trends relative to the current rating level</t>
  </si>
  <si>
    <t>Negative</t>
  </si>
  <si>
    <t>Indicates possible rating downgrade due to unfavorable financial/market trends relative to the current rating level</t>
  </si>
  <si>
    <t>Stable</t>
  </si>
  <si>
    <t>Indicates low likelihood of rating change due to stable financial/market trends.</t>
  </si>
  <si>
    <t xml:space="preserve">Financial Size Categories (FSC)* </t>
  </si>
  <si>
    <t>To enhance the usefulness of our ratings, A.M. Best assigns each letter rated (A++ through D) insurance company a Financial Size Category (FSC). The FSC is designed to provide a convenient indicator of the size of a company in terms of its statutory surplus and related accounts.</t>
  </si>
  <si>
    <t xml:space="preserve">Many insurance buyers only want to consider buying insurance coverage from companies that they believe have sufficient financial capacity to provide the necessary policy limits to insure their risks. Although companies utilize reinsurance to reduce their net retention on the policy limits they underwrite, many buyers still feel more comfortable buying from companies perceived to have greater financial capacity. </t>
  </si>
  <si>
    <t>FSC</t>
  </si>
  <si>
    <t>Adjusted Policyholder’ Surplus</t>
  </si>
  <si>
    <t>I</t>
  </si>
  <si>
    <t xml:space="preserve">Less than 1 </t>
  </si>
  <si>
    <t>II</t>
  </si>
  <si>
    <t xml:space="preserve">1 to 2 </t>
  </si>
  <si>
    <t>III</t>
  </si>
  <si>
    <t xml:space="preserve">2 to 5 </t>
  </si>
  <si>
    <t>IV</t>
  </si>
  <si>
    <t xml:space="preserve">5 to 10 </t>
  </si>
  <si>
    <t>V</t>
  </si>
  <si>
    <t xml:space="preserve">10 to 25 </t>
  </si>
  <si>
    <t>VI</t>
  </si>
  <si>
    <t>25 to 50</t>
  </si>
  <si>
    <t>VII</t>
  </si>
  <si>
    <t xml:space="preserve">50 to 100 </t>
  </si>
  <si>
    <t>VIII</t>
  </si>
  <si>
    <t xml:space="preserve">100 to 250 </t>
  </si>
  <si>
    <t>IX</t>
  </si>
  <si>
    <t>250 to 500</t>
  </si>
  <si>
    <t>X</t>
  </si>
  <si>
    <t>500 to 750</t>
  </si>
  <si>
    <t>XI</t>
  </si>
  <si>
    <t xml:space="preserve">750 to 1,000 </t>
  </si>
  <si>
    <t>XII</t>
  </si>
  <si>
    <t xml:space="preserve">1,000 to 1,250 </t>
  </si>
  <si>
    <t>XIII</t>
  </si>
  <si>
    <t xml:space="preserve">1,250 to 1,500 </t>
  </si>
  <si>
    <t>XIV</t>
  </si>
  <si>
    <t>1,500 to 2,000</t>
  </si>
  <si>
    <t>XV</t>
  </si>
  <si>
    <t>2,000 or greater</t>
  </si>
  <si>
    <t xml:space="preserve"> -  Rates are shown for analysis purposes only</t>
  </si>
  <si>
    <t xml:space="preserve"> -  Above premiums include surplus lines taxes and fees where applicable</t>
  </si>
  <si>
    <t>Unscheduled Equipment - Max Per Occurrence</t>
  </si>
  <si>
    <t>Leased or Rented Equipment - Max Per Occurrence</t>
  </si>
  <si>
    <t>Hired Automobile Physical Damage</t>
  </si>
  <si>
    <t>Newly Acquired Business Personal Property</t>
  </si>
  <si>
    <t>Products / Completed Operations Aggregate</t>
  </si>
  <si>
    <t>Products / Completed Operations Aggregate Limit</t>
  </si>
  <si>
    <t>If you work on the effective date of the policy in any State not listed under Part 3A, coverage will not be afforded for that State unless the insurer is notified within thirty days</t>
  </si>
  <si>
    <t>Liability assumed under contract. Exclusion doesn't apply to a warranty that your will will be done in a workmanlike manner</t>
  </si>
  <si>
    <t>Punitive or exemplary damages because of bodily injury to an employee employed in violation of law</t>
  </si>
  <si>
    <t>Bodily injury to an employee while employed in violation of law with your actual knowledge or the actual knowledge of any of your executive officers</t>
  </si>
  <si>
    <t>Any obligation imposed by a workers compensation, occupational disease, unemployment compensation, or disability benefits law, or any similar law</t>
  </si>
  <si>
    <t>Bodily injury intentionally caused or aggravated by you</t>
  </si>
  <si>
    <t>Bodily injury occurring outside the United States of
America, its territories or possessions, and
Canada. This exclusion does not apply to bodily injury to a citizen or resident of the United States of America or Canada who is temporarily outside these countries</t>
  </si>
  <si>
    <t>Damages arising from employment related practices and termination</t>
  </si>
  <si>
    <t>Fines or penalties imposed for violation of federal or state law</t>
  </si>
  <si>
    <t xml:space="preserve">Employment Related Practices </t>
  </si>
  <si>
    <t>Fungus</t>
  </si>
  <si>
    <t xml:space="preserve">Asbestos </t>
  </si>
  <si>
    <t xml:space="preserve">Lead Liability </t>
  </si>
  <si>
    <t xml:space="preserve">Inter-company Products Suits </t>
  </si>
  <si>
    <t xml:space="preserve">ERISA </t>
  </si>
  <si>
    <t xml:space="preserve">Pollution </t>
  </si>
  <si>
    <t xml:space="preserve">Engineers, Architects or Surveyors Professional Liability </t>
  </si>
  <si>
    <t>Rate</t>
  </si>
  <si>
    <t>Expiring Adjusted Calculation</t>
  </si>
  <si>
    <t>Applications Sent</t>
  </si>
  <si>
    <t>Applications Completed</t>
  </si>
  <si>
    <t>Underwriting Submission Sent</t>
  </si>
  <si>
    <t>Quotes Received</t>
  </si>
  <si>
    <t>Bind Order Sent to Insurer</t>
  </si>
  <si>
    <t>Binder Received</t>
  </si>
  <si>
    <t xml:space="preserve">Policy Received  </t>
  </si>
  <si>
    <t>Inactive Entities:</t>
  </si>
  <si>
    <t>Liability assumed under contract. Exclusion doesn't apply to a warranty that your work will be done in a workmanlike manner</t>
  </si>
  <si>
    <t>Blended Rate per $100 of Exposure</t>
  </si>
  <si>
    <t>Owned Autos: Comprehensive</t>
  </si>
  <si>
    <t>Owned Autos: Collision</t>
  </si>
  <si>
    <t>Hired Auto: Comprehensive</t>
  </si>
  <si>
    <t>Hired Auto: Collision</t>
  </si>
  <si>
    <t>A summary of their responses is provided below:</t>
  </si>
  <si>
    <t>Team Member</t>
  </si>
  <si>
    <t>Role</t>
  </si>
  <si>
    <t>Contact Information</t>
  </si>
  <si>
    <t>E-Mail: Gregg.Bundschuh@greyling.com</t>
  </si>
  <si>
    <t>Complex Claims, Contract Review, Risk Management, Back-up Client Executive</t>
  </si>
  <si>
    <t>E-Mail: Kent.Collier@greyling.com</t>
  </si>
  <si>
    <t>Insurance Certificate Specialist</t>
  </si>
  <si>
    <t>Carly Underwood</t>
  </si>
  <si>
    <t xml:space="preserve">E-Mail: Carly.Underwood@greyling.com </t>
  </si>
  <si>
    <t>Erin Maurer, CIC, CRM</t>
  </si>
  <si>
    <t>E-Mail: Erin.Maurer@greyling.com</t>
  </si>
  <si>
    <t>Accounting</t>
  </si>
  <si>
    <r>
      <t xml:space="preserve">The following insurance policies are </t>
    </r>
    <r>
      <rPr>
        <b/>
        <u/>
        <sz val="10"/>
        <color theme="1"/>
        <rFont val="Calibri"/>
        <family val="2"/>
        <scheme val="minor"/>
      </rPr>
      <t>subject to audit</t>
    </r>
    <r>
      <rPr>
        <sz val="10"/>
        <color theme="1"/>
        <rFont val="Calibri"/>
        <family val="2"/>
        <scheme val="minor"/>
      </rPr>
      <t>:</t>
    </r>
  </si>
  <si>
    <r>
      <t xml:space="preserve">The following insurance policies are </t>
    </r>
    <r>
      <rPr>
        <b/>
        <u/>
        <sz val="10"/>
        <color theme="1"/>
        <rFont val="Calibri"/>
        <family val="2"/>
        <scheme val="minor"/>
      </rPr>
      <t>not</t>
    </r>
    <r>
      <rPr>
        <u/>
        <sz val="10"/>
        <color theme="1"/>
        <rFont val="Calibri"/>
        <family val="2"/>
        <scheme val="minor"/>
      </rPr>
      <t xml:space="preserve"> </t>
    </r>
    <r>
      <rPr>
        <sz val="10"/>
        <color theme="1"/>
        <rFont val="Calibri"/>
        <family val="2"/>
        <scheme val="minor"/>
      </rPr>
      <t>subject to audit:</t>
    </r>
  </si>
  <si>
    <t>General Changes in Operation</t>
  </si>
  <si>
    <t>Builder’s Risk</t>
  </si>
  <si>
    <t>Travel Accident</t>
  </si>
  <si>
    <t>Watercraft or Aircraft</t>
  </si>
  <si>
    <t>A premium audit determines the actual insurance exposures for the coverages you have based on an examination of your operations and payroll or sales records.  The time to start planning for an audit is at the beginning of the policy period, not the end.</t>
  </si>
  <si>
    <t>At issuance, your premium is estimated based on your business circumstances and information provided at that time.  An audit verifies the correct exposure of premium base for your insurance coverage by checking actual figures.  After your audit, an adjustment will be made to the premium that was estimated when your policy was issued.</t>
  </si>
  <si>
    <t>At the end of your policy period an auditor will contact you to collect information to reconcile the estimates provided to the insurance company on your application.  For Workers Compensation, the insurer has a three-year window of opportunity to look at your records.  This is common for other policy types as well.  Your cooperation during this process is important part of the audit results.  The auditor may ask questions relating to individual job responsibilities to categorize employees into class codes.  Common class codes with descriptions are as follows:</t>
  </si>
  <si>
    <t>Code 8601 is applicable to insureds engaged in the architectural or engineering profession as a separate and distinct business. Operations conducted by these firms usually include consultations with clients; research on behalf of clients; site inspections; and the compilation of information to enable these firms to make recommendations to their clients. These recommendations may be in the form of written or electronic media and include plans, maps, charts, and specifications. Code 8601 includes, but is not limited to, the following type of engineering firms: mechanical, civil, electrical, chemical, mining, metallurgical, marine, and industrial.</t>
  </si>
  <si>
    <t xml:space="preserve">Code 8603 is applicable to establishments primarily engaged in drawing detailed layouts, plans, and illustrations of buildings, structures, systems, or components from engineering and architectural specifications. Drafters use Computer Aided Design and Drafting (CADD) systems to prepare detailed engineering and architectural of 3D models and/or 2D drawings of physical components, but it is also used throughout the engineering process from conceptual design and layout of products, through strength and dynamic analysis of assemblies to definition of manufacturing methods of components. Although CADD is used extensively, drafters utilize traditional drafting techniques such as manual drafting and sketching. </t>
  </si>
  <si>
    <t>All work must be done in an office setting to be eligible for Code 8603.</t>
  </si>
  <si>
    <t>Code 8810 is applied to clerical office employees provided they are not otherwise classified.</t>
  </si>
  <si>
    <t xml:space="preserve">The duties of a clerical office employee include creation or maintenance of financial or other employer records, handling correspondence, computer composition, technical drafting, and telephone duties, including sales by phone. The clerical office classification continues to apply to a qualified clerical office employee who performs a duty outside of a qualified clerical office area when that duty does not involve direct supervision or physical labor and is directly related to that employee’s duties in the office. These duties do not exclude depositing funds at the bank, purchasing office supplies, and pickup or delivery of mail, provided they are incidental and directly related to that employee’s duties in the office. However, for purposes of this rule, the definition of clerical duties excludes outside sales or outside representatives; any work exposed to the operative hazards of the business; and any work, such as a stock or tally clerk, which is necessary, incidental or related to any operations of the business other than a clerical office. </t>
  </si>
  <si>
    <t xml:space="preserve">A clerical office is a work area separated and distinguishable from all other work areas and hazards of the employer by floors, walls, partitions, counters, or other physical barriers. </t>
  </si>
  <si>
    <t>If the class codes used in your business are not shown above, we can provide the standard descriptions to you.  Also, if you are not sure how to categorize employees, we can research key words that describe the position to help you determine the best classification.  The process of classifying employees is subject to interpretation.  This is why it is important to discuss the process used to classify the employees with the auditor, especially if it is the first year with an insurance company.  Typically, insurance companies will classify employees in the same categories in subsequent years.</t>
  </si>
  <si>
    <t>When switching insurance companies, there is a risk that auditors may look at your information differently, resulting in a reclassification of payroll.  When changing insurers, this is a risk to evaluate.</t>
  </si>
  <si>
    <t>This list provides a good indication of materials your auditor will need:</t>
  </si>
  <si>
    <t>Overtime - show overtime pay in excess of straight time pay separately by employee and in summary by classification of work by state.  While the basic pay for extra hours is part of the auditable payroll, most states allow firms to exclude any surcharge from the audit.</t>
  </si>
  <si>
    <t>Division of Payroll- Individual employee's payroll must show the number of hours and amount of payroll for each type of work or the full salary must be charged to the employee's highest rated classification. Division is not available for outside sales persons (8742), auto salesperson (8748), clerical (8810) and clerical telecommuter (8871).</t>
  </si>
  <si>
    <t>Owner Controlled Insurance Programs (OCIPs) and Contractor Controlled Insurance Programs (CCIPs)</t>
  </si>
  <si>
    <t>If you are eligible to enroll in an Owner's Controlled Insurance Program (OCIP) or a Contractor’s Controlled Insurance Program (CCIP), please submit the OCIP or CCIP manual and insurance cost worksheet to Greyling for completion. Once enrolled, please request a certificate of insurance from the program administrator and maintain it for your records. Evidence of coverage under the OCIP or CCIP and payroll documentation covered under the program will be needed by the insurance auditor to avoid being charged twice under the OCIP or CCIP program and your insurance program.  If you know at the beginning of the policy period the payroll that will be included in an OCIP or CCIP, it can be included as a negative estimate.  To designate the payroll, list the state, class code and put OCIP or CCIP in the description with a negative payroll estimate.</t>
  </si>
  <si>
    <t>Challenging an Audit</t>
  </si>
  <si>
    <t>New States</t>
  </si>
  <si>
    <t>During the policy year, if you are contemplating starting operations in a new state, let Greyling know so that we may address coverage with the insurers.</t>
  </si>
  <si>
    <t>Anticipating Your Audit</t>
  </si>
  <si>
    <t>If your exposures change dramatically during the year, it is beneficial to track the information so that you can anticipate the additional or return premium that will result from the audit.</t>
  </si>
  <si>
    <t>-       Ownership or name changes</t>
  </si>
  <si>
    <t>-       Partnership changes</t>
  </si>
  <si>
    <t>-       Addition of a new subsidiary</t>
  </si>
  <si>
    <t>-       New joint ventures</t>
  </si>
  <si>
    <t>-       Discontinued operations</t>
  </si>
  <si>
    <t>-       Business plan changes</t>
  </si>
  <si>
    <t>-       Mergers, acquisitions, divestitures</t>
  </si>
  <si>
    <t>-       Change in corporate structure</t>
  </si>
  <si>
    <t>-       Providing engineering services for a product</t>
  </si>
  <si>
    <t>-       Garage location changes</t>
  </si>
  <si>
    <t>-       Removal of an existing covered vehicle</t>
  </si>
  <si>
    <t xml:space="preserve">-       Need for hired car physical damage </t>
  </si>
  <si>
    <t>-       Changes in property contents</t>
  </si>
  <si>
    <t>-       Notice of vacancy or non-occupation</t>
  </si>
  <si>
    <t>-       Location changes</t>
  </si>
  <si>
    <t>-       Operations in new states or countries</t>
  </si>
  <si>
    <t>-       Benefit plan changes (in structure or assets)</t>
  </si>
  <si>
    <t>-       Employees travelling within and outside of the United States for business.</t>
  </si>
  <si>
    <t>-       Addition of a new watercraft or aircraft</t>
  </si>
  <si>
    <t>-       Rental of watercraft or aircraft</t>
  </si>
  <si>
    <t>-       Use of personal aircraft on company business</t>
  </si>
  <si>
    <t>Offices:</t>
  </si>
  <si>
    <t>Atlanta, Georgia</t>
  </si>
  <si>
    <t>St. Louis, Missouri</t>
  </si>
  <si>
    <t>Phone:</t>
  </si>
  <si>
    <t>(877) 908-5619</t>
  </si>
  <si>
    <t>Fax:</t>
  </si>
  <si>
    <t>(866) 550-4082</t>
  </si>
  <si>
    <t>Email:</t>
  </si>
  <si>
    <t>info@greyling.com</t>
  </si>
  <si>
    <t>Disclaimer: This report is not a legal contract. The coverage summaries are intended to provide a brief overview of the terms, conditions, limits, and premiums of the insurance coverages described. The information in this report may not be used in adjusting or adjudicating any loss. This report does not grant or bind coverage and is not intended to serve as evidence of coverage in place. It is meant solely to provide you with a brief synopsis. For detailed and accurate information about the coverages provided, you must read the actual policies.
The coverages we have placed for you are based on our understanding of your operations. We rely on you to provide us with the necessary information to provide appropriate policies and coverages. It is your responsibility to advise us of your operations, including any changes, such as (but not limited to) operations in new states, new services provided to your clients, new vehicles or equipment, and new property locations.</t>
  </si>
  <si>
    <t>-  8601 – Architectural or Engineering Firm – Including Salespersons &amp; Drivers</t>
  </si>
  <si>
    <t>-  8603 – Architectural or Engineering Firm – Clerical (Not applicable to AK, MA, MT, OR, TX – if these states, use 8810)</t>
  </si>
  <si>
    <t>-  8810 – Clerical Office Employees NOC</t>
  </si>
  <si>
    <t>• Journals
• Tax Reports
• Vehicle Titles
• Cash Disbursements
• Ledgers
• Individual Earnings Cards
• Registrations or Ownership Tax Reports</t>
  </si>
  <si>
    <t>Independent Contractors / Subcontractors - all subcontractors hired by you should carry General Liability and/or Umbrella Liability limits of at least $1,000,000 on an occurrence based policy.  Prior to allowing a subcontractor to work for you, you should obtain a Certificate of Insurance from the subcontractor evidencing these minimum limits.  At final audit, the auditor will examine the Certificates of Insurance for all work subcontracted during the policy term.  Any subcontracted work for which the auditor is not provided a Certificate of Issuance and any subcontracted work which was insured with liability limits less than $1,000,000 will be converted to ratable payroll on your policy, resulting in an additional premium charge owed by you. To prevent this additional premium charge and to reduce the risk of your General Liability coverage being tapped to cover claims that arise from work performed by your subcontractors, you must obtain certificates of Insurance evidencing $1,000,000 liability limits from all of your subcontractors.</t>
  </si>
  <si>
    <t>Once the audit it performed, Greyling will receive a copy of the audited payroll broken out by class code.  We will verify the rates match those provided at renewal and provide this information to you along with an invoice for the additional or return premium.  Only you can determine if the audited numbers are correct.  Within 10 days of being provided with the audit information, if anything appears incorrect advice Greyling in writing so that we may address your concerns with the insurer.</t>
  </si>
  <si>
    <t>Note: Make sure you get a copy of the auditor’s worksheets before the auditor leaves your office.</t>
  </si>
  <si>
    <t xml:space="preserve">Crisis Response Coverage Extension </t>
  </si>
  <si>
    <t>Limited Knowledge or Notice of Claim</t>
  </si>
  <si>
    <t xml:space="preserve">Other Insurance - Project Specific Placements: </t>
  </si>
  <si>
    <t>Rectification/Mitigation to prevent a problem from becoming a claim</t>
  </si>
  <si>
    <t>Product liability</t>
  </si>
  <si>
    <t>Blended Rate per $1,000 of Exposure</t>
  </si>
  <si>
    <t>Blended Rate as Percentage of Exposure</t>
  </si>
  <si>
    <t>Blended GL Rate per $1,000 of Exposure</t>
  </si>
  <si>
    <t>Blended Property Rate per $100 of Exposure</t>
  </si>
  <si>
    <t>Joint Ventures*:</t>
  </si>
  <si>
    <t xml:space="preserve"> -  % change compares expiring vs. renewal exposure and expiring adjusted vs. renewal rates and premiums</t>
  </si>
  <si>
    <t>Joint Venture coverage?</t>
  </si>
  <si>
    <t>-       Changes in services offered – new service not listed 
        on professional liability renewal application</t>
  </si>
  <si>
    <t>-       Offering technology services (esp. shrink-wrapped: 
        software programs</t>
  </si>
  <si>
    <t>-       Addition of new vehicle(s), trailer(s), and/or new 
        driver(s)</t>
  </si>
  <si>
    <t>-       New buildings, additions, remodeling, moves or 
        anticipated moves</t>
  </si>
  <si>
    <t>-       Transit changes such as method of shipping, large 
        shipments</t>
  </si>
  <si>
    <t>-       Physical security changes, such as alarms, fire 
        suppression systems, guards, etc.</t>
  </si>
  <si>
    <t>-       New general liability exposure - self performing invasive testing (drilling) and/or acting as a general contractor or 
        CM (holding contracts for construction)</t>
  </si>
  <si>
    <t>-       Removal of an existing covered watercraft or 
        aircraft</t>
  </si>
  <si>
    <t>-       Construction project requiring the placement of property insurance for the length of construction</t>
  </si>
  <si>
    <t>Portland, Maine</t>
  </si>
  <si>
    <t>Travel Accident - Accidental Death &amp; Dismemberment</t>
  </si>
  <si>
    <t>TBD</t>
  </si>
  <si>
    <t>Bodily Injury &amp; Property Damage</t>
  </si>
  <si>
    <t>Pollution Liability</t>
  </si>
  <si>
    <t>Intellectual Property</t>
  </si>
  <si>
    <t>Contractual Liability</t>
  </si>
  <si>
    <t>Benefits Due</t>
  </si>
  <si>
    <t>Client's Property (Third Party Liability)</t>
  </si>
  <si>
    <r>
      <t xml:space="preserve">For any of the changes below, please call </t>
    </r>
    <r>
      <rPr>
        <sz val="10"/>
        <color rgb="FFFF0000"/>
        <rFont val="Calibri"/>
        <family val="2"/>
        <scheme val="minor"/>
      </rPr>
      <t>Zzz</t>
    </r>
    <r>
      <rPr>
        <sz val="10"/>
        <color theme="1"/>
        <rFont val="Calibri"/>
        <family val="2"/>
        <scheme val="minor"/>
      </rPr>
      <t xml:space="preserve"> (Broker) at (770) 552-4225. If </t>
    </r>
    <r>
      <rPr>
        <sz val="10"/>
        <color rgb="FFFF0000"/>
        <rFont val="Calibri"/>
        <family val="2"/>
        <scheme val="minor"/>
      </rPr>
      <t>Zzz</t>
    </r>
    <r>
      <rPr>
        <sz val="10"/>
        <color theme="1"/>
        <rFont val="Calibri"/>
        <family val="2"/>
        <scheme val="minor"/>
      </rPr>
      <t xml:space="preserve"> is not available, please call </t>
    </r>
    <r>
      <rPr>
        <sz val="10"/>
        <color rgb="FFFF0000"/>
        <rFont val="Calibri"/>
        <family val="2"/>
        <scheme val="minor"/>
      </rPr>
      <t>Zzz</t>
    </r>
    <r>
      <rPr>
        <sz val="10"/>
        <color theme="1"/>
        <rFont val="Calibri"/>
        <family val="2"/>
        <scheme val="minor"/>
      </rPr>
      <t xml:space="preserve"> (Account Specialist) at (770) 552-4225. </t>
    </r>
  </si>
  <si>
    <r>
      <t>Expiring</t>
    </r>
    <r>
      <rPr>
        <b/>
        <sz val="11"/>
        <color rgb="FFFF0000"/>
        <rFont val="Calibri"/>
        <family val="2"/>
        <scheme val="minor"/>
      </rPr>
      <t xml:space="preserve"> (map to the correct policies)</t>
    </r>
  </si>
  <si>
    <t>First Named Insured (FNI):</t>
  </si>
  <si>
    <t>While the timing of when we report claims or circumstances is always important, we must report all known matters to</t>
  </si>
  <si>
    <r>
      <t>Deductible (</t>
    </r>
    <r>
      <rPr>
        <sz val="11"/>
        <color rgb="FFFF0000"/>
        <rFont val="Calibri"/>
        <family val="2"/>
      </rPr>
      <t>Each Employee</t>
    </r>
    <r>
      <rPr>
        <sz val="11"/>
        <color theme="1"/>
        <rFont val="Calibri"/>
        <family val="2"/>
      </rPr>
      <t>)</t>
    </r>
  </si>
  <si>
    <t>Waiting Period</t>
  </si>
  <si>
    <t>• The above is a high-level summary of coverage and does not provide all details. Please note that only final policy and wording will determine coverage.</t>
  </si>
  <si>
    <t>• Please review the Information contained in these confirmations of coverage, and alert us of any questions or changes. We appreciate your business and thank you for your confidence in Greyling Insurance Brokerage</t>
  </si>
  <si>
    <t>• These confirmations are only a summary of coverage.  All limits, sublimits, exclusions, and other policy terms and conditions are not shown.  These confirmations may be canceled by the Named Insured by surrender of these confirmations of coverage or by written notice to the Company stating when cancellation will be effective.  These confirmations may be canceled by the Company by written notice to the Named Insured in accordance with the policy conditions.  These confirmations are cancelled when replaced by a policy and can subsequently serve as an outline of insurance.</t>
  </si>
  <si>
    <t>All Other</t>
  </si>
  <si>
    <t>In the event of a claim emergency after normal business hours, please call the Greyling 24 hour claim reporting hotline at (770) 552-4245.</t>
  </si>
  <si>
    <t>• Coverage for all policies is effective 12:01 AM local time on the date listed.</t>
  </si>
  <si>
    <t>Active Affiliates:</t>
  </si>
  <si>
    <t>Operating Subsidiaries Owned by First Named Insured:</t>
  </si>
  <si>
    <t>Office Phone: 770-220-7697</t>
  </si>
  <si>
    <t>Office Phone: 770-220-7692</t>
  </si>
  <si>
    <t>Cell Phone: 404-274-4636</t>
  </si>
  <si>
    <t>Cell Phone: 770-330-9747</t>
  </si>
  <si>
    <t>Office Phone: 770-670-5324</t>
  </si>
  <si>
    <t>Failure to report a claim or circumstance on a timely basis could result in coverage disputes with insurers.</t>
  </si>
  <si>
    <t>Aircraft, Auto or Watercraft</t>
  </si>
  <si>
    <t>Other:</t>
  </si>
  <si>
    <r>
      <t xml:space="preserve">• </t>
    </r>
    <r>
      <rPr>
        <b/>
        <sz val="10"/>
        <color theme="1"/>
        <rFont val="Calibri"/>
        <family val="2"/>
      </rPr>
      <t>Expiring:</t>
    </r>
    <r>
      <rPr>
        <sz val="10"/>
        <color theme="1"/>
        <rFont val="Calibri"/>
        <family val="2"/>
      </rPr>
      <t xml:space="preserve"> This column shows the initial premium including taxes and fees for the insured’s policies as of the beginning of the current policy year and is based on the exposure data available at that time. Endorsements and mid-year changes are not included.</t>
    </r>
  </si>
  <si>
    <r>
      <t xml:space="preserve">• </t>
    </r>
    <r>
      <rPr>
        <b/>
        <sz val="10"/>
        <color theme="1"/>
        <rFont val="Calibri"/>
        <family val="2"/>
      </rPr>
      <t xml:space="preserve">Renewal: </t>
    </r>
    <r>
      <rPr>
        <sz val="10"/>
        <color theme="1"/>
        <rFont val="Calibri"/>
        <family val="2"/>
      </rPr>
      <t>The premiums in this column are the amounts quoted by insurers including taxes and fees for the renewing policy term.</t>
    </r>
  </si>
  <si>
    <t>our insurers before the policy renews on:</t>
  </si>
  <si>
    <t>Gregg Bundschuh, JD
Managing Principal</t>
  </si>
  <si>
    <t>Kent Collier, JD, CRIS
LEED AP BD+C</t>
  </si>
  <si>
    <t>Client Executive
(main contact with overall account responsibility)</t>
  </si>
  <si>
    <t>Policy Manager
(checks policies, verifies documentation, and develops coverage specifications)</t>
  </si>
  <si>
    <t>Taxes and Assessments - Expiring</t>
  </si>
  <si>
    <t>Taxes and Assessments - Exp. Adj.</t>
  </si>
  <si>
    <t>Taxes and Assessments - Option I</t>
  </si>
  <si>
    <t>Taxes and Assessments - Option II</t>
  </si>
  <si>
    <t>GL Taxes and Assessments - Expiring</t>
  </si>
  <si>
    <t>Property Taxes and Assessments - Expiring</t>
  </si>
  <si>
    <t xml:space="preserve">Self-Insured Retention or Deductible? </t>
  </si>
  <si>
    <t>Maintenance</t>
  </si>
  <si>
    <t>Foreign Revenue</t>
  </si>
  <si>
    <t>Professional Liabillity</t>
  </si>
  <si>
    <t>Contractors Pollution Liabillity</t>
  </si>
  <si>
    <t>Punitive damages or multiple damages, where insurable by law</t>
  </si>
  <si>
    <t>(Insert Joint Venture wording from policy)</t>
  </si>
  <si>
    <t>- If claim is related to contractors pollution</t>
  </si>
  <si>
    <t>- If claim is related to professional services</t>
  </si>
  <si>
    <t>Third party over action</t>
  </si>
  <si>
    <t>Broad definition of Professional Services</t>
  </si>
  <si>
    <t>Exposure Basis</t>
  </si>
  <si>
    <t>Exposure</t>
  </si>
  <si>
    <t>Ongoing Operations</t>
  </si>
  <si>
    <t>Completed Operations</t>
  </si>
  <si>
    <t>Waiver of Subrogation where required by written contract</t>
  </si>
  <si>
    <t>Additional Insured where agreed to in a written contract</t>
  </si>
  <si>
    <t>Primary and Non-Contributory for additional insureds</t>
  </si>
  <si>
    <t>Designated Projects - General Aggregate Limit</t>
  </si>
  <si>
    <t>Designated Locations - General Aggregate Limit</t>
  </si>
  <si>
    <t>Earlier Notice of Non-Renewal or Cancellation</t>
  </si>
  <si>
    <t>Cancellation</t>
  </si>
  <si>
    <t>Nonrenewal</t>
  </si>
  <si>
    <t>Material Change</t>
  </si>
  <si>
    <t>Notice to Others (Certificate Holders)</t>
  </si>
  <si>
    <t>Joint Ventures Coverage?</t>
  </si>
  <si>
    <t>Building Heating Equip and Hostile Fire Exceptions</t>
  </si>
  <si>
    <t>Liquor Liability</t>
  </si>
  <si>
    <t xml:space="preserve">Aircraft Products and Grounding </t>
  </si>
  <si>
    <t>Aircraft - Unmanned</t>
  </si>
  <si>
    <t>Professional Services</t>
  </si>
  <si>
    <t>North Dakota</t>
  </si>
  <si>
    <t>Ohio</t>
  </si>
  <si>
    <t>Washington</t>
  </si>
  <si>
    <t>Wyoming</t>
  </si>
  <si>
    <t>Employers Liability Stop Gap Coverage</t>
  </si>
  <si>
    <t>Exclusion applies only if you are in the business of manufacturing, distributing, selling, serving or furnishing alcoholic beverages</t>
  </si>
  <si>
    <t>Experience Modification Rate (EMR): MN</t>
  </si>
  <si>
    <t>Experience Modification Rate (EMR): WI</t>
  </si>
  <si>
    <t>Experience Modification Rate (EMR): MI</t>
  </si>
  <si>
    <t>Experience Modification Rate (EMR): IN</t>
  </si>
  <si>
    <t>Experience Modification Rate (EMR): NY</t>
  </si>
  <si>
    <t>Experience Modification Rate (EMR): NC</t>
  </si>
  <si>
    <t>Experience Modification Rate (EMR): MA</t>
  </si>
  <si>
    <t>Experience Modification Rate (EMR): DE</t>
  </si>
  <si>
    <t>DE</t>
  </si>
  <si>
    <t>IN</t>
  </si>
  <si>
    <t>MA</t>
  </si>
  <si>
    <t>MI</t>
  </si>
  <si>
    <t>MN</t>
  </si>
  <si>
    <t>NY</t>
  </si>
  <si>
    <t>NC</t>
  </si>
  <si>
    <t>WI</t>
  </si>
  <si>
    <t>Independent Bureau States</t>
  </si>
  <si>
    <t>Classcode: Architectural or engineering firm including salespersons &amp; drivers</t>
  </si>
  <si>
    <t xml:space="preserve">Classcode: Architectural or engineering firm clerical </t>
  </si>
  <si>
    <t xml:space="preserve">Classcode: Clerical office employees no other classification </t>
  </si>
  <si>
    <t>Pollution Liability - Broadened Coverage for Covered Autos</t>
  </si>
  <si>
    <t>Umbrella/Excess Liability</t>
  </si>
  <si>
    <t>Self-Insured Retention</t>
  </si>
  <si>
    <t>Auto Liability</t>
  </si>
  <si>
    <t>Foreign Auto Liability</t>
  </si>
  <si>
    <t>Stop Gap</t>
  </si>
  <si>
    <t>Follow form and/or umbrella?</t>
  </si>
  <si>
    <t>Follow form?</t>
  </si>
  <si>
    <t>Hired Auto Physical Damage Limit</t>
  </si>
  <si>
    <t xml:space="preserve">Hired Auto Physical Damage Deductible </t>
  </si>
  <si>
    <t xml:space="preserve">Hired and Non-Owned Auto Liability Deductible </t>
  </si>
  <si>
    <t>Protective safeguard provision</t>
  </si>
  <si>
    <t>Protective safeguard provision?</t>
  </si>
  <si>
    <t>Valuation</t>
  </si>
  <si>
    <t>Loss Payee where required by written contract</t>
  </si>
  <si>
    <t>Valuation (replacement cost vs. actual cash value)</t>
  </si>
  <si>
    <t>Direct Damage (replacement cost vs. actual cash value)</t>
  </si>
  <si>
    <t>Time Element (actual loss sustained vs. agreed value)</t>
  </si>
  <si>
    <t>Policy Waiting Periods</t>
  </si>
  <si>
    <t>Property Waiting Periods</t>
  </si>
  <si>
    <t>Contractors Equipment (replacement cost vs. actual cash value)</t>
  </si>
  <si>
    <t>Rate per $100 of values</t>
  </si>
  <si>
    <t>Leased, Rented, or Borrowed Equipment</t>
  </si>
  <si>
    <t>Rate per $100 of rental expenditures</t>
  </si>
  <si>
    <t>Installation Floater</t>
  </si>
  <si>
    <r>
      <t xml:space="preserve">Valuation (replacement cost vs. actual cash value)
</t>
    </r>
    <r>
      <rPr>
        <sz val="10"/>
        <color rgb="FFFF0000"/>
        <rFont val="Calibri"/>
        <family val="2"/>
        <scheme val="minor"/>
      </rPr>
      <t>Check policy to see if a specific timeframe applies changing the valuation from RC to ACV</t>
    </r>
  </si>
  <si>
    <t>Personal and Advertising Injury</t>
  </si>
  <si>
    <t>General Aggregate</t>
  </si>
  <si>
    <t>Damage to Premises Rented to You</t>
  </si>
  <si>
    <t>Employee Benefits Liability - Each Claim</t>
  </si>
  <si>
    <t>Employee Benefits Liability - Aggregate</t>
  </si>
  <si>
    <r>
      <t>Employee Benefits Liability (</t>
    </r>
    <r>
      <rPr>
        <sz val="11"/>
        <color rgb="FFFF0000"/>
        <rFont val="Calibri"/>
        <family val="2"/>
      </rPr>
      <t>Each Claim</t>
    </r>
    <r>
      <rPr>
        <sz val="11"/>
        <color theme="1"/>
        <rFont val="Calibri"/>
        <family val="2"/>
      </rPr>
      <t>)</t>
    </r>
  </si>
  <si>
    <t>Is coverage subject to audit?</t>
  </si>
  <si>
    <t>Surplus Lines Taxes - Expiring</t>
  </si>
  <si>
    <t>Surplus Lines Taxes - Exp. Adj.</t>
  </si>
  <si>
    <t>Surplus Lines Taxes - Option I</t>
  </si>
  <si>
    <t>Surplus Lines Taxes - Option II</t>
  </si>
  <si>
    <t>Stamping Fee - Expiring</t>
  </si>
  <si>
    <t>Stamping Fee - Exp. Adj.</t>
  </si>
  <si>
    <t>Stamping Fee - Option I</t>
  </si>
  <si>
    <t>Stamping Fee - Option II</t>
  </si>
  <si>
    <t xml:space="preserve">Surplus Lines Taxes </t>
  </si>
  <si>
    <t>Stamping Fee</t>
  </si>
  <si>
    <r>
      <t>Deductible (</t>
    </r>
    <r>
      <rPr>
        <sz val="11"/>
        <color rgb="FFFF0000"/>
        <rFont val="Calibri"/>
        <family val="2"/>
      </rPr>
      <t>per occurrence</t>
    </r>
    <r>
      <rPr>
        <sz val="11"/>
        <color theme="1"/>
        <rFont val="Calibri"/>
        <family val="2"/>
      </rPr>
      <t>)</t>
    </r>
  </si>
  <si>
    <t>Business Income/Extra Expense</t>
  </si>
  <si>
    <t>General Liability: Coverage applies to third party bodily injury or property damage losses arising from non-professional activities.
Property: First-party insurance that indemnifies the owner or user of property for its loss, or the loss of its income-producing ability, when the loss or damage is caused by a covered peril
Inland Marine: Physical damage to contractor's equipment</t>
  </si>
  <si>
    <t>Property: First-party insurance that indemnifies the owner or user of property for its loss, or the loss of its income-producing ability, when the loss or damage is caused by a covered peril
Inland Marine: Physical damage to contractor's equipment</t>
  </si>
  <si>
    <t>Number of Auto Rentals</t>
  </si>
  <si>
    <t>Statutory Limits</t>
  </si>
  <si>
    <t>Covers employee theft of corporate assets and/or third party assets.</t>
  </si>
  <si>
    <t>Directors &amp; Officers: Breach of duty, negligence, error or omission while acting as a Director and /or Officer.  
Employment Practices Liability: Protects the firm from the employment process, including wrongful termination, discrimination, and inappropriate workplace conduct along with theft of both insured's and client's assets.
Fiduciary Liability: Protects the Fiduciary and the Plan with respect to errors and omissions in the administration of employee benefit programs as imposed by the Employee Retirement Income Security Act (ERISA).
Crime: Covers employee theft of corporate assets and/or third party assets.</t>
  </si>
  <si>
    <r>
      <t xml:space="preserve">- Coverage applies to the following drones </t>
    </r>
    <r>
      <rPr>
        <u/>
        <sz val="10"/>
        <color theme="1"/>
        <rFont val="Calibri"/>
        <family val="2"/>
        <scheme val="minor"/>
      </rPr>
      <t>only</t>
    </r>
    <r>
      <rPr>
        <sz val="10"/>
        <color theme="1"/>
        <rFont val="Calibri"/>
        <family val="2"/>
        <scheme val="minor"/>
      </rPr>
      <t xml:space="preserve">: 
     - </t>
    </r>
    <r>
      <rPr>
        <sz val="10"/>
        <color rgb="FFFF0000"/>
        <rFont val="Calibri"/>
        <family val="2"/>
        <scheme val="minor"/>
      </rPr>
      <t>List all drones on the renewal quote here</t>
    </r>
    <r>
      <rPr>
        <sz val="10"/>
        <color theme="1"/>
        <rFont val="Calibri"/>
        <family val="2"/>
        <scheme val="minor"/>
      </rPr>
      <t xml:space="preserve">
     - </t>
    </r>
    <r>
      <rPr>
        <sz val="10"/>
        <color rgb="FFFF0000"/>
        <rFont val="Calibri"/>
        <family val="2"/>
        <scheme val="minor"/>
      </rPr>
      <t>Zzz</t>
    </r>
    <r>
      <rPr>
        <sz val="10"/>
        <color theme="1"/>
        <rFont val="Calibri"/>
        <family val="2"/>
        <scheme val="minor"/>
      </rPr>
      <t xml:space="preserve">
     - </t>
    </r>
    <r>
      <rPr>
        <sz val="10"/>
        <color rgb="FFFF0000"/>
        <rFont val="Calibri"/>
        <family val="2"/>
        <scheme val="minor"/>
      </rPr>
      <t>Zzz</t>
    </r>
    <r>
      <rPr>
        <sz val="10"/>
        <color theme="1"/>
        <rFont val="Calibri"/>
        <family val="2"/>
        <scheme val="minor"/>
      </rPr>
      <t xml:space="preserve">
- Please notify Greyling immediately if a new drone is purchased</t>
    </r>
  </si>
  <si>
    <t>Directors &amp; Officers Liability</t>
  </si>
  <si>
    <t>Outside the Premises (In Transit)</t>
  </si>
  <si>
    <t>Additional Side A Limit</t>
  </si>
  <si>
    <t>Derivative Demand Sublimit</t>
  </si>
  <si>
    <t>Wage &amp; Hour Sublimit</t>
  </si>
  <si>
    <t>Workplace Violence Sublimit</t>
  </si>
  <si>
    <t>Voluntary Compliance Program Sublimit</t>
  </si>
  <si>
    <t>Sec 4975 Sublimit</t>
  </si>
  <si>
    <t>Sec 502(c) Sublimit</t>
  </si>
  <si>
    <t>Pension Protection Act Sublimit</t>
  </si>
  <si>
    <t>Aggregate Liability Limit</t>
  </si>
  <si>
    <t>Telecommunications Fraud</t>
  </si>
  <si>
    <t>Side A | Non-Indemnifiable Claims</t>
  </si>
  <si>
    <t>Side B | Indemnifiable Claims</t>
  </si>
  <si>
    <t>Side C | Entity Claims</t>
  </si>
  <si>
    <t>Extended Reporting Period</t>
  </si>
  <si>
    <t>- 12 months for</t>
  </si>
  <si>
    <t>Duty to Defend?</t>
  </si>
  <si>
    <t>Advancement of Defense Costs (Non-Duty)</t>
  </si>
  <si>
    <t>Final Non-Appealable Conduct Exclusion Trigger</t>
  </si>
  <si>
    <t>Pre-Claim Inquiry  Coverage</t>
  </si>
  <si>
    <t>Non-Rescindable Contract</t>
  </si>
  <si>
    <t>Third Party Employment Practices Liability Coverage</t>
  </si>
  <si>
    <t>Debtor in Possession (DIP) Claims Carveback</t>
  </si>
  <si>
    <t>Definition of Application Limited to Current Policy</t>
  </si>
  <si>
    <t>Prior Notice</t>
  </si>
  <si>
    <t>Antitrust</t>
  </si>
  <si>
    <t>Occupational Safety / Health</t>
  </si>
  <si>
    <t>Wage &amp; Hour</t>
  </si>
  <si>
    <t>Trading of Money,  Securities or Property</t>
  </si>
  <si>
    <t>Data / Personal Information</t>
  </si>
  <si>
    <t>Trade Secrets</t>
  </si>
  <si>
    <t>Governmental Authority</t>
  </si>
  <si>
    <t>Voluntary Parting</t>
  </si>
  <si>
    <t>Business Interruption at Full Limit</t>
  </si>
  <si>
    <t>IT / Cloud Provider Business Interruption</t>
  </si>
  <si>
    <t>Regulatory Coverage at Full Limit</t>
  </si>
  <si>
    <t xml:space="preserve">Social Engineering Sublimit Included </t>
  </si>
  <si>
    <t>Bodily Injury</t>
  </si>
  <si>
    <t>Property Damage</t>
  </si>
  <si>
    <t>Fraud</t>
  </si>
  <si>
    <t>Illegal Profit</t>
  </si>
  <si>
    <t>Pollutants</t>
  </si>
  <si>
    <t>Prior Knowledge</t>
  </si>
  <si>
    <t>Patient Protection and Affordable Care Act (PPACA) Sublimit</t>
  </si>
  <si>
    <t>Employee Stock Ownership Plan (ESOP) Coverage?</t>
  </si>
  <si>
    <t>Terrorism Risk Insurance Act (TRIA) Coverage?</t>
  </si>
  <si>
    <t>National Labor Relations Act (NLRA)</t>
  </si>
  <si>
    <t>exclusion addressing collective bargaining</t>
  </si>
  <si>
    <t>Employee Retirement Income Security Act (ERISA)</t>
  </si>
  <si>
    <t>Fellow Employee</t>
  </si>
  <si>
    <t>Racing</t>
  </si>
  <si>
    <t>Coverage includes:</t>
  </si>
  <si>
    <t>- Accidental Death</t>
  </si>
  <si>
    <t>- Accidental Dismemberment and Paralysis, Coma Benefits</t>
  </si>
  <si>
    <t>Time Element - Business Income</t>
  </si>
  <si>
    <t>Contractors Equipment (replacement cost vs. actual cash value vs. agreed value)</t>
  </si>
  <si>
    <t>Direct Damage (replacement cost vs. actual cash value vs. agreed value)</t>
  </si>
  <si>
    <t>Protective Safeguards?</t>
  </si>
  <si>
    <t>Automobile Liability and Physical Damage</t>
  </si>
  <si>
    <t>Voluntary Compensation and Employers Liability</t>
  </si>
  <si>
    <t>Travel Accident and Sickness</t>
  </si>
  <si>
    <t>Workers Compensation and Employers Liability</t>
  </si>
  <si>
    <t>Additional Insured</t>
  </si>
  <si>
    <t>General Liability - Vendors</t>
  </si>
  <si>
    <t xml:space="preserve">General Liability - Where Required Under Written Contract </t>
  </si>
  <si>
    <t xml:space="preserve">Auto Liability and Physical Damage - Where Required Under Written Contract </t>
  </si>
  <si>
    <t>Limited Knowledge of Occurrence</t>
  </si>
  <si>
    <t>Enhanced Incidental Medical Malpractice</t>
  </si>
  <si>
    <t>Newly Acquired Entity Coverage Extended</t>
  </si>
  <si>
    <t>Emergency Security and Political Evacuation</t>
  </si>
  <si>
    <t>Yes</t>
  </si>
  <si>
    <t>Person-Weeks mean the total number of weeks or part thereof that each covered employee is traveling or on assignment, during the policy period, relating to business operations covered by this policy.</t>
  </si>
  <si>
    <t>Remuneration means means the compensation by an employer under the contract of hiring in force at the time of the injury, including the reasonable value of any advantage which is received from the employer including overtime, cost of living allowances, board and lodging and cash allowances. It does not include employer payment for or contributions to a retirement, pension, health and welfare, life insurance, training, social security or other employee or dependent benefit plan for the employee’s or dependent’s benefit, or any other employee’s dependent entitlement.</t>
  </si>
  <si>
    <t>Each Loss Sustained or Each Loss Discovered</t>
  </si>
  <si>
    <t>Taxes &amp; Assessments</t>
  </si>
  <si>
    <t>Hired Auto (Rental Expenditures)</t>
  </si>
  <si>
    <t>Rates Per State (Prior to Credit/Debit Changes)</t>
  </si>
  <si>
    <t>Ride Sharing for a Fee</t>
  </si>
  <si>
    <t>Actual Loss Sustained; however, the most the Insurer will pay is the lessor of the actual loss sustained or the limit of insurance whichever is less</t>
  </si>
  <si>
    <t>% Owned</t>
  </si>
  <si>
    <t>Blanket Primary and Non-Contributory Wording?</t>
  </si>
  <si>
    <t>Blanket Waiver of Subrogation?</t>
  </si>
  <si>
    <t>Microbial Substance Coverage (mold)</t>
  </si>
  <si>
    <t>Defense Cost Outside the Limits for CPL and GL?</t>
  </si>
  <si>
    <t>Defense Cost Inside the Limits and subject to the deductible for PL?</t>
  </si>
  <si>
    <t>Provision of Separate Aggregate Limit for Pollution Coverages?</t>
  </si>
  <si>
    <r>
      <t xml:space="preserve">Per Project General Aggregate Endorsement 
</t>
    </r>
    <r>
      <rPr>
        <i/>
        <sz val="10"/>
        <color theme="1"/>
        <rFont val="Calibri"/>
        <family val="2"/>
        <scheme val="minor"/>
      </rPr>
      <t>Blanket Basis for GL
Where required by written contract for CPL</t>
    </r>
  </si>
  <si>
    <t>Contingent Transportation Pollution Liability (transportation by 3rd party haulers)</t>
  </si>
  <si>
    <t>Property Damage Coverage</t>
  </si>
  <si>
    <t>Blanket Non-Owned (Disposal) Site Coverage - On &amp; Off Site</t>
  </si>
  <si>
    <t>Bodily Injury Coverage</t>
  </si>
  <si>
    <t>CPL form definition of “Your Work” includes work “by or on behalf of”</t>
  </si>
  <si>
    <t>PL deductible applies once in relation to each act, error, or omissions regardless of number of claims?</t>
  </si>
  <si>
    <t xml:space="preserve">Waste Brokering </t>
  </si>
  <si>
    <t>Knowingly Wrongful Acts</t>
  </si>
  <si>
    <t>Contractual Liability, “insured contract” exception</t>
  </si>
  <si>
    <t>Products</t>
  </si>
  <si>
    <t>Off-Site Waste Disposal (except as provided by Waste Brokerage endorsement)</t>
  </si>
  <si>
    <t>Damage to Care, Custody, Control Property or Your Work</t>
  </si>
  <si>
    <t>Express Warranties or Guarantees</t>
  </si>
  <si>
    <t>Workers Compensation/Employers Liability</t>
  </si>
  <si>
    <t>Suretyship and Insurance</t>
  </si>
  <si>
    <t>Bankruptcy</t>
  </si>
  <si>
    <t>Project-Specific Coverage</t>
  </si>
  <si>
    <t>Professional Liability &amp; Contractor´s Pollution Liability</t>
  </si>
  <si>
    <t>Workers Compensation/Employer’s Liability</t>
  </si>
  <si>
    <t>Mobile Equipment</t>
  </si>
  <si>
    <t>Damage to Property</t>
  </si>
  <si>
    <t>Damage to Your Product</t>
  </si>
  <si>
    <t>Damage to Your Work</t>
  </si>
  <si>
    <t>Damage to Impaired Property or Property Not Physically Injured</t>
  </si>
  <si>
    <t>Recall of Products, Work or Impaired Property</t>
  </si>
  <si>
    <t>Electronic Data</t>
  </si>
  <si>
    <t>Nuclear</t>
  </si>
  <si>
    <t>Fungi</t>
  </si>
  <si>
    <t>Fines/Penalties</t>
  </si>
  <si>
    <t xml:space="preserve">Commercial General Liability </t>
  </si>
  <si>
    <t>- Pay Full Premium within 15 Days of Invoice Date: Payment made through Greyling Insurance Brokerage.</t>
  </si>
  <si>
    <t>• Direct Bill - make payments directly to insurance company</t>
  </si>
  <si>
    <t>̶  1st installment (due 4/1): 30% plus surcharges</t>
  </si>
  <si>
    <t>̶  2nd installment (due 7/1): 25%</t>
  </si>
  <si>
    <t>̶  3rd installment (due 10/1): 25%</t>
  </si>
  <si>
    <t>̶  4th installment (due 1/1): 20%</t>
  </si>
  <si>
    <t>• Agency Bill - make payments to Greyling</t>
  </si>
  <si>
    <t>̶  1st installment (due 8/1): 30% plus surcharges</t>
  </si>
  <si>
    <t>̶  2nd installment (due 11/1): 25%</t>
  </si>
  <si>
    <t>̶  3rd installment (due 2/1): 25%</t>
  </si>
  <si>
    <t>̶  4th installment (due 5/1): 20%</t>
  </si>
  <si>
    <t>̶  25% down with 9 equal payments</t>
  </si>
  <si>
    <t>̶  35% down with 9 equal payments</t>
  </si>
  <si>
    <t>̶  40% down with 9 equal payments</t>
  </si>
  <si>
    <t>̶  60% down with 9 equal payments</t>
  </si>
  <si>
    <t>Chubb</t>
  </si>
  <si>
    <t>̶   Full Pay</t>
  </si>
  <si>
    <t>̶  Quarterly Installments</t>
  </si>
  <si>
    <t>̶  25% Down and 9 Installments</t>
  </si>
  <si>
    <t>A surcharge amount is applies to installment plans which is determined depending on the state.</t>
  </si>
  <si>
    <t xml:space="preserve">○ Property &amp; Casualty Only
</t>
  </si>
  <si>
    <t>CNA</t>
  </si>
  <si>
    <t xml:space="preserve">○ Professional Liability Only
</t>
  </si>
  <si>
    <t>A $7 per transaction fee applies to each payment.</t>
  </si>
  <si>
    <t>̶  Semi-Annual (60% down and 1st installment at 180 days)</t>
  </si>
  <si>
    <t>̶  Quarterly (33% down and 3 installments at 90 / 180 / 270 days)</t>
  </si>
  <si>
    <t>̶  Monthly (25% down and 7 monthly installments)</t>
  </si>
  <si>
    <t>̶  Monthly (25% down and 9 monthly installments)</t>
  </si>
  <si>
    <t>Hartford</t>
  </si>
  <si>
    <t>̶  10 Pay</t>
  </si>
  <si>
    <t>̶  4 Pay</t>
  </si>
  <si>
    <t>̶  2 Pay</t>
  </si>
  <si>
    <t>All have equal downpayment and installments.  $7 per transaction fee applies to each payment.</t>
  </si>
  <si>
    <t>RLI</t>
  </si>
  <si>
    <t>̶  50% down and 1 payment</t>
  </si>
  <si>
    <t>̶  25% down and 3 payments</t>
  </si>
  <si>
    <t>̶  20% down and 9 payments</t>
  </si>
  <si>
    <t>A $9 per transaction fee applies to each payment.</t>
  </si>
  <si>
    <t>Travelers</t>
  </si>
  <si>
    <t xml:space="preserve">○ Executive Risk Only
</t>
  </si>
  <si>
    <t>̶   50% down and 1 payment</t>
  </si>
  <si>
    <t>̶  25% down and 5 payments</t>
  </si>
  <si>
    <t>̶  25% down and 9 payments</t>
  </si>
  <si>
    <t>̶  10 payments</t>
  </si>
  <si>
    <t>A $6 per transaction fee applies to each payment.</t>
  </si>
  <si>
    <t>Evolution Captive</t>
  </si>
  <si>
    <t>REvolution Captive</t>
  </si>
  <si>
    <t>Zurich</t>
  </si>
  <si>
    <t>̶  40/30/30 payment plan</t>
  </si>
  <si>
    <t>̶  3 Pay</t>
  </si>
  <si>
    <t>̶  11 Pay</t>
  </si>
  <si>
    <t>̶  12 Pay</t>
  </si>
  <si>
    <t>- Employee Benefits Liability</t>
  </si>
  <si>
    <t>- Foreign Employee Benefits Liability</t>
  </si>
  <si>
    <t>- Directors &amp; Officers Liability</t>
  </si>
  <si>
    <t xml:space="preserve">- Employment Practices Liability </t>
  </si>
  <si>
    <t>- Fiduciary Liability</t>
  </si>
  <si>
    <t>- Commercial Crime</t>
  </si>
  <si>
    <r>
      <t xml:space="preserve">- </t>
    </r>
    <r>
      <rPr>
        <sz val="10"/>
        <color rgb="FFFF0000"/>
        <rFont val="Calibri"/>
        <family val="2"/>
        <scheme val="minor"/>
      </rPr>
      <t>Insert Payment Plan</t>
    </r>
  </si>
  <si>
    <t>- Excess of Project Specific Policies</t>
  </si>
  <si>
    <t>- Limits drop down if project specific policy limits are reduced or exhausted</t>
  </si>
  <si>
    <t>- Project Policy Difference in Conditions Coverage</t>
  </si>
  <si>
    <t>Nuclear liability:</t>
  </si>
  <si>
    <t>- United States Department of Energy, Price Anderson,  Atomic Energy Acts coverage</t>
  </si>
  <si>
    <t>- Low-level coverage</t>
  </si>
  <si>
    <t>Building Heating Equipment and Hostile Fire Exceptions</t>
  </si>
  <si>
    <t>Binder Reviewed</t>
  </si>
  <si>
    <t>Policy Number Received</t>
  </si>
  <si>
    <t>If the policy does not follow form, unhide the key terms &amp; conditions below and complete this section.</t>
  </si>
  <si>
    <r>
      <t xml:space="preserve">If the policy </t>
    </r>
    <r>
      <rPr>
        <u/>
        <sz val="10"/>
        <color rgb="FFFF0000"/>
        <rFont val="Calibri"/>
        <family val="2"/>
        <scheme val="minor"/>
      </rPr>
      <t xml:space="preserve">does not </t>
    </r>
    <r>
      <rPr>
        <sz val="10"/>
        <color rgb="FFFF0000"/>
        <rFont val="Calibri"/>
        <family val="2"/>
        <scheme val="minor"/>
      </rPr>
      <t>follow form, unhide the key terms &amp; conditions below and complete this section.</t>
    </r>
  </si>
  <si>
    <t>As per primary policy</t>
  </si>
  <si>
    <t>If the policy does not follow form, unhide the Notable Exclusions below and complete this section.</t>
  </si>
  <si>
    <r>
      <t xml:space="preserve">If the policy </t>
    </r>
    <r>
      <rPr>
        <u/>
        <sz val="10"/>
        <color rgb="FFFF0000"/>
        <rFont val="Calibri"/>
        <family val="2"/>
        <scheme val="minor"/>
      </rPr>
      <t>does not</t>
    </r>
    <r>
      <rPr>
        <sz val="10"/>
        <color rgb="FFFF0000"/>
        <rFont val="Calibri"/>
        <family val="2"/>
        <scheme val="minor"/>
      </rPr>
      <t xml:space="preserve"> follow form, unhide the Notable Exclusions below and complete this section.</t>
    </r>
  </si>
  <si>
    <t>-       Coverage is available for states not scheduled in Part 3A of the policy if there is known work in the state prior to 
        or on the effective date. However, please notify us as soon as possible as insurers may decline coverage if they are 
        not notified within 30 days</t>
  </si>
  <si>
    <t>A full named insured analysis tab is available if you would prefer to show this to the client. You will need to unhide the "Named Insured Analysis" tab in the template to access it.</t>
  </si>
  <si>
    <t>Be sure to amend the policies referenced in this section to only reflect the policies that are applicable to the proposal</t>
  </si>
  <si>
    <t>A Professional Liability only Insurers Approached tab is available if you would prefer to show this to the client. You will need to unhide the "Insurers Approached (PL)" tab in the template to access it.</t>
  </si>
  <si>
    <t>Fill in the class code descriptions per the policy wording</t>
  </si>
  <si>
    <t>Other</t>
  </si>
  <si>
    <t>-       Each policy includes an Economic Sanctions exclusion. Please check the Department of Treasury website if they are working in foreign countries/have foreign clients</t>
  </si>
  <si>
    <t>Commission % - Expiring</t>
  </si>
  <si>
    <t>Commission % - Exp. Adj.</t>
  </si>
  <si>
    <t>Commission % - Option I</t>
  </si>
  <si>
    <t>Commission % - Option II</t>
  </si>
  <si>
    <t>Broker Comments</t>
  </si>
  <si>
    <t>The sublimit is for a carveback on civil fines/penalties under the Act (oka Obamacare)</t>
  </si>
  <si>
    <t>Primary Non-Contributory</t>
  </si>
  <si>
    <t>Broad Form Named Insured?</t>
  </si>
  <si>
    <t>Notice of Cancellation or Non-Renewal to First Named Insured - 30 days</t>
  </si>
  <si>
    <t>Notice of Cancellation or Non-Renewal to Others - 30 days</t>
  </si>
  <si>
    <t>Blanket Additional Insured</t>
  </si>
  <si>
    <t>Medical Expenses Coverage?</t>
  </si>
  <si>
    <r>
      <t xml:space="preserve">Fire Legal Liability Coverage?
</t>
    </r>
    <r>
      <rPr>
        <i/>
        <sz val="10"/>
        <color theme="1"/>
        <rFont val="Calibri"/>
        <family val="2"/>
        <scheme val="minor"/>
      </rPr>
      <t>(Property damage caused by fire to any premises rented or leased to you and used by you in connection with the storage, maintenance or operation of scheduled aircraft</t>
    </r>
    <r>
      <rPr>
        <sz val="10"/>
        <color theme="1"/>
        <rFont val="Calibri"/>
        <family val="2"/>
        <scheme val="minor"/>
      </rPr>
      <t>)</t>
    </r>
  </si>
  <si>
    <t>Automatic Coverage for Newly Acquired Aircrafts - 30 days</t>
  </si>
  <si>
    <t>A121 Additional Insured - Charter Agreement Endorsement</t>
  </si>
  <si>
    <t>A125 Amendment of Defined Terms</t>
  </si>
  <si>
    <t>C022 Limited Liability War Exclusion Limited Coverage</t>
  </si>
  <si>
    <t>C023 Limited Physical Damage War Exclusion Limited Coverage</t>
  </si>
  <si>
    <t>C025 Electronic Date Recognition Exclusion Limited Coverage</t>
  </si>
  <si>
    <t>C036 Expenses for Medical Services - $5,000 each occurrence</t>
  </si>
  <si>
    <t>C039 Liability for Sale of Aircraft, Aircraft Parts or Services</t>
  </si>
  <si>
    <t>C054 TRIA Coverage - Hull &amp; Liability</t>
  </si>
  <si>
    <t>C064 Premises Coverage</t>
  </si>
  <si>
    <t>C095 Expanded Contractual Liability Endorsement</t>
  </si>
  <si>
    <t>C097 Payload Physical Damage Endorsement</t>
  </si>
  <si>
    <t>D004 TRIA Disclosure</t>
  </si>
  <si>
    <t>C061 Aviation Personal And Advertising Injury Liability - $5M</t>
  </si>
  <si>
    <t>C066 Fire Legal Liability $100,000 each occurrence</t>
  </si>
  <si>
    <t>N004 Non-Owned Aircraft Liability Unmanned Aircraft System</t>
  </si>
  <si>
    <t>Liability for Sale of Aircraft, Aircraft Parts or Services</t>
  </si>
  <si>
    <t>Aviation Personal And Advertising Injury Liability</t>
  </si>
  <si>
    <t>Premises Coverage</t>
  </si>
  <si>
    <t>Expanded Contractual Liability Coverage</t>
  </si>
  <si>
    <t>Payload Physical Damage Coverage</t>
  </si>
  <si>
    <t>Non-Owned Aircraft Liability - Unmanned Aircraft System</t>
  </si>
  <si>
    <t>Admitted</t>
  </si>
  <si>
    <t>UAS (03/16) - Aviation Insurance Policy Unmanned Aircraft</t>
  </si>
  <si>
    <t>Occurrence</t>
  </si>
  <si>
    <t>No</t>
  </si>
  <si>
    <r>
      <rPr>
        <b/>
        <sz val="11"/>
        <color rgb="FF00B050"/>
        <rFont val="Wingdings"/>
        <charset val="2"/>
      </rPr>
      <t>ü</t>
    </r>
    <r>
      <rPr>
        <b/>
        <sz val="11"/>
        <color rgb="FFFF0000"/>
        <rFont val="Wingdings"/>
        <charset val="2"/>
      </rPr>
      <t xml:space="preserve">
</t>
    </r>
    <r>
      <rPr>
        <sz val="10"/>
        <rFont val="Calibri"/>
        <family val="2"/>
        <scheme val="minor"/>
      </rPr>
      <t>(where required by written contract)</t>
    </r>
  </si>
  <si>
    <r>
      <t xml:space="preserve">ü
</t>
    </r>
    <r>
      <rPr>
        <sz val="10"/>
        <rFont val="Calibri"/>
        <family val="2"/>
        <scheme val="minor"/>
      </rPr>
      <t>($5,000 sublimit per occurrence)</t>
    </r>
  </si>
  <si>
    <r>
      <t xml:space="preserve">ü
</t>
    </r>
    <r>
      <rPr>
        <sz val="10"/>
        <rFont val="Calibri"/>
        <family val="2"/>
        <scheme val="minor"/>
      </rPr>
      <t>($100,000 sublimit per occurrence)</t>
    </r>
  </si>
  <si>
    <r>
      <t xml:space="preserve">ü
</t>
    </r>
    <r>
      <rPr>
        <sz val="10"/>
        <rFont val="Calibri"/>
        <family val="2"/>
        <scheme val="minor"/>
      </rPr>
      <t>($5,000,000)</t>
    </r>
  </si>
  <si>
    <t>Bankruptcy or Insolvency</t>
  </si>
  <si>
    <t>Failure to Give Notice</t>
  </si>
  <si>
    <t>Workers Compensation and Similar Laws</t>
  </si>
  <si>
    <t>Bodily Injury or Property Damage resulting from the release of a dispensable load (any property while being loaded, unloaded, or carried on board the aircraft component)</t>
  </si>
  <si>
    <t>War, Hi-Jacking</t>
  </si>
  <si>
    <t>Electronic Data Recognition</t>
  </si>
  <si>
    <t>Nuclear Risks</t>
  </si>
  <si>
    <t>Any discharge or release of Munitions (whether intentional or unintentional)</t>
  </si>
  <si>
    <t>Noise, Pollution, and Other Perils</t>
  </si>
  <si>
    <t>Employment Related Practices</t>
  </si>
  <si>
    <t>Damage to Installed Tires on the Aircraft</t>
  </si>
  <si>
    <t>Not Excluded</t>
  </si>
  <si>
    <t>Excluded</t>
  </si>
  <si>
    <r>
      <rPr>
        <b/>
        <sz val="10"/>
        <color rgb="FFFF0000"/>
        <rFont val="Calibri"/>
        <family val="2"/>
        <scheme val="minor"/>
      </rPr>
      <t>Excluded</t>
    </r>
    <r>
      <rPr>
        <sz val="10"/>
        <color theme="1"/>
        <rFont val="Calibri"/>
        <family val="2"/>
        <scheme val="minor"/>
      </rPr>
      <t xml:space="preserve"> for Liability only</t>
    </r>
  </si>
  <si>
    <r>
      <rPr>
        <b/>
        <sz val="10"/>
        <color rgb="FFFF0000"/>
        <rFont val="Calibri"/>
        <family val="2"/>
        <scheme val="minor"/>
      </rPr>
      <t>Excluded</t>
    </r>
    <r>
      <rPr>
        <sz val="10"/>
        <color theme="1"/>
        <rFont val="Calibri"/>
        <family val="2"/>
        <scheme val="minor"/>
      </rPr>
      <t xml:space="preserve"> for Physical Damage only</t>
    </r>
  </si>
  <si>
    <t>Global Aerospace</t>
  </si>
  <si>
    <t>These are the standard endorsements that should be included on every Global Aerospace policy. The items in green are important and represent additional coverages for our clients</t>
  </si>
  <si>
    <t>Hiscox</t>
  </si>
  <si>
    <t>admitted</t>
  </si>
  <si>
    <t>occurrence</t>
  </si>
  <si>
    <t>Alternate Loss of Earnings</t>
  </si>
  <si>
    <t>Disappearance Investigation and Expense</t>
  </si>
  <si>
    <t>Expatriate Security Evacuation</t>
  </si>
  <si>
    <t>Express Kidnap</t>
  </si>
  <si>
    <t>Hostage Crisis</t>
  </si>
  <si>
    <t>Insured Amendatory - Consolidation/Merger</t>
  </si>
  <si>
    <t>Notice of Terrorism Insurance Coverage</t>
  </si>
  <si>
    <t>Threat Response Expense</t>
  </si>
  <si>
    <t>Travel Security Evacuation</t>
  </si>
  <si>
    <t>Endorsements - Hiscox</t>
  </si>
  <si>
    <t>K&amp;R E314 CW (07/10)</t>
  </si>
  <si>
    <t>K&amp;R E338 CW (12/09)</t>
  </si>
  <si>
    <t>K&amp;R E303 CW (12/09)</t>
  </si>
  <si>
    <t>K&amp;R E304 CW (04/11)</t>
  </si>
  <si>
    <t>K&amp;R E301 CW (12/09)</t>
  </si>
  <si>
    <t>K&amp;R E317 CW (02/12)</t>
  </si>
  <si>
    <t>K&amp;R E339 CW (12/09)</t>
  </si>
  <si>
    <t>K&amp;R E372 CW (12/09)</t>
  </si>
  <si>
    <t>K&amp;R E302 CW (01/09)</t>
  </si>
  <si>
    <t>K&amp;R E306 CW (05/10)</t>
  </si>
  <si>
    <r>
      <rPr>
        <i/>
        <u/>
        <sz val="10"/>
        <color rgb="FFFF0000"/>
        <rFont val="Calibri"/>
        <family val="2"/>
        <scheme val="minor"/>
      </rPr>
      <t>AIG</t>
    </r>
    <r>
      <rPr>
        <i/>
        <sz val="10"/>
        <color rgb="FFFF0000"/>
        <rFont val="Calibri"/>
        <family val="2"/>
        <scheme val="minor"/>
      </rPr>
      <t xml:space="preserve">
o 12 months for  
o 24 months for 
o 36 months for 
o 60 months for 
</t>
    </r>
    <r>
      <rPr>
        <i/>
        <u/>
        <sz val="10"/>
        <color rgb="FFFF0000"/>
        <rFont val="Calibri"/>
        <family val="2"/>
        <scheme val="minor"/>
      </rPr>
      <t>Chubb</t>
    </r>
    <r>
      <rPr>
        <i/>
        <sz val="10"/>
        <color rgb="FFFF0000"/>
        <rFont val="Calibri"/>
        <family val="2"/>
        <scheme val="minor"/>
      </rPr>
      <t xml:space="preserve">
o 12 months for 100% of annual premium 
o 24 months N/A 
o 36 months for 150% of annual premium
o 60 months subject to underwriting
</t>
    </r>
    <r>
      <rPr>
        <i/>
        <u/>
        <sz val="10"/>
        <color rgb="FFFF0000"/>
        <rFont val="Calibri"/>
        <family val="2"/>
        <scheme val="minor"/>
      </rPr>
      <t>Philadelphia</t>
    </r>
    <r>
      <rPr>
        <i/>
        <sz val="10"/>
        <color rgb="FFFF0000"/>
        <rFont val="Calibri"/>
        <family val="2"/>
        <scheme val="minor"/>
      </rPr>
      <t xml:space="preserve">
o 12 months for 90% of annual premium  
o 24 months for 175% of annual premium 
o 36 months for  225% of annual premium
o 60 months N/A </t>
    </r>
  </si>
  <si>
    <t>Continuity Date</t>
  </si>
  <si>
    <t>If Chubb, try to combine with Exec Risk policy.</t>
  </si>
  <si>
    <t>Response Fees and Expenses</t>
  </si>
  <si>
    <t>Additional Expenses</t>
  </si>
  <si>
    <t>Legal Liability</t>
  </si>
  <si>
    <t>Personal Accident</t>
  </si>
  <si>
    <t>Per Person</t>
  </si>
  <si>
    <t>Per Insured Event</t>
  </si>
  <si>
    <t>Control Risks is the company Hiscox uses</t>
  </si>
  <si>
    <t>Disappearance Investigation &amp; Expense</t>
  </si>
  <si>
    <t>ZZZ Hours</t>
  </si>
  <si>
    <t>Policy Waiting Period</t>
  </si>
  <si>
    <t>*General Liability
With regard to any terminated partnership or joint venture not shown in the Declarations, you are an insured as respects to the "products-completed operations hazard" only, for "bodily injury" or "property damage" arising out of such terminated partnership or joint venture. The insurance provided by this provision will not insure to the benefit of any party except you</t>
  </si>
  <si>
    <t>*Professional Liability
Insured means: joint ventures in which the Named Insured is named as a co-venturer, but only as respects the Insured’s legal liability arising out of the Insured’s participation in such joint venture</t>
  </si>
  <si>
    <t>**Any other Joint Venture will need to be scheduled in order for it to be fully covered by the policy</t>
  </si>
  <si>
    <t>Joint Ventures</t>
  </si>
  <si>
    <t>Liquidated damages</t>
  </si>
  <si>
    <t>Carveback for liability the Insured would have had in the absence of a Liquidated Damages agreement</t>
  </si>
  <si>
    <t>Carveback for negligence</t>
  </si>
  <si>
    <t>Warranties and guarantees</t>
  </si>
  <si>
    <t>Notice to Named Insured</t>
  </si>
  <si>
    <t>Notice to named insured</t>
  </si>
  <si>
    <t>Aircraft</t>
  </si>
  <si>
    <t>Products and Grounding</t>
  </si>
  <si>
    <t>Unmanned Aerial Vehicle (UAV) - Owned</t>
  </si>
  <si>
    <t>Unmanned Aerial Vehicle (UAV) - Non-Owned (subcontracted)</t>
  </si>
  <si>
    <t>Unmanned Aerial Vehicle (UAV) - Non-Owned (Employee Owned)</t>
  </si>
  <si>
    <t>Fixed/Rotary/Manned Aircraft</t>
  </si>
  <si>
    <t>Auto</t>
  </si>
  <si>
    <t>Watercraft</t>
  </si>
  <si>
    <t>Owned</t>
  </si>
  <si>
    <r>
      <t xml:space="preserve">Non-Owned </t>
    </r>
    <r>
      <rPr>
        <i/>
        <sz val="10"/>
        <color rgb="FFFF0000"/>
        <rFont val="Calibri"/>
        <family val="2"/>
        <scheme val="minor"/>
      </rPr>
      <t>(up to zzz feet)</t>
    </r>
  </si>
  <si>
    <t>3344 Peachtree Rd NE, Atlanta GA 30326</t>
  </si>
  <si>
    <t>The Continental Insurance Company (CNA)</t>
  </si>
  <si>
    <t>A: XV</t>
  </si>
  <si>
    <t>CG0001</t>
  </si>
  <si>
    <t>CNA74721XX</t>
  </si>
  <si>
    <t>WP0009</t>
  </si>
  <si>
    <t>WP0010</t>
  </si>
  <si>
    <t>CNA85270XX</t>
  </si>
  <si>
    <t>WP0060</t>
  </si>
  <si>
    <t>CNA91976XX</t>
  </si>
  <si>
    <t>Additional Declarations – General Liability Schedule of Locations and Coverages</t>
  </si>
  <si>
    <t>CNA75126WW</t>
  </si>
  <si>
    <t>International Bridge Endorsement</t>
  </si>
  <si>
    <t>CNA80938XX</t>
  </si>
  <si>
    <t>Pollution Exclusion Amendatory Endorsement</t>
  </si>
  <si>
    <t>CNA74843XX</t>
  </si>
  <si>
    <t>Silica Exclusion Endorsement</t>
  </si>
  <si>
    <t>CNA74687XX</t>
  </si>
  <si>
    <t>CNA74708XX</t>
  </si>
  <si>
    <t>Asbestos Exclusion</t>
  </si>
  <si>
    <t>CNA74719XX</t>
  </si>
  <si>
    <t>Nuclear Energy Liability Exclusion</t>
  </si>
  <si>
    <t>CNA80939XX</t>
  </si>
  <si>
    <t>Respirable Dust Exclusion</t>
  </si>
  <si>
    <t>CNA74712XX</t>
  </si>
  <si>
    <t>Employment-Related Practices Exclusion Endorsement</t>
  </si>
  <si>
    <t>CNA74761XX</t>
  </si>
  <si>
    <t>CNA74893XX</t>
  </si>
  <si>
    <t>Exclusion - Access or Disclosure of Confidential or Personal Information and Data-Related Liability – with Limited Bodily Injury Exception Endorsement</t>
  </si>
  <si>
    <t>CNA75089XX</t>
  </si>
  <si>
    <t>Amendment – Infringement of Copyright, Patent, Trademark, Trade Secret or Other Intellectual Property Rights or Laws Endorsement</t>
  </si>
  <si>
    <t>CNA75116XX</t>
  </si>
  <si>
    <t>CNA80931XX</t>
  </si>
  <si>
    <t>Fungi/Mold/Mildew/Yeast/Microbe Exclusion</t>
  </si>
  <si>
    <t xml:space="preserve">Pollution Exclusion – Time Element Coverage </t>
  </si>
  <si>
    <t>International Employee Benefits Liability Bridge Endorsement</t>
  </si>
  <si>
    <t>CNA80927XX</t>
  </si>
  <si>
    <t>Hired Automobile and Non-Owned Automobile Combined Single Limit DIC/Excess Physical Damage Coverage Endorsement – 90 Days for Temporary Travel</t>
  </si>
  <si>
    <t>CNA89507XX</t>
  </si>
  <si>
    <t>CNA85112XX</t>
  </si>
  <si>
    <t>Employees as Insureds Endorsement</t>
  </si>
  <si>
    <t>CNA85466XX</t>
  </si>
  <si>
    <t>24/7 Coverage for Business Travel and Amendment – Other Insurance</t>
  </si>
  <si>
    <t>CNA85072XX</t>
  </si>
  <si>
    <t>Political, Security and Natural Catastrophe Evacuation and Relocation Expense Endorsement</t>
  </si>
  <si>
    <t>CNA85343XX</t>
  </si>
  <si>
    <t>Amended Definition of Temporary Travel Endorsement – 90 Days</t>
  </si>
  <si>
    <t>CNA87634XX</t>
  </si>
  <si>
    <t>Amendment – Repatriation Expense Coverage Endorsement</t>
  </si>
  <si>
    <t>CNA88057XX</t>
  </si>
  <si>
    <t>Amendment – Definitions Endorsement</t>
  </si>
  <si>
    <t>CNA89412XX</t>
  </si>
  <si>
    <t>Direct Payment of Independent Security Consultant</t>
  </si>
  <si>
    <t>CNA88979XX</t>
  </si>
  <si>
    <t>Expatriate Evacuation &amp; Repatriation Expenses Endorsement</t>
  </si>
  <si>
    <t>CNA88962XX</t>
  </si>
  <si>
    <t>Threat Response Endorsement</t>
  </si>
  <si>
    <t>CNA88961XX</t>
  </si>
  <si>
    <t>- None</t>
  </si>
  <si>
    <t>WR3762 (06/19)</t>
  </si>
  <si>
    <t>Amended Notice of Cancellation - 90 days</t>
  </si>
  <si>
    <t>Amended Notice of Nonrenewal - 90 days</t>
  </si>
  <si>
    <t>Broad Named Insured</t>
  </si>
  <si>
    <t>Common Conditions and Definitions</t>
  </si>
  <si>
    <t>Coverage Territory-Amended (Excluded Locations)</t>
  </si>
  <si>
    <t>Named Insured Expanded</t>
  </si>
  <si>
    <t>Unintentional Errors and Omissions</t>
  </si>
  <si>
    <t>WS3599 (06/19)</t>
  </si>
  <si>
    <t>89338WR (06/18)</t>
  </si>
  <si>
    <t>83762WR(12/03)</t>
  </si>
  <si>
    <t>Additional Insured - Vendors</t>
  </si>
  <si>
    <t>Additional Insured - Where Required Under Contract or Agreement</t>
  </si>
  <si>
    <t>Amendatory - Foreign Commercial General Liability</t>
  </si>
  <si>
    <t>Crisis Response Coverage Extension</t>
  </si>
  <si>
    <t>Deletion of Fellow Employee Exclusion</t>
  </si>
  <si>
    <t>Employee Benefits Liability - Claims Made Coverage</t>
  </si>
  <si>
    <t>Enhanced Amendment of Duties in the Event of Occurrence, Offense, Claim or Suit</t>
  </si>
  <si>
    <t>Exclusion - Construction Management Errors and Omissions</t>
  </si>
  <si>
    <t>Exclusion - Engineers, Architects or Surveyors Professional Liability</t>
  </si>
  <si>
    <t xml:space="preserve">Exclusion - Testing or Consulting Errors and Omissions </t>
  </si>
  <si>
    <t>Exclusion - Underground Resources and Equipment</t>
  </si>
  <si>
    <t>Newly Acquired Entity Coverage Extended - 180 days</t>
  </si>
  <si>
    <t xml:space="preserve">Waiver of Transfer of Rights of Recovery Against Others To Us  </t>
  </si>
  <si>
    <t>78995WR (11/03)</t>
  </si>
  <si>
    <t>79007WR (11/03)</t>
  </si>
  <si>
    <t>79035WR (11/03)</t>
  </si>
  <si>
    <t>79036WR (11/03)</t>
  </si>
  <si>
    <t>Fellow Employee Exclusion - Deleted</t>
  </si>
  <si>
    <t>Additional Insured - Where Required Under Contract</t>
  </si>
  <si>
    <t>Terrorism Exclusion - Deleted</t>
  </si>
  <si>
    <t>Waiver of Rights of Recovery Against Others - Amended</t>
  </si>
  <si>
    <t>WS0050 (12/05)</t>
  </si>
  <si>
    <t>WS0092 (02/06)</t>
  </si>
  <si>
    <t>WS2501WR (05/13)</t>
  </si>
  <si>
    <t>WS0098WR (02/06)</t>
  </si>
  <si>
    <t>WS0817WR (10/07)</t>
  </si>
  <si>
    <t>Explanation of Assistance Services</t>
  </si>
  <si>
    <t>Newly Acquired or Formed Organizations</t>
  </si>
  <si>
    <t>Stated Benefit</t>
  </si>
  <si>
    <t>Terrorism Employers Liability Exclusion Deleted</t>
  </si>
  <si>
    <t>Waiver of Our Right To Recover From Others</t>
  </si>
  <si>
    <t>WS2324WR (02/13)</t>
  </si>
  <si>
    <t>WS0979WR (07/16)</t>
  </si>
  <si>
    <t>WR 0426 (12/06)</t>
  </si>
  <si>
    <t>WS2237WR (09/12)</t>
  </si>
  <si>
    <t>WS0990WR (03/08)</t>
  </si>
  <si>
    <t>WS0984WR (03/08)</t>
  </si>
  <si>
    <t xml:space="preserve">Domestic Partners Amendatory </t>
  </si>
  <si>
    <t>Reverse Trip Travel Exclusion</t>
  </si>
  <si>
    <t>WS0747WR (06/18)</t>
  </si>
  <si>
    <t>WR3704 (10/18)</t>
  </si>
  <si>
    <t>Foreign General Liability Endorsements</t>
  </si>
  <si>
    <t>Foreign Business Auto Liability Endorsements</t>
  </si>
  <si>
    <t>Foreign Voluntary Compensation and Employers Liability Endorsements</t>
  </si>
  <si>
    <t>Foreign Travel Accident and Sickness Endorsements</t>
  </si>
  <si>
    <t>Claims-Made</t>
  </si>
  <si>
    <t>Workers Compensation - CA Only</t>
  </si>
  <si>
    <t>T5CS Commercial General Liability</t>
  </si>
  <si>
    <t>T5CS Umbrella</t>
  </si>
  <si>
    <t>T5DC Business Auto</t>
  </si>
  <si>
    <t>T5CS Business Auto</t>
  </si>
  <si>
    <t>T5DC Package</t>
  </si>
  <si>
    <t>Technology Errors &amp; Omissions</t>
  </si>
  <si>
    <t>T5DC Umbrella</t>
  </si>
  <si>
    <t>Columbia Casualty Company (CNA)</t>
  </si>
  <si>
    <t>Non-Admitted</t>
  </si>
  <si>
    <t>G-130914c (2/11)</t>
  </si>
  <si>
    <t>Amend Definition of Professional Services Endorsement (Building Information Modeling Systems)</t>
  </si>
  <si>
    <t>CNA73693XX (4/13)</t>
  </si>
  <si>
    <t>Notice of Claim Endorsement</t>
  </si>
  <si>
    <t>CNA75633XXc (8/13)</t>
  </si>
  <si>
    <t>Amendment of Insured Client Contract Definition</t>
  </si>
  <si>
    <t>CNA77801XX (11/14)</t>
  </si>
  <si>
    <t>Pollution Incident Liability Covered Location and Non-Owned Disposal Site</t>
  </si>
  <si>
    <t>CNA78928XX (5/14)</t>
  </si>
  <si>
    <t>Amend Temporary Works Exclusion</t>
  </si>
  <si>
    <t>CNA80318XX (10/14)</t>
  </si>
  <si>
    <t>CNA83662XX (10/15)</t>
  </si>
  <si>
    <t>Additional Insured w/ Primary/Non-Contributory Provision</t>
  </si>
  <si>
    <t>Subrogation Amendment</t>
  </si>
  <si>
    <t>CNA90786XX (12/17)</t>
  </si>
  <si>
    <t>Interior Designer</t>
  </si>
  <si>
    <t>Landscape Architect</t>
  </si>
  <si>
    <t>Land Surveyor</t>
  </si>
  <si>
    <t>LEED consultant</t>
  </si>
  <si>
    <t>Construction Manager</t>
  </si>
  <si>
    <t>Management of Sub-consultants</t>
  </si>
  <si>
    <t>50% up to a Maximum reduction of $25,000</t>
  </si>
  <si>
    <t>60 Days</t>
  </si>
  <si>
    <t xml:space="preserve">100%
190%
250%
</t>
  </si>
  <si>
    <t>- 12 months
- 36 months 
- 60 months</t>
  </si>
  <si>
    <t>Contractor's Professional &amp; Pollution Liability</t>
  </si>
  <si>
    <t>Officers, directors, principals, partners, or insurance managers</t>
  </si>
  <si>
    <t>Inception</t>
  </si>
  <si>
    <t>50% of expenses</t>
  </si>
  <si>
    <t>Amend Defense &amp; Settlement Endorsement</t>
  </si>
  <si>
    <t>CNA70703XX (12/12)</t>
  </si>
  <si>
    <t>Your activities, or the activities of any person or entity for whom you are legally liable or liability that you assume from an insured client</t>
  </si>
  <si>
    <t>hardcoded - fix</t>
  </si>
  <si>
    <t>Ireland - General Liability Limit (Public/Product)</t>
  </si>
  <si>
    <t>Ireland - General Liability Aggregate (Public/Product)</t>
  </si>
  <si>
    <t>Ireland - Employer's Liability</t>
  </si>
  <si>
    <t>Local Policy Limits</t>
  </si>
  <si>
    <t>T5 Construction Services, LLC</t>
  </si>
  <si>
    <t># of Employees</t>
  </si>
  <si>
    <t>Exposure Base - Number of Employees and Hired Auto</t>
  </si>
  <si>
    <t>A++: XV</t>
  </si>
  <si>
    <t>Valley Forge Insurance Company (CNA)</t>
  </si>
  <si>
    <t xml:space="preserve">Admitted </t>
  </si>
  <si>
    <t>CG 00 01 (04/13)</t>
  </si>
  <si>
    <t>ACV (Actual Cash Value)</t>
  </si>
  <si>
    <t>(If yes..)
Rate</t>
  </si>
  <si>
    <r>
      <rPr>
        <sz val="10"/>
        <rFont val="Calibri"/>
        <family val="2"/>
        <scheme val="minor"/>
      </rPr>
      <t>Coverage Enhancement (includes coverages such as:</t>
    </r>
    <r>
      <rPr>
        <i/>
        <sz val="10"/>
        <rFont val="Calibri"/>
        <family val="2"/>
        <scheme val="minor"/>
      </rPr>
      <t xml:space="preserve"> Fellow Employee Coverage, Transportation Expenses, Glass Coverage, Airbag Coverage</t>
    </r>
  </si>
  <si>
    <t>Lessors</t>
  </si>
  <si>
    <t>Lessor - Additional Insured And Loss Payee</t>
  </si>
  <si>
    <t>Economic And Trade Sanctions</t>
  </si>
  <si>
    <t>CNA63359GA (5/12)</t>
  </si>
  <si>
    <t>G-144291-A (3/13)</t>
  </si>
  <si>
    <t>IL 00 21 (9/08)</t>
  </si>
  <si>
    <t>IL 02 62 (2/15)</t>
  </si>
  <si>
    <t>Non-Owned (up to 26 feet)</t>
  </si>
  <si>
    <t>Contractors' General Liability Extension</t>
  </si>
  <si>
    <t>CNA74705XX (1/15)</t>
  </si>
  <si>
    <t>Additional Insured - Controlling Interest</t>
  </si>
  <si>
    <t>Blanket Additional Insured - Owners, Lessees or Contractors - with Products-Completed Operations</t>
  </si>
  <si>
    <t>Pollution Exclusion Amendatory</t>
  </si>
  <si>
    <t>Subsidence Exclusion (CA, CO, NV) and Subsidence Residential Exclusion (All Other States)</t>
  </si>
  <si>
    <t>Silica Exclusion</t>
  </si>
  <si>
    <t>Fungi / Mold / Mildew / Yeast / Microbe Exclusion</t>
  </si>
  <si>
    <t>Employment-Related Practices Exclusion</t>
  </si>
  <si>
    <t>Contractors - Professional Liability Exclusion</t>
  </si>
  <si>
    <t>Residential Construction Defect Products/Completed Operations Exclusion</t>
  </si>
  <si>
    <t>Construction Wrap-Up Program Exclusion</t>
  </si>
  <si>
    <t>Exterior Finish System Products/Completed Operations Property Damage Exclusion</t>
  </si>
  <si>
    <t>Exclusion - Access or Disclosure of Confidential or Personal Information and Data-Related Liability - with Limited Bodily Injury Exception</t>
  </si>
  <si>
    <t>Bridge Endorsement</t>
  </si>
  <si>
    <t>Cancellation / Non-Renewal - Georgia</t>
  </si>
  <si>
    <t>Waiver of Exclusion - Punitive Damages Endorsement</t>
  </si>
  <si>
    <t>Cap on Losses from Certified Acts of Terrorism</t>
  </si>
  <si>
    <t>CNA74967XX (1/15)</t>
  </si>
  <si>
    <t>CNA74843XX (1/15)</t>
  </si>
  <si>
    <t>CNA74682XX (1/15)</t>
  </si>
  <si>
    <t>CNA74687XX (1/15)</t>
  </si>
  <si>
    <t>CNA74708GA (1/15)</t>
  </si>
  <si>
    <t>CNA74761XX (1/15)</t>
  </si>
  <si>
    <t>CNA74801XX (1/15)</t>
  </si>
  <si>
    <t>CNA74862XX (1/15)</t>
  </si>
  <si>
    <t>CNA74863XX (1/15)</t>
  </si>
  <si>
    <t>CNA74892XX (1/15)</t>
  </si>
  <si>
    <t>CNA75089XX (1/15)</t>
  </si>
  <si>
    <t>CNA62646XX (1/15)</t>
  </si>
  <si>
    <t>CNA75269GA (1/15)</t>
  </si>
  <si>
    <t>CNA74719XX (1/15)</t>
  </si>
  <si>
    <t>CNA74727XX (1/15)</t>
  </si>
  <si>
    <t>CNA81503XX (2/15)</t>
  </si>
  <si>
    <t>CNA62814GA (2/19)</t>
  </si>
  <si>
    <t>CNA75079XX (10/16)</t>
  </si>
  <si>
    <t>Nuclear Energy Liability Exclusion (Broad Form)</t>
  </si>
  <si>
    <t>CNA75504XX (3/15)</t>
  </si>
  <si>
    <t>CNA76605GA 03-2015</t>
  </si>
  <si>
    <t>CNA88301XX 08-2017</t>
  </si>
  <si>
    <t>State Amendatory Endorsement Georgia</t>
  </si>
  <si>
    <t>Amendment To Named Insured</t>
  </si>
  <si>
    <t>CNA76605GA (3/15)</t>
  </si>
  <si>
    <t>CNA88301XX (8/17)</t>
  </si>
  <si>
    <t>Cancellation And Nonrenewal Endorsement - Georgia</t>
  </si>
  <si>
    <t>Total Pollution Exclusion</t>
  </si>
  <si>
    <t>Cap On Losses From Certified Acts Of Terrorism</t>
  </si>
  <si>
    <t>WC 00 00 00 C (1/15)</t>
  </si>
  <si>
    <t>Increased Limit Of Liability</t>
  </si>
  <si>
    <t>Participating Provision</t>
  </si>
  <si>
    <t>Waiver Of Our Right To Recover From Others</t>
  </si>
  <si>
    <t>Experience Rating Modification Factor</t>
  </si>
  <si>
    <t>Premium Discount Endorsement</t>
  </si>
  <si>
    <t>Pending Rate Change Endorsement</t>
  </si>
  <si>
    <t>Notification Of Change In Ownership</t>
  </si>
  <si>
    <t>Premium Due Date</t>
  </si>
  <si>
    <t>Audit Noncompliance Charge</t>
  </si>
  <si>
    <t>Experience Rating Modification Factor Revision</t>
  </si>
  <si>
    <t>G-35224-B (3/84)</t>
  </si>
  <si>
    <t>P-31203-E (10/14)</t>
  </si>
  <si>
    <t>WC 00 03 13 (4/84)</t>
  </si>
  <si>
    <t>WC 00 04 03 (4/84)</t>
  </si>
  <si>
    <t>WC 00 04 04 (4/84)</t>
  </si>
  <si>
    <t>WC 00 04 06 (8/84)</t>
  </si>
  <si>
    <t>WC 00 04 06 A (8/84)</t>
  </si>
  <si>
    <t>WC 00 04 14 (7/90)</t>
  </si>
  <si>
    <t>WC 00 04 14 A (1/19)</t>
  </si>
  <si>
    <t>WC 00 04 19 (1/01)</t>
  </si>
  <si>
    <t>WC 00 04 21 D (1/15)</t>
  </si>
  <si>
    <t>WC 00 04 24 (1/17)</t>
  </si>
  <si>
    <t>WC 00 04 25 (5/17)</t>
  </si>
  <si>
    <t>California Short Rate Cancellation</t>
  </si>
  <si>
    <t>California Workers Compensation Nonrenewal</t>
  </si>
  <si>
    <t>Policy Amendatory Endorsement-California</t>
  </si>
  <si>
    <t>Employer'S Liability Coverage Amendatory</t>
  </si>
  <si>
    <t>Optional Premium Increase</t>
  </si>
  <si>
    <t>CC72832A (1/12)</t>
  </si>
  <si>
    <t>G-22212-F04 (11/14)</t>
  </si>
  <si>
    <t>P-31203-D (1/88)</t>
  </si>
  <si>
    <t>WC 04 03 01 D (2/18)</t>
  </si>
  <si>
    <t>WC 04 03 60 B (1/15)</t>
  </si>
  <si>
    <t>WC 04 04 21 (1/08)</t>
  </si>
  <si>
    <t>WC 04 06 01 A (12/93)</t>
  </si>
  <si>
    <t>8 (Hired Autos)</t>
  </si>
  <si>
    <t>8 (Hired Autos); 
9 (Non-owned Autos)</t>
  </si>
  <si>
    <t>CNA86105XX (6/16)</t>
  </si>
  <si>
    <t>Public Or Livery Passenger Conveyance Exclusion</t>
  </si>
  <si>
    <t>Georgia Changes - Cancellation And Nonrenewal</t>
  </si>
  <si>
    <t>Named Insured Endorsement</t>
  </si>
  <si>
    <t>Contractors Extended Coverage - Business Auto Plus</t>
  </si>
  <si>
    <t>Employer's Liability - AOS</t>
  </si>
  <si>
    <t>Employer's Liability - CA</t>
  </si>
  <si>
    <t>CNA76514XX 03-2015</t>
  </si>
  <si>
    <t>Personal And Advertising Injury Liability Exclusion Endorsement Coverage B</t>
  </si>
  <si>
    <t>CNA75597XX (3/15)</t>
  </si>
  <si>
    <t>CG 00 01 (4/13)</t>
  </si>
  <si>
    <t>CNA74721XX (1/15)</t>
  </si>
  <si>
    <r>
      <t xml:space="preserve">Employee Benefits Liability - </t>
    </r>
    <r>
      <rPr>
        <sz val="11"/>
        <color rgb="FFFF0000"/>
        <rFont val="Calibri"/>
        <family val="2"/>
      </rPr>
      <t>Each Employee</t>
    </r>
  </si>
  <si>
    <t>Stop Gap Liability Coverage</t>
  </si>
  <si>
    <t>Technology General Liability Extension</t>
  </si>
  <si>
    <t>Additional Insured - Designated Person or Organization</t>
  </si>
  <si>
    <t>Personal and Advertising Injury Specified Offenses</t>
  </si>
  <si>
    <t>Employee Benefits Liability - Amended Definition of Executive Officer</t>
  </si>
  <si>
    <t>State Amendatory Endorsement (Employee Benefits Liability- Occurrence) - Georgia</t>
  </si>
  <si>
    <t>State Amendatory Endorsement (Stop Gap Liability) - Washington</t>
  </si>
  <si>
    <t>SGL - Amend Def of Employee and Exec Officer</t>
  </si>
  <si>
    <t xml:space="preserve">Broad Named Insured </t>
  </si>
  <si>
    <t>Amendatory Endorsement - Georgia</t>
  </si>
  <si>
    <t>Calculation of Premium</t>
  </si>
  <si>
    <t>Waiver of Exclusion - Punitive Damages - Georgia</t>
  </si>
  <si>
    <t>Asbestos Exclusion Endorsement</t>
  </si>
  <si>
    <t>CNA62648XX (10/15)</t>
  </si>
  <si>
    <t>CNA74907XX (1/15)</t>
  </si>
  <si>
    <t>CNA74872XX (1/15)</t>
  </si>
  <si>
    <t>CNA74745XX (1/15)</t>
  </si>
  <si>
    <t>CNA75177GA (1/15)</t>
  </si>
  <si>
    <t>CNA75267WA (1/15)</t>
  </si>
  <si>
    <t>CNA75108XX (1/15)</t>
  </si>
  <si>
    <t>CNA74726XX (1/15)</t>
  </si>
  <si>
    <t>CNA86269XX (10/16)</t>
  </si>
  <si>
    <t>CNA83894XX (10/15)</t>
  </si>
  <si>
    <t>Loss Payee or Mortgagee Schedule</t>
  </si>
  <si>
    <t>CNA62728XX 10-15</t>
  </si>
  <si>
    <t>Technology Property Extension</t>
  </si>
  <si>
    <t>CNA62665XX 10-15</t>
  </si>
  <si>
    <t>CNA62705XX 10-15</t>
  </si>
  <si>
    <t xml:space="preserve">Earthquake Coverage </t>
  </si>
  <si>
    <t xml:space="preserve">Flood coverage </t>
  </si>
  <si>
    <t>CNA62716XX 10-15</t>
  </si>
  <si>
    <t>30 Days</t>
  </si>
  <si>
    <t>Varies by Location</t>
  </si>
  <si>
    <t>Included</t>
  </si>
  <si>
    <t>Current 12 Months Revenue</t>
  </si>
  <si>
    <t>Privacy Regulatory Proceedings, Fines and Penalties</t>
  </si>
  <si>
    <t>Network Extortion</t>
  </si>
  <si>
    <t>Network Business Interruption</t>
  </si>
  <si>
    <t>12 Hour Waiting Period</t>
  </si>
  <si>
    <t>Network Asset Damage</t>
  </si>
  <si>
    <t xml:space="preserve">No </t>
  </si>
  <si>
    <t>Sanction Limitation and Exclusion Clause</t>
  </si>
  <si>
    <r>
      <t xml:space="preserve">Executive Liability </t>
    </r>
    <r>
      <rPr>
        <b/>
        <u/>
        <sz val="11"/>
        <color rgb="FFFF0000"/>
        <rFont val="Calibri"/>
        <family val="2"/>
        <scheme val="minor"/>
      </rPr>
      <t>(Directors &amp; Officers, Employment Practices, Fiduciary Liability)</t>
    </r>
  </si>
  <si>
    <t>Federal Insurance Company (Chubb)</t>
  </si>
  <si>
    <t>8242-7600</t>
  </si>
  <si>
    <t>14-02-17277 (12/10)</t>
  </si>
  <si>
    <t>Each Loss Discovered</t>
  </si>
  <si>
    <t>Cap On Losses From Certified Acts of Terrorism</t>
  </si>
  <si>
    <t>14-02-22814 (12/17)</t>
  </si>
  <si>
    <t>Recoveries Section</t>
  </si>
  <si>
    <t>14-02-18107 (5/11)</t>
  </si>
  <si>
    <t>Privacy and Data Breach Exclusions</t>
  </si>
  <si>
    <t>14-02-19628 (8/14)</t>
  </si>
  <si>
    <t xml:space="preserve">Definition of Banking Premise </t>
  </si>
  <si>
    <t>14-02-19821 (3/13)</t>
  </si>
  <si>
    <t>Social Engineering Fraud Coverage</t>
  </si>
  <si>
    <t>14-02-21134 (5/14)</t>
  </si>
  <si>
    <t>Fraudulent Instructions Exclusion</t>
  </si>
  <si>
    <t>FL-261169 (7/18)</t>
  </si>
  <si>
    <t>Zurich American Insurance Company</t>
  </si>
  <si>
    <t>A+: XV</t>
  </si>
  <si>
    <t>A+: XIV</t>
  </si>
  <si>
    <t xml:space="preserve">Prior and Pending Date </t>
  </si>
  <si>
    <t>- 24 months for</t>
  </si>
  <si>
    <t>- 36 months for</t>
  </si>
  <si>
    <t>Incumbent - Quoted</t>
  </si>
  <si>
    <t>Blended Rate Hired Auto</t>
  </si>
  <si>
    <t>Excess Technology Errors &amp; Omissions</t>
  </si>
  <si>
    <t>Underlying Policy Premium</t>
  </si>
  <si>
    <t>Exposure Base - Prior 12 Months</t>
  </si>
  <si>
    <t>Exposure Base - Number of Employees</t>
  </si>
  <si>
    <t>Exposure Base - Cost of Hired Auto</t>
  </si>
  <si>
    <t>Continental Casualty Company (CNA)</t>
  </si>
  <si>
    <t>T5CS 2nd Excess Umbrella</t>
  </si>
  <si>
    <t>American Guarantee And Liability Insurance Company (Zurich)</t>
  </si>
  <si>
    <t>Exposure Base - Cost of Hired Autos</t>
  </si>
  <si>
    <t>2/1/2020 - 7/1/2021</t>
  </si>
  <si>
    <t>Exposure Base - Underlying Premium</t>
  </si>
  <si>
    <t>Schedule of Underlying</t>
  </si>
  <si>
    <t>Exposure Base - Current 12 Months Revenue</t>
  </si>
  <si>
    <t>annualize</t>
  </si>
  <si>
    <t>California Cancellation</t>
  </si>
  <si>
    <t>72 Hours</t>
  </si>
  <si>
    <t>CNA62814GA (12/19)</t>
  </si>
  <si>
    <t>CNA62815GA (1/20)</t>
  </si>
  <si>
    <t>Replacement cost</t>
  </si>
  <si>
    <t>Agreed Value</t>
  </si>
  <si>
    <t>None</t>
  </si>
  <si>
    <t>Biological or Chemical Materials</t>
  </si>
  <si>
    <t>Fungi, Wet Rot, Dry Rot and Microbes</t>
  </si>
  <si>
    <t>Contaminants or Pollutants</t>
  </si>
  <si>
    <t>Req For Jurisdictional Inspection Of Pressure Equp</t>
  </si>
  <si>
    <t>G-144291-A (3/03)</t>
  </si>
  <si>
    <t>Employer's Liabilty Exclusion</t>
  </si>
  <si>
    <t>CNA75576XX (3/15)</t>
  </si>
  <si>
    <t>Contractors Limitation Endorsement</t>
  </si>
  <si>
    <t>CNA75575XX (1/17)</t>
  </si>
  <si>
    <t>T5 Construction Program Cost</t>
  </si>
  <si>
    <t>T5 Data Centers Program Cost</t>
  </si>
  <si>
    <t>Nuclear Incident Exclusion (USA)</t>
  </si>
  <si>
    <t>NMA 1256</t>
  </si>
  <si>
    <t>Radioactive Contamination Clause (USA)</t>
  </si>
  <si>
    <t>NMA 1477</t>
  </si>
  <si>
    <t>Several Liability Notice</t>
  </si>
  <si>
    <t>LSW1001</t>
  </si>
  <si>
    <t>Premium Payment Clause 45 Days</t>
  </si>
  <si>
    <t>LSW3000</t>
  </si>
  <si>
    <t>Small Additional Or Return Premiums Clause (USA)</t>
  </si>
  <si>
    <t xml:space="preserve">NMA1168 </t>
  </si>
  <si>
    <t>Worldwide Coverage Territory</t>
  </si>
  <si>
    <t>T5 Data Centers, LLC</t>
  </si>
  <si>
    <t>T5 Facilities Management, LLC</t>
  </si>
  <si>
    <t>T5 DCMC, LLC</t>
  </si>
  <si>
    <t>83-4199988</t>
  </si>
  <si>
    <t>26-1727066</t>
  </si>
  <si>
    <t>T5@Singapore PTE. LTD.</t>
  </si>
  <si>
    <t>201608838W</t>
  </si>
  <si>
    <t>T5 Data Centers Ireland, PTC (Ireland)</t>
  </si>
  <si>
    <t>T5 Construction Services (Ireland)</t>
  </si>
  <si>
    <t>T5 Development (Ireland)</t>
  </si>
  <si>
    <t>Irish GP Co. (Ireland)</t>
  </si>
  <si>
    <t>T5/QR ICAV</t>
  </si>
  <si>
    <t>T5DC Investors, LLC</t>
  </si>
  <si>
    <t>Quadreal T5 Management Investment G.P. Inc</t>
  </si>
  <si>
    <t>T5 Venture Limited Partnership</t>
  </si>
  <si>
    <t xml:space="preserve">BCIMC (WCBAF) US REALTY INC., a Canadian corporation
</t>
  </si>
  <si>
    <t>QuadReal T5 Management Holdings Inc.</t>
  </si>
  <si>
    <t>QR Master Holdings USA I LP</t>
  </si>
  <si>
    <t>T5/QR JV LP (Ireland)</t>
  </si>
  <si>
    <t>New QR LP (Ireland)</t>
  </si>
  <si>
    <t>83-4711708</t>
  </si>
  <si>
    <t>83-4174402</t>
  </si>
  <si>
    <t>83-4504082</t>
  </si>
  <si>
    <t>T5@Charlotte, LLC</t>
  </si>
  <si>
    <t>83-4294605</t>
  </si>
  <si>
    <t>T5@Charlotte II, LLC</t>
  </si>
  <si>
    <t>83-4097646</t>
  </si>
  <si>
    <t>T5@Charlotte IV, LLC</t>
  </si>
  <si>
    <t>83-4333057</t>
  </si>
  <si>
    <t>T5@Charlotte VIII, LLC</t>
  </si>
  <si>
    <t>84-1729211</t>
  </si>
  <si>
    <t>T5@Chicago II, LLC</t>
  </si>
  <si>
    <t>84-4195661</t>
  </si>
  <si>
    <t>T5@Atlanta III, LLC</t>
  </si>
  <si>
    <t>83-4648103</t>
  </si>
  <si>
    <t>T5@Portland IV, LLC</t>
  </si>
  <si>
    <t>84-1994082</t>
  </si>
  <si>
    <t>T5QR Charlotte II REIT, LLC</t>
  </si>
  <si>
    <t>83-4143362</t>
  </si>
  <si>
    <t xml:space="preserve">Irish LP # 1 </t>
  </si>
  <si>
    <t>Irish LP # 2</t>
  </si>
  <si>
    <t>T5 Enterprise Solutions LLC</t>
  </si>
  <si>
    <t>T5 DCV Manager, LLC</t>
  </si>
  <si>
    <t>46-4252582</t>
  </si>
  <si>
    <t>T5 DCMC</t>
  </si>
  <si>
    <t>FNI</t>
  </si>
  <si>
    <t>T5CS 1st Excess</t>
  </si>
  <si>
    <t>T5CS 2nd Excess</t>
  </si>
  <si>
    <t>T5CS 3rd Excess</t>
  </si>
  <si>
    <t>T5 Construction Services</t>
  </si>
  <si>
    <t>T5 Data Centers</t>
  </si>
  <si>
    <t>T5DC Investors</t>
  </si>
  <si>
    <t>ERISA Amendatory</t>
  </si>
  <si>
    <t>PF-271128(1/19)</t>
  </si>
  <si>
    <t>U-EXS-100-C CW (01/12)</t>
  </si>
  <si>
    <t>Certified Act of Terrorism Retained Amount Provisions</t>
  </si>
  <si>
    <t>U-EXS-279-D CW (01/15)</t>
  </si>
  <si>
    <t>Care, Custody or Control Exclusion</t>
  </si>
  <si>
    <t>U-EXS-113-A CW (04/99)</t>
  </si>
  <si>
    <t>Known Loss and Loss In Progress Provision</t>
  </si>
  <si>
    <t>U-EXS-144-B CW (03/12)</t>
  </si>
  <si>
    <t>U-EXS-205-C CW (04/11)</t>
  </si>
  <si>
    <t>Contractors Limitation Endorsement Wrap - Up
Coverage Excluding Subsidence</t>
  </si>
  <si>
    <t>U-EXS-342-C CW (05/14)</t>
  </si>
  <si>
    <t>Georgia Nonrenewal</t>
  </si>
  <si>
    <t>U-EXS-180-B GA (04/11)</t>
  </si>
  <si>
    <t>Casualty Business Crisis Expense Excess Coverage</t>
  </si>
  <si>
    <t>U-EXS-460-A CW (07/18)</t>
  </si>
  <si>
    <t>Sanctions Exclusion Endorsement</t>
  </si>
  <si>
    <t>U-GU-1191-A CW (03/15)</t>
  </si>
  <si>
    <t>Cap on Losses From Certified Acts of Terrorism</t>
  </si>
  <si>
    <t>U-GU-767-B CW (01/15)</t>
  </si>
  <si>
    <t>Amendment Of Other Insurance Condition</t>
  </si>
  <si>
    <t>CNA84441XX (1/16)</t>
  </si>
  <si>
    <t>CNA75502XX (3/15)</t>
  </si>
  <si>
    <t>Absolute Asbestos Exclusion</t>
  </si>
  <si>
    <t>RSG 36003 0904</t>
  </si>
  <si>
    <t>Excess Coverage Limitation</t>
  </si>
  <si>
    <t>RSG 36043 0807</t>
  </si>
  <si>
    <t>RSG 36016 0408</t>
  </si>
  <si>
    <t>Exclusion - Real &amp; Personal Property - Care Custody &amp; Control</t>
  </si>
  <si>
    <t>Exclusion - Sublimited Underlying Coverage</t>
  </si>
  <si>
    <t>RSG 36093 0905</t>
  </si>
  <si>
    <t>Fungi or Bacteria Exclusion</t>
  </si>
  <si>
    <t>RSG 36021 0803</t>
  </si>
  <si>
    <t>Known Injury or Damage Limitation</t>
  </si>
  <si>
    <t>RSG 36023 0803</t>
  </si>
  <si>
    <t>Lead Exclusion</t>
  </si>
  <si>
    <t>RSG 36024 0803</t>
  </si>
  <si>
    <t>Professional Services Exclusion</t>
  </si>
  <si>
    <t>RSG 36031 0205</t>
  </si>
  <si>
    <t>Uninsured Underinsured Motorist Exclusion</t>
  </si>
  <si>
    <t>RSG 36037 0116</t>
  </si>
  <si>
    <t>War Liability Exclusion</t>
  </si>
  <si>
    <t>RSG 36044 0404</t>
  </si>
  <si>
    <t>Blended Rate as Percentage of Underlying Premium</t>
  </si>
  <si>
    <t>- Accept/Reject TRIA. If rejected, sign rejection form</t>
  </si>
  <si>
    <t>Actual Cash Value</t>
  </si>
  <si>
    <t xml:space="preserve">Principal Sum </t>
  </si>
  <si>
    <t>Spouse/Partner</t>
  </si>
  <si>
    <t>Dependent Children</t>
  </si>
  <si>
    <t>Rehab Benefit</t>
  </si>
  <si>
    <t>Terrorism Benefit</t>
  </si>
  <si>
    <t>10% of principal sum up to $10,000</t>
  </si>
  <si>
    <t>Med Evac Benefit</t>
  </si>
  <si>
    <t>Unlimited</t>
  </si>
  <si>
    <t>Aggregate Limit per Covered Accident</t>
  </si>
  <si>
    <t>x5 Base Annual Earnings up to $1,000,000</t>
  </si>
  <si>
    <t>10% of Principal Sum up to $10,000</t>
  </si>
  <si>
    <t>Illnes or Disease</t>
  </si>
  <si>
    <t>Corporate Owned Aircraft</t>
  </si>
  <si>
    <t>Total Insurance Policies for all Entities</t>
  </si>
  <si>
    <t>Taxes &amp; Surcharges</t>
  </si>
  <si>
    <t>- Installation Floater</t>
  </si>
  <si>
    <t>T5CS Inland Marine</t>
  </si>
  <si>
    <t>T5DC Package - General Liability</t>
  </si>
  <si>
    <t>T5DC Package - Property</t>
  </si>
  <si>
    <t>Contractual Liability Coverage Personal &amp; Advertising Injury</t>
  </si>
  <si>
    <t>• Direct Bill - make payments directly to CNA</t>
  </si>
  <si>
    <t>T5 Construction Services Policies</t>
  </si>
  <si>
    <t>T5 Data Centers Policies</t>
  </si>
  <si>
    <t>T5 Construction Services, LLC
T5 Data Centers, LLC</t>
  </si>
  <si>
    <t>Shared Policies</t>
  </si>
  <si>
    <t>Shared Program Total Cost</t>
  </si>
  <si>
    <t xml:space="preserve"> -  Workers' Compensation premiums subject to change pending final negotiations with CNA</t>
  </si>
  <si>
    <t>Atlanta</t>
  </si>
  <si>
    <t>GA</t>
  </si>
  <si>
    <t>3344 Peachtree Rd NE, Suite 2550</t>
  </si>
  <si>
    <t>Expiring Limits</t>
  </si>
  <si>
    <t>Expiring Deductible</t>
  </si>
  <si>
    <t>Renewal Limits</t>
  </si>
  <si>
    <t>Renewal Deductible</t>
  </si>
  <si>
    <t>201 Spear St</t>
  </si>
  <si>
    <t>San Francisco</t>
  </si>
  <si>
    <t>Sales</t>
  </si>
  <si>
    <t xml:space="preserve">○ Full Pay
</t>
  </si>
  <si>
    <r>
      <t>CNA</t>
    </r>
    <r>
      <rPr>
        <sz val="10"/>
        <color theme="1"/>
        <rFont val="Calibri"/>
        <family val="2"/>
      </rPr>
      <t xml:space="preserve"> - Agency or Direct Bill</t>
    </r>
  </si>
  <si>
    <r>
      <t>CNA Foreign Package</t>
    </r>
    <r>
      <rPr>
        <sz val="10"/>
        <color theme="1"/>
        <rFont val="Calibri"/>
        <family val="2"/>
      </rPr>
      <t xml:space="preserve"> - Agency Bill</t>
    </r>
  </si>
  <si>
    <t xml:space="preserve">○ Full Pay - Local policies can be collected stateside or locally in Ireland
</t>
  </si>
  <si>
    <r>
      <t>Zurich Business Travel Accident</t>
    </r>
    <r>
      <rPr>
        <sz val="10"/>
        <color theme="1"/>
        <rFont val="Calibri"/>
        <family val="2"/>
      </rPr>
      <t xml:space="preserve"> - Agency Bill</t>
    </r>
  </si>
  <si>
    <t xml:space="preserve">○ Full Pay - 1 year term
</t>
  </si>
  <si>
    <t xml:space="preserve">○ Annual Installments - 3 year term
</t>
  </si>
  <si>
    <t>- Premium Finance: Installment plans with a negotiated interest rate based on current market rates.</t>
  </si>
  <si>
    <t>- Payment Options</t>
  </si>
  <si>
    <r>
      <t xml:space="preserve">Chubb Crime </t>
    </r>
    <r>
      <rPr>
        <sz val="10"/>
        <color theme="1"/>
        <rFont val="Calibri"/>
        <family val="2"/>
      </rPr>
      <t>- Agency Bill</t>
    </r>
  </si>
  <si>
    <t>Indian Harbor Insurance Company (AXA XL)</t>
  </si>
  <si>
    <t>TXU 050 0516</t>
  </si>
  <si>
    <t xml:space="preserve">Certified Acts of Terrorism Coverage </t>
  </si>
  <si>
    <t>TVI 900 0817</t>
  </si>
  <si>
    <t>Excess Schedule of Underlying Limits</t>
  </si>
  <si>
    <t>TXU 415 0516</t>
  </si>
  <si>
    <t xml:space="preserve">Drop Down Sub-Limits </t>
  </si>
  <si>
    <t>Non Follow Form Endorsement (Telephone Fraud, Rep. Loss, BI/PD)</t>
  </si>
  <si>
    <t>TXU 420 0516</t>
  </si>
  <si>
    <t>TXU 411 0516</t>
  </si>
  <si>
    <t>2nd Excess Technology Errors &amp; Omissions</t>
  </si>
  <si>
    <r>
      <t xml:space="preserve">Lloyd's and AXA XL Excess Tech Errors &amp; Omissions </t>
    </r>
    <r>
      <rPr>
        <sz val="10"/>
        <color theme="1"/>
        <rFont val="Calibri"/>
        <family val="2"/>
      </rPr>
      <t>- Agency Bill</t>
    </r>
  </si>
  <si>
    <t>T5CS 3rd Excess Liability</t>
  </si>
  <si>
    <t>T5CS 1st Excess Liability</t>
  </si>
  <si>
    <t>T5CS 2nd Excess Liability</t>
  </si>
  <si>
    <t>3rd Excess Technology Errors &amp; Omissions</t>
  </si>
  <si>
    <t>HIDE</t>
  </si>
  <si>
    <t>Bodily Injury &amp; Property Damage Sublimit</t>
  </si>
  <si>
    <t>CNA 
(877) 262-2727</t>
  </si>
  <si>
    <t>Greyling Insurance Brokerage | A Division of EPIC
Client Service Team for T5 Construction Services, LLC &amp; T5 Data Centers, LLC</t>
  </si>
  <si>
    <t>Inland Marine: Physical damage to contractor's equipment</t>
  </si>
  <si>
    <t>T5 Construction Services, LLC &amp; T5 Data Centers, LLC</t>
  </si>
  <si>
    <t>Directors &amp; Officers: Breach of duty, negligence, error or omission while acting as a Director and /or Officer.  
Employment Practices Liability: Protects the firm from the employment process, including wrongful termination, discrimination, and inappropriate workplace conduct along with theft of both insured's and client's assets.
Fiduciary Liability: Protects the Fiduciary and the Plan with respect to errors and omissions in the administration of employee benefit programs as imposed by the Employee Retirement Income Security Act (ERISA).</t>
  </si>
  <si>
    <t>GTU-0553546</t>
  </si>
  <si>
    <t>Claims or potential claims should be reported to Greyling Insurance Brokerage as soon as possible. Should any T5 Construction Services, LLC or T5 Data Centers, LLC employee receive a letter from a client threatening a claim or lawsuit, a summons or complaint, or any legal notice regarding an insurance claim please call (770) 552-4225.</t>
  </si>
  <si>
    <t>MTE9041482 00</t>
  </si>
  <si>
    <t>- 2nd Excess Technology Errors &amp; Omissions</t>
  </si>
  <si>
    <t>- 3rd Excess Technology Errors &amp; Omissions</t>
  </si>
  <si>
    <t>Installation Floater -  #CNA76217; Contractor's Eq - #G44080-11</t>
  </si>
  <si>
    <t xml:space="preserve">Comp - $100; Coll - $1,000 </t>
  </si>
  <si>
    <t>RSG 31001 0507</t>
  </si>
  <si>
    <t>Expiring Policy Number</t>
  </si>
  <si>
    <t>Renewal Policy Number</t>
  </si>
  <si>
    <t>Winnie Chan</t>
  </si>
  <si>
    <t>Office Phone: 770-670-5353</t>
  </si>
  <si>
    <t>E-Mail: Winnie.Chan@greyling.com</t>
  </si>
  <si>
    <t>Office Phone: 770-670-5343</t>
  </si>
  <si>
    <t>*This report is a summary only and is not intended to supersede the carrier quotes, binders or policy. Information contained within the document does not include all terms, coverage, exclusion, limitations or conditions contained in the policy</t>
  </si>
  <si>
    <t xml:space="preserve">Property in Transit </t>
  </si>
  <si>
    <t>Added</t>
  </si>
  <si>
    <t>Transfer of Rights of Recovery Against Others To Us</t>
  </si>
  <si>
    <t>Earlier Notice of Non-Renewal or Cancellation to Certholders</t>
  </si>
  <si>
    <t>As per underlying policies</t>
  </si>
  <si>
    <t>Add ANY and ALL additional exclusions listed on the policy here</t>
  </si>
  <si>
    <t>Add ANY and ALL exceptions as to why the policy is not a complete follow form here. For example, "Does not follow form to underlying sublimits"</t>
  </si>
  <si>
    <t>Add this line here</t>
  </si>
  <si>
    <t>Building Limit</t>
  </si>
  <si>
    <t>Business Personal Property Limit</t>
  </si>
  <si>
    <t>Business Income / Extra Expense Limit</t>
  </si>
  <si>
    <t>Admitted or non-admitted</t>
  </si>
  <si>
    <t>Add for consistancy across coverage tabs</t>
  </si>
  <si>
    <t>Add additional sub-limits included on the policy along with a short explanation of what the coverage provides</t>
  </si>
  <si>
    <t>Injury sustained while on any aircraft</t>
  </si>
  <si>
    <t>Added as previously blank</t>
  </si>
  <si>
    <t>Injury sustained while legally intoxicated from the use of alcohol or any controlled substance</t>
  </si>
  <si>
    <t>Suicide or Intentional Injury</t>
  </si>
  <si>
    <t>War or Act of War (whether declared or undeclared)</t>
  </si>
  <si>
    <r>
      <t xml:space="preserve">- Excess Professional </t>
    </r>
    <r>
      <rPr>
        <sz val="10"/>
        <color rgb="FFFF0000"/>
        <rFont val="Calibri"/>
        <family val="2"/>
      </rPr>
      <t>&amp; Pollution</t>
    </r>
    <r>
      <rPr>
        <sz val="10"/>
        <color theme="1"/>
        <rFont val="Calibri"/>
        <family val="2"/>
      </rPr>
      <t xml:space="preserve"> Liability (1st layer)</t>
    </r>
  </si>
  <si>
    <r>
      <t xml:space="preserve">- Excess Professional </t>
    </r>
    <r>
      <rPr>
        <sz val="10"/>
        <color rgb="FFFF0000"/>
        <rFont val="Calibri"/>
        <family val="2"/>
      </rPr>
      <t>&amp; Pollution</t>
    </r>
    <r>
      <rPr>
        <sz val="10"/>
        <color theme="1"/>
        <rFont val="Calibri"/>
        <family val="2"/>
      </rPr>
      <t xml:space="preserve"> Liability (2nd layer)</t>
    </r>
  </si>
  <si>
    <t>- Pay Full Premium within 15 Days of Invoice Date: Payment made to EPIC (Greyling Insurance Brokerage)</t>
  </si>
  <si>
    <t xml:space="preserve">- Premium Finance: Installment plans with a negotiated interest rate based on current market rates. The down payment and the installments are paid online to a premium finance company via their portal </t>
  </si>
  <si>
    <t>- Credit Card / ACH: Transaction Fees as follows:
           3.25% for credit card payments
          $3 flat fee for ACH payments
Fees are calculated on the page when payments are made. EPIC’s account will be “net” funded for the exact amount of our invoices.</t>
  </si>
  <si>
    <t>Total Insurance T5CS Policies</t>
  </si>
  <si>
    <t>Total Insurance T5DC Policies</t>
  </si>
  <si>
    <t>Subcontracted Work</t>
  </si>
  <si>
    <t xml:space="preserve">Business Auto: Coverage applies to third-party liability and physical damage arising from operating autos.                    </t>
  </si>
  <si>
    <t>Continental Insurance Company (CNA)</t>
  </si>
  <si>
    <t>Personal &amp; Advertising Injury Liability Exclusion - Cov B</t>
  </si>
  <si>
    <t>CA 20 01 (11/20)</t>
  </si>
  <si>
    <t>CA 20 54 (11/20)</t>
  </si>
  <si>
    <t>CA 23 44 (11/20)</t>
  </si>
  <si>
    <t>Notice of Cancellation to Certificateholders</t>
  </si>
  <si>
    <t>CNA68021XX (02/13)</t>
  </si>
  <si>
    <t>2nd Excess Policy Exp. Premium</t>
  </si>
  <si>
    <t>Real Estate Errors &amp; Omissions</t>
  </si>
  <si>
    <t>Miscellaneous Professional Services</t>
  </si>
  <si>
    <t>Foreign Package - T5CS</t>
  </si>
  <si>
    <t>Foreign Package - T5DC</t>
  </si>
  <si>
    <t>PST 67 337 8561</t>
  </si>
  <si>
    <t>Houston Specialty Insurance Company</t>
  </si>
  <si>
    <t>A-: IX</t>
  </si>
  <si>
    <t>Admitted or Non-Admitted?</t>
  </si>
  <si>
    <t>MP ES 00 01 10 16</t>
  </si>
  <si>
    <t>Solely in performance of providing real estate agent broker sales and leasing services for others for a fee</t>
  </si>
  <si>
    <t>Commingling of Funds</t>
  </si>
  <si>
    <t>Sublimited</t>
  </si>
  <si>
    <t>False Advertising</t>
  </si>
  <si>
    <t>Insured v. Insured</t>
  </si>
  <si>
    <t>Architects &amp; Engineers Exclusion</t>
  </si>
  <si>
    <t>Endt# 9</t>
  </si>
  <si>
    <t>Communicable Disease Exclusion</t>
  </si>
  <si>
    <t>Endt# 6</t>
  </si>
  <si>
    <t>Defense at Board Proceedings or Regulatory Hearings Coverage</t>
  </si>
  <si>
    <t>Endt# 11</t>
  </si>
  <si>
    <t>Discrimination Sublimit</t>
  </si>
  <si>
    <t>Endt# 5</t>
  </si>
  <si>
    <t>Fair Housing Violations Defense Coverage</t>
  </si>
  <si>
    <t>Endt# 10</t>
  </si>
  <si>
    <t>Financial Services Exlusion</t>
  </si>
  <si>
    <t>Endt# 2</t>
  </si>
  <si>
    <t>General Change</t>
  </si>
  <si>
    <t>Endt# 13</t>
  </si>
  <si>
    <t>Lock Box Coverage</t>
  </si>
  <si>
    <t>Endt# 7</t>
  </si>
  <si>
    <t>Nuclear Liability Exclusion</t>
  </si>
  <si>
    <t>Endt# 1</t>
  </si>
  <si>
    <t>Pending or Prior Litigation Exclusion</t>
  </si>
  <si>
    <t>Endt# 4</t>
  </si>
  <si>
    <t>Professional Services Exclusion: Data Center Operators/Operations</t>
  </si>
  <si>
    <t>Endt# 12</t>
  </si>
  <si>
    <t>Real Estate Agents &amp; Brokers Exclusion</t>
  </si>
  <si>
    <t>Endt# 8</t>
  </si>
  <si>
    <t>Services of Suit</t>
  </si>
  <si>
    <t>Endt# 3</t>
  </si>
  <si>
    <t>Greyling Insurance Brokerage negotiated with the insurers listed below on behalf of T5 Construction Services, LLC and
T5 Data Centers, LLC to obtain proposals for:</t>
  </si>
  <si>
    <t>- Renewal premium is an estimate.</t>
  </si>
  <si>
    <t>The following policies contain claims-made/loss discovered coverage triggers:</t>
  </si>
  <si>
    <t>- Professional &amp; Pollution Liability</t>
  </si>
  <si>
    <t>- Technology Errors &amp; Omissions/Cyber Liability</t>
  </si>
  <si>
    <t>CNA62823XX 7/17</t>
  </si>
  <si>
    <t>CNA98526XX 5/20</t>
  </si>
  <si>
    <t>General Aggregate Limit - Per Location Limit</t>
  </si>
  <si>
    <t>CNA75059XX (1/15)</t>
  </si>
  <si>
    <t>CNA68021XX (2/13)</t>
  </si>
  <si>
    <t>10/16/2020 - 10/16/2021</t>
  </si>
  <si>
    <t>Catastrophe (Other Than Certified Acts Of Terrorism) Premium</t>
  </si>
  <si>
    <t>90-Day Reporting Requirement - Notification Of Change In Ownership</t>
  </si>
  <si>
    <t>U-TA-100-B GA (12/13)</t>
  </si>
  <si>
    <t>- Chubb provided an indication of $75,000</t>
  </si>
  <si>
    <t>- Zurich offers a 3 year term policy for $10,581 or $3,723 per installment.</t>
  </si>
  <si>
    <t>- CNA provided an indication of $25,000</t>
  </si>
  <si>
    <t>- Rate increase is due to the EMR increase from .70 to .97</t>
  </si>
  <si>
    <t>- Beazley quoted $98,800 including tax, with a $150k retention, subject to controls questionnaire. Ironshore quoted a $50k retention.
- Ironshore is sublimiting ransomware/extortion to $2.5M until MFA is implemented.</t>
  </si>
  <si>
    <t>T5CS 4th Excess Liability</t>
  </si>
  <si>
    <t>Travelers Property Casualty Company of America</t>
  </si>
  <si>
    <t>XP 00 01 05 14</t>
  </si>
  <si>
    <t>Follow Form</t>
  </si>
  <si>
    <t>IL T4 14 01 21</t>
  </si>
  <si>
    <t>XP 00 17 05 14</t>
  </si>
  <si>
    <t>XP 01 20 10 99</t>
  </si>
  <si>
    <t>XP 01 23 02 14</t>
  </si>
  <si>
    <t>XP 01 63 02 14</t>
  </si>
  <si>
    <t>XP 01 69 02 14</t>
  </si>
  <si>
    <t>XP 01 74 02 14</t>
  </si>
  <si>
    <t>XP 01 81 02 14</t>
  </si>
  <si>
    <t>XP 01 89 02 14</t>
  </si>
  <si>
    <t>XP 02 05 02 14</t>
  </si>
  <si>
    <t>XP 02 11 02 14</t>
  </si>
  <si>
    <t>XP 02 19 02 14</t>
  </si>
  <si>
    <t>XP 02 22 02 14</t>
  </si>
  <si>
    <t>XP 02 37 03 15</t>
  </si>
  <si>
    <t>XP 02 59 02 15</t>
  </si>
  <si>
    <t>XP 02 60 02 15</t>
  </si>
  <si>
    <t>XP 02 69 01 16</t>
  </si>
  <si>
    <t>Defense Of Claims Or Suits</t>
  </si>
  <si>
    <t>Uninsured/Underinsured Motorists And No-Fault Exclusion</t>
  </si>
  <si>
    <t>Exclusion - Cross Liability</t>
  </si>
  <si>
    <t>Exclusion - Lead</t>
  </si>
  <si>
    <t>Exclusion - Designated Professional Services</t>
  </si>
  <si>
    <t>Fungi Or Bacteria Exclusion</t>
  </si>
  <si>
    <t>Exclusion - Access Or Disclosure Of Confidential Or Personal Information</t>
  </si>
  <si>
    <t>Amendment - Follow Form To Exclusions In Underlying Insurance Only When Excess Of Controlling Underlying Insurance And Post Judgement Interest</t>
  </si>
  <si>
    <t>Exclusion - Residential Construction</t>
  </si>
  <si>
    <t>Exclusion - All Projects Subject To A Wrap-Up Insurance Program</t>
  </si>
  <si>
    <t>Amendment Of Common Policy Conditions - Prohibited Coverage - Unlicensed Insurance And Trade Or Economic Sanctions</t>
  </si>
  <si>
    <t>Amendment - Reduced Or Exhausted Aggregate</t>
  </si>
  <si>
    <t>Exclusion - Unsolicited Communications</t>
  </si>
  <si>
    <t>Exclusion Unmanned Aircraft</t>
  </si>
  <si>
    <t>3rd Excess Policy Exp. Premium</t>
  </si>
  <si>
    <t>T5CS 3rd Excess Umbrella</t>
  </si>
  <si>
    <t>Coverage: T5CS 2nd Excess Liability</t>
  </si>
  <si>
    <t xml:space="preserve">- Expiring policy had a $25M limit. Renewal quote is for $15M limits. </t>
  </si>
  <si>
    <t>Side A - $0;
Side B - $25,000;
Side C - $25,000</t>
  </si>
  <si>
    <t>7/1/2022 - 7/1/2023</t>
  </si>
  <si>
    <t>2021 Revenue</t>
  </si>
  <si>
    <t>Ironshore</t>
  </si>
  <si>
    <t>Beazley</t>
  </si>
  <si>
    <t>AL, AR, CO, FL, GA, HI, IL, IN, MD, MN, MO, NC, NJ, OR, PA, SC, TN, TX, VA, WV</t>
  </si>
  <si>
    <t>T5 Construction Total Cost</t>
  </si>
  <si>
    <t>T5 Data Centers Total Cost</t>
  </si>
  <si>
    <t xml:space="preserve"> -  </t>
  </si>
  <si>
    <t>Westchester Surplus Lines Insurance Company (Chubb)</t>
  </si>
  <si>
    <t xml:space="preserve">RSUI Indemnity Company </t>
  </si>
  <si>
    <r>
      <t xml:space="preserve">Technology Errors &amp; Omissions  </t>
    </r>
    <r>
      <rPr>
        <sz val="10"/>
        <color theme="1"/>
        <rFont val="Calibri"/>
        <family val="2"/>
      </rPr>
      <t>- Agency Bill</t>
    </r>
  </si>
  <si>
    <r>
      <t xml:space="preserve">Executive Risk </t>
    </r>
    <r>
      <rPr>
        <sz val="10"/>
        <color theme="1"/>
        <rFont val="Calibri"/>
        <family val="2"/>
      </rPr>
      <t>- Agency Bill</t>
    </r>
  </si>
  <si>
    <t xml:space="preserve"> </t>
  </si>
  <si>
    <t>Amend Bodily Injury Exclusion</t>
  </si>
  <si>
    <t>Amend Timely Completion Exclusion</t>
  </si>
  <si>
    <t>CNA76903XX (3/14)</t>
  </si>
  <si>
    <t>CNA74608XX (3/14)</t>
  </si>
  <si>
    <t>Coverage Territory Amendment Products Exclusion</t>
  </si>
  <si>
    <t>CNA76493XX (3/15)</t>
  </si>
  <si>
    <t>CNA76514XX (3/15)</t>
  </si>
  <si>
    <t>Data &amp; Network Liability</t>
  </si>
  <si>
    <t>Tech &amp; Professional Liability</t>
  </si>
  <si>
    <t>Breach Response Expenses</t>
  </si>
  <si>
    <t>Payment Card Liabilities &amp; Costs</t>
  </si>
  <si>
    <t>Fraudulent Instruction</t>
  </si>
  <si>
    <t>F00731 022019</t>
  </si>
  <si>
    <t>100%
TBD
TBD</t>
  </si>
  <si>
    <t>NMA1256</t>
  </si>
  <si>
    <t>NMA1477</t>
  </si>
  <si>
    <t>E02804 032011</t>
  </si>
  <si>
    <t>Choice of Law and Service of Suit</t>
  </si>
  <si>
    <t>E10596 122019</t>
  </si>
  <si>
    <t>Asbestos, Pollution, and Contamination Exclusion</t>
  </si>
  <si>
    <t>E12287 022019</t>
  </si>
  <si>
    <t>War and Civil War Exclusion</t>
  </si>
  <si>
    <t>E12254 022019</t>
  </si>
  <si>
    <t>Amend Definition of Fraudulent Instruction</t>
  </si>
  <si>
    <t>E12266 022019</t>
  </si>
  <si>
    <t>Computer Hardware Replacement Cost - $1M</t>
  </si>
  <si>
    <t>E12289 022019</t>
  </si>
  <si>
    <t>E12972 052019</t>
  </si>
  <si>
    <t>CryptoJacking - $250k</t>
  </si>
  <si>
    <t>GDPR Cyber</t>
  </si>
  <si>
    <t>E12269 022019</t>
  </si>
  <si>
    <t>Amend Definition of Data</t>
  </si>
  <si>
    <t>E12629 022019</t>
  </si>
  <si>
    <t>Amend Definition of Professional Services</t>
  </si>
  <si>
    <t>E13700 012020</t>
  </si>
  <si>
    <t>Employee Device</t>
  </si>
  <si>
    <t>E13916 052020</t>
  </si>
  <si>
    <t>E12293 022019</t>
  </si>
  <si>
    <t>Invoice Manipulation Coverage - $100k</t>
  </si>
  <si>
    <t>Post Breach Remedial Services - 100 Hours</t>
  </si>
  <si>
    <t>E12716 022019</t>
  </si>
  <si>
    <t>Reputation Loss - $1M</t>
  </si>
  <si>
    <t>E13040 062019</t>
  </si>
  <si>
    <t>State Consumer Privacy Statutes</t>
  </si>
  <si>
    <t>E13373 092019</t>
  </si>
  <si>
    <t>Voluntary Shutdown Coverage</t>
  </si>
  <si>
    <t>E12971 052019</t>
  </si>
  <si>
    <t>Nuclear Incident Exclusion Clause-Liability-Direct (Broad)</t>
  </si>
  <si>
    <t>Radioactive Contamination Exclusion Clause-Liability-Direct</t>
  </si>
  <si>
    <t>Non Follow Form Endorsement (Fraudulent Instruction, Funds Transfer Fraud, Telephone Fraud, Cryptojacking, Invoice Manipulation)</t>
  </si>
  <si>
    <t>Drop Down Sub-Limits</t>
  </si>
  <si>
    <t>Epic Private Select Form</t>
  </si>
  <si>
    <t>Crisis Management Response Cover</t>
  </si>
  <si>
    <t>10/16/2021 - 1/1/2022</t>
  </si>
  <si>
    <t>1/1/2022 - 1/1/2023</t>
  </si>
  <si>
    <t>Surplus Lines Taxes</t>
  </si>
  <si>
    <t>Taxes and Assessments</t>
  </si>
  <si>
    <t>Separate Retention for Reduction in Force [$100k]</t>
  </si>
  <si>
    <t>PF-307772</t>
  </si>
  <si>
    <t>Privacy And Data Breach Exclusion</t>
  </si>
  <si>
    <t>PF-295399</t>
  </si>
  <si>
    <t>Company Investigation Costs</t>
  </si>
  <si>
    <t>PF-298590</t>
  </si>
  <si>
    <t>Excess Crime</t>
  </si>
  <si>
    <t xml:space="preserve"> -  Highlighted premiums are estimated</t>
  </si>
  <si>
    <t>expiring adjusted</t>
  </si>
  <si>
    <t>Exposure Base (Equipment Procurement)</t>
  </si>
  <si>
    <t>Exposure Base (Field Payroll)</t>
  </si>
  <si>
    <t>Exposure Base (Project Management)</t>
  </si>
  <si>
    <t>Field payroll</t>
  </si>
  <si>
    <t>equipment procurement</t>
  </si>
  <si>
    <t>project management</t>
  </si>
  <si>
    <t>Exposure Base - GL Premium</t>
  </si>
  <si>
    <t>Expiring adjusted</t>
  </si>
  <si>
    <t>exp adj premium</t>
  </si>
  <si>
    <t>renewal policy premium</t>
  </si>
  <si>
    <r>
      <t>Excess Liability</t>
    </r>
    <r>
      <rPr>
        <sz val="10"/>
        <color theme="1"/>
        <rFont val="Calibri"/>
        <family val="2"/>
      </rPr>
      <t xml:space="preserve"> - Agency Bill</t>
    </r>
  </si>
  <si>
    <t xml:space="preserve">
</t>
  </si>
  <si>
    <t>Great American Insurance Company</t>
  </si>
  <si>
    <t>Each Loss</t>
  </si>
  <si>
    <t>790FIC</t>
  </si>
  <si>
    <t>Underlying Premium</t>
  </si>
  <si>
    <t>W32D58220101</t>
  </si>
  <si>
    <t xml:space="preserve">MTE9041482 02 </t>
  </si>
  <si>
    <t>NHA098510</t>
  </si>
  <si>
    <t>AEC 0465241-02</t>
  </si>
  <si>
    <t>EX-4S236512-22-NF</t>
  </si>
  <si>
    <t>WP 71 676 2145</t>
  </si>
  <si>
    <t>10/16/2021 - 10/16/2022</t>
  </si>
  <si>
    <t>Foreign Package - T5 DCMC</t>
  </si>
  <si>
    <t>Local Ireland Public Liability, Products Liability, and Employers' Liability</t>
  </si>
  <si>
    <t>CNA Insurance Company (Europe) S.A.</t>
  </si>
  <si>
    <t>Public Liability</t>
  </si>
  <si>
    <t>Products Liability</t>
  </si>
  <si>
    <t xml:space="preserve">Employers' Liability </t>
  </si>
  <si>
    <t>Taxes &amp; surcharges</t>
  </si>
  <si>
    <t>G72586979 001</t>
  </si>
  <si>
    <t>Brian Donald</t>
  </si>
  <si>
    <t>Mobile Phone: 205-531-2310</t>
  </si>
  <si>
    <t>Nicole Larsen</t>
  </si>
  <si>
    <t>Account Specialist 
(Broker Support | Claims Reporting)</t>
  </si>
  <si>
    <t>Office Phone: 770-220-7686</t>
  </si>
  <si>
    <t>E-Mail: Nicole.Larsen@greyling.com</t>
  </si>
  <si>
    <t>Renewal Proposal</t>
  </si>
  <si>
    <t>7/1/2023 - 7/1/2024</t>
  </si>
  <si>
    <t>2022 Revenue</t>
  </si>
  <si>
    <t>Incumbent: Quoted</t>
  </si>
  <si>
    <t>Nick Benson</t>
  </si>
  <si>
    <t>Risk Analyst / Account Specialist</t>
  </si>
  <si>
    <t>Office Phone: 770-679-7359</t>
  </si>
  <si>
    <t>E-Mail: Nick.Benson@greyling.com</t>
  </si>
  <si>
    <t>10/16/2022 - 7/1/2024</t>
  </si>
  <si>
    <t>1/1/2023 - 1/1/2024</t>
  </si>
  <si>
    <t>Inland Marine (T5CS)</t>
  </si>
  <si>
    <t>*T5DC Property AND Inland Marine combined</t>
  </si>
  <si>
    <t>American Casualty Company Of Reading, PA</t>
  </si>
  <si>
    <r>
      <t>AL, AR,</t>
    </r>
    <r>
      <rPr>
        <sz val="11"/>
        <color rgb="FF004B65"/>
        <rFont val="Calibri"/>
        <family val="2"/>
      </rPr>
      <t xml:space="preserve"> </t>
    </r>
    <r>
      <rPr>
        <sz val="11"/>
        <rFont val="Calibri"/>
        <family val="2"/>
      </rPr>
      <t>AZ</t>
    </r>
    <r>
      <rPr>
        <sz val="11"/>
        <color theme="1"/>
        <rFont val="Calibri"/>
        <family val="2"/>
      </rPr>
      <t>, CO, FL, GA, HI, IA, IL, MD, MN, MO, NC, NJ, OR, PA, TX, VA, WV</t>
    </r>
  </si>
  <si>
    <t>- Renewal premium includes TRIA for $250.</t>
  </si>
  <si>
    <t xml:space="preserve">- If rejecting TRIA, please complete and sign the TRIA rejection form. </t>
  </si>
  <si>
    <t>- Renewal premium includes TRIA for $50.</t>
  </si>
  <si>
    <t>- Renewal premium includes TRIA for $219.</t>
  </si>
  <si>
    <t>CA 00 01 (11/20)</t>
  </si>
  <si>
    <t>CNA75079XX (03/22)</t>
  </si>
  <si>
    <t>- Renewal premium includes TRIA for $1,067.</t>
  </si>
  <si>
    <t>- Leased &amp; Rented Eq coverage is for rentals/leases less than 12 months
 - Renewal premium includes TRIA for $13.</t>
  </si>
  <si>
    <t>- Renewal premium includes TRIA for $469.</t>
  </si>
  <si>
    <t xml:space="preserve">- Premiums for Auto are subject to VIN verification process which could result in changes to the liability and physical damage premiums.   </t>
  </si>
  <si>
    <t>- Acceptable Motor Vehicle Records for all drivers.</t>
  </si>
  <si>
    <t>Total Number of Employees to be Covered</t>
  </si>
  <si>
    <t>x5 Base Annual Earnings up to Principal Sum of $1,000,000</t>
  </si>
  <si>
    <t>3-Year Avg.</t>
  </si>
  <si>
    <t>2020 Revenue</t>
  </si>
  <si>
    <t>3-Year Avg Rating Basis</t>
  </si>
  <si>
    <t>Renewal Option: 
3-Yr Avg</t>
  </si>
  <si>
    <t>Renewal Policy Premium</t>
  </si>
  <si>
    <t>- Renewal premium includes TRIA for $577.50.</t>
  </si>
  <si>
    <t>- Please re-sign and date the application within 30 days of the effective date.</t>
  </si>
  <si>
    <t>War and Cyber War Exclusion</t>
  </si>
  <si>
    <t>E15624 012023</t>
  </si>
  <si>
    <t>Infrastructure Failure Exclusion Amendatory Endorsement</t>
  </si>
  <si>
    <t>E15625 012023</t>
  </si>
  <si>
    <t>Client Executive: Gregg Bundschuh
Broker: Brian Donald
Meeting Date: 06/05/2023</t>
  </si>
  <si>
    <t>- T5DC 1st Excess</t>
  </si>
  <si>
    <t>- Excess Crime</t>
  </si>
  <si>
    <t xml:space="preserve"> - Tech E&amp;O</t>
  </si>
  <si>
    <t xml:space="preserve"> - 1st Excess Tech E&amp;O</t>
  </si>
  <si>
    <t>- 2nd Excess Tech E&amp;O</t>
  </si>
  <si>
    <t>- 3rd Excess Tech E&amp;O</t>
  </si>
  <si>
    <t>- 4th Excess Tech E&amp;O</t>
  </si>
  <si>
    <t>4th Excess Technology Errors &amp; Omissions</t>
  </si>
  <si>
    <t>Incumbent - Pending</t>
  </si>
  <si>
    <t>E-Risk/Scottsdale</t>
  </si>
  <si>
    <t>Applied/Texas Insurance</t>
  </si>
  <si>
    <t>EX-4S236512</t>
  </si>
  <si>
    <t>A++:XV</t>
  </si>
  <si>
    <t>*Expiring policy premium has been adjusted to be annualized</t>
  </si>
  <si>
    <t>10/25/2022 - 7/1/2023</t>
  </si>
  <si>
    <t>Retention</t>
  </si>
  <si>
    <t>- Expiring premium has been annualized for comparison purposes.  Expiring policy was $25,825 with a policy term from 10/25/22 - 7/1/23. 
 - Renewal premium includes TRIA for $275.</t>
  </si>
  <si>
    <t>Exclusion - Hazards Otherwise Insured</t>
  </si>
  <si>
    <t>Exclusion - Discrimination</t>
  </si>
  <si>
    <t>Exclusion - Designated Entities</t>
  </si>
  <si>
    <t>Exclusion - Designated Premises, Project or Operation</t>
  </si>
  <si>
    <t>Total Pollution Exclusion with Exception for Hostile Fire</t>
  </si>
  <si>
    <t>Exclusion - Access or Disclosure of Confidenctial or Personal Information</t>
  </si>
  <si>
    <t>Amendment - Follow Form to Exclusions in Underlying Insurance</t>
  </si>
  <si>
    <t>Amendment - Reduced or Exhausted Aggregate</t>
  </si>
  <si>
    <t>Exclusion - Unmanned Aircraft</t>
  </si>
  <si>
    <t>Exclusion - Communicable Disease</t>
  </si>
  <si>
    <t>XP 00 14 12 96</t>
  </si>
  <si>
    <t>XP 01 17 02 14</t>
  </si>
  <si>
    <t>XP 01 61 02 14</t>
  </si>
  <si>
    <t>XP 01 67 11 17</t>
  </si>
  <si>
    <t>XP 02 02 10 16</t>
  </si>
  <si>
    <t>XP 02 11 01 22</t>
  </si>
  <si>
    <t>XP 02 89 07 21</t>
  </si>
  <si>
    <t>T5DC Excess Liability</t>
  </si>
  <si>
    <t xml:space="preserve"> -  T5DC's expiring Excess Liability policy has been annualized for comparison purposes.  Expiring policy term was 10/25/22 - 7/1/23 for $25,825 in premium. </t>
  </si>
  <si>
    <t>PST 73 488 5104</t>
  </si>
  <si>
    <t xml:space="preserve">- Renewal quote is based on 2022 Construction Revenue only.   
 - Alternate Renewal Option is based on a 3-Year Average of Construction Revenue. </t>
  </si>
  <si>
    <t>During our pre-renewal meetings held on Monday, February 27, 2023, we discussed the following strategies for T5 Construction Services, LLC and T5 Data Centers, LLC Professional/Pollution Liability, Property/Casualty, and Executive Liability insurance renewals:</t>
  </si>
  <si>
    <t xml:space="preserve">After reviewing each of the alternatives, we agreed to pursue Option 2.  A summary of the renewal quotes is provided in the balance of the report. </t>
  </si>
  <si>
    <t>CNA Insurance Companies</t>
  </si>
  <si>
    <t>T5DC Package General Liability &amp; Property, Workers Comp, Auto, Umbrella</t>
  </si>
  <si>
    <t>T5CS Package General Liability &amp; Property/Inland Marine, Auto, Umbrella</t>
  </si>
  <si>
    <t>Renewal Option I:
Incumbent</t>
  </si>
  <si>
    <t>Expriring Adjusted Calculation</t>
  </si>
  <si>
    <t xml:space="preserve"> - Renewal Option for T5CS Professional/Pollution policy is based on a 3-Year Average of Construction Revenue. </t>
  </si>
  <si>
    <t>E-Mail: Brian.Donald@epicbrokers.com</t>
  </si>
  <si>
    <t>Broker
(day-to-day service, support for client executive)</t>
  </si>
  <si>
    <t>1st Excess Technology Errors &amp; Omissions</t>
  </si>
  <si>
    <t>Employed Lawyers</t>
  </si>
  <si>
    <t>Surcharges - Expiring</t>
  </si>
  <si>
    <t>Surcharges - Exp. Adj.</t>
  </si>
  <si>
    <t>Surcharges - Option I</t>
  </si>
  <si>
    <t>Surcharges - Option II</t>
  </si>
  <si>
    <t>Number of Lawyers</t>
  </si>
  <si>
    <t>$0 Non-indemnifiable Retention</t>
  </si>
  <si>
    <t>Moonlighting</t>
  </si>
  <si>
    <t>Pro bono</t>
  </si>
  <si>
    <t>Defense Costs carveback to Insured v Insured Exclusion</t>
  </si>
  <si>
    <t>Legal Services Carveback to EPL Exclusion</t>
  </si>
  <si>
    <t>Legal Services Carveback to Patent Exclusion</t>
  </si>
  <si>
    <t>Final, Non-appealable Conduct Exclusion Trigger</t>
  </si>
  <si>
    <t>Bodily Injury / Property Damage</t>
  </si>
  <si>
    <t>ERISA</t>
  </si>
  <si>
    <t>Employment Practices</t>
  </si>
  <si>
    <t>Patent</t>
  </si>
  <si>
    <t>Notary Services</t>
  </si>
  <si>
    <t>Amend Policy Year endorsement</t>
  </si>
  <si>
    <t>14-02-18501 (10/11)</t>
  </si>
  <si>
    <t>Amended Bodily Injury Property Damage Exclusion</t>
  </si>
  <si>
    <t>14-02-17587 (03/11)</t>
  </si>
  <si>
    <t>Florida Amendatory Endorsement</t>
  </si>
  <si>
    <t>14-02-18190 (10/12)</t>
  </si>
  <si>
    <t xml:space="preserve">Florida Amendatory Endorsement to General Terms &amp; Conditions </t>
  </si>
  <si>
    <t>14-02-18185 (05/11)</t>
  </si>
  <si>
    <t>Forefront Portfolio 3.0 For Health Care Organizations Ell Endorsement With Healthcare Fraud &amp; Abuse Defense Costs</t>
  </si>
  <si>
    <t>14-02-18697 (02/12)</t>
  </si>
  <si>
    <t>Sarbanes Oxley Endorsement</t>
  </si>
  <si>
    <t>14-02-22834 (09/17)</t>
  </si>
  <si>
    <t>- Renewal premium includes TRIA for $314.</t>
  </si>
  <si>
    <t>- Please answer the following questions:
          1. Are employees whow ork in proximity to large levels of dust accumulation given protective breathing masks?
          2. Does the Insurd's ventilation system have spark-detection technology?
          3. What types of security measures does the insured have on its premises (e.g., motion detectors, closed-circuit television cameras)
          4. Does the insured have multiple production areas or backup process equipment that can be used in the event of a business interruption?
          5. Does the insured contract witha  reputable maintenance company whose responsibility is to inspect and service the insured's specialized equipment and boilders?</t>
  </si>
  <si>
    <t>U-EXS-115-C CW (04/11)</t>
  </si>
  <si>
    <t>Discrimination Exclusion</t>
  </si>
  <si>
    <t>U-EXS-130-B CW (04/11)</t>
  </si>
  <si>
    <t>U-EXS-146-B CW (04/11)</t>
  </si>
  <si>
    <t>Fungus or Bacteria Exclusion</t>
  </si>
  <si>
    <t>U-EXS-267-C CW (07/19)</t>
  </si>
  <si>
    <t>Silica or Silica Mixed Dust Exclusion</t>
  </si>
  <si>
    <t>U-EXS-294-B CW (04/11)</t>
  </si>
  <si>
    <t>Technology Errors &amp; Omissions Exclusion</t>
  </si>
  <si>
    <t>U-EXS-372-B CW (03/12)</t>
  </si>
  <si>
    <t>Access or Disclosure of Confidential or Personal Information and Data-Related Liability Exclusion</t>
  </si>
  <si>
    <t>U-EXS-447-A CW (01/15)</t>
  </si>
  <si>
    <t>- Renewal premium includes TRIA for $200.</t>
  </si>
  <si>
    <t>XP 00 17 01 22</t>
  </si>
  <si>
    <t>- None.</t>
  </si>
  <si>
    <t>- Renewal premium includes TRIA for $183.</t>
  </si>
  <si>
    <t>Biometric Information Privacy Claim Exclusion</t>
  </si>
  <si>
    <t>PF-297128</t>
  </si>
  <si>
    <t>Underlying Policy Premium - 1st Excess Tech Errors &amp; Omissions</t>
  </si>
  <si>
    <t>EOTAACMBZ2001</t>
  </si>
  <si>
    <t>Liberty Surplus Insurance Corporation (Ironshore)</t>
  </si>
  <si>
    <t>A:XV</t>
  </si>
  <si>
    <t>EFF-Pol-0410</t>
  </si>
  <si>
    <t>Sanction Limitation and Exclusion Clause - 1</t>
  </si>
  <si>
    <t>SL-OFAC-0419</t>
  </si>
  <si>
    <t>Service of Suit Clause</t>
  </si>
  <si>
    <t>SC-9 (08/18)</t>
  </si>
  <si>
    <t>Non-Follow Form of Underlying Insurance but Recognition of Underlying Erosion Endorsement</t>
  </si>
  <si>
    <t>EFF-E065-1011</t>
  </si>
  <si>
    <t>EFF-E063-0815</t>
  </si>
  <si>
    <t>Drop Down Over Sub-Limit Endorsement:
 - Dependent Business Loss resulting from Dependent Security Breach - $1Mx$2M
 - Dependent Business Loss resulting from Dependent System Failure - $1Mx$2M
 - Computer Hardware Replacement Costs - $1Mx$2M
 - Reputation Loss - $1Mx$2M</t>
  </si>
  <si>
    <t>Underlying Policy Premium - 2nd Excess Tech Errors &amp; Omissions</t>
  </si>
  <si>
    <t>Texas Insurance Company (Applied)</t>
  </si>
  <si>
    <t>A-:XI</t>
  </si>
  <si>
    <t>BFLCYETGA01020002080401</t>
  </si>
  <si>
    <t xml:space="preserve">- Please provide a copy a currently signed and dated application. </t>
  </si>
  <si>
    <t>FL-10600A-TIC</t>
  </si>
  <si>
    <t>Underlying Policy Premium - 3rd Excess Tech Errors &amp; Omissions</t>
  </si>
  <si>
    <t>EKI3446907</t>
  </si>
  <si>
    <t>Scottsdale Indemnity Company</t>
  </si>
  <si>
    <t>A+:XV</t>
  </si>
  <si>
    <t>XMI-P-1 (08/07)</t>
  </si>
  <si>
    <t>Known Wrongful Acts Exclusion</t>
  </si>
  <si>
    <t>Prior Acts Exclusion</t>
  </si>
  <si>
    <t>Prior or Pending Litigation Exclusion</t>
  </si>
  <si>
    <t>Georgia Amendatory</t>
  </si>
  <si>
    <t xml:space="preserve">Policyholder Disclosure Notice of Terrorism Insurance </t>
  </si>
  <si>
    <t>XMI-68 (03/08)</t>
  </si>
  <si>
    <t>XMI-32 (08/07)</t>
  </si>
  <si>
    <t>XMI-59 (02/08)</t>
  </si>
  <si>
    <t>EKI-2151-GA (5-19)</t>
  </si>
  <si>
    <t>NOTI0601CW (11/18)</t>
  </si>
  <si>
    <t>Clause A - $0;
Clause B - $10,000</t>
  </si>
  <si>
    <t>Computer System Fraud</t>
  </si>
  <si>
    <t>PF-55501 (07/21)</t>
  </si>
  <si>
    <t>Fraudulent Instructions</t>
  </si>
  <si>
    <t>PF-55507 (07/21)</t>
  </si>
  <si>
    <t>Definition was revised via endt last year</t>
  </si>
  <si>
    <t>Definition in different than last year and no separate endt</t>
  </si>
  <si>
    <t>I do not see this endorsement or similar</t>
  </si>
  <si>
    <t>XSC E864504 00 00</t>
  </si>
  <si>
    <t>E121*C105</t>
  </si>
  <si>
    <t>Ascot Specialty Insurance Company</t>
  </si>
  <si>
    <t>Quoted</t>
  </si>
  <si>
    <t>Ascot</t>
  </si>
  <si>
    <t>G-22075-B 6/2010</t>
  </si>
  <si>
    <t>Service of Suit Endorsement</t>
  </si>
  <si>
    <t>CNA74300XX (6-14)</t>
  </si>
  <si>
    <t>Drop Down Over Certain Sublimits Endorsement</t>
  </si>
  <si>
    <t>CNA77729XX (3-18)</t>
  </si>
  <si>
    <t>EXE-P001-1219-00</t>
  </si>
  <si>
    <t>EXE-E051-1219-00</t>
  </si>
  <si>
    <t>EXE-E049-1219-00</t>
  </si>
  <si>
    <t>EXE-E046-1219-00</t>
  </si>
  <si>
    <t>EXE-C025-1219-00</t>
  </si>
  <si>
    <t>Drop Down Over Specified Sublimit Endorsement</t>
  </si>
  <si>
    <t>Service of Suit ASIC</t>
  </si>
  <si>
    <t>EXE-C010-1219-00</t>
  </si>
  <si>
    <t>EXE-E019-1219-00</t>
  </si>
  <si>
    <t xml:space="preserve"> - Highlighted policies have previously been presented and are bound.</t>
  </si>
  <si>
    <t xml:space="preserve"> - 2nd, 3rd, and 4th Excess Tech E&amp;O placements have been annualized for comparison purposes.</t>
  </si>
  <si>
    <t>T5 Data Centres Ireland Limited</t>
  </si>
  <si>
    <t>T5@Singapore PTE, LTD</t>
  </si>
  <si>
    <t>T5 Facilities Management LLC</t>
  </si>
  <si>
    <r>
      <rPr>
        <b/>
        <sz val="10"/>
        <color theme="1"/>
        <rFont val="Calibri"/>
        <family val="2"/>
        <scheme val="minor"/>
      </rPr>
      <t>T5 DCMC, LLC</t>
    </r>
    <r>
      <rPr>
        <sz val="10"/>
        <color theme="1"/>
        <rFont val="Calibri"/>
        <family val="2"/>
        <scheme val="minor"/>
      </rPr>
      <t xml:space="preserve">
</t>
    </r>
    <r>
      <rPr>
        <sz val="8"/>
        <color theme="1"/>
        <rFont val="Calibri"/>
        <family val="2"/>
        <scheme val="minor"/>
      </rPr>
      <t>*(Primary Tech E&amp;O/1st Excess Tech E&amp;O/2nd Excess Tech E&amp;O/3rd Excess Tech E&amp;O/4th Excess Tech E&amp;O)</t>
    </r>
  </si>
  <si>
    <r>
      <rPr>
        <b/>
        <sz val="10"/>
        <color theme="1"/>
        <rFont val="Calibri"/>
        <family val="2"/>
        <scheme val="minor"/>
      </rPr>
      <t>T5 Data Centers, LLC</t>
    </r>
    <r>
      <rPr>
        <sz val="10"/>
        <color theme="1"/>
        <rFont val="Calibri"/>
        <family val="2"/>
        <scheme val="minor"/>
      </rPr>
      <t xml:space="preserve">
</t>
    </r>
    <r>
      <rPr>
        <sz val="8"/>
        <color theme="1"/>
        <rFont val="Calibri"/>
        <family val="2"/>
        <scheme val="minor"/>
      </rPr>
      <t>*(T5DC Package - General Liability &amp; Property/Workers Comp/Auto/Umbrella/Excess/Business Travel Accident/Crime/Excess Crime)</t>
    </r>
  </si>
  <si>
    <r>
      <rPr>
        <b/>
        <sz val="10"/>
        <color theme="1"/>
        <rFont val="Calibri"/>
        <family val="2"/>
        <scheme val="minor"/>
      </rPr>
      <t>T5 Consruction Services, LLC</t>
    </r>
    <r>
      <rPr>
        <sz val="10"/>
        <color theme="1"/>
        <rFont val="Calibri"/>
        <family val="2"/>
        <scheme val="minor"/>
      </rPr>
      <t xml:space="preserve">
</t>
    </r>
    <r>
      <rPr>
        <sz val="8"/>
        <color theme="1"/>
        <rFont val="Calibri"/>
        <family val="2"/>
        <scheme val="minor"/>
      </rPr>
      <t>*(Contractors Professional &amp; Pollution Liab/General Liability/Inland Marine/Auto/Umbrella/1st Excess/2nd Excess/3rd Excess/4th Excess)</t>
    </r>
  </si>
  <si>
    <r>
      <rPr>
        <b/>
        <sz val="10"/>
        <color theme="1"/>
        <rFont val="Calibri"/>
        <family val="2"/>
        <scheme val="minor"/>
      </rPr>
      <t>T5DC Investors, LLC</t>
    </r>
    <r>
      <rPr>
        <sz val="10"/>
        <color theme="1"/>
        <rFont val="Calibri"/>
        <family val="2"/>
        <scheme val="minor"/>
      </rPr>
      <t xml:space="preserve">
</t>
    </r>
    <r>
      <rPr>
        <sz val="8"/>
        <color theme="1"/>
        <rFont val="Calibri"/>
        <family val="2"/>
        <scheme val="minor"/>
      </rPr>
      <t>*(Executive Risk/Excess Crime)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</si>
</sst>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164" formatCode="&quot;$&quot;#,##0"/>
    <numFmt numFmtId="165" formatCode="&quot;$&quot;#,##0.00"/>
    <numFmt numFmtId="166" formatCode="0.0%"/>
    <numFmt numFmtId="167" formatCode="&quot;$&quot;#,##0.000"/>
    <numFmt numFmtId="168" formatCode="0.000"/>
    <numFmt numFmtId="169" formatCode="&quot;$&quot;#,##0.000_);\(&quot;$&quot;#,##0.000\)"/>
    <numFmt numFmtId="170" formatCode="mm/dd/yyyy"/>
    <numFmt numFmtId="171" formatCode="[$€-83C]#,##0"/>
    <numFmt numFmtId="172" formatCode="[$£-809]#,##0"/>
    <numFmt numFmtId="173" formatCode="[$€-2]\ #,##0_);[Red]\([$€-2]\ #,##0\)"/>
    <numFmt numFmtId="174" formatCode="[$€-2]\ #,##0.00_);[Red]\([$€-2]\ #,##0.00\)"/>
    <numFmt numFmtId="175" formatCode="[$€-2]\ #,##0"/>
  </numFmts>
  <fonts count="84" x14ac:knownFonts="1">
    <font>
      <sz val="11"/>
      <color theme="1"/>
      <name val="Calibri"/>
      <family val="2"/>
      <scheme val="minor"/>
    </font>
    <font>
      <sz val="10"/>
      <color theme="1"/>
      <name val="Calibri"/>
      <family val="2"/>
      <scheme val="minor"/>
    </font>
    <font>
      <sz val="11"/>
      <color theme="1"/>
      <name val="Calibri"/>
      <family val="2"/>
    </font>
    <font>
      <b/>
      <sz val="11"/>
      <color theme="1"/>
      <name val="Calibri"/>
      <family val="2"/>
      <scheme val="minor"/>
    </font>
    <font>
      <b/>
      <sz val="10"/>
      <name val="Calibri"/>
      <family val="2"/>
      <scheme val="minor"/>
    </font>
    <font>
      <u/>
      <sz val="11"/>
      <color theme="1"/>
      <name val="Calibri"/>
      <family val="2"/>
      <scheme val="minor"/>
    </font>
    <font>
      <sz val="10"/>
      <color theme="1"/>
      <name val="Calibri"/>
      <family val="2"/>
      <scheme val="minor"/>
    </font>
    <font>
      <b/>
      <u/>
      <sz val="11"/>
      <color theme="1"/>
      <name val="Calibri"/>
      <family val="2"/>
      <scheme val="minor"/>
    </font>
    <font>
      <sz val="11"/>
      <name val="Calibri"/>
      <family val="2"/>
      <scheme val="minor"/>
    </font>
    <font>
      <b/>
      <sz val="10"/>
      <color theme="1"/>
      <name val="Calibri"/>
      <family val="2"/>
      <scheme val="minor"/>
    </font>
    <font>
      <b/>
      <sz val="18"/>
      <color theme="1"/>
      <name val="Calibri"/>
      <family val="2"/>
      <scheme val="minor"/>
    </font>
    <font>
      <b/>
      <sz val="11"/>
      <name val="Calibri"/>
      <family val="2"/>
      <scheme val="minor"/>
    </font>
    <font>
      <sz val="11"/>
      <color theme="1"/>
      <name val="Calibri"/>
      <family val="2"/>
    </font>
    <font>
      <u/>
      <sz val="11"/>
      <color theme="1"/>
      <name val="Calibri"/>
      <family val="2"/>
    </font>
    <font>
      <b/>
      <sz val="11"/>
      <color rgb="FFFF0000"/>
      <name val="Calibri"/>
      <family val="2"/>
      <scheme val="minor"/>
    </font>
    <font>
      <b/>
      <sz val="12"/>
      <color theme="1"/>
      <name val="Calibri"/>
      <family val="2"/>
      <scheme val="minor"/>
    </font>
    <font>
      <u/>
      <sz val="10"/>
      <color theme="1"/>
      <name val="Calibri"/>
      <family val="2"/>
      <scheme val="minor"/>
    </font>
    <font>
      <sz val="10"/>
      <color rgb="FFFF0000"/>
      <name val="Calibri"/>
      <family val="2"/>
      <scheme val="minor"/>
    </font>
    <font>
      <b/>
      <u/>
      <sz val="10"/>
      <color theme="1"/>
      <name val="Calibri"/>
      <family val="2"/>
      <scheme val="minor"/>
    </font>
    <font>
      <b/>
      <u/>
      <sz val="12"/>
      <color theme="1"/>
      <name val="Calibri"/>
      <family val="2"/>
      <scheme val="minor"/>
    </font>
    <font>
      <b/>
      <sz val="10"/>
      <color rgb="FFFF0000"/>
      <name val="Calibri"/>
      <family val="2"/>
    </font>
    <font>
      <b/>
      <sz val="11"/>
      <color rgb="FF00B050"/>
      <name val="Wingdings"/>
      <charset val="2"/>
    </font>
    <font>
      <sz val="11"/>
      <color indexed="8"/>
      <name val="Calibri"/>
      <family val="2"/>
    </font>
    <font>
      <sz val="10"/>
      <name val="Calibri"/>
      <family val="2"/>
      <scheme val="minor"/>
    </font>
    <font>
      <u/>
      <sz val="11"/>
      <name val="Calibri"/>
      <family val="2"/>
      <scheme val="minor"/>
    </font>
    <font>
      <b/>
      <sz val="11"/>
      <name val="Calibri"/>
      <family val="2"/>
    </font>
    <font>
      <b/>
      <sz val="11"/>
      <color indexed="8"/>
      <name val="Calibri"/>
      <family val="2"/>
    </font>
    <font>
      <sz val="11"/>
      <name val="Calibri"/>
      <family val="2"/>
    </font>
    <font>
      <b/>
      <u/>
      <sz val="11"/>
      <color indexed="8"/>
      <name val="Calibri"/>
      <family val="2"/>
    </font>
    <font>
      <u/>
      <sz val="11"/>
      <color indexed="8"/>
      <name val="Calibri"/>
      <family val="2"/>
    </font>
    <font>
      <u/>
      <sz val="11"/>
      <name val="Calibri"/>
      <family val="2"/>
    </font>
    <font>
      <sz val="10"/>
      <color theme="1"/>
      <name val="Calibri"/>
      <family val="2"/>
    </font>
    <font>
      <i/>
      <sz val="10"/>
      <color theme="1"/>
      <name val="Calibri"/>
      <family val="2"/>
      <scheme val="minor"/>
    </font>
    <font>
      <i/>
      <sz val="10"/>
      <color rgb="FFFF0000"/>
      <name val="Calibri"/>
      <family val="2"/>
      <scheme val="minor"/>
    </font>
    <font>
      <sz val="10"/>
      <color rgb="FF000000"/>
      <name val="Calibri"/>
      <family val="2"/>
      <scheme val="minor"/>
    </font>
    <font>
      <b/>
      <sz val="11"/>
      <color rgb="FFFF0000"/>
      <name val="Wingdings"/>
      <charset val="2"/>
    </font>
    <font>
      <sz val="11"/>
      <color rgb="FF00B050"/>
      <name val="Calibri"/>
      <family val="2"/>
      <scheme val="minor"/>
    </font>
    <font>
      <sz val="10"/>
      <color rgb="FF00B050"/>
      <name val="Calibri"/>
      <family val="2"/>
      <scheme val="minor"/>
    </font>
    <font>
      <b/>
      <sz val="10"/>
      <color rgb="FFFF0000"/>
      <name val="Calibri"/>
      <family val="2"/>
      <scheme val="minor"/>
    </font>
    <font>
      <b/>
      <sz val="10"/>
      <color rgb="FF00B050"/>
      <name val="Calibri"/>
      <family val="2"/>
      <scheme val="minor"/>
    </font>
    <font>
      <b/>
      <sz val="10"/>
      <color theme="0"/>
      <name val="Calibri"/>
      <family val="2"/>
      <scheme val="minor"/>
    </font>
    <font>
      <sz val="10"/>
      <color theme="0"/>
      <name val="Calibri"/>
      <family val="2"/>
      <scheme val="minor"/>
    </font>
    <font>
      <u/>
      <sz val="11"/>
      <color rgb="FFFF0000"/>
      <name val="Calibri"/>
      <family val="2"/>
      <scheme val="minor"/>
    </font>
    <font>
      <b/>
      <u/>
      <sz val="11"/>
      <name val="Calibri"/>
      <family val="2"/>
      <scheme val="minor"/>
    </font>
    <font>
      <sz val="24"/>
      <color theme="1"/>
      <name val="Cambria"/>
      <family val="2"/>
      <scheme val="major"/>
    </font>
    <font>
      <b/>
      <sz val="10"/>
      <color theme="1"/>
      <name val="Calibri"/>
      <family val="2"/>
    </font>
    <font>
      <sz val="11"/>
      <color rgb="FFFF0000"/>
      <name val="Calibri"/>
      <family val="2"/>
      <scheme val="minor"/>
    </font>
    <font>
      <sz val="24"/>
      <color theme="1"/>
      <name val="Cambria"/>
      <family val="1"/>
      <scheme val="major"/>
    </font>
    <font>
      <b/>
      <u/>
      <sz val="11"/>
      <color rgb="FFFF0000"/>
      <name val="Calibri"/>
      <family val="2"/>
      <scheme val="minor"/>
    </font>
    <font>
      <sz val="20"/>
      <color theme="1"/>
      <name val="Calibri"/>
      <family val="2"/>
      <scheme val="minor"/>
    </font>
    <font>
      <sz val="10"/>
      <color rgb="FF00B050"/>
      <name val="Calibri"/>
      <family val="2"/>
    </font>
    <font>
      <sz val="11"/>
      <color theme="0"/>
      <name val="Calibri"/>
      <family val="2"/>
      <scheme val="minor"/>
    </font>
    <font>
      <u/>
      <sz val="10"/>
      <color theme="10"/>
      <name val="Calibri"/>
      <family val="2"/>
      <scheme val="minor"/>
    </font>
    <font>
      <b/>
      <sz val="14"/>
      <color theme="1"/>
      <name val="Calibri"/>
      <family val="2"/>
      <scheme val="minor"/>
    </font>
    <font>
      <b/>
      <sz val="10"/>
      <color rgb="FF004B65"/>
      <name val="Calibri"/>
      <family val="2"/>
      <scheme val="minor"/>
    </font>
    <font>
      <sz val="14"/>
      <color theme="1"/>
      <name val="Calibri"/>
      <family val="2"/>
      <scheme val="minor"/>
    </font>
    <font>
      <u/>
      <sz val="14"/>
      <color theme="10"/>
      <name val="Calibri"/>
      <family val="2"/>
      <scheme val="minor"/>
    </font>
    <font>
      <b/>
      <sz val="11"/>
      <color theme="0"/>
      <name val="Calibri"/>
      <family val="2"/>
      <scheme val="minor"/>
    </font>
    <font>
      <sz val="13"/>
      <color theme="0"/>
      <name val="Calibri"/>
      <family val="2"/>
      <scheme val="minor"/>
    </font>
    <font>
      <sz val="11"/>
      <color rgb="FFFF0000"/>
      <name val="Calibri"/>
      <family val="2"/>
    </font>
    <font>
      <sz val="10"/>
      <color rgb="FFFF0000"/>
      <name val="Calibri"/>
      <family val="2"/>
    </font>
    <font>
      <i/>
      <sz val="10"/>
      <color rgb="FF000000"/>
      <name val="Calibri"/>
      <family val="2"/>
      <scheme val="minor"/>
    </font>
    <font>
      <b/>
      <sz val="12"/>
      <name val="Calibri"/>
      <family val="2"/>
      <scheme val="minor"/>
    </font>
    <font>
      <u/>
      <sz val="11"/>
      <color rgb="FFFF0000"/>
      <name val="Calibri"/>
      <family val="2"/>
    </font>
    <font>
      <i/>
      <sz val="11"/>
      <name val="Calibri"/>
      <family val="2"/>
      <scheme val="minor"/>
    </font>
    <font>
      <i/>
      <sz val="10"/>
      <color theme="1"/>
      <name val="Calibri"/>
      <family val="2"/>
    </font>
    <font>
      <u/>
      <sz val="10"/>
      <color theme="1"/>
      <name val="Calibri"/>
      <family val="2"/>
    </font>
    <font>
      <sz val="12"/>
      <color theme="0"/>
      <name val="Calibri"/>
      <family val="2"/>
      <scheme val="minor"/>
    </font>
    <font>
      <u/>
      <sz val="10"/>
      <color rgb="FFFF0000"/>
      <name val="Calibri"/>
      <family val="2"/>
      <scheme val="minor"/>
    </font>
    <font>
      <i/>
      <u/>
      <sz val="10"/>
      <color rgb="FFFF0000"/>
      <name val="Calibri"/>
      <family val="2"/>
      <scheme val="minor"/>
    </font>
    <font>
      <b/>
      <sz val="10"/>
      <color rgb="FF00B050"/>
      <name val="Calibri"/>
      <family val="2"/>
    </font>
    <font>
      <i/>
      <sz val="10"/>
      <name val="Calibri"/>
      <family val="2"/>
      <scheme val="minor"/>
    </font>
    <font>
      <b/>
      <sz val="28"/>
      <color theme="1"/>
      <name val="Calibri"/>
      <family val="2"/>
      <scheme val="minor"/>
    </font>
    <font>
      <sz val="11"/>
      <color theme="1"/>
      <name val="Calibri"/>
      <family val="2"/>
      <scheme val="minor"/>
    </font>
    <font>
      <b/>
      <sz val="11"/>
      <color rgb="FF00B050"/>
      <name val="Calibri"/>
      <family val="2"/>
      <scheme val="minor"/>
    </font>
    <font>
      <u/>
      <sz val="11"/>
      <color theme="10"/>
      <name val="Calibri"/>
      <family val="2"/>
      <scheme val="minor"/>
    </font>
    <font>
      <b/>
      <i/>
      <sz val="10"/>
      <color theme="1"/>
      <name val="Calibri"/>
      <family val="2"/>
      <scheme val="minor"/>
    </font>
    <font>
      <b/>
      <i/>
      <u/>
      <sz val="10"/>
      <color rgb="FFFF0000"/>
      <name val="Calibri"/>
      <family val="2"/>
      <scheme val="minor"/>
    </font>
    <font>
      <b/>
      <u/>
      <sz val="10"/>
      <color rgb="FFFF0000"/>
      <name val="Calibri"/>
      <family val="2"/>
      <scheme val="minor"/>
    </font>
    <font>
      <sz val="10"/>
      <name val="Calibri"/>
      <family val="2"/>
    </font>
    <font>
      <sz val="11"/>
      <color rgb="FF000000"/>
      <name val="Calibri"/>
      <family val="2"/>
      <scheme val="minor"/>
    </font>
    <font>
      <u/>
      <sz val="10"/>
      <name val="Calibri"/>
      <family val="2"/>
      <scheme val="minor"/>
    </font>
    <font>
      <sz val="11"/>
      <color rgb="FF004B65"/>
      <name val="Calibri"/>
      <family val="2"/>
    </font>
    <font>
      <sz val="8"/>
      <color theme="1"/>
      <name val="Calibri"/>
      <family val="2"/>
      <scheme val="minor"/>
    </font>
  </fonts>
  <fills count="21">
    <fill>
      <patternFill patternType="none"/>
    </fill>
    <fill>
      <patternFill patternType="gray125"/>
    </fill>
    <fill>
      <patternFill patternType="solid">
        <fgColor theme="0"/>
        <bgColor indexed="64"/>
      </patternFill>
    </fill>
    <fill>
      <patternFill patternType="solid">
        <fgColor rgb="FF004B65"/>
        <bgColor indexed="64"/>
      </patternFill>
    </fill>
    <fill>
      <patternFill patternType="solid">
        <fgColor theme="0" tint="-0.14999847407452621"/>
        <bgColor indexed="64"/>
      </patternFill>
    </fill>
    <fill>
      <patternFill patternType="solid">
        <fgColor rgb="FF003F5E"/>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004B66"/>
        <bgColor indexed="64"/>
      </patternFill>
    </fill>
    <fill>
      <patternFill patternType="solid">
        <fgColor theme="6" tint="0.59999389629810485"/>
        <bgColor indexed="64"/>
      </patternFill>
    </fill>
    <fill>
      <patternFill patternType="solid">
        <fgColor rgb="FF888B8D"/>
        <bgColor indexed="64"/>
      </patternFill>
    </fill>
    <fill>
      <patternFill patternType="solid">
        <fgColor rgb="FFF1B434"/>
        <bgColor indexed="64"/>
      </patternFill>
    </fill>
    <fill>
      <patternFill patternType="solid">
        <fgColor theme="8" tint="0.79998168889431442"/>
        <bgColor indexed="64"/>
      </patternFill>
    </fill>
    <fill>
      <patternFill patternType="solid">
        <fgColor rgb="FFBFBFBF"/>
        <bgColor indexed="64"/>
      </patternFill>
    </fill>
    <fill>
      <patternFill patternType="solid">
        <fgColor theme="3"/>
        <bgColor indexed="64"/>
      </patternFill>
    </fill>
    <fill>
      <patternFill patternType="solid">
        <fgColor theme="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92D050"/>
        <bgColor indexed="64"/>
      </patternFill>
    </fill>
    <fill>
      <patternFill patternType="solid">
        <fgColor theme="3" tint="-0.249977111117893"/>
        <bgColor indexed="64"/>
      </patternFill>
    </fill>
    <fill>
      <patternFill patternType="solid">
        <fgColor theme="9" tint="0.59999389629810485"/>
        <bgColor indexed="64"/>
      </patternFill>
    </fill>
  </fills>
  <borders count="142">
    <border>
      <left/>
      <right/>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right/>
      <top/>
      <bottom style="thin">
        <color auto="1"/>
      </bottom>
      <diagonal/>
    </border>
    <border>
      <left style="double">
        <color auto="1"/>
      </left>
      <right/>
      <top/>
      <bottom/>
      <diagonal/>
    </border>
    <border>
      <left/>
      <right style="double">
        <color auto="1"/>
      </right>
      <top/>
      <bottom/>
      <diagonal/>
    </border>
    <border>
      <left style="thin">
        <color auto="1"/>
      </left>
      <right style="double">
        <color auto="1"/>
      </right>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diagonal/>
    </border>
    <border>
      <left/>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bottom/>
      <diagonal/>
    </border>
    <border>
      <left/>
      <right/>
      <top style="thin">
        <color theme="0" tint="-0.24994659260841701"/>
      </top>
      <bottom style="thin">
        <color theme="0" tint="-0.24994659260841701"/>
      </bottom>
      <diagonal/>
    </border>
    <border>
      <left style="thin">
        <color auto="1"/>
      </left>
      <right style="double">
        <color auto="1"/>
      </right>
      <top style="thin">
        <color auto="1"/>
      </top>
      <bottom/>
      <diagonal/>
    </border>
    <border>
      <left style="double">
        <color auto="1"/>
      </left>
      <right/>
      <top style="thin">
        <color auto="1"/>
      </top>
      <bottom/>
      <diagonal/>
    </border>
    <border>
      <left style="double">
        <color auto="1"/>
      </left>
      <right/>
      <top/>
      <bottom style="thin">
        <color auto="1"/>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bottom style="double">
        <color theme="0" tint="-0.24994659260841701"/>
      </bottom>
      <diagonal/>
    </border>
    <border>
      <left/>
      <right style="thin">
        <color rgb="FFBFBFBF"/>
      </right>
      <top/>
      <bottom style="thin">
        <color rgb="FFBFBFB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diagonal/>
    </border>
    <border>
      <left style="thin">
        <color theme="0" tint="-0.24994659260841701"/>
      </left>
      <right style="thin">
        <color theme="0"/>
      </right>
      <top/>
      <bottom/>
      <diagonal/>
    </border>
    <border>
      <left style="thin">
        <color theme="0" tint="-0.24994659260841701"/>
      </left>
      <right style="thin">
        <color theme="0"/>
      </right>
      <top/>
      <bottom style="thin">
        <color theme="0" tint="-0.24994659260841701"/>
      </bottom>
      <diagonal/>
    </border>
    <border>
      <left style="thin">
        <color theme="0" tint="-0.24994659260841701"/>
      </left>
      <right style="thin">
        <color theme="0"/>
      </right>
      <top style="thin">
        <color theme="0" tint="-0.24994659260841701"/>
      </top>
      <bottom style="thin">
        <color theme="0" tint="-0.24994659260841701"/>
      </bottom>
      <diagonal/>
    </border>
    <border>
      <left style="thin">
        <color theme="0" tint="-0.24994659260841701"/>
      </left>
      <right style="thin">
        <color theme="0"/>
      </right>
      <top style="thin">
        <color theme="0" tint="-0.24994659260841701"/>
      </top>
      <bottom/>
      <diagonal/>
    </border>
    <border>
      <left/>
      <right style="thin">
        <color theme="0"/>
      </right>
      <top style="thin">
        <color theme="0" tint="-0.24994659260841701"/>
      </top>
      <bottom style="thin">
        <color theme="0" tint="-0.24994659260841701"/>
      </bottom>
      <diagonal/>
    </border>
    <border>
      <left/>
      <right style="thin">
        <color theme="0"/>
      </right>
      <top style="thin">
        <color theme="0" tint="-0.24994659260841701"/>
      </top>
      <bottom/>
      <diagonal/>
    </border>
    <border>
      <left/>
      <right style="thin">
        <color theme="0"/>
      </right>
      <top/>
      <bottom style="double">
        <color theme="0" tint="-0.24994659260841701"/>
      </bottom>
      <diagonal/>
    </border>
    <border>
      <left style="thin">
        <color auto="1"/>
      </left>
      <right style="double">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theme="0"/>
      </left>
      <right/>
      <top style="medium">
        <color theme="0"/>
      </top>
      <bottom style="medium">
        <color theme="0"/>
      </bottom>
      <diagonal/>
    </border>
    <border>
      <left/>
      <right/>
      <top/>
      <bottom style="medium">
        <color auto="1"/>
      </bottom>
      <diagonal/>
    </border>
    <border>
      <left/>
      <right style="medium">
        <color auto="1"/>
      </right>
      <top/>
      <bottom style="medium">
        <color auto="1"/>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24994659260841701"/>
      </bottom>
      <diagonal/>
    </border>
    <border>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right>
      <top/>
      <bottom style="double">
        <color theme="0" tint="-0.24994659260841701"/>
      </bottom>
      <diagonal/>
    </border>
    <border>
      <left style="medium">
        <color auto="1"/>
      </left>
      <right style="medium">
        <color theme="0"/>
      </right>
      <top style="medium">
        <color theme="0"/>
      </top>
      <bottom style="medium">
        <color theme="0"/>
      </bottom>
      <diagonal/>
    </border>
    <border>
      <left style="medium">
        <color auto="1"/>
      </left>
      <right/>
      <top style="medium">
        <color theme="0"/>
      </top>
      <bottom style="medium">
        <color theme="0"/>
      </bottom>
      <diagonal/>
    </border>
    <border>
      <left style="medium">
        <color theme="0"/>
      </left>
      <right/>
      <top style="medium">
        <color theme="0"/>
      </top>
      <bottom/>
      <diagonal/>
    </border>
    <border>
      <left style="medium">
        <color theme="0"/>
      </left>
      <right/>
      <top/>
      <bottom style="medium">
        <color theme="0"/>
      </bottom>
      <diagonal/>
    </border>
    <border>
      <left style="medium">
        <color auto="1"/>
      </left>
      <right style="medium">
        <color theme="0"/>
      </right>
      <top style="medium">
        <color theme="0"/>
      </top>
      <bottom/>
      <diagonal/>
    </border>
    <border>
      <left style="medium">
        <color auto="1"/>
      </left>
      <right style="medium">
        <color theme="0"/>
      </right>
      <top/>
      <bottom/>
      <diagonal/>
    </border>
    <border>
      <left/>
      <right/>
      <top style="medium">
        <color theme="0"/>
      </top>
      <bottom/>
      <diagonal/>
    </border>
    <border>
      <left style="thick">
        <color rgb="FFFFFFFF"/>
      </left>
      <right/>
      <top style="thick">
        <color rgb="FFFFFFFF"/>
      </top>
      <bottom style="thick">
        <color rgb="FFFFFFFF"/>
      </bottom>
      <diagonal/>
    </border>
    <border>
      <left/>
      <right style="thick">
        <color rgb="FFFFFFFF"/>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rgb="FFFFFFFF"/>
      </left>
      <right/>
      <top/>
      <bottom/>
      <diagonal/>
    </border>
    <border>
      <left/>
      <right style="thick">
        <color rgb="FFFFFFFF"/>
      </right>
      <top/>
      <bottom/>
      <diagonal/>
    </border>
    <border>
      <left style="thick">
        <color rgb="FFFFFFFF"/>
      </left>
      <right/>
      <top style="thick">
        <color rgb="FFFFFFFF"/>
      </top>
      <bottom/>
      <diagonal/>
    </border>
    <border>
      <left style="thick">
        <color rgb="FFFFFFFF"/>
      </left>
      <right style="thick">
        <color rgb="FFFFFFFF"/>
      </right>
      <top style="thick">
        <color rgb="FFFFFFFF"/>
      </top>
      <bottom/>
      <diagonal/>
    </border>
    <border>
      <left style="thick">
        <color rgb="FFFFFFFF"/>
      </left>
      <right style="thick">
        <color rgb="FFFFFFFF"/>
      </right>
      <top/>
      <bottom/>
      <diagonal/>
    </border>
    <border>
      <left/>
      <right style="thick">
        <color rgb="FFFFFFFF"/>
      </right>
      <top style="thick">
        <color rgb="FFFFFFFF"/>
      </top>
      <bottom/>
      <diagonal/>
    </border>
    <border>
      <left style="medium">
        <color rgb="FFFFFFFF"/>
      </left>
      <right/>
      <top style="medium">
        <color rgb="FFFFFFFF"/>
      </top>
      <bottom style="medium">
        <color rgb="FFBFBFBF"/>
      </bottom>
      <diagonal/>
    </border>
    <border>
      <left/>
      <right style="medium">
        <color rgb="FFFFFFFF"/>
      </right>
      <top style="medium">
        <color rgb="FFFFFFFF"/>
      </top>
      <bottom style="medium">
        <color rgb="FFBFBFBF"/>
      </bottom>
      <diagonal/>
    </border>
    <border>
      <left style="medium">
        <color rgb="FFFFFFFF"/>
      </left>
      <right style="medium">
        <color rgb="FFBFBFBF"/>
      </right>
      <top/>
      <bottom style="medium">
        <color rgb="FFBFBFBF"/>
      </bottom>
      <diagonal/>
    </border>
    <border>
      <left style="medium">
        <color rgb="FFFFFFFF"/>
      </left>
      <right style="medium">
        <color rgb="FFBFBFBF"/>
      </right>
      <top/>
      <bottom/>
      <diagonal/>
    </border>
    <border>
      <left/>
      <right style="medium">
        <color rgb="FFFFFFFF"/>
      </right>
      <top/>
      <bottom style="medium">
        <color rgb="FFBFBFBF"/>
      </bottom>
      <diagonal/>
    </border>
    <border>
      <left/>
      <right style="medium">
        <color rgb="FFFFFFFF"/>
      </right>
      <top/>
      <bottom/>
      <diagonal/>
    </border>
    <border>
      <left style="medium">
        <color rgb="FFFFFFFF"/>
      </left>
      <right/>
      <top style="medium">
        <color rgb="FFBFBFBF"/>
      </top>
      <bottom style="medium">
        <color rgb="FFBFBFBF"/>
      </bottom>
      <diagonal/>
    </border>
    <border>
      <left/>
      <right style="medium">
        <color rgb="FFFFFFFF"/>
      </right>
      <top style="medium">
        <color rgb="FFBFBFBF"/>
      </top>
      <bottom style="medium">
        <color rgb="FFBFBFBF"/>
      </bottom>
      <diagonal/>
    </border>
    <border>
      <left style="medium">
        <color rgb="FFFFFFFF"/>
      </left>
      <right style="medium">
        <color rgb="FFBFBFBF"/>
      </right>
      <top style="medium">
        <color rgb="FFBFBFBF"/>
      </top>
      <bottom/>
      <diagonal/>
    </border>
    <border>
      <left/>
      <right style="thin">
        <color theme="0"/>
      </right>
      <top/>
      <bottom style="thin">
        <color theme="0" tint="-0.24994659260841701"/>
      </bottom>
      <diagonal/>
    </border>
    <border>
      <left/>
      <right style="thin">
        <color theme="0" tint="-0.34998626667073579"/>
      </right>
      <top style="thin">
        <color theme="0" tint="-0.24994659260841701"/>
      </top>
      <bottom style="thin">
        <color theme="0" tint="-0.34998626667073579"/>
      </bottom>
      <diagonal/>
    </border>
    <border>
      <left/>
      <right style="thin">
        <color theme="0" tint="-0.24994659260841701"/>
      </right>
      <top/>
      <bottom style="thin">
        <color rgb="FFB8B8B8"/>
      </bottom>
      <diagonal/>
    </border>
    <border>
      <left style="thin">
        <color theme="0" tint="-0.24994659260841701"/>
      </left>
      <right/>
      <top/>
      <bottom style="thin">
        <color rgb="FFB8B8B8"/>
      </bottom>
      <diagonal/>
    </border>
    <border>
      <left/>
      <right style="thin">
        <color theme="0" tint="-0.24994659260841701"/>
      </right>
      <top style="thin">
        <color rgb="FFB8B8B8"/>
      </top>
      <bottom/>
      <diagonal/>
    </border>
    <border>
      <left style="thin">
        <color theme="0" tint="-0.24994659260841701"/>
      </left>
      <right/>
      <top style="thin">
        <color rgb="FFB8B8B8"/>
      </top>
      <bottom/>
      <diagonal/>
    </border>
    <border>
      <left style="thin">
        <color theme="0"/>
      </left>
      <right/>
      <top/>
      <bottom/>
      <diagonal/>
    </border>
    <border>
      <left/>
      <right style="thin">
        <color rgb="FFBFBFBF"/>
      </right>
      <top style="thin">
        <color rgb="FFBFBFBF"/>
      </top>
      <bottom/>
      <diagonal/>
    </border>
    <border>
      <left/>
      <right style="thin">
        <color rgb="FFBFBFBF"/>
      </right>
      <top/>
      <bottom/>
      <diagonal/>
    </border>
    <border>
      <left/>
      <right style="double">
        <color indexed="64"/>
      </right>
      <top/>
      <bottom style="thin">
        <color auto="1"/>
      </bottom>
      <diagonal/>
    </border>
    <border>
      <left style="thin">
        <color theme="0" tint="-0.249977111117893"/>
      </left>
      <right/>
      <top style="thin">
        <color theme="0" tint="-0.249977111117893"/>
      </top>
      <bottom/>
      <diagonal/>
    </border>
    <border>
      <left style="thin">
        <color theme="0" tint="-0.249977111117893"/>
      </left>
      <right/>
      <top style="thin">
        <color rgb="FFBFBFBF"/>
      </top>
      <bottom/>
      <diagonal/>
    </border>
    <border>
      <left style="thin">
        <color rgb="FFBFBFBF"/>
      </left>
      <right/>
      <top style="thin">
        <color theme="0" tint="-0.24994659260841701"/>
      </top>
      <bottom/>
      <diagonal/>
    </border>
    <border>
      <left style="thin">
        <color theme="0" tint="-0.249977111117893"/>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rgb="FFBFBFBF"/>
      </bottom>
      <diagonal/>
    </border>
    <border>
      <left style="thin">
        <color theme="0" tint="-0.24994659260841701"/>
      </left>
      <right/>
      <top style="thin">
        <color theme="0" tint="-0.24994659260841701"/>
      </top>
      <bottom style="thin">
        <color rgb="FFBFBFBF"/>
      </bottom>
      <diagonal/>
    </border>
    <border>
      <left/>
      <right style="thin">
        <color theme="0" tint="-0.24994659260841701"/>
      </right>
      <top style="thin">
        <color theme="0" tint="-0.24994659260841701"/>
      </top>
      <bottom style="thin">
        <color theme="0"/>
      </bottom>
      <diagonal/>
    </border>
    <border>
      <left style="thin">
        <color theme="0" tint="-0.24994659260841701"/>
      </left>
      <right style="thin">
        <color theme="0" tint="-0.24994659260841701"/>
      </right>
      <top style="thin">
        <color theme="0" tint="-0.24994659260841701"/>
      </top>
      <bottom style="thin">
        <color theme="0"/>
      </bottom>
      <diagonal/>
    </border>
    <border>
      <left style="thin">
        <color theme="0" tint="-0.24994659260841701"/>
      </left>
      <right/>
      <top style="thin">
        <color theme="0" tint="-0.24994659260841701"/>
      </top>
      <bottom style="thin">
        <color theme="0"/>
      </bottom>
      <diagonal/>
    </border>
    <border>
      <left/>
      <right/>
      <top/>
      <bottom style="thin">
        <color theme="0"/>
      </bottom>
      <diagonal/>
    </border>
    <border>
      <left/>
      <right style="thin">
        <color theme="0" tint="-0.24994659260841701"/>
      </right>
      <top style="thin">
        <color theme="0"/>
      </top>
      <bottom/>
      <diagonal/>
    </border>
    <border>
      <left style="thin">
        <color theme="0" tint="-0.24994659260841701"/>
      </left>
      <right style="thin">
        <color theme="0" tint="-0.24994659260841701"/>
      </right>
      <top style="thin">
        <color theme="0"/>
      </top>
      <bottom style="thin">
        <color theme="0" tint="-0.24994659260841701"/>
      </bottom>
      <diagonal/>
    </border>
    <border>
      <left style="thin">
        <color theme="0" tint="-0.24994659260841701"/>
      </left>
      <right/>
      <top style="thin">
        <color theme="0"/>
      </top>
      <bottom style="thin">
        <color theme="0" tint="-0.24994659260841701"/>
      </bottom>
      <diagonal/>
    </border>
    <border>
      <left/>
      <right/>
      <top style="thin">
        <color theme="0"/>
      </top>
      <bottom/>
      <diagonal/>
    </border>
    <border>
      <left/>
      <right style="thin">
        <color theme="0" tint="-0.24994659260841701"/>
      </right>
      <top style="thin">
        <color theme="0" tint="-0.24994659260841701"/>
      </top>
      <bottom style="thin">
        <color rgb="FFB8B8B8"/>
      </bottom>
      <diagonal/>
    </border>
    <border>
      <left style="thin">
        <color theme="0" tint="-0.24994659260841701"/>
      </left>
      <right style="thin">
        <color theme="0" tint="-0.24994659260841701"/>
      </right>
      <top style="thin">
        <color theme="0" tint="-0.24994659260841701"/>
      </top>
      <bottom style="thin">
        <color rgb="FFB8B8B8"/>
      </bottom>
      <diagonal/>
    </border>
    <border>
      <left style="thin">
        <color theme="0" tint="-0.24994659260841701"/>
      </left>
      <right/>
      <top style="thin">
        <color theme="0" tint="-0.24994659260841701"/>
      </top>
      <bottom style="thin">
        <color rgb="FFB8B8B8"/>
      </bottom>
      <diagonal/>
    </border>
    <border>
      <left/>
      <right/>
      <top/>
      <bottom style="thin">
        <color rgb="FFB8B8B8"/>
      </bottom>
      <diagonal/>
    </border>
    <border>
      <left/>
      <right style="thin">
        <color rgb="FFBFBFBF"/>
      </right>
      <top style="thin">
        <color rgb="FFBFBFBF"/>
      </top>
      <bottom style="thin">
        <color rgb="FFBFBFBF"/>
      </bottom>
      <diagonal/>
    </border>
    <border>
      <left style="thin">
        <color rgb="FFBFBFBF"/>
      </left>
      <right style="thin">
        <color theme="0" tint="-0.24994659260841701"/>
      </right>
      <top/>
      <bottom style="thin">
        <color theme="0" tint="-0.24994659260841701"/>
      </bottom>
      <diagonal/>
    </border>
    <border>
      <left style="thin">
        <color rgb="FFBFBFBF"/>
      </left>
      <right/>
      <top/>
      <bottom style="thin">
        <color theme="0" tint="-0.24994659260841701"/>
      </bottom>
      <diagonal/>
    </border>
    <border>
      <left/>
      <right style="thin">
        <color rgb="FFBFBFBF"/>
      </right>
      <top style="thin">
        <color theme="0" tint="-0.24994659260841701"/>
      </top>
      <bottom/>
      <diagonal/>
    </border>
    <border>
      <left/>
      <right/>
      <top/>
      <bottom style="thick">
        <color rgb="FFFFFFFF"/>
      </bottom>
      <diagonal/>
    </border>
    <border>
      <left/>
      <right/>
      <top style="thick">
        <color rgb="FFFFFFFF"/>
      </top>
      <bottom style="thick">
        <color rgb="FFFFFFFF"/>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bottom style="double">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34998626667073579"/>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theme="0" tint="-0.249977111117893"/>
      </right>
      <top/>
      <bottom style="thin">
        <color theme="0" tint="-0.24994659260841701"/>
      </bottom>
      <diagonal/>
    </border>
    <border>
      <left style="thin">
        <color theme="0" tint="-0.24994659260841701"/>
      </left>
      <right style="thin">
        <color theme="0" tint="-0.249977111117893"/>
      </right>
      <top style="thin">
        <color theme="0" tint="-0.24994659260841701"/>
      </top>
      <bottom/>
      <diagonal/>
    </border>
    <border>
      <left/>
      <right/>
      <top/>
      <bottom style="thin">
        <color theme="0" tint="-0.249977111117893"/>
      </bottom>
      <diagonal/>
    </border>
  </borders>
  <cellStyleXfs count="4">
    <xf numFmtId="0" fontId="0" fillId="0" borderId="0"/>
    <xf numFmtId="9" fontId="73" fillId="0" borderId="0" applyFont="0" applyFill="0" applyBorder="0" applyAlignment="0" applyProtection="0"/>
    <xf numFmtId="0" fontId="75" fillId="0" borderId="0" applyNumberFormat="0" applyFill="0" applyBorder="0" applyAlignment="0" applyProtection="0"/>
    <xf numFmtId="44" fontId="73" fillId="0" borderId="0" applyFont="0" applyFill="0" applyBorder="0" applyAlignment="0" applyProtection="0"/>
  </cellStyleXfs>
  <cellXfs count="1450">
    <xf numFmtId="0" fontId="0" fillId="0" borderId="0" xfId="0"/>
    <xf numFmtId="0" fontId="0" fillId="0" borderId="5" xfId="0" applyBorder="1" applyAlignment="1">
      <alignment horizontal="center"/>
    </xf>
    <xf numFmtId="0" fontId="0" fillId="0" borderId="0" xfId="0" applyAlignment="1">
      <alignment horizontal="center"/>
    </xf>
    <xf numFmtId="10"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horizontal="right" vertical="center" wrapText="1"/>
    </xf>
    <xf numFmtId="10" fontId="6" fillId="0" borderId="0" xfId="0" applyNumberFormat="1" applyFont="1" applyAlignment="1">
      <alignment horizontal="center"/>
    </xf>
    <xf numFmtId="0" fontId="11" fillId="0" borderId="5" xfId="0" applyFont="1" applyBorder="1" applyAlignment="1">
      <alignment horizontal="right" vertical="center" wrapText="1"/>
    </xf>
    <xf numFmtId="0" fontId="12" fillId="0" borderId="3" xfId="0" applyFont="1" applyBorder="1" applyAlignment="1">
      <alignment horizontal="center" vertical="center" wrapText="1"/>
    </xf>
    <xf numFmtId="0" fontId="12" fillId="0" borderId="7" xfId="0" applyFont="1" applyBorder="1" applyAlignment="1">
      <alignment horizontal="center" vertical="center" wrapText="1"/>
    </xf>
    <xf numFmtId="0" fontId="11" fillId="0" borderId="10" xfId="0" applyFont="1" applyBorder="1" applyAlignment="1">
      <alignment horizontal="right" vertical="center" wrapText="1"/>
    </xf>
    <xf numFmtId="0" fontId="12" fillId="0" borderId="14" xfId="0" applyFont="1" applyBorder="1" applyAlignment="1">
      <alignment horizontal="center" vertical="center" wrapText="1"/>
    </xf>
    <xf numFmtId="164" fontId="0" fillId="2" borderId="0" xfId="0" applyNumberFormat="1" applyFill="1" applyAlignment="1">
      <alignment horizontal="left"/>
    </xf>
    <xf numFmtId="164" fontId="8" fillId="2" borderId="8" xfId="0" applyNumberFormat="1" applyFont="1" applyFill="1" applyBorder="1" applyAlignment="1">
      <alignment horizontal="center" vertical="center" wrapText="1"/>
    </xf>
    <xf numFmtId="0" fontId="14" fillId="0" borderId="5" xfId="0" applyFont="1" applyBorder="1" applyAlignment="1">
      <alignment horizontal="right" vertical="center" wrapText="1"/>
    </xf>
    <xf numFmtId="166" fontId="0" fillId="0" borderId="0" xfId="0" applyNumberFormat="1" applyAlignment="1">
      <alignment horizontal="center"/>
    </xf>
    <xf numFmtId="0" fontId="0" fillId="0" borderId="0" xfId="0" applyAlignment="1">
      <alignment vertical="top"/>
    </xf>
    <xf numFmtId="14" fontId="0" fillId="0" borderId="0" xfId="0" applyNumberFormat="1" applyAlignment="1">
      <alignment horizontal="left"/>
    </xf>
    <xf numFmtId="0" fontId="0" fillId="4" borderId="0" xfId="0" applyFill="1"/>
    <xf numFmtId="164" fontId="8" fillId="4" borderId="5" xfId="0" applyNumberFormat="1" applyFont="1" applyFill="1" applyBorder="1" applyAlignment="1">
      <alignment horizontal="center" vertical="center" wrapText="1"/>
    </xf>
    <xf numFmtId="164" fontId="8" fillId="0" borderId="6" xfId="0" applyNumberFormat="1" applyFont="1" applyBorder="1" applyAlignment="1">
      <alignment horizontal="center" vertical="center" wrapText="1"/>
    </xf>
    <xf numFmtId="0" fontId="11" fillId="0" borderId="6" xfId="0" applyFont="1" applyBorder="1" applyAlignment="1">
      <alignment horizontal="right" vertical="center" wrapText="1"/>
    </xf>
    <xf numFmtId="164" fontId="0" fillId="4" borderId="5" xfId="0" applyNumberFormat="1" applyFill="1" applyBorder="1" applyAlignment="1">
      <alignment horizontal="center"/>
    </xf>
    <xf numFmtId="164" fontId="0" fillId="0" borderId="0" xfId="0" applyNumberFormat="1" applyAlignment="1">
      <alignment horizontal="center"/>
    </xf>
    <xf numFmtId="164" fontId="8" fillId="4" borderId="8" xfId="0" applyNumberFormat="1" applyFont="1" applyFill="1" applyBorder="1" applyAlignment="1">
      <alignment horizontal="center" vertical="center" wrapText="1"/>
    </xf>
    <xf numFmtId="0" fontId="12" fillId="0" borderId="0" xfId="0" applyFont="1" applyAlignment="1">
      <alignment horizontal="center" vertical="center" wrapText="1"/>
    </xf>
    <xf numFmtId="164" fontId="12" fillId="0" borderId="0" xfId="0" applyNumberFormat="1" applyFont="1" applyAlignment="1">
      <alignment horizontal="center" vertical="center" wrapText="1"/>
    </xf>
    <xf numFmtId="164" fontId="12" fillId="4" borderId="5" xfId="0" applyNumberFormat="1" applyFont="1" applyFill="1" applyBorder="1" applyAlignment="1">
      <alignment horizontal="center" vertical="center" wrapText="1"/>
    </xf>
    <xf numFmtId="164" fontId="12" fillId="0" borderId="4" xfId="0" applyNumberFormat="1" applyFont="1" applyBorder="1" applyAlignment="1">
      <alignment horizontal="center" vertical="center" wrapText="1"/>
    </xf>
    <xf numFmtId="0" fontId="0" fillId="0" borderId="4" xfId="0" applyBorder="1" applyAlignment="1">
      <alignment horizontal="center"/>
    </xf>
    <xf numFmtId="10" fontId="6" fillId="0" borderId="13" xfId="0" applyNumberFormat="1" applyFont="1" applyBorder="1" applyAlignment="1">
      <alignment horizontal="center"/>
    </xf>
    <xf numFmtId="164" fontId="12" fillId="4" borderId="16" xfId="0" applyNumberFormat="1" applyFont="1" applyFill="1" applyBorder="1" applyAlignment="1">
      <alignment horizontal="center" vertical="center" wrapText="1"/>
    </xf>
    <xf numFmtId="0" fontId="8" fillId="4" borderId="5" xfId="0" applyFont="1" applyFill="1" applyBorder="1" applyAlignment="1">
      <alignment horizontal="center" vertical="center" wrapText="1"/>
    </xf>
    <xf numFmtId="164" fontId="8" fillId="0" borderId="9" xfId="0" applyNumberFormat="1" applyFont="1" applyBorder="1" applyAlignment="1">
      <alignment horizontal="center" vertical="center" wrapText="1"/>
    </xf>
    <xf numFmtId="0" fontId="5" fillId="0" borderId="0" xfId="0" applyFont="1" applyAlignment="1">
      <alignment horizontal="center"/>
    </xf>
    <xf numFmtId="0" fontId="0" fillId="0" borderId="2" xfId="0" applyBorder="1" applyAlignment="1">
      <alignment horizontal="center"/>
    </xf>
    <xf numFmtId="0" fontId="7" fillId="0" borderId="0" xfId="0" applyFont="1"/>
    <xf numFmtId="0" fontId="5" fillId="0" borderId="0" xfId="0" applyFont="1"/>
    <xf numFmtId="0" fontId="11" fillId="0" borderId="4" xfId="0" applyFont="1" applyBorder="1" applyAlignment="1">
      <alignment horizontal="right" vertical="center" wrapText="1"/>
    </xf>
    <xf numFmtId="0" fontId="0" fillId="0" borderId="8" xfId="0" applyBorder="1" applyAlignment="1">
      <alignment horizontal="center"/>
    </xf>
    <xf numFmtId="164" fontId="0" fillId="4" borderId="8" xfId="0" applyNumberFormat="1" applyFill="1" applyBorder="1" applyAlignment="1">
      <alignment horizontal="center"/>
    </xf>
    <xf numFmtId="0" fontId="11" fillId="0" borderId="21" xfId="0" applyFont="1" applyBorder="1" applyAlignment="1">
      <alignment horizontal="right" vertical="center" wrapText="1"/>
    </xf>
    <xf numFmtId="0" fontId="14" fillId="0" borderId="4" xfId="0" applyFont="1" applyBorder="1" applyAlignment="1">
      <alignment horizontal="right" vertical="center" wrapText="1"/>
    </xf>
    <xf numFmtId="0" fontId="12" fillId="0" borderId="2" xfId="0" applyFont="1" applyBorder="1" applyAlignment="1">
      <alignment vertical="center" wrapText="1"/>
    </xf>
    <xf numFmtId="0" fontId="12" fillId="0" borderId="4" xfId="0" applyFont="1" applyBorder="1" applyAlignment="1">
      <alignment vertical="center" wrapText="1"/>
    </xf>
    <xf numFmtId="0" fontId="12" fillId="0" borderId="21" xfId="0" applyFont="1" applyBorder="1" applyAlignment="1">
      <alignment vertical="center" wrapText="1"/>
    </xf>
    <xf numFmtId="0" fontId="12" fillId="0" borderId="11" xfId="0" applyFont="1" applyBorder="1" applyAlignment="1">
      <alignment vertical="center" wrapText="1"/>
    </xf>
    <xf numFmtId="0" fontId="12" fillId="0" borderId="19" xfId="0" applyFont="1" applyBorder="1" applyAlignment="1">
      <alignment vertical="center" wrapText="1"/>
    </xf>
    <xf numFmtId="10" fontId="0" fillId="0" borderId="8" xfId="0" applyNumberFormat="1" applyBorder="1" applyAlignment="1">
      <alignment horizontal="center"/>
    </xf>
    <xf numFmtId="0" fontId="12" fillId="0" borderId="34" xfId="0" applyFont="1" applyBorder="1" applyAlignment="1">
      <alignment vertical="center" wrapText="1"/>
    </xf>
    <xf numFmtId="164" fontId="12" fillId="0" borderId="18" xfId="0" applyNumberFormat="1" applyFont="1" applyBorder="1" applyAlignment="1">
      <alignment horizontal="center" vertical="center" wrapText="1"/>
    </xf>
    <xf numFmtId="0" fontId="11" fillId="0" borderId="0" xfId="0" applyFont="1" applyAlignment="1">
      <alignment horizontal="right" vertical="center" wrapText="1"/>
    </xf>
    <xf numFmtId="0" fontId="11" fillId="0" borderId="18" xfId="0" applyFont="1" applyBorder="1" applyAlignment="1">
      <alignment horizontal="right" vertical="center" wrapText="1"/>
    </xf>
    <xf numFmtId="164" fontId="8" fillId="0" borderId="5" xfId="0" applyNumberFormat="1" applyFont="1" applyBorder="1" applyAlignment="1">
      <alignment horizontal="center" vertical="center" wrapText="1"/>
    </xf>
    <xf numFmtId="164" fontId="8" fillId="0" borderId="21" xfId="0" applyNumberFormat="1" applyFont="1" applyBorder="1" applyAlignment="1">
      <alignment horizontal="center" vertical="center" wrapText="1"/>
    </xf>
    <xf numFmtId="164" fontId="8" fillId="0" borderId="0" xfId="0" applyNumberFormat="1" applyFont="1" applyAlignment="1">
      <alignment horizontal="center" vertical="center" wrapText="1"/>
    </xf>
    <xf numFmtId="0" fontId="5" fillId="0" borderId="15" xfId="0" applyFont="1" applyBorder="1" applyAlignment="1">
      <alignment horizontal="center"/>
    </xf>
    <xf numFmtId="0" fontId="0" fillId="0" borderId="15" xfId="0" applyBorder="1" applyAlignment="1">
      <alignment horizontal="center"/>
    </xf>
    <xf numFmtId="0" fontId="0" fillId="0" borderId="12" xfId="0" applyBorder="1" applyAlignment="1">
      <alignment horizontal="center"/>
    </xf>
    <xf numFmtId="0" fontId="0" fillId="0" borderId="12" xfId="0" applyBorder="1"/>
    <xf numFmtId="164" fontId="8" fillId="0" borderId="8" xfId="0" applyNumberFormat="1" applyFont="1" applyBorder="1" applyAlignment="1">
      <alignment horizontal="center" vertical="center" wrapText="1"/>
    </xf>
    <xf numFmtId="166" fontId="0" fillId="0" borderId="9" xfId="0" applyNumberFormat="1" applyBorder="1" applyAlignment="1">
      <alignment horizontal="center"/>
    </xf>
    <xf numFmtId="0" fontId="0" fillId="4" borderId="15" xfId="0" applyFill="1" applyBorder="1" applyAlignment="1">
      <alignment horizontal="center"/>
    </xf>
    <xf numFmtId="0" fontId="0" fillId="4" borderId="17" xfId="0" applyFill="1" applyBorder="1" applyAlignment="1">
      <alignment horizontal="center"/>
    </xf>
    <xf numFmtId="0" fontId="24" fillId="0" borderId="0" xfId="0" applyFont="1" applyAlignment="1">
      <alignment horizontal="left" vertical="center" wrapText="1"/>
    </xf>
    <xf numFmtId="0" fontId="24" fillId="0" borderId="2" xfId="0" applyFont="1" applyBorder="1" applyAlignment="1">
      <alignment horizontal="left" vertical="center" wrapText="1"/>
    </xf>
    <xf numFmtId="0" fontId="8" fillId="0" borderId="4" xfId="0" applyFont="1" applyBorder="1" applyAlignment="1">
      <alignment horizontal="left" vertical="center" wrapText="1"/>
    </xf>
    <xf numFmtId="164" fontId="0" fillId="0" borderId="8" xfId="0" applyNumberFormat="1" applyBorder="1" applyAlignment="1">
      <alignment horizontal="center"/>
    </xf>
    <xf numFmtId="0" fontId="8" fillId="0" borderId="5" xfId="0" applyFont="1" applyBorder="1" applyAlignment="1">
      <alignment horizontal="center" vertical="center" wrapText="1"/>
    </xf>
    <xf numFmtId="166" fontId="0" fillId="0" borderId="5" xfId="0" applyNumberFormat="1" applyBorder="1" applyAlignment="1">
      <alignment horizontal="center"/>
    </xf>
    <xf numFmtId="164" fontId="0" fillId="0" borderId="5" xfId="0" applyNumberFormat="1" applyBorder="1" applyAlignment="1">
      <alignment horizontal="center"/>
    </xf>
    <xf numFmtId="164" fontId="0" fillId="4" borderId="6" xfId="0" applyNumberFormat="1" applyFill="1" applyBorder="1" applyAlignment="1">
      <alignment horizontal="center"/>
    </xf>
    <xf numFmtId="0" fontId="0" fillId="4" borderId="0" xfId="0" applyFill="1" applyAlignment="1">
      <alignment horizontal="left"/>
    </xf>
    <xf numFmtId="166" fontId="8" fillId="0" borderId="0" xfId="0" applyNumberFormat="1" applyFont="1" applyAlignment="1">
      <alignment horizontal="center" vertical="center" wrapText="1"/>
    </xf>
    <xf numFmtId="164" fontId="8" fillId="4" borderId="6" xfId="0" applyNumberFormat="1" applyFont="1" applyFill="1" applyBorder="1" applyAlignment="1">
      <alignment horizontal="center" vertical="center" wrapText="1"/>
    </xf>
    <xf numFmtId="164" fontId="12" fillId="0" borderId="3" xfId="0" applyNumberFormat="1" applyFont="1" applyBorder="1" applyAlignment="1">
      <alignment horizontal="center" vertical="center" wrapText="1"/>
    </xf>
    <xf numFmtId="164" fontId="12" fillId="0" borderId="7" xfId="0" applyNumberFormat="1" applyFont="1" applyBorder="1" applyAlignment="1">
      <alignment horizontal="center" vertical="center" wrapText="1"/>
    </xf>
    <xf numFmtId="0" fontId="12" fillId="0" borderId="0" xfId="0" applyFont="1" applyAlignment="1">
      <alignment vertical="center" wrapText="1"/>
    </xf>
    <xf numFmtId="0" fontId="11" fillId="0" borderId="2" xfId="0" applyFont="1" applyBorder="1" applyAlignment="1">
      <alignment horizontal="center" wrapText="1"/>
    </xf>
    <xf numFmtId="0" fontId="11" fillId="0" borderId="3" xfId="0" applyFont="1" applyBorder="1" applyAlignment="1">
      <alignment horizontal="center" wrapText="1"/>
    </xf>
    <xf numFmtId="0" fontId="11" fillId="0" borderId="7" xfId="0" applyFont="1" applyBorder="1" applyAlignment="1">
      <alignment horizontal="center" wrapText="1"/>
    </xf>
    <xf numFmtId="0" fontId="3" fillId="0" borderId="3" xfId="0" applyFont="1" applyBorder="1" applyAlignment="1">
      <alignment horizontal="center"/>
    </xf>
    <xf numFmtId="0" fontId="5" fillId="0" borderId="1" xfId="0" applyFont="1" applyBorder="1"/>
    <xf numFmtId="164" fontId="22" fillId="7" borderId="5" xfId="0" applyNumberFormat="1" applyFont="1" applyFill="1" applyBorder="1" applyAlignment="1">
      <alignment horizontal="center"/>
    </xf>
    <xf numFmtId="10" fontId="22" fillId="0" borderId="0" xfId="0" applyNumberFormat="1" applyFont="1" applyAlignment="1">
      <alignment horizontal="left"/>
    </xf>
    <xf numFmtId="164" fontId="27" fillId="0" borderId="0" xfId="0" applyNumberFormat="1" applyFont="1" applyAlignment="1">
      <alignment horizontal="center" vertical="center" wrapText="1"/>
    </xf>
    <xf numFmtId="0" fontId="27" fillId="0" borderId="5" xfId="0" applyFont="1" applyBorder="1" applyAlignment="1">
      <alignment horizontal="center" vertical="center" wrapText="1"/>
    </xf>
    <xf numFmtId="164" fontId="22" fillId="7" borderId="9" xfId="0" applyNumberFormat="1" applyFont="1" applyFill="1" applyBorder="1" applyAlignment="1">
      <alignment horizontal="center"/>
    </xf>
    <xf numFmtId="0" fontId="28" fillId="0" borderId="0" xfId="0" applyFont="1"/>
    <xf numFmtId="0" fontId="22" fillId="0" borderId="5" xfId="0" applyFont="1" applyBorder="1" applyAlignment="1">
      <alignment horizontal="center"/>
    </xf>
    <xf numFmtId="164" fontId="22" fillId="7" borderId="6" xfId="0" applyNumberFormat="1" applyFont="1" applyFill="1" applyBorder="1" applyAlignment="1">
      <alignment horizontal="center"/>
    </xf>
    <xf numFmtId="164" fontId="22" fillId="0" borderId="0" xfId="0" applyNumberFormat="1" applyFont="1" applyAlignment="1">
      <alignment horizontal="center"/>
    </xf>
    <xf numFmtId="164" fontId="22" fillId="0" borderId="5" xfId="0" applyNumberFormat="1" applyFont="1" applyBorder="1" applyAlignment="1">
      <alignment horizontal="center"/>
    </xf>
    <xf numFmtId="164" fontId="22" fillId="7" borderId="8" xfId="0" applyNumberFormat="1" applyFont="1" applyFill="1" applyBorder="1" applyAlignment="1">
      <alignment horizontal="center"/>
    </xf>
    <xf numFmtId="0" fontId="29" fillId="0" borderId="0" xfId="0" applyFont="1" applyAlignment="1">
      <alignment horizontal="center"/>
    </xf>
    <xf numFmtId="0" fontId="25" fillId="0" borderId="4" xfId="0" applyFont="1" applyBorder="1" applyAlignment="1">
      <alignment horizontal="right" vertical="center" wrapText="1"/>
    </xf>
    <xf numFmtId="164" fontId="22" fillId="0" borderId="0" xfId="0" applyNumberFormat="1" applyFont="1" applyAlignment="1">
      <alignment horizontal="left"/>
    </xf>
    <xf numFmtId="164" fontId="22" fillId="7" borderId="0" xfId="0" applyNumberFormat="1" applyFont="1" applyFill="1" applyAlignment="1">
      <alignment horizontal="left"/>
    </xf>
    <xf numFmtId="0" fontId="25" fillId="0" borderId="6" xfId="0" applyFont="1" applyBorder="1" applyAlignment="1">
      <alignment horizontal="right" vertical="center" wrapText="1"/>
    </xf>
    <xf numFmtId="0" fontId="22" fillId="0" borderId="0" xfId="0" applyFont="1"/>
    <xf numFmtId="0" fontId="22" fillId="0" borderId="0" xfId="0" applyFont="1" applyAlignment="1">
      <alignment horizontal="center"/>
    </xf>
    <xf numFmtId="0" fontId="30" fillId="0" borderId="0" xfId="0" applyFont="1" applyAlignment="1">
      <alignment horizontal="left" vertical="center" wrapText="1"/>
    </xf>
    <xf numFmtId="166" fontId="22" fillId="0" borderId="9" xfId="0" applyNumberFormat="1" applyFont="1" applyBorder="1" applyAlignment="1">
      <alignment horizontal="center"/>
    </xf>
    <xf numFmtId="0" fontId="30" fillId="0" borderId="2" xfId="0" applyFont="1" applyBorder="1" applyAlignment="1">
      <alignment horizontal="left" vertical="center" wrapText="1"/>
    </xf>
    <xf numFmtId="0" fontId="25" fillId="0" borderId="0" xfId="0" applyFont="1" applyAlignment="1">
      <alignment horizontal="right" vertical="center" wrapText="1"/>
    </xf>
    <xf numFmtId="166" fontId="22" fillId="0" borderId="0" xfId="0" applyNumberFormat="1" applyFont="1" applyAlignment="1">
      <alignment horizontal="center"/>
    </xf>
    <xf numFmtId="0" fontId="27" fillId="0" borderId="4" xfId="0" applyFont="1" applyBorder="1" applyAlignment="1">
      <alignment horizontal="left" vertical="center" wrapText="1"/>
    </xf>
    <xf numFmtId="164" fontId="27" fillId="7" borderId="5" xfId="0" applyNumberFormat="1" applyFont="1" applyFill="1" applyBorder="1" applyAlignment="1">
      <alignment horizontal="center" vertical="center" wrapText="1"/>
    </xf>
    <xf numFmtId="164" fontId="22" fillId="0" borderId="8" xfId="0" applyNumberFormat="1" applyFont="1" applyBorder="1" applyAlignment="1">
      <alignment horizontal="center"/>
    </xf>
    <xf numFmtId="0" fontId="27" fillId="0" borderId="21" xfId="0" applyFont="1" applyBorder="1" applyAlignment="1">
      <alignment horizontal="left" vertical="center" wrapText="1"/>
    </xf>
    <xf numFmtId="0" fontId="25" fillId="0" borderId="18" xfId="0" applyFont="1" applyBorder="1" applyAlignment="1">
      <alignment horizontal="right" vertical="center" wrapText="1"/>
    </xf>
    <xf numFmtId="0" fontId="25" fillId="0" borderId="5" xfId="0" applyFont="1" applyBorder="1" applyAlignment="1">
      <alignment horizontal="right" vertical="center" wrapText="1"/>
    </xf>
    <xf numFmtId="166" fontId="22" fillId="0" borderId="5" xfId="0" applyNumberFormat="1" applyFont="1" applyBorder="1" applyAlignment="1">
      <alignment horizontal="center"/>
    </xf>
    <xf numFmtId="164" fontId="27" fillId="7" borderId="6" xfId="0" applyNumberFormat="1" applyFont="1" applyFill="1" applyBorder="1" applyAlignment="1">
      <alignment horizontal="center" vertical="center" wrapText="1"/>
    </xf>
    <xf numFmtId="0" fontId="22" fillId="7" borderId="0" xfId="0" applyFont="1" applyFill="1"/>
    <xf numFmtId="164" fontId="27" fillId="0" borderId="21" xfId="0" applyNumberFormat="1" applyFont="1" applyBorder="1" applyAlignment="1">
      <alignment horizontal="center" vertical="center" wrapText="1"/>
    </xf>
    <xf numFmtId="164" fontId="27" fillId="0" borderId="5" xfId="0" applyNumberFormat="1" applyFont="1" applyBorder="1" applyAlignment="1">
      <alignment horizontal="center" vertical="center" wrapText="1"/>
    </xf>
    <xf numFmtId="0" fontId="29" fillId="0" borderId="0" xfId="0" applyFont="1"/>
    <xf numFmtId="0" fontId="5" fillId="0" borderId="0" xfId="0" applyFont="1" applyAlignment="1">
      <alignment horizontal="left"/>
    </xf>
    <xf numFmtId="0" fontId="3" fillId="0" borderId="7" xfId="0" applyFont="1" applyBorder="1" applyAlignment="1">
      <alignment horizontal="center"/>
    </xf>
    <xf numFmtId="0" fontId="3" fillId="0" borderId="0" xfId="0" applyFont="1"/>
    <xf numFmtId="164" fontId="8" fillId="0" borderId="18" xfId="0" applyNumberFormat="1" applyFont="1" applyBorder="1" applyAlignment="1">
      <alignment horizontal="center" vertical="center" wrapText="1"/>
    </xf>
    <xf numFmtId="166" fontId="0" fillId="0" borderId="8" xfId="0" applyNumberFormat="1" applyBorder="1" applyAlignment="1">
      <alignment horizontal="center"/>
    </xf>
    <xf numFmtId="164" fontId="0" fillId="4" borderId="0" xfId="0" applyNumberFormat="1" applyFill="1" applyAlignment="1">
      <alignment horizontal="left"/>
    </xf>
    <xf numFmtId="164" fontId="27" fillId="7" borderId="8" xfId="0" applyNumberFormat="1" applyFont="1" applyFill="1" applyBorder="1" applyAlignment="1">
      <alignment horizontal="center" vertical="center" wrapText="1"/>
    </xf>
    <xf numFmtId="164" fontId="27" fillId="7" borderId="9" xfId="0" applyNumberFormat="1" applyFont="1" applyFill="1" applyBorder="1" applyAlignment="1">
      <alignment horizontal="center" vertical="center" wrapText="1"/>
    </xf>
    <xf numFmtId="0" fontId="8" fillId="4" borderId="6" xfId="0" applyFont="1" applyFill="1" applyBorder="1" applyAlignment="1">
      <alignment horizontal="center" vertical="center" wrapText="1"/>
    </xf>
    <xf numFmtId="166" fontId="3" fillId="0" borderId="21" xfId="0" applyNumberFormat="1" applyFont="1" applyBorder="1" applyAlignment="1">
      <alignment horizontal="right"/>
    </xf>
    <xf numFmtId="1" fontId="8" fillId="4" borderId="5" xfId="0" applyNumberFormat="1" applyFont="1" applyFill="1" applyBorder="1" applyAlignment="1">
      <alignment horizontal="center" vertical="center" wrapText="1"/>
    </xf>
    <xf numFmtId="10" fontId="0" fillId="4" borderId="0" xfId="0" applyNumberFormat="1" applyFill="1" applyAlignment="1">
      <alignment horizontal="left"/>
    </xf>
    <xf numFmtId="164" fontId="8" fillId="4" borderId="16" xfId="0" applyNumberFormat="1" applyFont="1" applyFill="1" applyBorder="1" applyAlignment="1">
      <alignment horizontal="center" vertical="center" wrapText="1"/>
    </xf>
    <xf numFmtId="0" fontId="0" fillId="0" borderId="7" xfId="0" applyBorder="1" applyAlignment="1">
      <alignment horizontal="center"/>
    </xf>
    <xf numFmtId="0" fontId="5" fillId="0" borderId="4" xfId="0" applyFont="1" applyBorder="1" applyAlignment="1">
      <alignment horizontal="center"/>
    </xf>
    <xf numFmtId="166" fontId="8" fillId="0" borderId="13" xfId="0" applyNumberFormat="1" applyFont="1" applyBorder="1" applyAlignment="1">
      <alignment horizontal="center" vertical="center" wrapText="1"/>
    </xf>
    <xf numFmtId="164" fontId="8" fillId="0" borderId="13" xfId="0" applyNumberFormat="1" applyFont="1" applyBorder="1" applyAlignment="1">
      <alignment horizontal="center" vertical="center" wrapText="1"/>
    </xf>
    <xf numFmtId="0" fontId="0" fillId="0" borderId="17" xfId="0" applyBorder="1" applyAlignment="1">
      <alignment horizontal="center"/>
    </xf>
    <xf numFmtId="164" fontId="0" fillId="4" borderId="9" xfId="0" applyNumberFormat="1" applyFill="1" applyBorder="1" applyAlignment="1">
      <alignment horizontal="center"/>
    </xf>
    <xf numFmtId="164" fontId="12" fillId="4" borderId="8" xfId="0" applyNumberFormat="1" applyFont="1" applyFill="1" applyBorder="1" applyAlignment="1">
      <alignment horizontal="center" vertical="center" wrapText="1"/>
    </xf>
    <xf numFmtId="164" fontId="12" fillId="4" borderId="6" xfId="0" applyNumberFormat="1" applyFont="1" applyFill="1" applyBorder="1" applyAlignment="1">
      <alignment horizontal="center" vertical="center" wrapText="1"/>
    </xf>
    <xf numFmtId="164" fontId="12" fillId="4" borderId="9" xfId="0" applyNumberFormat="1" applyFont="1" applyFill="1" applyBorder="1" applyAlignment="1">
      <alignment horizontal="center" vertical="center" wrapText="1"/>
    </xf>
    <xf numFmtId="164" fontId="8" fillId="4" borderId="9" xfId="0" applyNumberFormat="1" applyFont="1" applyFill="1" applyBorder="1" applyAlignment="1">
      <alignment horizontal="center" vertical="center" wrapText="1"/>
    </xf>
    <xf numFmtId="164" fontId="12" fillId="4" borderId="3" xfId="0" applyNumberFormat="1" applyFont="1" applyFill="1" applyBorder="1" applyAlignment="1">
      <alignment horizontal="center" vertical="center" wrapText="1"/>
    </xf>
    <xf numFmtId="164" fontId="12" fillId="4" borderId="7" xfId="0" applyNumberFormat="1" applyFont="1" applyFill="1" applyBorder="1" applyAlignment="1">
      <alignment horizontal="center" vertical="center" wrapText="1"/>
    </xf>
    <xf numFmtId="164" fontId="12" fillId="4" borderId="14" xfId="0" applyNumberFormat="1" applyFont="1" applyFill="1" applyBorder="1" applyAlignment="1">
      <alignment horizontal="center" vertical="center" wrapText="1"/>
    </xf>
    <xf numFmtId="0" fontId="12" fillId="0" borderId="12" xfId="0" applyFont="1" applyBorder="1" applyAlignment="1">
      <alignment vertical="center" wrapText="1"/>
    </xf>
    <xf numFmtId="164" fontId="12" fillId="4" borderId="33" xfId="0" applyNumberFormat="1" applyFont="1" applyFill="1" applyBorder="1" applyAlignment="1">
      <alignment horizontal="center" vertical="center" wrapText="1"/>
    </xf>
    <xf numFmtId="0" fontId="14" fillId="0" borderId="21" xfId="0" applyFont="1" applyBorder="1" applyAlignment="1">
      <alignment horizontal="right" vertical="center" wrapText="1"/>
    </xf>
    <xf numFmtId="0" fontId="13" fillId="0" borderId="0" xfId="0" applyFont="1" applyAlignment="1">
      <alignment vertical="center" wrapText="1"/>
    </xf>
    <xf numFmtId="164" fontId="0" fillId="4" borderId="5" xfId="0" applyNumberFormat="1" applyFill="1" applyBorder="1" applyAlignment="1">
      <alignment horizontal="center" vertical="center"/>
    </xf>
    <xf numFmtId="164" fontId="0" fillId="4" borderId="8" xfId="0" applyNumberFormat="1" applyFill="1" applyBorder="1" applyAlignment="1">
      <alignment horizontal="center" vertical="center"/>
    </xf>
    <xf numFmtId="164" fontId="27" fillId="7" borderId="21" xfId="0" applyNumberFormat="1" applyFont="1" applyFill="1" applyBorder="1" applyAlignment="1">
      <alignment horizontal="center" vertical="center" wrapText="1"/>
    </xf>
    <xf numFmtId="164" fontId="27" fillId="4" borderId="5" xfId="0" applyNumberFormat="1" applyFont="1" applyFill="1" applyBorder="1" applyAlignment="1">
      <alignment horizontal="center" vertical="center" wrapText="1"/>
    </xf>
    <xf numFmtId="164" fontId="27" fillId="4" borderId="8" xfId="0" applyNumberFormat="1" applyFont="1" applyFill="1" applyBorder="1" applyAlignment="1">
      <alignment horizontal="center" vertical="center" wrapText="1"/>
    </xf>
    <xf numFmtId="166" fontId="8" fillId="0" borderId="9" xfId="0" applyNumberFormat="1" applyFont="1" applyBorder="1" applyAlignment="1">
      <alignment horizontal="center" vertical="center" wrapText="1"/>
    </xf>
    <xf numFmtId="3" fontId="8" fillId="4" borderId="5" xfId="0" applyNumberFormat="1" applyFont="1" applyFill="1" applyBorder="1" applyAlignment="1">
      <alignment horizontal="center" vertical="center" wrapText="1"/>
    </xf>
    <xf numFmtId="3" fontId="8" fillId="4" borderId="8" xfId="0" applyNumberFormat="1" applyFont="1" applyFill="1" applyBorder="1" applyAlignment="1">
      <alignment horizontal="center" vertical="center" wrapText="1"/>
    </xf>
    <xf numFmtId="0" fontId="0" fillId="0" borderId="0" xfId="0" applyAlignment="1">
      <alignment horizontal="left"/>
    </xf>
    <xf numFmtId="166" fontId="0" fillId="0" borderId="0" xfId="0" applyNumberFormat="1" applyAlignment="1">
      <alignment horizontal="left"/>
    </xf>
    <xf numFmtId="0" fontId="8" fillId="4" borderId="8" xfId="0" applyFont="1" applyFill="1" applyBorder="1" applyAlignment="1">
      <alignment horizontal="center" vertical="center" wrapText="1"/>
    </xf>
    <xf numFmtId="166" fontId="8" fillId="0" borderId="8" xfId="0" applyNumberFormat="1" applyFont="1" applyBorder="1" applyAlignment="1">
      <alignment horizontal="center" vertical="center" wrapText="1"/>
    </xf>
    <xf numFmtId="0" fontId="12" fillId="4" borderId="6" xfId="0" applyFont="1" applyFill="1" applyBorder="1" applyAlignment="1">
      <alignment horizontal="center" vertical="center" wrapText="1"/>
    </xf>
    <xf numFmtId="0" fontId="12" fillId="4" borderId="33" xfId="0" applyFont="1" applyFill="1" applyBorder="1" applyAlignment="1">
      <alignment horizontal="center" vertical="center" wrapText="1"/>
    </xf>
    <xf numFmtId="0" fontId="12" fillId="0" borderId="1" xfId="0" applyFont="1" applyBorder="1" applyAlignment="1">
      <alignment vertical="center" wrapText="1"/>
    </xf>
    <xf numFmtId="0" fontId="3" fillId="0" borderId="2" xfId="0" applyFont="1" applyBorder="1" applyAlignment="1">
      <alignment horizontal="left"/>
    </xf>
    <xf numFmtId="0" fontId="0" fillId="0" borderId="21" xfId="0" applyBorder="1"/>
    <xf numFmtId="0" fontId="0" fillId="0" borderId="4" xfId="0" applyBorder="1"/>
    <xf numFmtId="167" fontId="0" fillId="0" borderId="0" xfId="0" applyNumberFormat="1" applyAlignment="1">
      <alignment horizontal="left"/>
    </xf>
    <xf numFmtId="0" fontId="3" fillId="0" borderId="3" xfId="0" applyFont="1" applyBorder="1" applyAlignment="1">
      <alignment horizontal="left"/>
    </xf>
    <xf numFmtId="0" fontId="11" fillId="0" borderId="7" xfId="0" applyFont="1" applyBorder="1" applyAlignment="1">
      <alignment horizontal="left" vertical="center" wrapText="1"/>
    </xf>
    <xf numFmtId="164" fontId="8" fillId="0" borderId="5" xfId="0" applyNumberFormat="1" applyFont="1" applyBorder="1" applyAlignment="1">
      <alignment horizontal="left" vertical="center" wrapText="1"/>
    </xf>
    <xf numFmtId="0" fontId="0" fillId="0" borderId="8" xfId="0" applyBorder="1" applyAlignment="1">
      <alignment horizontal="left"/>
    </xf>
    <xf numFmtId="0" fontId="0" fillId="0" borderId="6" xfId="0" applyBorder="1" applyAlignment="1">
      <alignment horizontal="left"/>
    </xf>
    <xf numFmtId="164" fontId="8" fillId="0" borderId="6" xfId="0" applyNumberFormat="1" applyFont="1" applyBorder="1" applyAlignment="1">
      <alignment horizontal="left" vertical="center" wrapText="1"/>
    </xf>
    <xf numFmtId="0" fontId="0" fillId="0" borderId="9" xfId="0" applyBorder="1" applyAlignment="1">
      <alignment horizontal="left"/>
    </xf>
    <xf numFmtId="0" fontId="0" fillId="0" borderId="0" xfId="0" applyAlignment="1">
      <alignment horizontal="left" wrapText="1"/>
    </xf>
    <xf numFmtId="0" fontId="0" fillId="0" borderId="0" xfId="0" applyAlignment="1">
      <alignment horizontal="left" vertical="top"/>
    </xf>
    <xf numFmtId="0" fontId="0" fillId="4" borderId="0" xfId="0" applyFill="1" applyAlignment="1">
      <alignment wrapText="1"/>
    </xf>
    <xf numFmtId="0" fontId="22" fillId="7" borderId="0" xfId="0" applyFont="1" applyFill="1" applyAlignment="1">
      <alignment wrapText="1"/>
    </xf>
    <xf numFmtId="165" fontId="0" fillId="4" borderId="0" xfId="0" applyNumberFormat="1" applyFill="1" applyAlignment="1">
      <alignment horizontal="left"/>
    </xf>
    <xf numFmtId="165" fontId="0" fillId="0" borderId="0" xfId="0" applyNumberFormat="1" applyAlignment="1">
      <alignment horizontal="left"/>
    </xf>
    <xf numFmtId="164" fontId="8" fillId="0" borderId="5" xfId="0" applyNumberFormat="1" applyFont="1" applyBorder="1" applyAlignment="1">
      <alignment horizontal="center" vertical="center"/>
    </xf>
    <xf numFmtId="0" fontId="0" fillId="0" borderId="18" xfId="0" applyBorder="1" applyAlignment="1">
      <alignment horizontal="center"/>
    </xf>
    <xf numFmtId="164" fontId="0" fillId="0" borderId="18" xfId="0" applyNumberFormat="1" applyBorder="1" applyAlignment="1">
      <alignment horizontal="center"/>
    </xf>
    <xf numFmtId="0" fontId="3" fillId="0" borderId="7" xfId="0" applyFont="1" applyBorder="1" applyAlignment="1">
      <alignment horizontal="left"/>
    </xf>
    <xf numFmtId="0" fontId="3" fillId="0" borderId="5" xfId="0" applyFont="1" applyBorder="1"/>
    <xf numFmtId="0" fontId="12" fillId="4" borderId="5" xfId="0" applyFont="1" applyFill="1" applyBorder="1" applyAlignment="1">
      <alignment horizontal="center" vertical="center" wrapText="1"/>
    </xf>
    <xf numFmtId="165" fontId="0" fillId="4" borderId="0" xfId="0" applyNumberFormat="1" applyFill="1"/>
    <xf numFmtId="165" fontId="8" fillId="0" borderId="0" xfId="0" applyNumberFormat="1" applyFont="1" applyAlignment="1">
      <alignment horizontal="left"/>
    </xf>
    <xf numFmtId="165" fontId="22" fillId="7" borderId="0" xfId="0" applyNumberFormat="1" applyFont="1" applyFill="1" applyAlignment="1">
      <alignment horizontal="left"/>
    </xf>
    <xf numFmtId="165" fontId="22" fillId="0" borderId="0" xfId="0" applyNumberFormat="1" applyFont="1" applyAlignment="1">
      <alignment horizontal="left"/>
    </xf>
    <xf numFmtId="0" fontId="8" fillId="0" borderId="0" xfId="0" applyFont="1" applyAlignment="1">
      <alignment horizontal="left" vertical="center" wrapText="1"/>
    </xf>
    <xf numFmtId="0" fontId="0" fillId="0" borderId="2" xfId="0" applyBorder="1"/>
    <xf numFmtId="0" fontId="0" fillId="4" borderId="5" xfId="0" applyFill="1" applyBorder="1" applyAlignment="1">
      <alignment horizontal="center"/>
    </xf>
    <xf numFmtId="0" fontId="0" fillId="4" borderId="6" xfId="0" applyFill="1" applyBorder="1" applyAlignment="1">
      <alignment horizontal="center"/>
    </xf>
    <xf numFmtId="6" fontId="8" fillId="4" borderId="5" xfId="0" applyNumberFormat="1" applyFont="1" applyFill="1" applyBorder="1" applyAlignment="1">
      <alignment horizontal="center" vertical="center" wrapText="1"/>
    </xf>
    <xf numFmtId="164" fontId="6" fillId="0" borderId="26" xfId="0" applyNumberFormat="1" applyFont="1" applyBorder="1" applyAlignment="1">
      <alignment horizontal="center" vertical="center" wrapText="1"/>
    </xf>
    <xf numFmtId="168" fontId="0" fillId="4" borderId="5" xfId="0" applyNumberFormat="1" applyFill="1" applyBorder="1" applyAlignment="1">
      <alignment horizontal="center"/>
    </xf>
    <xf numFmtId="3" fontId="0" fillId="4" borderId="5" xfId="0" applyNumberFormat="1" applyFill="1" applyBorder="1" applyAlignment="1">
      <alignment horizontal="center"/>
    </xf>
    <xf numFmtId="3" fontId="0" fillId="4" borderId="8" xfId="0" applyNumberFormat="1" applyFill="1" applyBorder="1" applyAlignment="1">
      <alignment horizontal="center"/>
    </xf>
    <xf numFmtId="3" fontId="0" fillId="4" borderId="9" xfId="0" applyNumberFormat="1" applyFill="1" applyBorder="1" applyAlignment="1">
      <alignment horizontal="center"/>
    </xf>
    <xf numFmtId="0" fontId="6" fillId="0" borderId="0" xfId="0" applyFont="1"/>
    <xf numFmtId="0" fontId="6" fillId="0" borderId="0" xfId="0" applyFont="1" applyAlignment="1">
      <alignment wrapText="1"/>
    </xf>
    <xf numFmtId="164" fontId="0" fillId="0" borderId="0" xfId="0" applyNumberFormat="1" applyAlignment="1">
      <alignment horizontal="left" wrapText="1"/>
    </xf>
    <xf numFmtId="0" fontId="12" fillId="0" borderId="15" xfId="0" applyFont="1" applyBorder="1" applyAlignment="1">
      <alignment vertical="center" wrapText="1"/>
    </xf>
    <xf numFmtId="0" fontId="0" fillId="4" borderId="6" xfId="0" applyFill="1" applyBorder="1" applyAlignment="1">
      <alignment horizontal="center" wrapText="1"/>
    </xf>
    <xf numFmtId="6" fontId="0" fillId="4" borderId="5" xfId="0" applyNumberFormat="1" applyFill="1" applyBorder="1" applyAlignment="1">
      <alignment horizontal="center" wrapText="1"/>
    </xf>
    <xf numFmtId="0" fontId="0" fillId="4" borderId="5" xfId="0" applyFill="1" applyBorder="1" applyAlignment="1">
      <alignment horizontal="center" wrapText="1"/>
    </xf>
    <xf numFmtId="0" fontId="6" fillId="0" borderId="27" xfId="0" applyFont="1" applyBorder="1" applyAlignment="1">
      <alignment horizontal="center" wrapText="1"/>
    </xf>
    <xf numFmtId="0" fontId="13" fillId="0" borderId="11" xfId="0" applyFont="1" applyBorder="1" applyAlignment="1">
      <alignment horizontal="left" wrapText="1"/>
    </xf>
    <xf numFmtId="0" fontId="5" fillId="0" borderId="12" xfId="0" applyFont="1" applyBorder="1" applyAlignment="1">
      <alignment horizontal="left"/>
    </xf>
    <xf numFmtId="0" fontId="5" fillId="9" borderId="42" xfId="0" applyFont="1" applyFill="1" applyBorder="1" applyAlignment="1">
      <alignment horizontal="center"/>
    </xf>
    <xf numFmtId="0" fontId="6" fillId="0" borderId="0" xfId="0" applyFont="1" applyAlignment="1">
      <alignment vertical="top" wrapText="1"/>
    </xf>
    <xf numFmtId="0" fontId="0" fillId="0" borderId="0" xfId="0" applyAlignment="1">
      <alignment vertical="center"/>
    </xf>
    <xf numFmtId="0" fontId="6" fillId="0" borderId="0" xfId="0" applyFont="1" applyAlignment="1">
      <alignment vertical="center" wrapText="1"/>
    </xf>
    <xf numFmtId="49" fontId="6" fillId="0" borderId="0" xfId="0" applyNumberFormat="1" applyFont="1" applyAlignment="1">
      <alignment vertical="center" wrapText="1"/>
    </xf>
    <xf numFmtId="164" fontId="3" fillId="0" borderId="0" xfId="0" applyNumberFormat="1" applyFont="1" applyAlignment="1">
      <alignment vertical="top" wrapText="1"/>
    </xf>
    <xf numFmtId="164" fontId="8" fillId="0" borderId="9" xfId="0" applyNumberFormat="1" applyFont="1" applyBorder="1" applyAlignment="1">
      <alignment horizontal="left" vertical="center" wrapText="1"/>
    </xf>
    <xf numFmtId="0" fontId="36" fillId="0" borderId="0" xfId="0" applyFont="1"/>
    <xf numFmtId="0" fontId="36" fillId="0" borderId="0" xfId="0" applyFont="1" applyAlignment="1">
      <alignment horizontal="left"/>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0" fillId="0" borderId="0" xfId="0" applyAlignment="1">
      <alignment horizontal="center" vertical="center"/>
    </xf>
    <xf numFmtId="0" fontId="6" fillId="6" borderId="0" xfId="0" applyFont="1" applyFill="1" applyAlignment="1">
      <alignment vertical="center" wrapText="1"/>
    </xf>
    <xf numFmtId="0" fontId="6" fillId="0" borderId="25" xfId="0" applyFont="1" applyBorder="1" applyAlignment="1">
      <alignment vertical="center" wrapText="1"/>
    </xf>
    <xf numFmtId="0" fontId="6" fillId="0" borderId="25" xfId="0" applyFont="1" applyBorder="1" applyAlignment="1">
      <alignment vertical="center"/>
    </xf>
    <xf numFmtId="0" fontId="6" fillId="0" borderId="0" xfId="0" applyFont="1" applyAlignment="1">
      <alignment vertical="center"/>
    </xf>
    <xf numFmtId="0" fontId="6" fillId="6" borderId="0" xfId="0" applyFont="1" applyFill="1" applyAlignment="1">
      <alignment vertical="center"/>
    </xf>
    <xf numFmtId="164" fontId="6" fillId="0" borderId="29" xfId="0" applyNumberFormat="1" applyFont="1" applyBorder="1" applyAlignment="1">
      <alignment horizontal="center" vertical="center" wrapText="1"/>
    </xf>
    <xf numFmtId="0" fontId="6" fillId="0" borderId="0" xfId="0" applyFont="1" applyAlignment="1">
      <alignment horizontal="center" vertical="top" wrapText="1"/>
    </xf>
    <xf numFmtId="0" fontId="0" fillId="5" borderId="0" xfId="0" applyFill="1" applyAlignment="1">
      <alignment horizontal="center"/>
    </xf>
    <xf numFmtId="0" fontId="8" fillId="4" borderId="16" xfId="0" applyFont="1" applyFill="1" applyBorder="1" applyAlignment="1">
      <alignment horizontal="center" vertical="center" wrapText="1"/>
    </xf>
    <xf numFmtId="0" fontId="6" fillId="0" borderId="27" xfId="0" applyFont="1" applyBorder="1" applyAlignment="1">
      <alignment horizontal="left" vertical="top" wrapText="1"/>
    </xf>
    <xf numFmtId="0" fontId="6" fillId="0" borderId="30" xfId="0" applyFont="1" applyBorder="1" applyAlignment="1">
      <alignment horizontal="left" vertical="top" wrapText="1"/>
    </xf>
    <xf numFmtId="0" fontId="0" fillId="0" borderId="21" xfId="0" applyBorder="1" applyAlignment="1">
      <alignment wrapText="1"/>
    </xf>
    <xf numFmtId="0" fontId="0" fillId="3" borderId="0" xfId="0" applyFill="1"/>
    <xf numFmtId="0" fontId="0" fillId="0" borderId="5" xfId="0" applyBorder="1" applyAlignment="1">
      <alignment horizontal="center" wrapText="1"/>
    </xf>
    <xf numFmtId="49" fontId="6" fillId="0" borderId="0" xfId="0" applyNumberFormat="1" applyFont="1" applyAlignment="1">
      <alignment vertical="center"/>
    </xf>
    <xf numFmtId="0" fontId="9" fillId="0" borderId="24" xfId="0" applyFont="1" applyBorder="1" applyAlignment="1">
      <alignment horizontal="center" wrapText="1"/>
    </xf>
    <xf numFmtId="0" fontId="18" fillId="0" borderId="0" xfId="0" applyFont="1" applyAlignment="1">
      <alignment horizontal="center" vertical="top" wrapText="1"/>
    </xf>
    <xf numFmtId="0" fontId="6" fillId="0" borderId="30" xfId="0" applyFont="1" applyBorder="1" applyAlignment="1">
      <alignment horizontal="center" vertical="center" wrapText="1"/>
    </xf>
    <xf numFmtId="0" fontId="6" fillId="0" borderId="30" xfId="0" applyFont="1" applyBorder="1" applyAlignment="1">
      <alignment horizontal="center" wrapText="1"/>
    </xf>
    <xf numFmtId="164" fontId="6" fillId="0" borderId="0" xfId="0" applyNumberFormat="1" applyFont="1" applyAlignment="1">
      <alignment horizontal="center" vertical="center" wrapText="1"/>
    </xf>
    <xf numFmtId="0" fontId="9" fillId="0" borderId="24"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0" fillId="0" borderId="0" xfId="0" applyAlignment="1">
      <alignment vertical="center" wrapText="1"/>
    </xf>
    <xf numFmtId="0" fontId="0" fillId="4" borderId="0" xfId="0" applyFill="1" applyAlignment="1">
      <alignment horizontal="left" wrapText="1"/>
    </xf>
    <xf numFmtId="14" fontId="0" fillId="4" borderId="0" xfId="0" applyNumberFormat="1" applyFill="1" applyAlignment="1">
      <alignment horizontal="left" wrapText="1"/>
    </xf>
    <xf numFmtId="0" fontId="0" fillId="0" borderId="0" xfId="0" applyAlignment="1" applyProtection="1">
      <alignment vertical="center"/>
      <protection hidden="1"/>
    </xf>
    <xf numFmtId="0" fontId="15" fillId="0" borderId="0" xfId="0" applyFont="1" applyAlignment="1">
      <alignment vertical="center"/>
    </xf>
    <xf numFmtId="0" fontId="36" fillId="0" borderId="0" xfId="0" applyFont="1" applyAlignment="1">
      <alignment vertical="center" wrapText="1"/>
    </xf>
    <xf numFmtId="0" fontId="18" fillId="6" borderId="0" xfId="0" applyFont="1" applyFill="1" applyAlignment="1">
      <alignment vertical="center"/>
    </xf>
    <xf numFmtId="10" fontId="6" fillId="0" borderId="29" xfId="0" applyNumberFormat="1" applyFont="1" applyBorder="1" applyAlignment="1">
      <alignment horizontal="center" vertical="center" wrapText="1"/>
    </xf>
    <xf numFmtId="10" fontId="6" fillId="0" borderId="26" xfId="0" applyNumberFormat="1" applyFont="1" applyBorder="1" applyAlignment="1">
      <alignment horizontal="center" vertical="center" wrapText="1"/>
    </xf>
    <xf numFmtId="164" fontId="6" fillId="6" borderId="0" xfId="0" applyNumberFormat="1" applyFont="1" applyFill="1" applyAlignment="1">
      <alignment horizontal="center" vertical="center" wrapText="1"/>
    </xf>
    <xf numFmtId="0" fontId="16" fillId="0" borderId="0" xfId="0" applyFont="1" applyAlignment="1">
      <alignment horizontal="left" vertical="center" wrapText="1"/>
    </xf>
    <xf numFmtId="0" fontId="9" fillId="0" borderId="26" xfId="0" applyFont="1" applyBorder="1" applyAlignment="1">
      <alignment horizontal="center" vertical="center"/>
    </xf>
    <xf numFmtId="0" fontId="6" fillId="0" borderId="23" xfId="0" applyFont="1" applyBorder="1" applyAlignment="1">
      <alignment horizontal="center" vertical="center"/>
    </xf>
    <xf numFmtId="166" fontId="6" fillId="0" borderId="26" xfId="0" applyNumberFormat="1" applyFont="1" applyBorder="1" applyAlignment="1">
      <alignment horizontal="center" vertical="center" wrapText="1"/>
    </xf>
    <xf numFmtId="0" fontId="6" fillId="0" borderId="22" xfId="0" applyFont="1" applyBorder="1" applyAlignment="1">
      <alignment horizontal="center" vertical="center"/>
    </xf>
    <xf numFmtId="166" fontId="6" fillId="6" borderId="0" xfId="0" applyNumberFormat="1" applyFont="1" applyFill="1" applyAlignment="1">
      <alignment horizontal="center" vertical="center" wrapText="1"/>
    </xf>
    <xf numFmtId="164" fontId="6" fillId="0" borderId="27" xfId="0" applyNumberFormat="1" applyFont="1" applyBorder="1" applyAlignment="1">
      <alignment horizontal="center" vertical="center" wrapText="1"/>
    </xf>
    <xf numFmtId="166" fontId="6" fillId="0" borderId="26" xfId="0" applyNumberFormat="1" applyFont="1" applyBorder="1" applyAlignment="1">
      <alignment horizontal="center" vertical="center"/>
    </xf>
    <xf numFmtId="166" fontId="6" fillId="0" borderId="0" xfId="0" applyNumberFormat="1" applyFont="1" applyAlignment="1">
      <alignment horizontal="center" vertical="center"/>
    </xf>
    <xf numFmtId="166" fontId="6" fillId="6" borderId="0" xfId="0" applyNumberFormat="1" applyFont="1" applyFill="1" applyAlignment="1">
      <alignment horizontal="center" vertical="center"/>
    </xf>
    <xf numFmtId="166" fontId="6" fillId="0" borderId="23" xfId="0" applyNumberFormat="1" applyFont="1" applyBorder="1" applyAlignment="1">
      <alignment horizontal="center" vertical="center"/>
    </xf>
    <xf numFmtId="166" fontId="6" fillId="0" borderId="29" xfId="0" applyNumberFormat="1" applyFont="1" applyBorder="1" applyAlignment="1">
      <alignment horizontal="center" vertical="center"/>
    </xf>
    <xf numFmtId="3" fontId="6" fillId="0" borderId="26" xfId="0" applyNumberFormat="1" applyFont="1" applyBorder="1" applyAlignment="1">
      <alignment horizontal="center" vertical="center" wrapText="1"/>
    </xf>
    <xf numFmtId="0" fontId="12" fillId="4" borderId="16" xfId="0" applyFont="1" applyFill="1" applyBorder="1" applyAlignment="1">
      <alignment horizontal="center" vertical="center" wrapText="1"/>
    </xf>
    <xf numFmtId="0" fontId="0" fillId="0" borderId="45" xfId="0" applyBorder="1" applyAlignment="1">
      <alignment vertical="center"/>
    </xf>
    <xf numFmtId="0" fontId="36" fillId="0" borderId="45" xfId="0" applyFont="1" applyBorder="1" applyAlignment="1">
      <alignment vertical="center"/>
    </xf>
    <xf numFmtId="0" fontId="6" fillId="6" borderId="45" xfId="0" applyFont="1" applyFill="1" applyBorder="1" applyAlignment="1">
      <alignment vertical="center"/>
    </xf>
    <xf numFmtId="0" fontId="6" fillId="0" borderId="45" xfId="0" applyFont="1" applyBorder="1" applyAlignment="1">
      <alignment vertical="center"/>
    </xf>
    <xf numFmtId="0" fontId="6" fillId="0" borderId="45" xfId="0" applyFont="1" applyBorder="1" applyAlignment="1">
      <alignment vertical="center" wrapText="1"/>
    </xf>
    <xf numFmtId="0" fontId="18" fillId="0" borderId="45" xfId="0" applyFont="1" applyBorder="1" applyAlignment="1">
      <alignment horizontal="center" vertical="top" wrapText="1"/>
    </xf>
    <xf numFmtId="0" fontId="6" fillId="0" borderId="45" xfId="0" applyFont="1" applyBorder="1" applyAlignment="1">
      <alignment horizontal="center" vertical="top" wrapText="1"/>
    </xf>
    <xf numFmtId="0" fontId="6" fillId="0" borderId="48" xfId="0" applyFont="1" applyBorder="1" applyAlignment="1">
      <alignment horizontal="center" vertical="center" wrapText="1"/>
    </xf>
    <xf numFmtId="0" fontId="6" fillId="0" borderId="48" xfId="0" applyFont="1" applyBorder="1" applyAlignment="1">
      <alignment horizontal="left" vertical="top" wrapText="1"/>
    </xf>
    <xf numFmtId="0" fontId="0" fillId="0" borderId="45" xfId="0" applyBorder="1" applyAlignment="1">
      <alignment horizontal="left" wrapText="1"/>
    </xf>
    <xf numFmtId="0" fontId="0" fillId="0" borderId="45" xfId="0" applyBorder="1" applyAlignment="1">
      <alignment horizontal="left"/>
    </xf>
    <xf numFmtId="0" fontId="42" fillId="0" borderId="0" xfId="0" applyFont="1"/>
    <xf numFmtId="164" fontId="8" fillId="0" borderId="0" xfId="0" applyNumberFormat="1" applyFont="1" applyAlignment="1">
      <alignment horizontal="left" vertical="center" wrapText="1"/>
    </xf>
    <xf numFmtId="0" fontId="43" fillId="0" borderId="0" xfId="0" applyFont="1" applyAlignment="1">
      <alignment horizontal="left" vertical="center" wrapText="1"/>
    </xf>
    <xf numFmtId="164" fontId="0" fillId="0" borderId="6" xfId="0" applyNumberFormat="1" applyBorder="1" applyAlignment="1">
      <alignment horizontal="left"/>
    </xf>
    <xf numFmtId="0" fontId="0" fillId="0" borderId="4" xfId="0" applyBorder="1" applyAlignment="1">
      <alignment horizontal="left"/>
    </xf>
    <xf numFmtId="0" fontId="0" fillId="0" borderId="21" xfId="0" applyBorder="1" applyAlignment="1">
      <alignment horizontal="left"/>
    </xf>
    <xf numFmtId="0" fontId="11" fillId="0" borderId="53" xfId="0" applyFont="1" applyBorder="1" applyAlignment="1">
      <alignment horizontal="left" vertical="center" wrapText="1"/>
    </xf>
    <xf numFmtId="0" fontId="0" fillId="0" borderId="53" xfId="0" applyBorder="1" applyAlignment="1">
      <alignment horizontal="left"/>
    </xf>
    <xf numFmtId="0" fontId="0" fillId="0" borderId="33" xfId="0" applyBorder="1" applyAlignment="1">
      <alignment horizontal="left"/>
    </xf>
    <xf numFmtId="169" fontId="0" fillId="0" borderId="0" xfId="0" applyNumberFormat="1" applyAlignment="1">
      <alignment horizontal="left"/>
    </xf>
    <xf numFmtId="10" fontId="0" fillId="2" borderId="0" xfId="0" applyNumberFormat="1" applyFill="1" applyAlignment="1">
      <alignment horizontal="left"/>
    </xf>
    <xf numFmtId="164" fontId="0" fillId="0" borderId="4" xfId="0" applyNumberFormat="1" applyBorder="1" applyAlignment="1">
      <alignment horizontal="left"/>
    </xf>
    <xf numFmtId="164" fontId="0" fillId="0" borderId="21" xfId="0" applyNumberFormat="1" applyBorder="1" applyAlignment="1">
      <alignment horizontal="left"/>
    </xf>
    <xf numFmtId="169" fontId="22" fillId="0" borderId="0" xfId="0" applyNumberFormat="1" applyFont="1" applyAlignment="1">
      <alignment horizontal="left"/>
    </xf>
    <xf numFmtId="0" fontId="6" fillId="0" borderId="25" xfId="0" applyFont="1" applyBorder="1" applyAlignment="1">
      <alignment horizontal="left" vertical="top" wrapText="1"/>
    </xf>
    <xf numFmtId="0" fontId="6" fillId="0" borderId="26" xfId="0" applyFont="1" applyBorder="1" applyAlignment="1">
      <alignment horizontal="left" vertical="top" wrapText="1"/>
    </xf>
    <xf numFmtId="14" fontId="6" fillId="0" borderId="26" xfId="0" applyNumberFormat="1" applyFont="1" applyBorder="1" applyAlignment="1">
      <alignment horizontal="left" vertical="top" wrapText="1"/>
    </xf>
    <xf numFmtId="14" fontId="0" fillId="0" borderId="0" xfId="0" applyNumberFormat="1" applyAlignment="1">
      <alignment horizontal="left" wrapText="1"/>
    </xf>
    <xf numFmtId="0" fontId="0" fillId="0" borderId="0" xfId="0" applyAlignment="1">
      <alignment horizontal="left" vertical="center"/>
    </xf>
    <xf numFmtId="0" fontId="0" fillId="0" borderId="55" xfId="0" applyBorder="1"/>
    <xf numFmtId="0" fontId="0" fillId="0" borderId="56" xfId="0" applyBorder="1"/>
    <xf numFmtId="0" fontId="0" fillId="10" borderId="0" xfId="0" applyFill="1"/>
    <xf numFmtId="0" fontId="0" fillId="0" borderId="58" xfId="0" applyBorder="1"/>
    <xf numFmtId="0" fontId="0" fillId="3" borderId="59" xfId="0" applyFill="1" applyBorder="1"/>
    <xf numFmtId="0" fontId="0" fillId="0" borderId="60" xfId="0" applyBorder="1"/>
    <xf numFmtId="0" fontId="0" fillId="0" borderId="61" xfId="0" applyBorder="1"/>
    <xf numFmtId="0" fontId="35" fillId="0" borderId="65" xfId="0" applyFont="1" applyBorder="1" applyAlignment="1">
      <alignment horizontal="center" vertical="center" wrapText="1"/>
    </xf>
    <xf numFmtId="0" fontId="6" fillId="0" borderId="64" xfId="0" applyFont="1" applyBorder="1" applyAlignment="1">
      <alignment horizontal="center"/>
    </xf>
    <xf numFmtId="0" fontId="31" fillId="0" borderId="0" xfId="0" applyFont="1" applyAlignment="1">
      <alignment vertical="top"/>
    </xf>
    <xf numFmtId="0" fontId="31" fillId="0" borderId="0" xfId="0" applyFont="1" applyAlignment="1">
      <alignment vertical="center" wrapText="1"/>
    </xf>
    <xf numFmtId="0" fontId="6" fillId="0" borderId="0" xfId="0" applyFont="1" applyAlignment="1">
      <alignment vertical="top"/>
    </xf>
    <xf numFmtId="0" fontId="9" fillId="4" borderId="66" xfId="0" applyFont="1" applyFill="1" applyBorder="1" applyAlignment="1">
      <alignment vertical="center"/>
    </xf>
    <xf numFmtId="164" fontId="9" fillId="4" borderId="67" xfId="0" applyNumberFormat="1" applyFont="1" applyFill="1" applyBorder="1" applyAlignment="1">
      <alignment horizontal="center" vertical="center" wrapText="1"/>
    </xf>
    <xf numFmtId="166" fontId="9" fillId="4" borderId="67" xfId="0" applyNumberFormat="1" applyFont="1" applyFill="1" applyBorder="1" applyAlignment="1">
      <alignment horizontal="center" vertical="center"/>
    </xf>
    <xf numFmtId="0" fontId="2" fillId="0" borderId="2" xfId="0" applyFont="1" applyBorder="1" applyAlignment="1">
      <alignment vertical="center" wrapText="1"/>
    </xf>
    <xf numFmtId="0" fontId="8" fillId="0" borderId="44" xfId="0" applyFont="1" applyBorder="1" applyAlignment="1">
      <alignment horizontal="left" vertical="center" wrapText="1"/>
    </xf>
    <xf numFmtId="164" fontId="8" fillId="4" borderId="42" xfId="0" applyNumberFormat="1" applyFont="1" applyFill="1" applyBorder="1" applyAlignment="1">
      <alignment horizontal="center" vertical="center" wrapText="1"/>
    </xf>
    <xf numFmtId="164" fontId="8" fillId="4" borderId="43" xfId="0" applyNumberFormat="1" applyFont="1" applyFill="1" applyBorder="1" applyAlignment="1">
      <alignment horizontal="center" vertical="center" wrapText="1"/>
    </xf>
    <xf numFmtId="0" fontId="2" fillId="0" borderId="4" xfId="0" applyFont="1" applyBorder="1" applyAlignment="1">
      <alignment vertical="center" wrapText="1"/>
    </xf>
    <xf numFmtId="0" fontId="6" fillId="0" borderId="25" xfId="0" applyFont="1" applyBorder="1" applyAlignment="1">
      <alignment horizontal="center" vertical="center" wrapText="1"/>
    </xf>
    <xf numFmtId="164" fontId="8" fillId="2" borderId="43" xfId="0" applyNumberFormat="1" applyFont="1" applyFill="1" applyBorder="1" applyAlignment="1">
      <alignment horizontal="center" vertical="center" wrapText="1"/>
    </xf>
    <xf numFmtId="164" fontId="11" fillId="2" borderId="43" xfId="0" applyNumberFormat="1" applyFont="1" applyFill="1" applyBorder="1" applyAlignment="1">
      <alignment horizontal="right" vertical="center" wrapText="1"/>
    </xf>
    <xf numFmtId="0" fontId="3" fillId="0" borderId="1" xfId="0" applyFont="1" applyBorder="1" applyAlignment="1">
      <alignment horizontal="right"/>
    </xf>
    <xf numFmtId="0" fontId="11" fillId="2" borderId="44" xfId="0" applyFont="1" applyFill="1" applyBorder="1" applyAlignment="1">
      <alignment horizontal="right" vertical="center" wrapText="1"/>
    </xf>
    <xf numFmtId="0" fontId="11" fillId="2" borderId="42" xfId="0" applyFont="1" applyFill="1" applyBorder="1" applyAlignment="1">
      <alignment horizontal="right" vertical="center" wrapText="1"/>
    </xf>
    <xf numFmtId="164" fontId="8" fillId="2" borderId="53" xfId="0" applyNumberFormat="1" applyFont="1" applyFill="1" applyBorder="1" applyAlignment="1">
      <alignment horizontal="center" vertical="center" wrapText="1"/>
    </xf>
    <xf numFmtId="164" fontId="8" fillId="0" borderId="42" xfId="0" applyNumberFormat="1" applyFont="1" applyBorder="1" applyAlignment="1">
      <alignment horizontal="center" vertical="center"/>
    </xf>
    <xf numFmtId="164" fontId="11" fillId="0" borderId="42" xfId="0" applyNumberFormat="1" applyFont="1" applyBorder="1" applyAlignment="1">
      <alignment horizontal="right" vertical="center"/>
    </xf>
    <xf numFmtId="0" fontId="0" fillId="10" borderId="55" xfId="0" applyFill="1" applyBorder="1"/>
    <xf numFmtId="0" fontId="0" fillId="10" borderId="54" xfId="0" applyFill="1" applyBorder="1"/>
    <xf numFmtId="0" fontId="0" fillId="10" borderId="57" xfId="0" applyFill="1" applyBorder="1"/>
    <xf numFmtId="0" fontId="0" fillId="3" borderId="69" xfId="0" applyFill="1" applyBorder="1"/>
    <xf numFmtId="0" fontId="0" fillId="11" borderId="70" xfId="0" applyFill="1" applyBorder="1"/>
    <xf numFmtId="0" fontId="0" fillId="0" borderId="36" xfId="0" applyBorder="1" applyAlignment="1">
      <alignment horizontal="left" wrapText="1"/>
    </xf>
    <xf numFmtId="0" fontId="47" fillId="0" borderId="0" xfId="0" applyFont="1" applyAlignment="1">
      <alignment vertical="top" wrapText="1"/>
    </xf>
    <xf numFmtId="0" fontId="44" fillId="0" borderId="0" xfId="0" applyFont="1" applyAlignment="1">
      <alignment vertical="top" wrapText="1"/>
    </xf>
    <xf numFmtId="0" fontId="37" fillId="0" borderId="0" xfId="0" applyFont="1"/>
    <xf numFmtId="0" fontId="36" fillId="0" borderId="0" xfId="0" applyFont="1" applyAlignment="1">
      <alignment wrapText="1"/>
    </xf>
    <xf numFmtId="0" fontId="5" fillId="12" borderId="42" xfId="0" applyFont="1" applyFill="1" applyBorder="1" applyAlignment="1">
      <alignment horizontal="center"/>
    </xf>
    <xf numFmtId="0" fontId="51" fillId="0" borderId="0" xfId="0" applyFont="1"/>
    <xf numFmtId="164" fontId="0" fillId="4" borderId="42" xfId="0" applyNumberFormat="1" applyFill="1" applyBorder="1" applyAlignment="1">
      <alignment horizontal="center"/>
    </xf>
    <xf numFmtId="0" fontId="0" fillId="4" borderId="42" xfId="0" applyFill="1" applyBorder="1" applyAlignment="1">
      <alignment horizontal="center"/>
    </xf>
    <xf numFmtId="3" fontId="0" fillId="4" borderId="42" xfId="0" applyNumberFormat="1" applyFill="1" applyBorder="1" applyAlignment="1">
      <alignment horizontal="center"/>
    </xf>
    <xf numFmtId="3" fontId="0" fillId="4" borderId="43" xfId="0" applyNumberFormat="1" applyFill="1" applyBorder="1" applyAlignment="1">
      <alignment horizontal="center"/>
    </xf>
    <xf numFmtId="0" fontId="9" fillId="0" borderId="22" xfId="0" applyFont="1" applyBorder="1" applyAlignment="1">
      <alignment horizontal="center" vertical="center" wrapText="1"/>
    </xf>
    <xf numFmtId="0" fontId="6" fillId="0" borderId="0" xfId="0" applyFont="1" applyAlignment="1">
      <alignment horizontal="left" wrapText="1"/>
    </xf>
    <xf numFmtId="0" fontId="31" fillId="13" borderId="82" xfId="0" applyFont="1" applyFill="1" applyBorder="1" applyAlignment="1">
      <alignment vertical="center" wrapText="1"/>
    </xf>
    <xf numFmtId="0" fontId="31" fillId="13" borderId="82" xfId="0" applyFont="1" applyFill="1" applyBorder="1" applyAlignment="1">
      <alignment wrapText="1"/>
    </xf>
    <xf numFmtId="0" fontId="52" fillId="13" borderId="80" xfId="0" applyFont="1" applyFill="1" applyBorder="1" applyAlignment="1">
      <alignment vertical="top" wrapText="1"/>
    </xf>
    <xf numFmtId="0" fontId="6" fillId="0" borderId="0" xfId="0" applyFont="1" applyAlignment="1">
      <alignment horizontal="left" vertical="center" indent="5"/>
    </xf>
    <xf numFmtId="0" fontId="9" fillId="0" borderId="0" xfId="0" applyFont="1" applyAlignment="1">
      <alignment wrapText="1"/>
    </xf>
    <xf numFmtId="0" fontId="9" fillId="0" borderId="22" xfId="0" applyFont="1" applyBorder="1" applyAlignment="1">
      <alignment horizontal="center" wrapText="1"/>
    </xf>
    <xf numFmtId="0" fontId="6" fillId="0" borderId="25" xfId="0" applyFont="1" applyBorder="1" applyAlignment="1">
      <alignment horizontal="center" wrapText="1"/>
    </xf>
    <xf numFmtId="0" fontId="6" fillId="0" borderId="28" xfId="0" applyFont="1" applyBorder="1" applyAlignment="1">
      <alignment horizontal="center" wrapText="1"/>
    </xf>
    <xf numFmtId="0" fontId="6" fillId="0" borderId="22"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91" xfId="0" applyFont="1" applyBorder="1" applyAlignment="1">
      <alignment vertical="top" wrapText="1"/>
    </xf>
    <xf numFmtId="0" fontId="53" fillId="0" borderId="0" xfId="0" applyFont="1" applyAlignment="1">
      <alignment horizontal="right" vertical="center" wrapText="1"/>
    </xf>
    <xf numFmtId="0" fontId="55" fillId="0" borderId="0" xfId="0" applyFont="1" applyAlignment="1">
      <alignment vertical="center" wrapText="1"/>
    </xf>
    <xf numFmtId="0" fontId="53" fillId="0" borderId="0" xfId="0" applyFont="1" applyAlignment="1">
      <alignment horizontal="right" vertical="top" wrapText="1"/>
    </xf>
    <xf numFmtId="0" fontId="56" fillId="0" borderId="0" xfId="0" applyFont="1" applyAlignment="1">
      <alignment vertical="center" wrapText="1"/>
    </xf>
    <xf numFmtId="0" fontId="6" fillId="0" borderId="0" xfId="0" quotePrefix="1" applyFont="1" applyAlignment="1">
      <alignment horizontal="left" wrapText="1" indent="2"/>
    </xf>
    <xf numFmtId="0" fontId="6" fillId="0" borderId="0" xfId="0" applyFont="1" applyAlignment="1">
      <alignment horizontal="left" wrapText="1" indent="3"/>
    </xf>
    <xf numFmtId="0" fontId="6" fillId="0" borderId="0" xfId="0" applyFont="1" applyAlignment="1">
      <alignment horizontal="left" vertical="top" wrapText="1" indent="3"/>
    </xf>
    <xf numFmtId="0" fontId="58" fillId="14" borderId="0" xfId="0" applyFont="1" applyFill="1" applyAlignment="1">
      <alignment vertical="center" wrapText="1"/>
    </xf>
    <xf numFmtId="0" fontId="8" fillId="0" borderId="0" xfId="0" applyFont="1" applyAlignment="1">
      <alignment wrapText="1"/>
    </xf>
    <xf numFmtId="0" fontId="8" fillId="0" borderId="0" xfId="0" applyFont="1" applyAlignment="1">
      <alignment vertical="center" wrapText="1"/>
    </xf>
    <xf numFmtId="0" fontId="23" fillId="0" borderId="0" xfId="0" applyFont="1"/>
    <xf numFmtId="0" fontId="6" fillId="0" borderId="28" xfId="0" applyFont="1" applyBorder="1" applyAlignment="1">
      <alignment vertical="top" wrapText="1"/>
    </xf>
    <xf numFmtId="0" fontId="6" fillId="0" borderId="90" xfId="0" quotePrefix="1" applyFont="1" applyBorder="1" applyAlignment="1">
      <alignment horizontal="left" vertical="center" wrapText="1" indent="4"/>
    </xf>
    <xf numFmtId="0" fontId="6" fillId="0" borderId="89" xfId="0" quotePrefix="1" applyFont="1" applyBorder="1" applyAlignment="1">
      <alignment horizontal="left" vertical="center" wrapText="1" indent="4"/>
    </xf>
    <xf numFmtId="0" fontId="6" fillId="0" borderId="92" xfId="0" quotePrefix="1" applyFont="1" applyBorder="1" applyAlignment="1">
      <alignment horizontal="left" vertical="center" wrapText="1" indent="3"/>
    </xf>
    <xf numFmtId="0" fontId="6" fillId="0" borderId="91" xfId="0" quotePrefix="1" applyFont="1" applyBorder="1" applyAlignment="1">
      <alignment horizontal="left" vertical="center" wrapText="1" indent="3"/>
    </xf>
    <xf numFmtId="0" fontId="6" fillId="0" borderId="92" xfId="0" quotePrefix="1" applyFont="1" applyBorder="1" applyAlignment="1">
      <alignment horizontal="left" vertical="center" wrapText="1" indent="4"/>
    </xf>
    <xf numFmtId="0" fontId="6" fillId="0" borderId="91" xfId="0" quotePrefix="1" applyFont="1" applyBorder="1" applyAlignment="1">
      <alignment horizontal="left" vertical="center" wrapText="1" indent="4"/>
    </xf>
    <xf numFmtId="0" fontId="46" fillId="0" borderId="7" xfId="0" applyFont="1" applyBorder="1" applyAlignment="1">
      <alignment horizontal="left"/>
    </xf>
    <xf numFmtId="0" fontId="0" fillId="0" borderId="7" xfId="0" applyBorder="1" applyAlignment="1">
      <alignment horizontal="left"/>
    </xf>
    <xf numFmtId="0" fontId="14" fillId="0" borderId="2" xfId="0" applyFont="1" applyBorder="1" applyAlignment="1">
      <alignment horizontal="center" wrapText="1"/>
    </xf>
    <xf numFmtId="0" fontId="0" fillId="4" borderId="4" xfId="0" applyFill="1" applyBorder="1" applyAlignment="1">
      <alignment horizontal="left"/>
    </xf>
    <xf numFmtId="164" fontId="0" fillId="4" borderId="4" xfId="0" applyNumberFormat="1" applyFill="1" applyBorder="1" applyAlignment="1">
      <alignment horizontal="left"/>
    </xf>
    <xf numFmtId="0" fontId="18" fillId="0" borderId="0" xfId="0" applyFont="1" applyAlignment="1">
      <alignment horizontal="left" vertical="top"/>
    </xf>
    <xf numFmtId="0" fontId="6" fillId="0" borderId="0" xfId="0" applyFont="1" applyAlignment="1">
      <alignment horizontal="left" vertical="top" wrapText="1"/>
    </xf>
    <xf numFmtId="0" fontId="6" fillId="0" borderId="28" xfId="0" applyFont="1" applyBorder="1" applyAlignment="1">
      <alignment horizontal="left" vertical="top" wrapText="1"/>
    </xf>
    <xf numFmtId="0" fontId="6" fillId="0" borderId="22" xfId="0" applyFont="1" applyBorder="1" applyAlignment="1">
      <alignment horizontal="left" vertical="top" wrapText="1"/>
    </xf>
    <xf numFmtId="0" fontId="6" fillId="0" borderId="37" xfId="0" applyFont="1" applyBorder="1" applyAlignment="1">
      <alignment horizontal="left" vertical="top" wrapText="1"/>
    </xf>
    <xf numFmtId="6" fontId="6" fillId="0" borderId="31"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0" fontId="6" fillId="0" borderId="0" xfId="0" applyFont="1" applyAlignment="1">
      <alignment horizontal="left" vertical="top"/>
    </xf>
    <xf numFmtId="6" fontId="6" fillId="0" borderId="30" xfId="0" applyNumberFormat="1" applyFont="1" applyBorder="1" applyAlignment="1">
      <alignment horizontal="left" vertical="top" wrapText="1"/>
    </xf>
    <xf numFmtId="0" fontId="6" fillId="0" borderId="27" xfId="0" applyFont="1" applyBorder="1" applyAlignment="1">
      <alignment vertical="top" wrapText="1"/>
    </xf>
    <xf numFmtId="0" fontId="6" fillId="0" borderId="27" xfId="0" applyFont="1" applyBorder="1" applyAlignment="1">
      <alignment horizontal="center" vertical="top" wrapText="1"/>
    </xf>
    <xf numFmtId="0" fontId="6" fillId="0" borderId="30" xfId="0" applyFont="1" applyBorder="1" applyAlignment="1">
      <alignment horizontal="center" vertical="top" wrapText="1"/>
    </xf>
    <xf numFmtId="0" fontId="8" fillId="0" borderId="0" xfId="0" applyFont="1" applyAlignment="1">
      <alignment horizontal="left" vertical="top"/>
    </xf>
    <xf numFmtId="0" fontId="37" fillId="0" borderId="0" xfId="0" applyFont="1" applyAlignment="1">
      <alignment vertical="top"/>
    </xf>
    <xf numFmtId="0" fontId="6" fillId="0" borderId="22" xfId="0" applyFont="1" applyBorder="1" applyAlignment="1">
      <alignment vertical="top"/>
    </xf>
    <xf numFmtId="0" fontId="9" fillId="0" borderId="25" xfId="0" applyFont="1" applyBorder="1" applyAlignment="1">
      <alignment horizontal="right" vertical="top"/>
    </xf>
    <xf numFmtId="0" fontId="6" fillId="0" borderId="23" xfId="0" applyFont="1" applyBorder="1" applyAlignment="1">
      <alignment horizontal="center" vertical="top" wrapText="1"/>
    </xf>
    <xf numFmtId="0" fontId="6" fillId="0" borderId="47" xfId="0" applyFont="1" applyBorder="1" applyAlignment="1">
      <alignment horizontal="center" vertical="top"/>
    </xf>
    <xf numFmtId="164" fontId="6" fillId="0" borderId="26" xfId="0" applyNumberFormat="1" applyFont="1" applyBorder="1" applyAlignment="1">
      <alignment horizontal="center" vertical="top" wrapText="1"/>
    </xf>
    <xf numFmtId="166" fontId="6" fillId="0" borderId="48" xfId="0" applyNumberFormat="1" applyFont="1" applyBorder="1" applyAlignment="1">
      <alignment horizontal="center" vertical="top" wrapText="1"/>
    </xf>
    <xf numFmtId="0" fontId="6" fillId="0" borderId="25" xfId="0" applyFont="1" applyBorder="1" applyAlignment="1">
      <alignment vertical="top" wrapText="1"/>
    </xf>
    <xf numFmtId="166" fontId="6" fillId="0" borderId="48" xfId="0" applyNumberFormat="1" applyFont="1" applyBorder="1" applyAlignment="1">
      <alignment horizontal="center" vertical="top"/>
    </xf>
    <xf numFmtId="0" fontId="6" fillId="0" borderId="28" xfId="0" applyFont="1" applyBorder="1" applyAlignment="1">
      <alignment vertical="top"/>
    </xf>
    <xf numFmtId="164" fontId="6" fillId="0" borderId="29" xfId="0" applyNumberFormat="1" applyFont="1" applyBorder="1" applyAlignment="1">
      <alignment horizontal="center" vertical="top" wrapText="1"/>
    </xf>
    <xf numFmtId="166" fontId="6" fillId="0" borderId="49" xfId="0" applyNumberFormat="1" applyFont="1" applyBorder="1" applyAlignment="1">
      <alignment horizontal="center" vertical="top"/>
    </xf>
    <xf numFmtId="0" fontId="6" fillId="0" borderId="45" xfId="0" applyFont="1" applyBorder="1" applyAlignment="1">
      <alignment vertical="top"/>
    </xf>
    <xf numFmtId="0" fontId="18" fillId="6" borderId="0" xfId="0" applyFont="1" applyFill="1" applyAlignment="1">
      <alignment vertical="top"/>
    </xf>
    <xf numFmtId="0" fontId="6" fillId="6" borderId="0" xfId="0" applyFont="1" applyFill="1" applyAlignment="1">
      <alignment vertical="top" wrapText="1"/>
    </xf>
    <xf numFmtId="0" fontId="6" fillId="6" borderId="45" xfId="0" applyFont="1" applyFill="1" applyBorder="1" applyAlignment="1">
      <alignment vertical="top"/>
    </xf>
    <xf numFmtId="0" fontId="6" fillId="0" borderId="25" xfId="0" applyFont="1" applyBorder="1" applyAlignment="1">
      <alignment vertical="top"/>
    </xf>
    <xf numFmtId="10" fontId="6" fillId="0" borderId="29" xfId="0" applyNumberFormat="1" applyFont="1" applyBorder="1" applyAlignment="1">
      <alignment horizontal="center" vertical="top" wrapText="1"/>
    </xf>
    <xf numFmtId="165" fontId="6" fillId="0" borderId="29" xfId="0" applyNumberFormat="1" applyFont="1" applyBorder="1" applyAlignment="1">
      <alignment horizontal="center" vertical="top" wrapText="1"/>
    </xf>
    <xf numFmtId="0" fontId="6" fillId="0" borderId="26" xfId="0" applyFont="1" applyBorder="1" applyAlignment="1">
      <alignment horizontal="center" vertical="top" wrapText="1"/>
    </xf>
    <xf numFmtId="0" fontId="6" fillId="0" borderId="48" xfId="0" applyFont="1" applyBorder="1" applyAlignment="1">
      <alignment horizontal="center" vertical="top" wrapText="1"/>
    </xf>
    <xf numFmtId="164" fontId="6" fillId="0" borderId="0" xfId="0" applyNumberFormat="1" applyFont="1" applyAlignment="1">
      <alignment horizontal="center" vertical="top" wrapText="1"/>
    </xf>
    <xf numFmtId="166" fontId="6" fillId="0" borderId="45" xfId="0" applyNumberFormat="1" applyFont="1" applyBorder="1" applyAlignment="1">
      <alignment horizontal="center" vertical="top"/>
    </xf>
    <xf numFmtId="164" fontId="6" fillId="6" borderId="0" xfId="0" applyNumberFormat="1" applyFont="1" applyFill="1" applyAlignment="1">
      <alignment horizontal="center" vertical="top" wrapText="1"/>
    </xf>
    <xf numFmtId="166" fontId="6" fillId="6" borderId="45" xfId="0" applyNumberFormat="1" applyFont="1" applyFill="1" applyBorder="1" applyAlignment="1">
      <alignment horizontal="center" vertical="top"/>
    </xf>
    <xf numFmtId="166" fontId="6" fillId="0" borderId="47" xfId="0" applyNumberFormat="1" applyFont="1" applyBorder="1" applyAlignment="1">
      <alignment horizontal="center" vertical="top"/>
    </xf>
    <xf numFmtId="0" fontId="18" fillId="0" borderId="0" xfId="0" applyFont="1" applyAlignment="1">
      <alignment vertical="top"/>
    </xf>
    <xf numFmtId="0" fontId="9" fillId="4" borderId="66" xfId="0" applyFont="1" applyFill="1" applyBorder="1" applyAlignment="1">
      <alignment vertical="top"/>
    </xf>
    <xf numFmtId="164" fontId="9" fillId="4" borderId="67" xfId="0" applyNumberFormat="1" applyFont="1" applyFill="1" applyBorder="1" applyAlignment="1">
      <alignment horizontal="center" vertical="top" wrapText="1"/>
    </xf>
    <xf numFmtId="166" fontId="9" fillId="4" borderId="68" xfId="0" applyNumberFormat="1" applyFont="1" applyFill="1" applyBorder="1" applyAlignment="1">
      <alignment horizontal="center" vertical="top"/>
    </xf>
    <xf numFmtId="0" fontId="6" fillId="6" borderId="0" xfId="0" applyFont="1" applyFill="1" applyAlignment="1">
      <alignment vertical="top"/>
    </xf>
    <xf numFmtId="0" fontId="6" fillId="0" borderId="24" xfId="0" applyFont="1" applyBorder="1" applyAlignment="1">
      <alignment horizontal="center" vertical="top" wrapText="1"/>
    </xf>
    <xf numFmtId="164" fontId="6" fillId="0" borderId="27" xfId="0" applyNumberFormat="1" applyFont="1" applyBorder="1" applyAlignment="1">
      <alignment horizontal="center" vertical="top" wrapText="1"/>
    </xf>
    <xf numFmtId="0" fontId="9" fillId="0" borderId="0" xfId="0" applyFont="1" applyAlignment="1">
      <alignment horizontal="center" vertical="top" wrapText="1"/>
    </xf>
    <xf numFmtId="164" fontId="6" fillId="0" borderId="48" xfId="0" applyNumberFormat="1" applyFont="1" applyBorder="1" applyAlignment="1">
      <alignment horizontal="center" vertical="top" wrapText="1"/>
    </xf>
    <xf numFmtId="164" fontId="6" fillId="0" borderId="25" xfId="0" applyNumberFormat="1" applyFont="1" applyBorder="1" applyAlignment="1">
      <alignment horizontal="center" vertical="top" wrapText="1"/>
    </xf>
    <xf numFmtId="164" fontId="6" fillId="0" borderId="28" xfId="0" applyNumberFormat="1" applyFont="1" applyBorder="1" applyAlignment="1">
      <alignment horizontal="center" vertical="top" wrapText="1"/>
    </xf>
    <xf numFmtId="164" fontId="6" fillId="0" borderId="49" xfId="0" applyNumberFormat="1" applyFont="1" applyBorder="1" applyAlignment="1">
      <alignment horizontal="center" vertical="top" wrapText="1"/>
    </xf>
    <xf numFmtId="164" fontId="6" fillId="0" borderId="30" xfId="0" applyNumberFormat="1" applyFont="1" applyBorder="1" applyAlignment="1">
      <alignment horizontal="center" vertical="top" wrapText="1"/>
    </xf>
    <xf numFmtId="0" fontId="38" fillId="0" borderId="0" xfId="0" applyFont="1" applyAlignment="1">
      <alignment horizontal="center" vertical="top" wrapText="1"/>
    </xf>
    <xf numFmtId="0" fontId="39" fillId="0" borderId="0" xfId="0" applyFont="1" applyAlignment="1">
      <alignment horizontal="center" vertical="top" wrapText="1"/>
    </xf>
    <xf numFmtId="0" fontId="6" fillId="0" borderId="0" xfId="0" quotePrefix="1" applyFont="1" applyAlignment="1">
      <alignment horizontal="center" vertical="top" wrapText="1"/>
    </xf>
    <xf numFmtId="0" fontId="6" fillId="0" borderId="29" xfId="0" applyFont="1" applyBorder="1" applyAlignment="1">
      <alignment horizontal="center" vertical="top" wrapText="1"/>
    </xf>
    <xf numFmtId="0" fontId="6" fillId="0" borderId="49" xfId="0" applyFont="1" applyBorder="1" applyAlignment="1">
      <alignment horizontal="center" vertical="top" wrapText="1"/>
    </xf>
    <xf numFmtId="0" fontId="33" fillId="0" borderId="37" xfId="0" applyFont="1" applyBorder="1" applyAlignment="1">
      <alignment horizontal="right" vertical="top" wrapText="1"/>
    </xf>
    <xf numFmtId="0" fontId="6" fillId="0" borderId="36" xfId="0" applyFont="1" applyBorder="1" applyAlignment="1">
      <alignment horizontal="center" vertical="top" wrapText="1"/>
    </xf>
    <xf numFmtId="0" fontId="6" fillId="0" borderId="31" xfId="0" applyFont="1" applyBorder="1" applyAlignment="1">
      <alignment horizontal="center" vertical="top" wrapText="1"/>
    </xf>
    <xf numFmtId="0" fontId="6" fillId="0" borderId="46" xfId="0" applyFont="1" applyBorder="1" applyAlignment="1">
      <alignment horizontal="center" vertical="top" wrapText="1"/>
    </xf>
    <xf numFmtId="0" fontId="32" fillId="0" borderId="37" xfId="0" applyFont="1" applyBorder="1" applyAlignment="1">
      <alignment horizontal="right" vertical="top" wrapText="1"/>
    </xf>
    <xf numFmtId="0" fontId="32" fillId="0" borderId="22" xfId="0" applyFont="1" applyBorder="1" applyAlignment="1">
      <alignment horizontal="right" vertical="top" wrapText="1"/>
    </xf>
    <xf numFmtId="0" fontId="6" fillId="0" borderId="47" xfId="0" applyFont="1" applyBorder="1" applyAlignment="1">
      <alignment horizontal="center" vertical="top" wrapText="1"/>
    </xf>
    <xf numFmtId="0" fontId="33" fillId="0" borderId="22" xfId="0" applyFont="1" applyBorder="1" applyAlignment="1">
      <alignment horizontal="right" vertical="top" wrapText="1"/>
    </xf>
    <xf numFmtId="0" fontId="6" fillId="0" borderId="24" xfId="0" applyFont="1" applyBorder="1" applyAlignment="1">
      <alignment horizontal="left" vertical="top" wrapText="1"/>
    </xf>
    <xf numFmtId="0" fontId="6" fillId="0" borderId="22" xfId="0" applyFont="1" applyBorder="1" applyAlignment="1">
      <alignment vertical="top" wrapText="1"/>
    </xf>
    <xf numFmtId="0" fontId="6" fillId="0" borderId="31" xfId="0" applyFont="1" applyBorder="1" applyAlignment="1">
      <alignment horizontal="left" vertical="top" wrapText="1"/>
    </xf>
    <xf numFmtId="0" fontId="0" fillId="0" borderId="27" xfId="0" applyBorder="1" applyAlignment="1">
      <alignment vertical="top"/>
    </xf>
    <xf numFmtId="0" fontId="32" fillId="0" borderId="0" xfId="0" applyFont="1" applyAlignment="1">
      <alignment horizontal="right" vertical="top" wrapText="1"/>
    </xf>
    <xf numFmtId="0" fontId="0" fillId="0" borderId="0" xfId="0" applyAlignment="1">
      <alignment horizontal="center" vertical="top" wrapText="1"/>
    </xf>
    <xf numFmtId="0" fontId="0" fillId="0" borderId="45" xfId="0" applyBorder="1" applyAlignment="1">
      <alignment horizontal="center" vertical="top" wrapText="1"/>
    </xf>
    <xf numFmtId="0" fontId="0" fillId="0" borderId="0" xfId="0" applyAlignment="1">
      <alignment vertical="top" wrapText="1"/>
    </xf>
    <xf numFmtId="0" fontId="15" fillId="0" borderId="0" xfId="0" applyFont="1" applyAlignment="1">
      <alignment vertical="top"/>
    </xf>
    <xf numFmtId="0" fontId="20" fillId="0" borderId="0" xfId="0" applyFont="1" applyAlignment="1">
      <alignment horizontal="center" vertical="top" wrapText="1"/>
    </xf>
    <xf numFmtId="0" fontId="21" fillId="0" borderId="0" xfId="0" applyFont="1" applyAlignment="1">
      <alignment horizontal="center" vertical="top" wrapText="1"/>
    </xf>
    <xf numFmtId="0" fontId="35" fillId="0" borderId="26" xfId="0" applyFont="1" applyBorder="1" applyAlignment="1">
      <alignment horizontal="center" vertical="top" wrapText="1"/>
    </xf>
    <xf numFmtId="0" fontId="36" fillId="0" borderId="0" xfId="0" applyFont="1" applyAlignment="1">
      <alignment horizontal="center" vertical="top" wrapText="1"/>
    </xf>
    <xf numFmtId="0" fontId="21" fillId="0" borderId="45" xfId="0" applyFont="1" applyBorder="1" applyAlignment="1">
      <alignment horizontal="center" vertical="top" wrapText="1"/>
    </xf>
    <xf numFmtId="0" fontId="21" fillId="0" borderId="26" xfId="0" applyFont="1" applyBorder="1" applyAlignment="1">
      <alignment horizontal="center" vertical="top" wrapText="1"/>
    </xf>
    <xf numFmtId="0" fontId="0" fillId="0" borderId="0" xfId="0" quotePrefix="1" applyAlignment="1">
      <alignment horizontal="center" vertical="top" wrapText="1"/>
    </xf>
    <xf numFmtId="164" fontId="6" fillId="0" borderId="45" xfId="0" applyNumberFormat="1" applyFont="1" applyBorder="1" applyAlignment="1">
      <alignment horizontal="center" vertical="top" wrapText="1"/>
    </xf>
    <xf numFmtId="0" fontId="9" fillId="0" borderId="0" xfId="0" applyFont="1" applyAlignment="1">
      <alignment vertical="top"/>
    </xf>
    <xf numFmtId="164" fontId="9" fillId="6" borderId="0" xfId="0" applyNumberFormat="1" applyFont="1" applyFill="1" applyAlignment="1">
      <alignment horizontal="center" vertical="top" wrapText="1"/>
    </xf>
    <xf numFmtId="0" fontId="6" fillId="0" borderId="22" xfId="0" applyFont="1" applyBorder="1" applyAlignment="1">
      <alignment horizontal="left" vertical="top"/>
    </xf>
    <xf numFmtId="164" fontId="6" fillId="0" borderId="32" xfId="0" applyNumberFormat="1" applyFont="1" applyBorder="1" applyAlignment="1">
      <alignment horizontal="center" vertical="top" wrapText="1"/>
    </xf>
    <xf numFmtId="0" fontId="6" fillId="6" borderId="50" xfId="0" applyFont="1" applyFill="1" applyBorder="1" applyAlignment="1">
      <alignment horizontal="center" vertical="top" wrapText="1"/>
    </xf>
    <xf numFmtId="0" fontId="6" fillId="0" borderId="25" xfId="0" applyFont="1" applyBorder="1" applyAlignment="1">
      <alignment horizontal="center" vertical="top" wrapText="1"/>
    </xf>
    <xf numFmtId="0" fontId="34" fillId="0" borderId="41" xfId="0" applyFont="1" applyBorder="1" applyAlignment="1">
      <alignment vertical="top" wrapText="1"/>
    </xf>
    <xf numFmtId="2" fontId="6" fillId="0" borderId="29" xfId="0" applyNumberFormat="1" applyFont="1" applyBorder="1" applyAlignment="1">
      <alignment horizontal="center" vertical="top" wrapText="1"/>
    </xf>
    <xf numFmtId="2" fontId="6" fillId="0" borderId="30" xfId="0" applyNumberFormat="1" applyFont="1" applyBorder="1" applyAlignment="1">
      <alignment horizontal="center" vertical="top" wrapText="1"/>
    </xf>
    <xf numFmtId="2" fontId="6" fillId="0" borderId="49" xfId="0" applyNumberFormat="1" applyFont="1" applyBorder="1" applyAlignment="1">
      <alignment horizontal="center" vertical="top" wrapText="1"/>
    </xf>
    <xf numFmtId="0" fontId="6" fillId="6" borderId="48" xfId="0" applyFont="1" applyFill="1" applyBorder="1" applyAlignment="1">
      <alignment horizontal="center" vertical="top" wrapText="1"/>
    </xf>
    <xf numFmtId="165" fontId="6" fillId="6" borderId="49" xfId="0" applyNumberFormat="1" applyFont="1" applyFill="1" applyBorder="1" applyAlignment="1">
      <alignment horizontal="center" vertical="top" wrapText="1"/>
    </xf>
    <xf numFmtId="0" fontId="23" fillId="0" borderId="28" xfId="0" applyFont="1" applyBorder="1" applyAlignment="1">
      <alignment vertical="top" wrapText="1"/>
    </xf>
    <xf numFmtId="0" fontId="9" fillId="0" borderId="0" xfId="0" applyFont="1" applyAlignment="1">
      <alignment vertical="top" wrapText="1"/>
    </xf>
    <xf numFmtId="164" fontId="6" fillId="0" borderId="24" xfId="0" applyNumberFormat="1" applyFont="1" applyBorder="1" applyAlignment="1">
      <alignment horizontal="center" vertical="top" wrapText="1"/>
    </xf>
    <xf numFmtId="0" fontId="23" fillId="0" borderId="28" xfId="0" applyFont="1" applyBorder="1" applyAlignment="1">
      <alignment vertical="top"/>
    </xf>
    <xf numFmtId="0" fontId="6" fillId="0" borderId="25" xfId="0" applyFont="1" applyBorder="1" applyAlignment="1">
      <alignment horizontal="left" vertical="top" indent="2"/>
    </xf>
    <xf numFmtId="0" fontId="6" fillId="6" borderId="32" xfId="0" applyFont="1" applyFill="1" applyBorder="1" applyAlignment="1">
      <alignment vertical="top"/>
    </xf>
    <xf numFmtId="0" fontId="6" fillId="6" borderId="32" xfId="0" applyFont="1" applyFill="1" applyBorder="1" applyAlignment="1">
      <alignment horizontal="center" vertical="top" wrapText="1"/>
    </xf>
    <xf numFmtId="0" fontId="6" fillId="6" borderId="0" xfId="0" applyFont="1" applyFill="1" applyAlignment="1">
      <alignment horizontal="center" vertical="top" wrapText="1"/>
    </xf>
    <xf numFmtId="0" fontId="6" fillId="6" borderId="39" xfId="0" applyFont="1" applyFill="1" applyBorder="1" applyAlignment="1">
      <alignment horizontal="center" vertical="top" wrapText="1"/>
    </xf>
    <xf numFmtId="0" fontId="16" fillId="6" borderId="0" xfId="0" applyFont="1" applyFill="1" applyAlignment="1">
      <alignment horizontal="center" vertical="top" wrapText="1"/>
    </xf>
    <xf numFmtId="0" fontId="6" fillId="6" borderId="39" xfId="0" applyFont="1" applyFill="1" applyBorder="1" applyAlignment="1">
      <alignment vertical="top" wrapText="1"/>
    </xf>
    <xf numFmtId="0" fontId="16" fillId="6" borderId="39" xfId="0" applyFont="1" applyFill="1" applyBorder="1" applyAlignment="1">
      <alignment horizontal="center" vertical="top" wrapText="1"/>
    </xf>
    <xf numFmtId="0" fontId="6" fillId="6" borderId="32" xfId="0" applyFont="1" applyFill="1" applyBorder="1" applyAlignment="1">
      <alignment vertical="top" wrapText="1"/>
    </xf>
    <xf numFmtId="164" fontId="6" fillId="6" borderId="32" xfId="0" applyNumberFormat="1" applyFont="1" applyFill="1" applyBorder="1" applyAlignment="1">
      <alignment horizontal="center" vertical="top" wrapText="1"/>
    </xf>
    <xf numFmtId="164" fontId="6" fillId="6" borderId="49" xfId="0" applyNumberFormat="1" applyFont="1" applyFill="1" applyBorder="1" applyAlignment="1">
      <alignment horizontal="center" vertical="top" wrapText="1"/>
    </xf>
    <xf numFmtId="0" fontId="6" fillId="6" borderId="39" xfId="0" applyFont="1" applyFill="1" applyBorder="1" applyAlignment="1">
      <alignment vertical="top"/>
    </xf>
    <xf numFmtId="0" fontId="9" fillId="6" borderId="39" xfId="0" applyFont="1" applyFill="1" applyBorder="1" applyAlignment="1">
      <alignment horizontal="center" vertical="top" wrapText="1"/>
    </xf>
    <xf numFmtId="0" fontId="6" fillId="0" borderId="25" xfId="0" applyFont="1" applyBorder="1" applyAlignment="1">
      <alignment horizontal="left" vertical="top"/>
    </xf>
    <xf numFmtId="0" fontId="6" fillId="0" borderId="0" xfId="0" applyFont="1" applyAlignment="1">
      <alignment horizontal="center" vertical="top"/>
    </xf>
    <xf numFmtId="0" fontId="6" fillId="0" borderId="45" xfId="0" applyFont="1" applyBorder="1" applyAlignment="1">
      <alignment horizontal="center" vertical="top"/>
    </xf>
    <xf numFmtId="0" fontId="37" fillId="0" borderId="0" xfId="0" applyFont="1" applyAlignment="1">
      <alignment horizontal="center" vertical="top"/>
    </xf>
    <xf numFmtId="0" fontId="23" fillId="0" borderId="25" xfId="0" applyFont="1" applyBorder="1" applyAlignment="1">
      <alignment horizontal="left" vertical="top" wrapText="1"/>
    </xf>
    <xf numFmtId="0" fontId="23" fillId="0" borderId="26" xfId="0" applyFont="1" applyBorder="1" applyAlignment="1">
      <alignment horizontal="left" vertical="top" wrapText="1"/>
    </xf>
    <xf numFmtId="0" fontId="23" fillId="0" borderId="26" xfId="0" applyFont="1" applyBorder="1" applyAlignment="1">
      <alignment horizontal="center" vertical="top" wrapText="1"/>
    </xf>
    <xf numFmtId="164" fontId="23" fillId="0" borderId="26" xfId="0" applyNumberFormat="1" applyFont="1" applyBorder="1" applyAlignment="1">
      <alignment horizontal="center" vertical="top" wrapText="1"/>
    </xf>
    <xf numFmtId="164" fontId="23" fillId="0" borderId="27" xfId="0" applyNumberFormat="1" applyFont="1" applyBorder="1" applyAlignment="1">
      <alignment horizontal="center" vertical="top" wrapText="1"/>
    </xf>
    <xf numFmtId="0" fontId="6" fillId="0" borderId="28" xfId="0" applyFont="1" applyBorder="1" applyAlignment="1">
      <alignment horizontal="left" vertical="top"/>
    </xf>
    <xf numFmtId="0" fontId="0" fillId="0" borderId="45" xfId="0" applyBorder="1" applyAlignment="1">
      <alignment vertical="top"/>
    </xf>
    <xf numFmtId="0" fontId="19" fillId="0" borderId="0" xfId="0" applyFont="1" applyAlignment="1">
      <alignment vertical="top"/>
    </xf>
    <xf numFmtId="0" fontId="36" fillId="0" borderId="45" xfId="0" applyFont="1" applyBorder="1" applyAlignment="1">
      <alignment vertical="top"/>
    </xf>
    <xf numFmtId="0" fontId="36" fillId="0" borderId="0" xfId="0" applyFont="1" applyAlignment="1">
      <alignment vertical="top"/>
    </xf>
    <xf numFmtId="0" fontId="40" fillId="3" borderId="22" xfId="0" applyFont="1" applyFill="1" applyBorder="1" applyAlignment="1">
      <alignment horizontal="center" vertical="top" wrapText="1"/>
    </xf>
    <xf numFmtId="0" fontId="40" fillId="3" borderId="23" xfId="0" applyFont="1" applyFill="1" applyBorder="1" applyAlignment="1">
      <alignment horizontal="center" vertical="top" wrapText="1"/>
    </xf>
    <xf numFmtId="0" fontId="40" fillId="3" borderId="47" xfId="0" applyFont="1" applyFill="1" applyBorder="1" applyAlignment="1">
      <alignment horizontal="center" vertical="top" wrapText="1"/>
    </xf>
    <xf numFmtId="6" fontId="6" fillId="0" borderId="27" xfId="0" applyNumberFormat="1" applyFont="1" applyBorder="1" applyAlignment="1">
      <alignment horizontal="left" vertical="top" wrapText="1"/>
    </xf>
    <xf numFmtId="6" fontId="6" fillId="0" borderId="25" xfId="0" applyNumberFormat="1"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28" xfId="0" applyNumberFormat="1" applyFont="1" applyBorder="1" applyAlignment="1">
      <alignment vertical="top" wrapText="1"/>
    </xf>
    <xf numFmtId="6" fontId="6" fillId="0" borderId="37" xfId="0" applyNumberFormat="1" applyFont="1" applyBorder="1" applyAlignment="1">
      <alignment horizontal="left" vertical="top" wrapText="1"/>
    </xf>
    <xf numFmtId="6" fontId="6" fillId="0" borderId="25" xfId="0" applyNumberFormat="1" applyFont="1" applyBorder="1" applyAlignment="1">
      <alignment vertical="top" wrapText="1"/>
    </xf>
    <xf numFmtId="6" fontId="6" fillId="0" borderId="22" xfId="0" applyNumberFormat="1" applyFont="1" applyBorder="1" applyAlignment="1">
      <alignment horizontal="left" vertical="top" wrapText="1"/>
    </xf>
    <xf numFmtId="6" fontId="6" fillId="0" borderId="22" xfId="0" applyNumberFormat="1" applyFont="1" applyBorder="1" applyAlignment="1">
      <alignment vertical="top" wrapText="1"/>
    </xf>
    <xf numFmtId="8" fontId="9" fillId="0" borderId="52" xfId="0" applyNumberFormat="1" applyFont="1" applyBorder="1" applyAlignment="1">
      <alignment horizontal="left" vertical="top" wrapText="1"/>
    </xf>
    <xf numFmtId="0" fontId="6" fillId="0" borderId="38" xfId="0" applyFont="1" applyBorder="1" applyAlignment="1">
      <alignment horizontal="center"/>
    </xf>
    <xf numFmtId="0" fontId="9" fillId="0" borderId="27" xfId="0" applyFont="1" applyBorder="1" applyAlignment="1">
      <alignment horizontal="center"/>
    </xf>
    <xf numFmtId="0" fontId="9" fillId="0" borderId="27" xfId="0" applyFont="1" applyBorder="1" applyAlignment="1">
      <alignment horizontal="center" vertical="center"/>
    </xf>
    <xf numFmtId="0" fontId="9" fillId="0" borderId="62" xfId="0" applyFont="1" applyBorder="1" applyAlignment="1">
      <alignment horizontal="center" vertical="center"/>
    </xf>
    <xf numFmtId="0" fontId="9" fillId="0" borderId="63" xfId="0" applyFont="1" applyBorder="1" applyAlignment="1">
      <alignment horizontal="center" vertical="center"/>
    </xf>
    <xf numFmtId="0" fontId="9" fillId="0" borderId="64" xfId="0" applyFont="1" applyBorder="1" applyAlignment="1">
      <alignment horizontal="center" vertical="center"/>
    </xf>
    <xf numFmtId="0" fontId="9" fillId="0" borderId="25" xfId="0" applyFont="1" applyBorder="1" applyAlignment="1">
      <alignment vertical="top"/>
    </xf>
    <xf numFmtId="0" fontId="9" fillId="0" borderId="26" xfId="0" applyFont="1" applyBorder="1" applyAlignment="1">
      <alignment horizontal="center" vertical="top" wrapText="1"/>
    </xf>
    <xf numFmtId="0" fontId="9" fillId="0" borderId="27" xfId="0" applyFont="1" applyBorder="1" applyAlignment="1">
      <alignment horizontal="center" vertical="top" wrapText="1"/>
    </xf>
    <xf numFmtId="0" fontId="9" fillId="0" borderId="48" xfId="0" applyFont="1" applyBorder="1" applyAlignment="1">
      <alignment horizontal="center" vertical="top" wrapText="1"/>
    </xf>
    <xf numFmtId="0" fontId="9" fillId="0" borderId="27" xfId="0" applyFont="1" applyBorder="1" applyAlignment="1">
      <alignment horizontal="left" vertical="top" wrapText="1"/>
    </xf>
    <xf numFmtId="0" fontId="9" fillId="0" borderId="25" xfId="0" applyFont="1" applyBorder="1" applyAlignment="1">
      <alignment vertical="top" wrapText="1"/>
    </xf>
    <xf numFmtId="164" fontId="9" fillId="6" borderId="32" xfId="0" applyNumberFormat="1" applyFont="1" applyFill="1" applyBorder="1" applyAlignment="1">
      <alignment horizontal="center" vertical="top" wrapText="1"/>
    </xf>
    <xf numFmtId="0" fontId="6" fillId="0" borderId="37" xfId="0" applyFont="1" applyBorder="1" applyAlignment="1">
      <alignment horizontal="center" vertical="top" wrapText="1"/>
    </xf>
    <xf numFmtId="164" fontId="6" fillId="6" borderId="51" xfId="0" applyNumberFormat="1" applyFont="1" applyFill="1" applyBorder="1" applyAlignment="1">
      <alignment horizontal="center" vertical="top" wrapText="1"/>
    </xf>
    <xf numFmtId="0" fontId="6" fillId="0" borderId="26" xfId="0" applyFont="1" applyBorder="1" applyAlignment="1">
      <alignmen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6" xfId="0" applyFont="1" applyBorder="1" applyAlignment="1">
      <alignment vertical="top" wrapText="1"/>
    </xf>
    <xf numFmtId="0" fontId="6" fillId="0" borderId="48" xfId="0" applyFont="1" applyBorder="1" applyAlignment="1">
      <alignment vertical="top"/>
    </xf>
    <xf numFmtId="0" fontId="9" fillId="0" borderId="48" xfId="0" applyFont="1" applyBorder="1" applyAlignment="1">
      <alignment horizontal="left" vertical="top"/>
    </xf>
    <xf numFmtId="0" fontId="9" fillId="0" borderId="25" xfId="0" applyFont="1" applyBorder="1" applyAlignment="1">
      <alignment horizontal="center" wrapText="1"/>
    </xf>
    <xf numFmtId="0" fontId="9" fillId="0" borderId="48" xfId="0" applyFont="1" applyBorder="1" applyAlignment="1">
      <alignment horizontal="center"/>
    </xf>
    <xf numFmtId="0" fontId="9" fillId="0" borderId="62" xfId="0" applyFont="1" applyBorder="1" applyAlignment="1">
      <alignment horizontal="center"/>
    </xf>
    <xf numFmtId="0" fontId="9" fillId="0" borderId="64" xfId="0" applyFont="1" applyBorder="1" applyAlignment="1">
      <alignment horizontal="center"/>
    </xf>
    <xf numFmtId="0" fontId="21" fillId="0" borderId="97" xfId="0" applyFont="1" applyBorder="1" applyAlignment="1">
      <alignment horizontal="center" vertical="center" wrapText="1"/>
    </xf>
    <xf numFmtId="0" fontId="2" fillId="0" borderId="21" xfId="0" applyFont="1" applyBorder="1" applyAlignment="1">
      <alignment vertical="center" wrapText="1"/>
    </xf>
    <xf numFmtId="0" fontId="2" fillId="0" borderId="0" xfId="0" applyFont="1" applyAlignment="1">
      <alignment vertical="center" wrapText="1"/>
    </xf>
    <xf numFmtId="6" fontId="6" fillId="0" borderId="30" xfId="0" applyNumberFormat="1" applyFont="1" applyBorder="1" applyAlignment="1">
      <alignment vertical="top" wrapText="1"/>
    </xf>
    <xf numFmtId="6" fontId="6" fillId="0" borderId="31" xfId="0" applyNumberFormat="1" applyFont="1" applyBorder="1" applyAlignment="1">
      <alignment vertical="top" wrapText="1"/>
    </xf>
    <xf numFmtId="6" fontId="6" fillId="0" borderId="24" xfId="0" applyNumberFormat="1" applyFont="1" applyBorder="1" applyAlignment="1">
      <alignment vertical="top" wrapText="1"/>
    </xf>
    <xf numFmtId="6" fontId="6" fillId="0" borderId="37" xfId="0" applyNumberFormat="1" applyFont="1" applyBorder="1" applyAlignment="1">
      <alignment vertical="top" wrapText="1"/>
    </xf>
    <xf numFmtId="6" fontId="6" fillId="0" borderId="39" xfId="0" applyNumberFormat="1" applyFont="1" applyBorder="1" applyAlignment="1">
      <alignment vertical="top" wrapText="1"/>
    </xf>
    <xf numFmtId="6" fontId="6" fillId="0" borderId="27" xfId="0" applyNumberFormat="1" applyFont="1" applyBorder="1" applyAlignment="1">
      <alignment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6" fontId="23" fillId="0" borderId="28" xfId="0" applyNumberFormat="1" applyFont="1" applyBorder="1" applyAlignment="1">
      <alignment vertical="top" wrapText="1"/>
    </xf>
    <xf numFmtId="6" fontId="23" fillId="0" borderId="37" xfId="0" applyNumberFormat="1" applyFont="1" applyBorder="1" applyAlignment="1">
      <alignment vertical="top" wrapText="1"/>
    </xf>
    <xf numFmtId="6" fontId="23" fillId="0" borderId="22" xfId="0" applyNumberFormat="1" applyFont="1" applyBorder="1" applyAlignment="1">
      <alignment vertical="top" wrapText="1"/>
    </xf>
    <xf numFmtId="6" fontId="6" fillId="0" borderId="26" xfId="0" applyNumberFormat="1" applyFont="1" applyBorder="1" applyAlignment="1">
      <alignment horizontal="left" vertical="top" wrapText="1"/>
    </xf>
    <xf numFmtId="0" fontId="23" fillId="0" borderId="27" xfId="0" applyFont="1" applyBorder="1" applyAlignment="1">
      <alignment horizontal="center" vertical="top" wrapText="1"/>
    </xf>
    <xf numFmtId="0" fontId="9" fillId="6" borderId="32" xfId="0" applyFont="1" applyFill="1" applyBorder="1" applyAlignment="1">
      <alignment vertical="top"/>
    </xf>
    <xf numFmtId="0" fontId="9" fillId="6" borderId="32" xfId="0" applyFont="1" applyFill="1" applyBorder="1" applyAlignment="1">
      <alignment vertical="top" wrapText="1"/>
    </xf>
    <xf numFmtId="0" fontId="31" fillId="6" borderId="32" xfId="0" applyFont="1" applyFill="1" applyBorder="1" applyAlignment="1">
      <alignment vertical="top" wrapText="1"/>
    </xf>
    <xf numFmtId="164" fontId="6" fillId="6" borderId="50" xfId="0" applyNumberFormat="1" applyFont="1" applyFill="1" applyBorder="1" applyAlignment="1">
      <alignment horizontal="center" vertical="top" wrapText="1"/>
    </xf>
    <xf numFmtId="0" fontId="6" fillId="0" borderId="39" xfId="0" applyFont="1" applyBorder="1" applyAlignment="1">
      <alignment horizontal="left" vertical="top" wrapText="1"/>
    </xf>
    <xf numFmtId="170" fontId="6" fillId="0" borderId="0" xfId="0" applyNumberFormat="1" applyFont="1" applyAlignment="1">
      <alignment horizontal="right" vertical="center" wrapText="1"/>
    </xf>
    <xf numFmtId="0" fontId="9" fillId="0" borderId="27" xfId="0" applyFont="1" applyBorder="1" applyAlignment="1">
      <alignment vertical="top" wrapText="1"/>
    </xf>
    <xf numFmtId="0" fontId="9" fillId="6" borderId="32" xfId="0" applyFont="1" applyFill="1" applyBorder="1" applyAlignment="1">
      <alignment horizontal="left" vertical="top" wrapText="1"/>
    </xf>
    <xf numFmtId="0" fontId="6" fillId="0" borderId="0" xfId="0" applyFont="1" applyAlignment="1">
      <alignment horizontal="left" vertical="center" wrapText="1"/>
    </xf>
    <xf numFmtId="0" fontId="6" fillId="0" borderId="0" xfId="0" quotePrefix="1" applyFont="1" applyAlignment="1">
      <alignment horizontal="left" vertical="center" indent="5"/>
    </xf>
    <xf numFmtId="0" fontId="6" fillId="0" borderId="0" xfId="0" applyFont="1" applyAlignment="1">
      <alignment horizontal="left" indent="5"/>
    </xf>
    <xf numFmtId="0" fontId="6" fillId="0" borderId="0" xfId="0" applyFont="1" applyAlignment="1">
      <alignment horizontal="left" vertical="center" wrapText="1" indent="2"/>
    </xf>
    <xf numFmtId="0" fontId="0" fillId="0" borderId="0" xfId="0" applyAlignment="1">
      <alignment wrapText="1"/>
    </xf>
    <xf numFmtId="0" fontId="22" fillId="0" borderId="0" xfId="0" applyFont="1" applyAlignment="1">
      <alignment wrapText="1"/>
    </xf>
    <xf numFmtId="0" fontId="0" fillId="0" borderId="35" xfId="0" applyBorder="1"/>
    <xf numFmtId="0" fontId="23" fillId="6" borderId="32" xfId="0" applyFont="1" applyFill="1" applyBorder="1" applyAlignment="1">
      <alignment vertical="top" wrapText="1"/>
    </xf>
    <xf numFmtId="0" fontId="6" fillId="6" borderId="32" xfId="0" applyFont="1" applyFill="1" applyBorder="1" applyAlignment="1">
      <alignment horizontal="left" vertical="top" wrapText="1"/>
    </xf>
    <xf numFmtId="0" fontId="9" fillId="0" borderId="27" xfId="0" applyFont="1" applyBorder="1" applyAlignment="1">
      <alignment horizontal="center" wrapText="1"/>
    </xf>
    <xf numFmtId="0" fontId="17" fillId="0" borderId="0" xfId="0" applyFont="1"/>
    <xf numFmtId="0" fontId="23" fillId="0" borderId="0" xfId="0" applyFont="1" applyAlignment="1">
      <alignment horizontal="center" vertical="top" wrapText="1"/>
    </xf>
    <xf numFmtId="0" fontId="23" fillId="0" borderId="48" xfId="0" applyFont="1" applyBorder="1" applyAlignment="1">
      <alignment horizontal="center" vertical="top" wrapText="1"/>
    </xf>
    <xf numFmtId="0" fontId="6" fillId="0" borderId="37" xfId="0" applyFont="1" applyBorder="1" applyAlignment="1">
      <alignment vertical="top" wrapText="1"/>
    </xf>
    <xf numFmtId="0" fontId="6" fillId="0" borderId="37" xfId="0" quotePrefix="1" applyFont="1" applyBorder="1" applyAlignment="1">
      <alignment vertical="top" wrapText="1"/>
    </xf>
    <xf numFmtId="0" fontId="6" fillId="0" borderId="99" xfId="0" applyFont="1" applyBorder="1" applyAlignment="1">
      <alignment horizontal="left" vertical="top" wrapText="1"/>
    </xf>
    <xf numFmtId="0" fontId="6" fillId="0" borderId="101" xfId="0" applyFont="1" applyBorder="1" applyAlignment="1">
      <alignment horizontal="center" vertical="top" wrapText="1"/>
    </xf>
    <xf numFmtId="0" fontId="6" fillId="0" borderId="101" xfId="0" applyFont="1" applyBorder="1" applyAlignment="1">
      <alignment horizontal="left" vertical="top" wrapText="1"/>
    </xf>
    <xf numFmtId="0" fontId="0" fillId="0" borderId="102" xfId="0" applyBorder="1" applyAlignment="1">
      <alignment vertical="top"/>
    </xf>
    <xf numFmtId="0" fontId="0" fillId="0" borderId="37" xfId="0" applyBorder="1" applyAlignment="1">
      <alignment vertical="top"/>
    </xf>
    <xf numFmtId="0" fontId="6" fillId="0" borderId="22" xfId="0" quotePrefix="1" applyFont="1" applyBorder="1" applyAlignment="1">
      <alignment vertical="top" wrapText="1"/>
    </xf>
    <xf numFmtId="0" fontId="34" fillId="0" borderId="103" xfId="0" applyFont="1" applyBorder="1" applyAlignment="1">
      <alignment vertical="top" wrapText="1"/>
    </xf>
    <xf numFmtId="0" fontId="6" fillId="0" borderId="28" xfId="0" applyFont="1" applyBorder="1" applyAlignment="1">
      <alignment horizontal="center" vertical="top" wrapText="1"/>
    </xf>
    <xf numFmtId="0" fontId="61" fillId="0" borderId="104" xfId="0" applyFont="1" applyBorder="1" applyAlignment="1">
      <alignment horizontal="right" vertical="top" wrapText="1"/>
    </xf>
    <xf numFmtId="0" fontId="61" fillId="0" borderId="41" xfId="0" applyFont="1" applyBorder="1" applyAlignment="1">
      <alignment horizontal="right" vertical="top" wrapText="1"/>
    </xf>
    <xf numFmtId="0" fontId="6" fillId="0" borderId="22" xfId="0" applyFont="1" applyBorder="1" applyAlignment="1">
      <alignment horizontal="center" vertical="top" wrapText="1"/>
    </xf>
    <xf numFmtId="0" fontId="34" fillId="0" borderId="104" xfId="0" applyFont="1" applyBorder="1" applyAlignment="1">
      <alignment vertical="top" wrapText="1"/>
    </xf>
    <xf numFmtId="0" fontId="6" fillId="0" borderId="22" xfId="0" applyFont="1" applyBorder="1" applyAlignment="1">
      <alignment horizontal="right" vertical="top" wrapText="1"/>
    </xf>
    <xf numFmtId="0" fontId="6" fillId="0" borderId="37" xfId="0" applyFont="1" applyBorder="1" applyAlignment="1">
      <alignment horizontal="right" vertical="top" wrapText="1"/>
    </xf>
    <xf numFmtId="0" fontId="32" fillId="2" borderId="22" xfId="0" applyFont="1" applyFill="1" applyBorder="1" applyAlignment="1">
      <alignment horizontal="right" vertical="top" wrapText="1"/>
    </xf>
    <xf numFmtId="0" fontId="16" fillId="0" borderId="37" xfId="0" applyFont="1" applyBorder="1" applyAlignment="1">
      <alignment horizontal="right" vertical="top" wrapText="1"/>
    </xf>
    <xf numFmtId="165" fontId="6" fillId="0" borderId="36" xfId="0" applyNumberFormat="1" applyFont="1" applyBorder="1" applyAlignment="1">
      <alignment horizontal="center" vertical="top" wrapText="1"/>
    </xf>
    <xf numFmtId="165" fontId="6" fillId="0" borderId="31" xfId="0" applyNumberFormat="1" applyFont="1" applyBorder="1" applyAlignment="1">
      <alignment horizontal="center" vertical="top" wrapText="1"/>
    </xf>
    <xf numFmtId="165" fontId="6" fillId="0" borderId="46" xfId="0" applyNumberFormat="1" applyFont="1" applyBorder="1" applyAlignment="1">
      <alignment horizontal="center" vertical="top" wrapText="1"/>
    </xf>
    <xf numFmtId="164" fontId="6" fillId="0" borderId="36" xfId="0" applyNumberFormat="1" applyFont="1" applyBorder="1" applyAlignment="1">
      <alignment horizontal="center" vertical="top" wrapText="1"/>
    </xf>
    <xf numFmtId="164" fontId="6" fillId="0" borderId="31" xfId="0" applyNumberFormat="1" applyFont="1" applyBorder="1" applyAlignment="1">
      <alignment horizontal="center" vertical="top" wrapText="1"/>
    </xf>
    <xf numFmtId="164" fontId="6" fillId="0" borderId="46" xfId="0" applyNumberFormat="1" applyFont="1" applyBorder="1" applyAlignment="1">
      <alignment horizontal="center" vertical="top" wrapText="1"/>
    </xf>
    <xf numFmtId="164" fontId="6" fillId="0" borderId="23" xfId="0" applyNumberFormat="1" applyFont="1" applyBorder="1" applyAlignment="1">
      <alignment horizontal="center" vertical="top" wrapText="1"/>
    </xf>
    <xf numFmtId="164" fontId="6" fillId="0" borderId="47" xfId="0" applyNumberFormat="1" applyFont="1" applyBorder="1" applyAlignment="1">
      <alignment horizontal="center" vertical="top" wrapText="1"/>
    </xf>
    <xf numFmtId="165" fontId="6" fillId="6" borderId="50" xfId="0" applyNumberFormat="1" applyFont="1" applyFill="1" applyBorder="1" applyAlignment="1">
      <alignment horizontal="center" vertical="top" wrapText="1"/>
    </xf>
    <xf numFmtId="0" fontId="62" fillId="0" borderId="0" xfId="0" applyFont="1" applyAlignment="1">
      <alignment vertical="top" wrapText="1"/>
    </xf>
    <xf numFmtId="0" fontId="8" fillId="0" borderId="7" xfId="0" applyFont="1" applyBorder="1" applyAlignment="1">
      <alignment horizontal="left"/>
    </xf>
    <xf numFmtId="14" fontId="0" fillId="0" borderId="9" xfId="0" applyNumberFormat="1" applyBorder="1" applyAlignment="1">
      <alignment horizontal="left"/>
    </xf>
    <xf numFmtId="164" fontId="8" fillId="4" borderId="5" xfId="0" applyNumberFormat="1" applyFont="1" applyFill="1" applyBorder="1" applyAlignment="1">
      <alignment horizontal="left" vertical="center" wrapText="1"/>
    </xf>
    <xf numFmtId="0" fontId="0" fillId="4" borderId="8" xfId="0" applyFill="1" applyBorder="1" applyAlignment="1">
      <alignment horizontal="left"/>
    </xf>
    <xf numFmtId="14" fontId="6" fillId="0" borderId="27" xfId="0" applyNumberFormat="1" applyFont="1" applyBorder="1" applyAlignment="1">
      <alignment horizontal="center" vertical="top" wrapText="1"/>
    </xf>
    <xf numFmtId="0" fontId="9" fillId="6" borderId="50" xfId="0" applyFont="1" applyFill="1" applyBorder="1" applyAlignment="1">
      <alignment horizontal="center" vertical="top" wrapText="1"/>
    </xf>
    <xf numFmtId="0" fontId="13" fillId="0" borderId="0" xfId="0" applyFont="1" applyAlignment="1">
      <alignment horizontal="left" wrapText="1"/>
    </xf>
    <xf numFmtId="0" fontId="12" fillId="4" borderId="9" xfId="0" applyFont="1" applyFill="1" applyBorder="1" applyAlignment="1">
      <alignment horizontal="center" vertical="center" wrapText="1"/>
    </xf>
    <xf numFmtId="0" fontId="6" fillId="0" borderId="37" xfId="0" applyFont="1" applyBorder="1" applyAlignment="1">
      <alignment wrapText="1"/>
    </xf>
    <xf numFmtId="0" fontId="16" fillId="0" borderId="37" xfId="0" applyFont="1" applyBorder="1" applyAlignment="1">
      <alignment horizontal="right" wrapText="1"/>
    </xf>
    <xf numFmtId="0" fontId="32" fillId="0" borderId="37" xfId="0" applyFont="1" applyBorder="1" applyAlignment="1">
      <alignment horizontal="right" wrapText="1"/>
    </xf>
    <xf numFmtId="0" fontId="11" fillId="0" borderId="7" xfId="0" applyFont="1" applyBorder="1" applyAlignment="1">
      <alignment horizontal="center" vertical="center" wrapText="1"/>
    </xf>
    <xf numFmtId="0" fontId="11" fillId="0" borderId="19" xfId="0" applyFont="1" applyBorder="1" applyAlignment="1">
      <alignment horizontal="right" vertical="center" wrapText="1"/>
    </xf>
    <xf numFmtId="0" fontId="11" fillId="0" borderId="42" xfId="0" applyFont="1" applyBorder="1" applyAlignment="1">
      <alignment horizontal="right" vertical="center" wrapText="1"/>
    </xf>
    <xf numFmtId="164" fontId="0" fillId="4" borderId="6" xfId="0" applyNumberFormat="1" applyFill="1" applyBorder="1" applyAlignment="1">
      <alignment horizontal="center" wrapText="1"/>
    </xf>
    <xf numFmtId="0" fontId="63" fillId="0" borderId="0" xfId="0" applyFont="1" applyAlignment="1">
      <alignment vertical="center" wrapText="1"/>
    </xf>
    <xf numFmtId="0" fontId="39" fillId="0" borderId="0" xfId="0" applyFont="1" applyAlignment="1">
      <alignment horizontal="left" vertical="top" wrapText="1"/>
    </xf>
    <xf numFmtId="0" fontId="6" fillId="0" borderId="45" xfId="0" applyFont="1" applyBorder="1" applyAlignment="1">
      <alignment horizontal="left" vertical="top" wrapText="1"/>
    </xf>
    <xf numFmtId="0" fontId="9" fillId="0" borderId="23" xfId="0" applyFont="1" applyBorder="1" applyAlignment="1">
      <alignment horizontal="center" vertical="top" wrapText="1"/>
    </xf>
    <xf numFmtId="0" fontId="9" fillId="0" borderId="47" xfId="0" applyFont="1" applyBorder="1" applyAlignment="1">
      <alignment horizontal="center" vertical="top" wrapText="1"/>
    </xf>
    <xf numFmtId="164" fontId="8" fillId="0" borderId="42" xfId="0" applyNumberFormat="1" applyFont="1" applyBorder="1" applyAlignment="1">
      <alignment horizontal="center" vertical="center" wrapText="1"/>
    </xf>
    <xf numFmtId="0" fontId="32" fillId="0" borderId="37" xfId="0" applyFont="1" applyBorder="1" applyAlignment="1">
      <alignment horizontal="right" vertical="top"/>
    </xf>
    <xf numFmtId="0" fontId="32" fillId="0" borderId="22" xfId="0" applyFont="1" applyBorder="1" applyAlignment="1">
      <alignment horizontal="right" vertical="top"/>
    </xf>
    <xf numFmtId="164" fontId="0" fillId="4" borderId="43" xfId="0" applyNumberFormat="1" applyFill="1" applyBorder="1" applyAlignment="1">
      <alignment horizontal="center"/>
    </xf>
    <xf numFmtId="0" fontId="8" fillId="0" borderId="44" xfId="0" applyFont="1" applyBorder="1" applyAlignment="1">
      <alignment horizontal="right" vertical="center" wrapText="1"/>
    </xf>
    <xf numFmtId="0" fontId="8" fillId="0" borderId="4" xfId="0" applyFont="1" applyBorder="1" applyAlignment="1">
      <alignment horizontal="right" vertical="center" wrapText="1"/>
    </xf>
    <xf numFmtId="0" fontId="64" fillId="0" borderId="44" xfId="0" applyFont="1" applyBorder="1" applyAlignment="1">
      <alignment horizontal="left" vertical="center" wrapText="1"/>
    </xf>
    <xf numFmtId="164" fontId="8" fillId="15" borderId="5" xfId="0" applyNumberFormat="1" applyFont="1" applyFill="1" applyBorder="1" applyAlignment="1">
      <alignment horizontal="center" vertical="center" wrapText="1"/>
    </xf>
    <xf numFmtId="0" fontId="32" fillId="0" borderId="37" xfId="0" quotePrefix="1" applyFont="1" applyBorder="1" applyAlignment="1">
      <alignment horizontal="right" vertical="top" wrapText="1"/>
    </xf>
    <xf numFmtId="0" fontId="6" fillId="0" borderId="28" xfId="0" applyFont="1" applyBorder="1" applyAlignment="1">
      <alignment vertical="center" wrapText="1"/>
    </xf>
    <xf numFmtId="0" fontId="6" fillId="6" borderId="25" xfId="0" applyFont="1" applyFill="1" applyBorder="1" applyAlignment="1">
      <alignment vertical="top"/>
    </xf>
    <xf numFmtId="0" fontId="8" fillId="0" borderId="42" xfId="0" applyFont="1" applyBorder="1" applyAlignment="1">
      <alignment horizontal="center" vertical="center" wrapText="1"/>
    </xf>
    <xf numFmtId="166" fontId="0" fillId="0" borderId="42" xfId="0" applyNumberFormat="1" applyBorder="1" applyAlignment="1">
      <alignment horizontal="center"/>
    </xf>
    <xf numFmtId="0" fontId="0" fillId="0" borderId="42" xfId="0" applyBorder="1" applyAlignment="1">
      <alignment horizontal="center"/>
    </xf>
    <xf numFmtId="164" fontId="0" fillId="0" borderId="42" xfId="0" applyNumberFormat="1" applyBorder="1" applyAlignment="1">
      <alignment horizontal="center"/>
    </xf>
    <xf numFmtId="164" fontId="0" fillId="0" borderId="43" xfId="0" applyNumberFormat="1" applyBorder="1" applyAlignment="1">
      <alignment horizontal="center"/>
    </xf>
    <xf numFmtId="164" fontId="0" fillId="4" borderId="42" xfId="0" applyNumberFormat="1" applyFill="1" applyBorder="1" applyAlignment="1">
      <alignment horizontal="center" vertical="center"/>
    </xf>
    <xf numFmtId="164" fontId="0" fillId="4" borderId="43" xfId="0" applyNumberFormat="1" applyFill="1" applyBorder="1" applyAlignment="1">
      <alignment horizontal="center" vertical="center"/>
    </xf>
    <xf numFmtId="164" fontId="8" fillId="2" borderId="42" xfId="0" applyNumberFormat="1" applyFont="1" applyFill="1" applyBorder="1" applyAlignment="1">
      <alignment horizontal="center" vertical="center" wrapText="1"/>
    </xf>
    <xf numFmtId="164" fontId="0" fillId="2" borderId="42" xfId="0" applyNumberFormat="1" applyFill="1" applyBorder="1" applyAlignment="1">
      <alignment horizontal="center" vertical="center"/>
    </xf>
    <xf numFmtId="164" fontId="0" fillId="2" borderId="43" xfId="0" applyNumberFormat="1" applyFill="1" applyBorder="1" applyAlignment="1">
      <alignment horizontal="center" vertical="center"/>
    </xf>
    <xf numFmtId="0" fontId="6" fillId="0" borderId="31" xfId="0" applyFont="1" applyBorder="1" applyAlignment="1">
      <alignment horizontal="left" vertical="top"/>
    </xf>
    <xf numFmtId="0" fontId="6" fillId="2" borderId="28" xfId="0" applyFont="1" applyFill="1" applyBorder="1" applyAlignment="1">
      <alignment vertical="top" wrapText="1"/>
    </xf>
    <xf numFmtId="0" fontId="6" fillId="0" borderId="27" xfId="0" applyFont="1" applyBorder="1" applyAlignment="1">
      <alignment horizontal="left" vertical="top"/>
    </xf>
    <xf numFmtId="0" fontId="6" fillId="2" borderId="32" xfId="0" applyFont="1" applyFill="1" applyBorder="1" applyAlignment="1">
      <alignment horizontal="left" vertical="top" wrapText="1"/>
    </xf>
    <xf numFmtId="0" fontId="6" fillId="2" borderId="27" xfId="0" applyFont="1" applyFill="1" applyBorder="1" applyAlignment="1">
      <alignment horizontal="left" vertical="top" wrapText="1"/>
    </xf>
    <xf numFmtId="165" fontId="6" fillId="0" borderId="26" xfId="0" applyNumberFormat="1" applyFont="1" applyBorder="1" applyAlignment="1">
      <alignment horizontal="center" vertical="top" wrapText="1"/>
    </xf>
    <xf numFmtId="165" fontId="6" fillId="0" borderId="26" xfId="0" applyNumberFormat="1" applyFont="1" applyBorder="1" applyAlignment="1">
      <alignment horizontal="center" vertical="center" wrapText="1"/>
    </xf>
    <xf numFmtId="164" fontId="46" fillId="0" borderId="0" xfId="0" applyNumberFormat="1" applyFont="1" applyAlignment="1">
      <alignment horizontal="left"/>
    </xf>
    <xf numFmtId="0" fontId="32" fillId="0" borderId="22" xfId="0" quotePrefix="1" applyFont="1" applyBorder="1" applyAlignment="1">
      <alignment horizontal="right" vertical="top" wrapText="1"/>
    </xf>
    <xf numFmtId="0" fontId="17" fillId="0" borderId="31" xfId="0" applyFont="1" applyBorder="1" applyAlignment="1">
      <alignment horizontal="left" vertical="top"/>
    </xf>
    <xf numFmtId="0" fontId="17" fillId="0" borderId="24" xfId="0" applyFont="1" applyBorder="1" applyAlignment="1">
      <alignment horizontal="center" vertical="top" wrapText="1"/>
    </xf>
    <xf numFmtId="0" fontId="8" fillId="0" borderId="7" xfId="0" applyFont="1" applyBorder="1" applyAlignment="1">
      <alignment horizontal="center"/>
    </xf>
    <xf numFmtId="0" fontId="8" fillId="0" borderId="8" xfId="0" applyFont="1" applyBorder="1" applyAlignment="1">
      <alignment horizontal="center"/>
    </xf>
    <xf numFmtId="164" fontId="8" fillId="4" borderId="8" xfId="0" applyNumberFormat="1" applyFont="1" applyFill="1" applyBorder="1" applyAlignment="1">
      <alignment horizontal="center"/>
    </xf>
    <xf numFmtId="9" fontId="0" fillId="0" borderId="0" xfId="0" applyNumberFormat="1"/>
    <xf numFmtId="0" fontId="17" fillId="0" borderId="28" xfId="0" applyFont="1" applyBorder="1" applyAlignment="1">
      <alignment vertical="top" wrapText="1"/>
    </xf>
    <xf numFmtId="0" fontId="16" fillId="16" borderId="37" xfId="0" applyFont="1" applyFill="1" applyBorder="1" applyAlignment="1">
      <alignment horizontal="right" vertical="top" wrapText="1"/>
    </xf>
    <xf numFmtId="0" fontId="1" fillId="0" borderId="22" xfId="0" applyFont="1" applyBorder="1" applyAlignment="1">
      <alignment vertical="top"/>
    </xf>
    <xf numFmtId="0" fontId="1" fillId="0" borderId="36" xfId="0" applyFont="1" applyBorder="1" applyAlignment="1">
      <alignment horizontal="center" vertical="top" wrapText="1"/>
    </xf>
    <xf numFmtId="0" fontId="1" fillId="0" borderId="31" xfId="0" applyFont="1" applyBorder="1" applyAlignment="1">
      <alignment horizontal="center" vertical="top" wrapText="1"/>
    </xf>
    <xf numFmtId="0" fontId="46" fillId="0" borderId="5" xfId="0" applyFont="1" applyBorder="1" applyAlignment="1">
      <alignment horizontal="left" vertical="center" wrapText="1"/>
    </xf>
    <xf numFmtId="0" fontId="46" fillId="0" borderId="5" xfId="0" applyFont="1" applyBorder="1" applyAlignment="1">
      <alignment wrapText="1"/>
    </xf>
    <xf numFmtId="164" fontId="46" fillId="0" borderId="8" xfId="0" applyNumberFormat="1" applyFont="1" applyBorder="1" applyAlignment="1">
      <alignment horizontal="left" wrapText="1"/>
    </xf>
    <xf numFmtId="0" fontId="1" fillId="0" borderId="22" xfId="0" applyFont="1" applyBorder="1" applyAlignment="1">
      <alignment vertical="top" wrapText="1"/>
    </xf>
    <xf numFmtId="0" fontId="1" fillId="0" borderId="25" xfId="0" applyFont="1" applyBorder="1" applyAlignment="1">
      <alignment vertical="top" wrapText="1"/>
    </xf>
    <xf numFmtId="0" fontId="1" fillId="0" borderId="25" xfId="0" applyFont="1" applyBorder="1" applyAlignment="1">
      <alignment horizontal="left" vertical="top" wrapText="1"/>
    </xf>
    <xf numFmtId="0" fontId="1" fillId="0" borderId="0" xfId="0" applyFont="1" applyAlignment="1">
      <alignment wrapText="1"/>
    </xf>
    <xf numFmtId="0" fontId="6" fillId="6" borderId="27" xfId="0" applyFont="1" applyFill="1" applyBorder="1" applyAlignment="1">
      <alignment horizontal="left" vertical="top" wrapText="1"/>
    </xf>
    <xf numFmtId="0" fontId="1" fillId="0" borderId="25" xfId="0" applyFont="1" applyBorder="1" applyAlignment="1">
      <alignment vertical="center"/>
    </xf>
    <xf numFmtId="0" fontId="1" fillId="0" borderId="25" xfId="0" applyFont="1" applyBorder="1" applyAlignment="1">
      <alignment vertical="center" wrapText="1"/>
    </xf>
    <xf numFmtId="0" fontId="6" fillId="0" borderId="22" xfId="0" applyFont="1" applyBorder="1" applyAlignment="1">
      <alignment vertical="center" wrapText="1"/>
    </xf>
    <xf numFmtId="3" fontId="6" fillId="0" borderId="26" xfId="0" applyNumberFormat="1" applyFont="1" applyBorder="1" applyAlignment="1">
      <alignment horizontal="center" vertical="top" wrapText="1"/>
    </xf>
    <xf numFmtId="0" fontId="23" fillId="0" borderId="25" xfId="0" applyFont="1" applyBorder="1" applyAlignment="1">
      <alignment vertical="top" wrapText="1"/>
    </xf>
    <xf numFmtId="0" fontId="23" fillId="0" borderId="25" xfId="0" applyFont="1" applyBorder="1" applyAlignment="1">
      <alignment vertical="center" wrapText="1"/>
    </xf>
    <xf numFmtId="0" fontId="1" fillId="0" borderId="37" xfId="0" quotePrefix="1" applyFont="1" applyBorder="1" applyAlignment="1">
      <alignment horizontal="left" vertical="top" wrapText="1"/>
    </xf>
    <xf numFmtId="0" fontId="1" fillId="0" borderId="22" xfId="0" quotePrefix="1" applyFont="1" applyBorder="1" applyAlignment="1">
      <alignment horizontal="left" vertical="top" wrapText="1"/>
    </xf>
    <xf numFmtId="0" fontId="1" fillId="0" borderId="100" xfId="0" applyFont="1" applyBorder="1" applyAlignment="1">
      <alignment vertical="top" wrapText="1"/>
    </xf>
    <xf numFmtId="0" fontId="1" fillId="0" borderId="37" xfId="0" quotePrefix="1" applyFont="1" applyBorder="1" applyAlignment="1">
      <alignment vertical="top" wrapText="1"/>
    </xf>
    <xf numFmtId="0" fontId="1" fillId="0" borderId="98" xfId="0" quotePrefix="1" applyFont="1" applyBorder="1" applyAlignment="1">
      <alignment vertical="top" wrapText="1"/>
    </xf>
    <xf numFmtId="0" fontId="67" fillId="0" borderId="0" xfId="0" applyFont="1"/>
    <xf numFmtId="0" fontId="17" fillId="0" borderId="0" xfId="0" applyFont="1" applyAlignment="1">
      <alignment vertical="top" wrapText="1"/>
    </xf>
    <xf numFmtId="0" fontId="17" fillId="0" borderId="0" xfId="0" applyFont="1" applyAlignment="1">
      <alignment horizontal="left" vertical="top" wrapText="1"/>
    </xf>
    <xf numFmtId="0" fontId="32" fillId="0" borderId="25" xfId="0" applyFont="1" applyBorder="1" applyAlignment="1">
      <alignment vertical="top"/>
    </xf>
    <xf numFmtId="0" fontId="21" fillId="0" borderId="27" xfId="0" applyFont="1" applyBorder="1" applyAlignment="1">
      <alignment horizontal="center" vertical="top" wrapText="1"/>
    </xf>
    <xf numFmtId="166" fontId="0" fillId="4" borderId="0" xfId="0" applyNumberFormat="1" applyFill="1" applyAlignment="1">
      <alignment horizontal="left"/>
    </xf>
    <xf numFmtId="0" fontId="9" fillId="6" borderId="27" xfId="0" applyFont="1" applyFill="1" applyBorder="1" applyAlignment="1">
      <alignment horizontal="left" vertical="top" wrapText="1"/>
    </xf>
    <xf numFmtId="0" fontId="1" fillId="0" borderId="31" xfId="0" applyFont="1" applyBorder="1" applyAlignment="1">
      <alignment horizontal="left" vertical="top"/>
    </xf>
    <xf numFmtId="0" fontId="39" fillId="0" borderId="25" xfId="0" applyFont="1" applyBorder="1" applyAlignment="1">
      <alignment vertical="top" wrapText="1"/>
    </xf>
    <xf numFmtId="0" fontId="1" fillId="0" borderId="26" xfId="0" applyFont="1" applyBorder="1" applyAlignment="1">
      <alignment horizontal="center" vertical="center" wrapText="1"/>
    </xf>
    <xf numFmtId="9" fontId="1" fillId="0" borderId="26" xfId="0" applyNumberFormat="1" applyFont="1" applyBorder="1" applyAlignment="1">
      <alignment horizontal="center" vertical="center" wrapText="1"/>
    </xf>
    <xf numFmtId="0" fontId="21" fillId="0" borderId="26" xfId="0" applyFont="1" applyBorder="1" applyAlignment="1">
      <alignment horizontal="center" vertical="center" wrapText="1"/>
    </xf>
    <xf numFmtId="0" fontId="35" fillId="0" borderId="26" xfId="0" applyFont="1" applyBorder="1" applyAlignment="1">
      <alignment horizontal="center" vertical="center" wrapText="1"/>
    </xf>
    <xf numFmtId="0" fontId="21" fillId="0" borderId="29" xfId="0" applyFont="1" applyBorder="1" applyAlignment="1">
      <alignment horizontal="center" vertical="center" wrapText="1"/>
    </xf>
    <xf numFmtId="0" fontId="21" fillId="0" borderId="27" xfId="0" applyFont="1" applyBorder="1" applyAlignment="1">
      <alignment horizontal="center" vertical="center" wrapText="1"/>
    </xf>
    <xf numFmtId="0" fontId="1" fillId="0" borderId="27" xfId="0" applyFont="1" applyBorder="1" applyAlignment="1">
      <alignment horizontal="center" vertical="center" wrapText="1"/>
    </xf>
    <xf numFmtId="9" fontId="1" fillId="0" borderId="27" xfId="0" applyNumberFormat="1" applyFont="1" applyBorder="1" applyAlignment="1">
      <alignment horizontal="center" vertical="center" wrapText="1"/>
    </xf>
    <xf numFmtId="0" fontId="35" fillId="0" borderId="27" xfId="0" applyFont="1" applyBorder="1" applyAlignment="1">
      <alignment horizontal="center" vertical="center" wrapText="1"/>
    </xf>
    <xf numFmtId="0" fontId="21" fillId="0" borderId="30"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8" fillId="0" borderId="26" xfId="0" applyFont="1" applyBorder="1" applyAlignment="1">
      <alignment horizontal="center" vertical="top" wrapText="1"/>
    </xf>
    <xf numFmtId="0" fontId="38" fillId="0" borderId="27" xfId="0" applyFont="1" applyBorder="1" applyAlignment="1">
      <alignment horizontal="center" vertical="top" wrapText="1"/>
    </xf>
    <xf numFmtId="0" fontId="1" fillId="0" borderId="26" xfId="0" applyFont="1" applyBorder="1" applyAlignment="1">
      <alignment horizontal="center" vertical="top" wrapText="1"/>
    </xf>
    <xf numFmtId="0" fontId="1" fillId="0" borderId="27" xfId="0" applyFont="1" applyBorder="1" applyAlignment="1">
      <alignment horizontal="center" vertical="top" wrapText="1"/>
    </xf>
    <xf numFmtId="0" fontId="1" fillId="0" borderId="48" xfId="0" applyFont="1" applyBorder="1" applyAlignment="1">
      <alignment horizontal="center" vertical="top" wrapText="1"/>
    </xf>
    <xf numFmtId="164" fontId="17" fillId="0" borderId="48" xfId="0" applyNumberFormat="1" applyFont="1" applyBorder="1" applyAlignment="1">
      <alignment horizontal="left" vertical="top"/>
    </xf>
    <xf numFmtId="0" fontId="1" fillId="0" borderId="49" xfId="0" applyFont="1" applyBorder="1" applyAlignment="1">
      <alignment horizontal="center" vertical="top" wrapText="1"/>
    </xf>
    <xf numFmtId="9" fontId="6" fillId="0" borderId="48" xfId="0" applyNumberFormat="1" applyFont="1" applyBorder="1" applyAlignment="1">
      <alignment horizontal="center" vertical="top" wrapText="1"/>
    </xf>
    <xf numFmtId="0" fontId="46" fillId="0" borderId="0" xfId="0" applyFont="1" applyAlignment="1">
      <alignment vertical="top"/>
    </xf>
    <xf numFmtId="9" fontId="1" fillId="0" borderId="49" xfId="0" applyNumberFormat="1" applyFont="1" applyBorder="1" applyAlignment="1">
      <alignment horizontal="center" vertical="top" wrapText="1"/>
    </xf>
    <xf numFmtId="9" fontId="1" fillId="0" borderId="48" xfId="0" applyNumberFormat="1" applyFont="1" applyBorder="1" applyAlignment="1">
      <alignment horizontal="center" vertical="top" wrapText="1"/>
    </xf>
    <xf numFmtId="0" fontId="9" fillId="0" borderId="0" xfId="0" applyFont="1" applyAlignment="1">
      <alignment horizontal="left" vertical="top" wrapText="1"/>
    </xf>
    <xf numFmtId="0" fontId="1" fillId="0" borderId="0" xfId="0" applyFont="1" applyAlignment="1">
      <alignment horizontal="left" vertical="top" wrapText="1"/>
    </xf>
    <xf numFmtId="0" fontId="1" fillId="0" borderId="28" xfId="0" applyFont="1" applyBorder="1" applyAlignment="1">
      <alignment vertical="top" wrapText="1"/>
    </xf>
    <xf numFmtId="0" fontId="17" fillId="0" borderId="27" xfId="0" applyFont="1" applyBorder="1" applyAlignment="1">
      <alignment horizontal="left" vertical="top" wrapText="1"/>
    </xf>
    <xf numFmtId="164" fontId="8" fillId="4" borderId="10" xfId="0" applyNumberFormat="1" applyFont="1" applyFill="1" applyBorder="1" applyAlignment="1">
      <alignment horizontal="center" vertical="center" wrapText="1"/>
    </xf>
    <xf numFmtId="0" fontId="17" fillId="0" borderId="0" xfId="0" applyFont="1" applyAlignment="1">
      <alignment vertical="top"/>
    </xf>
    <xf numFmtId="0" fontId="8" fillId="0" borderId="19" xfId="0" applyFont="1" applyBorder="1" applyAlignment="1">
      <alignment vertical="center" wrapText="1"/>
    </xf>
    <xf numFmtId="0" fontId="64" fillId="0" borderId="4" xfId="0" applyFont="1" applyBorder="1" applyAlignment="1">
      <alignment horizontal="right" vertical="center" wrapText="1"/>
    </xf>
    <xf numFmtId="164" fontId="8" fillId="4" borderId="19" xfId="0" applyNumberFormat="1" applyFont="1" applyFill="1" applyBorder="1" applyAlignment="1">
      <alignment horizontal="center" vertical="center" wrapText="1"/>
    </xf>
    <xf numFmtId="164" fontId="0" fillId="4" borderId="19" xfId="0" applyNumberFormat="1" applyFill="1" applyBorder="1" applyAlignment="1">
      <alignment horizontal="center"/>
    </xf>
    <xf numFmtId="0" fontId="8" fillId="0" borderId="6" xfId="0" applyFont="1" applyBorder="1" applyAlignment="1">
      <alignment horizontal="center" vertical="center" wrapText="1"/>
    </xf>
    <xf numFmtId="0" fontId="8" fillId="0" borderId="3" xfId="0" applyFont="1" applyBorder="1" applyAlignment="1">
      <alignment horizontal="center" vertical="center" wrapText="1"/>
    </xf>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1" fillId="6" borderId="32" xfId="0" applyFont="1" applyFill="1" applyBorder="1" applyAlignment="1">
      <alignment vertical="top"/>
    </xf>
    <xf numFmtId="164" fontId="8" fillId="4" borderId="0" xfId="0" applyNumberFormat="1" applyFont="1" applyFill="1" applyAlignment="1">
      <alignment horizontal="center" vertical="center" wrapText="1"/>
    </xf>
    <xf numFmtId="164" fontId="0" fillId="4" borderId="0" xfId="0" applyNumberFormat="1" applyFill="1" applyAlignment="1">
      <alignment horizontal="center"/>
    </xf>
    <xf numFmtId="164" fontId="8" fillId="4" borderId="20" xfId="0" applyNumberFormat="1" applyFont="1" applyFill="1" applyBorder="1" applyAlignment="1">
      <alignment horizontal="center" vertical="center" wrapText="1"/>
    </xf>
    <xf numFmtId="0" fontId="0" fillId="6" borderId="0" xfId="0" applyFill="1" applyAlignment="1">
      <alignment vertical="top"/>
    </xf>
    <xf numFmtId="0" fontId="0" fillId="0" borderId="8" xfId="0" applyBorder="1" applyAlignment="1">
      <alignment horizontal="center" wrapText="1"/>
    </xf>
    <xf numFmtId="0" fontId="1" fillId="0" borderId="27" xfId="0" applyFont="1" applyBorder="1" applyAlignment="1">
      <alignment horizontal="left" vertical="top" wrapText="1"/>
    </xf>
    <xf numFmtId="0" fontId="16" fillId="0" borderId="0" xfId="0" applyFont="1" applyAlignment="1">
      <alignment horizontal="left"/>
    </xf>
    <xf numFmtId="0" fontId="0" fillId="0" borderId="30" xfId="0" applyBorder="1" applyAlignment="1">
      <alignment vertical="top"/>
    </xf>
    <xf numFmtId="0" fontId="0" fillId="0" borderId="24" xfId="0" applyBorder="1" applyAlignment="1">
      <alignment vertical="top"/>
    </xf>
    <xf numFmtId="0" fontId="6" fillId="0" borderId="23" xfId="0" applyFont="1" applyBorder="1" applyAlignment="1">
      <alignment horizontal="left" vertical="top" wrapText="1"/>
    </xf>
    <xf numFmtId="0" fontId="1" fillId="0" borderId="24" xfId="0" applyFont="1" applyBorder="1" applyAlignment="1">
      <alignment horizontal="center" vertical="top" wrapText="1"/>
    </xf>
    <xf numFmtId="0" fontId="1" fillId="0" borderId="30" xfId="0" applyFont="1" applyBorder="1" applyAlignment="1">
      <alignment horizontal="center" vertical="top" wrapText="1"/>
    </xf>
    <xf numFmtId="6" fontId="6" fillId="0" borderId="27" xfId="0" applyNumberFormat="1" applyFont="1" applyBorder="1" applyAlignment="1">
      <alignment horizontal="center" vertical="top" wrapText="1"/>
    </xf>
    <xf numFmtId="0" fontId="21" fillId="0" borderId="31" xfId="0" applyFont="1" applyBorder="1" applyAlignment="1">
      <alignment horizontal="center" vertical="top" wrapText="1"/>
    </xf>
    <xf numFmtId="0" fontId="21" fillId="0" borderId="24" xfId="0" applyFont="1" applyBorder="1" applyAlignment="1">
      <alignment horizontal="center" vertical="top" wrapText="1"/>
    </xf>
    <xf numFmtId="0" fontId="20" fillId="0" borderId="106" xfId="0" applyFont="1" applyBorder="1" applyAlignment="1">
      <alignment horizontal="center" vertical="top" wrapText="1"/>
    </xf>
    <xf numFmtId="0" fontId="70" fillId="0" borderId="107" xfId="0" applyFont="1" applyBorder="1" applyAlignment="1">
      <alignment horizontal="center" vertical="top" wrapText="1"/>
    </xf>
    <xf numFmtId="0" fontId="20" fillId="0" borderId="108" xfId="0" applyFont="1" applyBorder="1" applyAlignment="1">
      <alignment horizontal="center" vertical="top" wrapText="1"/>
    </xf>
    <xf numFmtId="0" fontId="21" fillId="0" borderId="109" xfId="0" applyFont="1" applyBorder="1" applyAlignment="1">
      <alignment horizontal="center" vertical="top" wrapText="1"/>
    </xf>
    <xf numFmtId="0" fontId="9" fillId="0" borderId="25" xfId="0" applyFont="1" applyBorder="1" applyAlignment="1">
      <alignment horizontal="left" vertical="top" wrapText="1"/>
    </xf>
    <xf numFmtId="0" fontId="9" fillId="0" borderId="110" xfId="0" applyFont="1" applyBorder="1" applyAlignment="1">
      <alignment horizontal="center" vertical="top" wrapText="1"/>
    </xf>
    <xf numFmtId="0" fontId="9" fillId="0" borderId="111" xfId="0" applyFont="1" applyBorder="1" applyAlignment="1">
      <alignment horizontal="center" vertical="top" wrapText="1"/>
    </xf>
    <xf numFmtId="0" fontId="1" fillId="0" borderId="0" xfId="0" applyFont="1" applyAlignment="1">
      <alignment vertical="top" wrapText="1"/>
    </xf>
    <xf numFmtId="0" fontId="6" fillId="0" borderId="32" xfId="0" applyFont="1" applyBorder="1" applyAlignment="1">
      <alignment horizontal="left" vertical="top" wrapText="1"/>
    </xf>
    <xf numFmtId="0" fontId="1" fillId="0" borderId="38" xfId="0" applyFont="1" applyBorder="1" applyAlignment="1">
      <alignment vertical="top" wrapText="1"/>
    </xf>
    <xf numFmtId="0" fontId="6" fillId="0" borderId="32" xfId="0" applyFont="1" applyBorder="1" applyAlignment="1">
      <alignment horizontal="center" vertical="top" wrapText="1"/>
    </xf>
    <xf numFmtId="0" fontId="1" fillId="0" borderId="32" xfId="0" applyFont="1" applyBorder="1" applyAlignment="1">
      <alignment horizontal="center" vertical="top" wrapText="1"/>
    </xf>
    <xf numFmtId="0" fontId="6" fillId="0" borderId="39" xfId="0" applyFont="1" applyBorder="1" applyAlignment="1">
      <alignment horizontal="center" vertical="top" wrapText="1"/>
    </xf>
    <xf numFmtId="0" fontId="6" fillId="0" borderId="112" xfId="0" applyFont="1" applyBorder="1" applyAlignment="1">
      <alignment vertical="top" wrapText="1"/>
    </xf>
    <xf numFmtId="0" fontId="6" fillId="0" borderId="113" xfId="0" applyFont="1" applyBorder="1" applyAlignment="1">
      <alignment horizontal="center" vertical="top" wrapText="1"/>
    </xf>
    <xf numFmtId="0" fontId="1" fillId="0" borderId="114" xfId="0" applyFont="1" applyBorder="1" applyAlignment="1">
      <alignment horizontal="center" vertical="top" wrapText="1"/>
    </xf>
    <xf numFmtId="0" fontId="6" fillId="0" borderId="115" xfId="0" applyFont="1" applyBorder="1" applyAlignment="1">
      <alignment horizontal="center" vertical="top" wrapText="1"/>
    </xf>
    <xf numFmtId="0" fontId="6" fillId="0" borderId="116" xfId="0" applyFont="1" applyBorder="1" applyAlignment="1">
      <alignment vertical="top" wrapText="1"/>
    </xf>
    <xf numFmtId="0" fontId="6" fillId="0" borderId="117" xfId="0" applyFont="1" applyBorder="1" applyAlignment="1">
      <alignment horizontal="center" vertical="top" wrapText="1"/>
    </xf>
    <xf numFmtId="0" fontId="1" fillId="0" borderId="118" xfId="0" applyFont="1" applyBorder="1" applyAlignment="1">
      <alignment horizontal="center" vertical="top" wrapText="1"/>
    </xf>
    <xf numFmtId="0" fontId="6" fillId="0" borderId="119" xfId="0" applyFont="1" applyBorder="1" applyAlignment="1">
      <alignment horizontal="center" vertical="top" wrapText="1"/>
    </xf>
    <xf numFmtId="0" fontId="1" fillId="0" borderId="28" xfId="0" applyFont="1" applyBorder="1" applyAlignment="1">
      <alignment horizontal="left" vertical="top" wrapText="1"/>
    </xf>
    <xf numFmtId="0" fontId="71" fillId="0" borderId="37" xfId="0" applyFont="1" applyBorder="1" applyAlignment="1">
      <alignment horizontal="right" vertical="top" wrapText="1"/>
    </xf>
    <xf numFmtId="0" fontId="6" fillId="16" borderId="23" xfId="0" applyFont="1" applyFill="1" applyBorder="1" applyAlignment="1">
      <alignment horizontal="center" vertical="top" wrapText="1"/>
    </xf>
    <xf numFmtId="0" fontId="39" fillId="0" borderId="30" xfId="0" applyFont="1" applyBorder="1" applyAlignment="1">
      <alignment horizontal="center" vertical="top" wrapText="1"/>
    </xf>
    <xf numFmtId="0" fontId="71" fillId="0" borderId="22" xfId="0" quotePrefix="1" applyFont="1" applyBorder="1" applyAlignment="1">
      <alignment horizontal="right" vertical="top" wrapText="1"/>
    </xf>
    <xf numFmtId="0" fontId="35" fillId="0" borderId="31" xfId="0" applyFont="1" applyBorder="1" applyAlignment="1">
      <alignment horizontal="center" vertical="top" wrapText="1"/>
    </xf>
    <xf numFmtId="0" fontId="6" fillId="16" borderId="30" xfId="0" applyFont="1" applyFill="1" applyBorder="1" applyAlignment="1">
      <alignment horizontal="center" vertical="top" wrapText="1"/>
    </xf>
    <xf numFmtId="0" fontId="6" fillId="16" borderId="31" xfId="0" applyFont="1" applyFill="1" applyBorder="1" applyAlignment="1">
      <alignment horizontal="center" vertical="top" wrapText="1"/>
    </xf>
    <xf numFmtId="0" fontId="38" fillId="0" borderId="30" xfId="0" applyFont="1" applyBorder="1" applyAlignment="1">
      <alignment horizontal="center" vertical="top" wrapText="1"/>
    </xf>
    <xf numFmtId="14" fontId="1" fillId="0" borderId="30" xfId="0" applyNumberFormat="1" applyFont="1" applyBorder="1" applyAlignment="1">
      <alignment horizontal="center" vertical="top" wrapText="1"/>
    </xf>
    <xf numFmtId="0" fontId="1" fillId="0" borderId="63"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64" xfId="0" applyFont="1" applyBorder="1" applyAlignment="1">
      <alignment horizontal="center" vertical="center" wrapText="1"/>
    </xf>
    <xf numFmtId="0" fontId="6" fillId="16" borderId="24" xfId="0" applyFont="1" applyFill="1" applyBorder="1" applyAlignment="1">
      <alignment horizontal="center" vertical="top" wrapText="1"/>
    </xf>
    <xf numFmtId="0" fontId="6" fillId="16" borderId="27" xfId="0" applyFont="1" applyFill="1" applyBorder="1" applyAlignment="1">
      <alignment horizontal="center" vertical="top" wrapText="1"/>
    </xf>
    <xf numFmtId="9" fontId="38" fillId="0" borderId="24" xfId="0" applyNumberFormat="1" applyFont="1" applyBorder="1" applyAlignment="1">
      <alignment horizontal="center" vertical="top" wrapText="1"/>
    </xf>
    <xf numFmtId="0" fontId="35" fillId="0" borderId="24" xfId="0" applyFont="1" applyBorder="1" applyAlignment="1">
      <alignment horizontal="center" vertical="top" wrapText="1"/>
    </xf>
    <xf numFmtId="0" fontId="1" fillId="6" borderId="0" xfId="0" applyFont="1" applyFill="1" applyAlignment="1">
      <alignment vertical="top"/>
    </xf>
    <xf numFmtId="0" fontId="1" fillId="0" borderId="25" xfId="0" applyFont="1" applyBorder="1" applyAlignment="1">
      <alignment vertical="top"/>
    </xf>
    <xf numFmtId="171" fontId="6" fillId="0" borderId="27" xfId="0" applyNumberFormat="1" applyFont="1" applyBorder="1" applyAlignment="1">
      <alignment horizontal="center" vertical="top" wrapText="1"/>
    </xf>
    <xf numFmtId="0" fontId="1" fillId="0" borderId="39" xfId="0" applyFont="1" applyBorder="1" applyAlignment="1">
      <alignment horizontal="center" vertical="top" wrapText="1"/>
    </xf>
    <xf numFmtId="0" fontId="1" fillId="0" borderId="120" xfId="0" applyFont="1" applyBorder="1" applyAlignment="1">
      <alignment vertical="top" wrapText="1"/>
    </xf>
    <xf numFmtId="0" fontId="6" fillId="0" borderId="121" xfId="0" applyFont="1" applyBorder="1" applyAlignment="1">
      <alignment horizontal="center" vertical="top" wrapText="1"/>
    </xf>
    <xf numFmtId="0" fontId="1" fillId="0" borderId="122" xfId="0" applyFont="1" applyBorder="1" applyAlignment="1">
      <alignment horizontal="center" vertical="top" wrapText="1"/>
    </xf>
    <xf numFmtId="0" fontId="6" fillId="0" borderId="123" xfId="0" applyFont="1" applyBorder="1" applyAlignment="1">
      <alignment horizontal="center" vertical="top" wrapText="1"/>
    </xf>
    <xf numFmtId="0" fontId="35" fillId="0" borderId="30" xfId="0" applyFont="1" applyBorder="1" applyAlignment="1">
      <alignment horizontal="center" vertical="top" wrapText="1"/>
    </xf>
    <xf numFmtId="0" fontId="35" fillId="0" borderId="27" xfId="0" applyFont="1" applyBorder="1" applyAlignment="1">
      <alignment horizontal="center" vertical="top" wrapText="1"/>
    </xf>
    <xf numFmtId="0" fontId="34" fillId="0" borderId="124" xfId="0" applyFont="1" applyBorder="1" applyAlignment="1">
      <alignment vertical="top" wrapText="1"/>
    </xf>
    <xf numFmtId="0" fontId="1" fillId="0" borderId="28" xfId="0" applyFont="1" applyBorder="1" applyAlignment="1">
      <alignment horizontal="center" vertical="top" wrapText="1"/>
    </xf>
    <xf numFmtId="164" fontId="2" fillId="4" borderId="5" xfId="0" applyNumberFormat="1" applyFont="1" applyFill="1" applyBorder="1" applyAlignment="1">
      <alignment horizontal="center" vertical="center" wrapText="1"/>
    </xf>
    <xf numFmtId="0" fontId="2" fillId="4" borderId="5" xfId="0" applyFont="1" applyFill="1" applyBorder="1" applyAlignment="1">
      <alignment horizontal="center" vertical="center" wrapText="1"/>
    </xf>
    <xf numFmtId="0" fontId="1" fillId="0" borderId="29" xfId="0" applyFont="1" applyBorder="1" applyAlignment="1">
      <alignment horizontal="center" vertical="top" wrapText="1"/>
    </xf>
    <xf numFmtId="0" fontId="71" fillId="0" borderId="41" xfId="0" applyFont="1" applyBorder="1" applyAlignment="1">
      <alignment horizontal="right" vertical="top" wrapText="1"/>
    </xf>
    <xf numFmtId="0" fontId="39" fillId="0" borderId="37" xfId="0" applyFont="1" applyBorder="1" applyAlignment="1">
      <alignment horizontal="center" vertical="top" wrapText="1"/>
    </xf>
    <xf numFmtId="0" fontId="35" fillId="0" borderId="125" xfId="0" applyFont="1" applyBorder="1" applyAlignment="1">
      <alignment horizontal="center" vertical="top" wrapText="1"/>
    </xf>
    <xf numFmtId="0" fontId="35" fillId="0" borderId="36" xfId="0" applyFont="1" applyBorder="1" applyAlignment="1">
      <alignment horizontal="center" vertical="top" wrapText="1"/>
    </xf>
    <xf numFmtId="0" fontId="35" fillId="0" borderId="23" xfId="0" applyFont="1" applyBorder="1" applyAlignment="1">
      <alignment horizontal="center" vertical="top" wrapText="1"/>
    </xf>
    <xf numFmtId="0" fontId="21" fillId="0" borderId="23" xfId="0" applyFont="1" applyBorder="1" applyAlignment="1">
      <alignment horizontal="center" vertical="top" wrapText="1"/>
    </xf>
    <xf numFmtId="0" fontId="71" fillId="0" borderId="22" xfId="0" applyFont="1" applyBorder="1" applyAlignment="1">
      <alignment horizontal="right" vertical="top" wrapText="1"/>
    </xf>
    <xf numFmtId="0" fontId="6" fillId="16" borderId="26" xfId="0" applyFont="1" applyFill="1" applyBorder="1" applyAlignment="1">
      <alignment horizontal="center" vertical="top" wrapText="1"/>
    </xf>
    <xf numFmtId="0" fontId="38" fillId="0" borderId="29" xfId="0" applyFont="1" applyBorder="1" applyAlignment="1">
      <alignment horizontal="center" vertical="top" wrapText="1"/>
    </xf>
    <xf numFmtId="14" fontId="6" fillId="0" borderId="30" xfId="0" applyNumberFormat="1" applyFont="1" applyBorder="1" applyAlignment="1">
      <alignment horizontal="center" vertical="top" wrapText="1"/>
    </xf>
    <xf numFmtId="14" fontId="6" fillId="16" borderId="30" xfId="0" applyNumberFormat="1" applyFont="1" applyFill="1" applyBorder="1" applyAlignment="1">
      <alignment horizontal="center" vertical="top" wrapText="1"/>
    </xf>
    <xf numFmtId="0" fontId="6" fillId="16" borderId="25" xfId="0" applyFont="1" applyFill="1" applyBorder="1" applyAlignment="1">
      <alignment vertical="top" wrapText="1"/>
    </xf>
    <xf numFmtId="0" fontId="6" fillId="0" borderId="32" xfId="0" applyFont="1" applyBorder="1" applyAlignment="1">
      <alignment horizontal="left" vertical="top"/>
    </xf>
    <xf numFmtId="0" fontId="21" fillId="0" borderId="36" xfId="0" applyFont="1" applyBorder="1" applyAlignment="1">
      <alignment horizontal="center" vertical="top" wrapText="1"/>
    </xf>
    <xf numFmtId="0" fontId="38" fillId="0" borderId="23" xfId="0" applyFont="1" applyBorder="1" applyAlignment="1">
      <alignment horizontal="center" vertical="top" wrapText="1"/>
    </xf>
    <xf numFmtId="14" fontId="0" fillId="0" borderId="53" xfId="0" applyNumberFormat="1" applyBorder="1" applyAlignment="1">
      <alignment horizontal="left"/>
    </xf>
    <xf numFmtId="14" fontId="0" fillId="0" borderId="8" xfId="0" applyNumberFormat="1" applyBorder="1" applyAlignment="1">
      <alignment horizontal="left"/>
    </xf>
    <xf numFmtId="14" fontId="0" fillId="0" borderId="33" xfId="0" applyNumberFormat="1" applyBorder="1" applyAlignment="1">
      <alignment horizontal="left"/>
    </xf>
    <xf numFmtId="0" fontId="1" fillId="0" borderId="37" xfId="0" applyFont="1" applyBorder="1" applyAlignment="1">
      <alignment horizontal="center" vertical="top" wrapText="1"/>
    </xf>
    <xf numFmtId="0" fontId="1" fillId="0" borderId="22" xfId="0" applyFont="1" applyBorder="1" applyAlignment="1">
      <alignment horizontal="center" vertical="top" wrapText="1"/>
    </xf>
    <xf numFmtId="0" fontId="33" fillId="16" borderId="22" xfId="0" applyFont="1" applyFill="1" applyBorder="1" applyAlignment="1">
      <alignment horizontal="right" vertical="top" wrapText="1"/>
    </xf>
    <xf numFmtId="0" fontId="1" fillId="0" borderId="23" xfId="0" applyFont="1" applyBorder="1" applyAlignment="1">
      <alignment horizontal="center" vertical="top" wrapText="1"/>
    </xf>
    <xf numFmtId="0" fontId="38" fillId="0" borderId="36" xfId="0" applyFont="1" applyBorder="1" applyAlignment="1">
      <alignment horizontal="center" vertical="top" wrapText="1"/>
    </xf>
    <xf numFmtId="0" fontId="39" fillId="0" borderId="23" xfId="0" applyFont="1" applyBorder="1" applyAlignment="1">
      <alignment horizontal="center" vertical="top" wrapText="1"/>
    </xf>
    <xf numFmtId="164" fontId="2" fillId="4" borderId="6" xfId="0" applyNumberFormat="1" applyFont="1" applyFill="1" applyBorder="1" applyAlignment="1">
      <alignment horizontal="center" vertical="center" wrapText="1"/>
    </xf>
    <xf numFmtId="0" fontId="38" fillId="0" borderId="24" xfId="0" applyFont="1" applyBorder="1" applyAlignment="1">
      <alignment horizontal="center" vertical="top" wrapText="1"/>
    </xf>
    <xf numFmtId="166" fontId="0" fillId="0" borderId="43" xfId="0" applyNumberFormat="1" applyBorder="1" applyAlignment="1">
      <alignment horizontal="center"/>
    </xf>
    <xf numFmtId="166" fontId="0" fillId="0" borderId="0" xfId="0" applyNumberFormat="1"/>
    <xf numFmtId="1" fontId="6" fillId="0" borderId="26" xfId="0" applyNumberFormat="1" applyFont="1" applyBorder="1" applyAlignment="1">
      <alignment horizontal="center" vertical="top" wrapText="1"/>
    </xf>
    <xf numFmtId="165" fontId="0" fillId="2" borderId="0" xfId="0" applyNumberFormat="1" applyFill="1" applyAlignment="1">
      <alignment horizontal="left"/>
    </xf>
    <xf numFmtId="166" fontId="6" fillId="0" borderId="48" xfId="1" applyNumberFormat="1" applyFont="1" applyFill="1" applyBorder="1" applyAlignment="1">
      <alignment horizontal="center" vertical="top" wrapText="1"/>
    </xf>
    <xf numFmtId="10" fontId="6" fillId="0" borderId="26" xfId="0" applyNumberFormat="1" applyFont="1" applyBorder="1" applyAlignment="1">
      <alignment horizontal="center" vertical="top" wrapText="1"/>
    </xf>
    <xf numFmtId="0" fontId="2" fillId="4" borderId="6" xfId="0" applyFont="1" applyFill="1" applyBorder="1" applyAlignment="1">
      <alignment horizontal="center" vertical="center" wrapText="1"/>
    </xf>
    <xf numFmtId="0" fontId="1" fillId="0" borderId="22" xfId="0" applyFont="1" applyBorder="1" applyAlignment="1">
      <alignment horizontal="left" vertical="top"/>
    </xf>
    <xf numFmtId="9" fontId="6" fillId="0" borderId="27" xfId="0" applyNumberFormat="1" applyFont="1" applyBorder="1" applyAlignment="1">
      <alignment horizontal="center" vertical="top" wrapText="1"/>
    </xf>
    <xf numFmtId="9" fontId="6" fillId="0" borderId="27" xfId="1" applyFont="1" applyBorder="1" applyAlignment="1">
      <alignment horizontal="center" vertical="top" wrapText="1"/>
    </xf>
    <xf numFmtId="9" fontId="23" fillId="0" borderId="26" xfId="1" applyFont="1" applyFill="1" applyBorder="1" applyAlignment="1">
      <alignment horizontal="center" vertical="center" wrapText="1"/>
    </xf>
    <xf numFmtId="9" fontId="74" fillId="0" borderId="26" xfId="1" applyFont="1" applyFill="1" applyBorder="1" applyAlignment="1">
      <alignment horizontal="center" vertical="center" wrapText="1"/>
    </xf>
    <xf numFmtId="0" fontId="35" fillId="0" borderId="24" xfId="0" applyFont="1" applyBorder="1" applyAlignment="1">
      <alignment horizontal="center" vertical="center" wrapText="1"/>
    </xf>
    <xf numFmtId="0" fontId="9" fillId="0" borderId="26" xfId="0" applyFont="1" applyBorder="1" applyAlignment="1">
      <alignment horizontal="center" wrapText="1"/>
    </xf>
    <xf numFmtId="9" fontId="23" fillId="16" borderId="27" xfId="1" applyFont="1" applyFill="1" applyBorder="1" applyAlignment="1">
      <alignment horizontal="center" vertical="center" wrapText="1"/>
    </xf>
    <xf numFmtId="10" fontId="6" fillId="0" borderId="28" xfId="0" applyNumberFormat="1" applyFont="1" applyBorder="1" applyAlignment="1">
      <alignment vertical="top"/>
    </xf>
    <xf numFmtId="10" fontId="1" fillId="0" borderId="25" xfId="0" applyNumberFormat="1" applyFont="1" applyBorder="1" applyAlignment="1">
      <alignment vertical="top"/>
    </xf>
    <xf numFmtId="14" fontId="6" fillId="0" borderId="31" xfId="0" applyNumberFormat="1" applyFont="1" applyBorder="1" applyAlignment="1">
      <alignment horizontal="center" vertical="top" wrapText="1"/>
    </xf>
    <xf numFmtId="0" fontId="0" fillId="0" borderId="30" xfId="0" applyBorder="1" applyAlignment="1">
      <alignment horizontal="center" vertical="top" wrapText="1"/>
    </xf>
    <xf numFmtId="0" fontId="21" fillId="0" borderId="29" xfId="0" applyFont="1" applyBorder="1" applyAlignment="1">
      <alignment horizontal="center" vertical="top" wrapText="1"/>
    </xf>
    <xf numFmtId="166" fontId="6" fillId="0" borderId="26" xfId="1" applyNumberFormat="1" applyFont="1" applyBorder="1" applyAlignment="1">
      <alignment horizontal="center" vertical="top" wrapText="1"/>
    </xf>
    <xf numFmtId="165" fontId="0" fillId="0" borderId="0" xfId="0" applyNumberFormat="1" applyAlignment="1">
      <alignment vertical="center"/>
    </xf>
    <xf numFmtId="14" fontId="0" fillId="0" borderId="0" xfId="0" applyNumberFormat="1"/>
    <xf numFmtId="165" fontId="0" fillId="0" borderId="0" xfId="0" applyNumberFormat="1"/>
    <xf numFmtId="9" fontId="1" fillId="0" borderId="27" xfId="0" applyNumberFormat="1" applyFont="1" applyBorder="1" applyAlignment="1">
      <alignment horizontal="center" vertical="top" wrapText="1"/>
    </xf>
    <xf numFmtId="166" fontId="0" fillId="0" borderId="0" xfId="1" applyNumberFormat="1" applyFont="1" applyBorder="1"/>
    <xf numFmtId="166" fontId="0" fillId="0" borderId="0" xfId="1" applyNumberFormat="1" applyFont="1" applyBorder="1" applyAlignment="1">
      <alignment horizontal="center"/>
    </xf>
    <xf numFmtId="9" fontId="0" fillId="0" borderId="43" xfId="1" applyFont="1" applyFill="1" applyBorder="1" applyAlignment="1">
      <alignment horizontal="center"/>
    </xf>
    <xf numFmtId="9" fontId="0" fillId="0" borderId="0" xfId="1" applyFont="1" applyFill="1"/>
    <xf numFmtId="166" fontId="0" fillId="0" borderId="0" xfId="1" applyNumberFormat="1" applyFont="1" applyFill="1" applyBorder="1" applyAlignment="1">
      <alignment horizontal="left"/>
    </xf>
    <xf numFmtId="165" fontId="8" fillId="0" borderId="21" xfId="0" applyNumberFormat="1" applyFont="1" applyBorder="1" applyAlignment="1">
      <alignment horizontal="center" vertical="center" wrapText="1"/>
    </xf>
    <xf numFmtId="0" fontId="6" fillId="0" borderId="38" xfId="0" applyFont="1" applyBorder="1" applyAlignment="1">
      <alignment horizontal="center" vertical="top" wrapText="1"/>
    </xf>
    <xf numFmtId="0" fontId="35" fillId="0" borderId="126" xfId="0" applyFont="1" applyBorder="1" applyAlignment="1">
      <alignment horizontal="center" vertical="top" wrapText="1"/>
    </xf>
    <xf numFmtId="0" fontId="21" fillId="0" borderId="30" xfId="0" applyFont="1" applyBorder="1" applyAlignment="1">
      <alignment horizontal="center" vertical="top" wrapText="1"/>
    </xf>
    <xf numFmtId="0" fontId="38" fillId="0" borderId="31" xfId="0" applyFont="1" applyBorder="1" applyAlignment="1">
      <alignment horizontal="center" vertical="top" wrapText="1"/>
    </xf>
    <xf numFmtId="0" fontId="39" fillId="0" borderId="24" xfId="0" applyFont="1" applyBorder="1" applyAlignment="1">
      <alignment horizontal="center" vertical="top" wrapText="1"/>
    </xf>
    <xf numFmtId="172" fontId="6" fillId="0" borderId="27" xfId="0" applyNumberFormat="1" applyFont="1" applyBorder="1" applyAlignment="1">
      <alignment horizontal="center" vertical="top" wrapText="1"/>
    </xf>
    <xf numFmtId="0" fontId="6" fillId="0" borderId="122" xfId="0" applyFont="1" applyBorder="1" applyAlignment="1">
      <alignment horizontal="center" vertical="top" wrapText="1"/>
    </xf>
    <xf numFmtId="0" fontId="6" fillId="0" borderId="114" xfId="0" applyFont="1" applyBorder="1" applyAlignment="1">
      <alignment horizontal="center" vertical="top" wrapText="1"/>
    </xf>
    <xf numFmtId="0" fontId="6" fillId="0" borderId="118" xfId="0" applyFont="1" applyBorder="1" applyAlignment="1">
      <alignment horizontal="center" vertical="top" wrapText="1"/>
    </xf>
    <xf numFmtId="167" fontId="6" fillId="0" borderId="31" xfId="0" applyNumberFormat="1" applyFont="1" applyBorder="1" applyAlignment="1">
      <alignment horizontal="center" vertical="top" wrapText="1"/>
    </xf>
    <xf numFmtId="49" fontId="6" fillId="0" borderId="0" xfId="0" quotePrefix="1" applyNumberFormat="1" applyFont="1" applyAlignment="1">
      <alignment vertical="top" wrapText="1"/>
    </xf>
    <xf numFmtId="49" fontId="6" fillId="0" borderId="45" xfId="0" quotePrefix="1" applyNumberFormat="1" applyFont="1" applyBorder="1" applyAlignment="1">
      <alignment vertical="top" wrapText="1"/>
    </xf>
    <xf numFmtId="0" fontId="35" fillId="0" borderId="29" xfId="0" applyFont="1" applyBorder="1" applyAlignment="1">
      <alignment horizontal="center" vertical="top" wrapText="1"/>
    </xf>
    <xf numFmtId="0" fontId="71" fillId="0" borderId="127" xfId="0" applyFont="1" applyBorder="1" applyAlignment="1">
      <alignment horizontal="right" vertical="top" wrapText="1"/>
    </xf>
    <xf numFmtId="0" fontId="6" fillId="16" borderId="22" xfId="0" applyFont="1" applyFill="1" applyBorder="1" applyAlignment="1">
      <alignment vertical="top" wrapText="1"/>
    </xf>
    <xf numFmtId="0" fontId="1" fillId="0" borderId="28" xfId="0" applyFont="1" applyBorder="1" applyAlignment="1">
      <alignment vertical="top"/>
    </xf>
    <xf numFmtId="0" fontId="1" fillId="0" borderId="37" xfId="0" applyFont="1" applyBorder="1" applyAlignment="1">
      <alignment vertical="top" wrapText="1"/>
    </xf>
    <xf numFmtId="0" fontId="1" fillId="0" borderId="0" xfId="0" quotePrefix="1" applyFont="1" applyAlignment="1">
      <alignment horizontal="left" vertical="center" indent="5"/>
    </xf>
    <xf numFmtId="9" fontId="0" fillId="0" borderId="9" xfId="1" applyFont="1" applyBorder="1" applyAlignment="1">
      <alignment horizontal="center"/>
    </xf>
    <xf numFmtId="0" fontId="21" fillId="0" borderId="31" xfId="0" applyFont="1" applyBorder="1" applyAlignment="1">
      <alignment horizontal="center" vertical="center" wrapText="1"/>
    </xf>
    <xf numFmtId="0" fontId="35" fillId="2" borderId="31" xfId="0" applyFont="1" applyFill="1" applyBorder="1" applyAlignment="1">
      <alignment horizontal="center" vertical="top" wrapText="1"/>
    </xf>
    <xf numFmtId="0" fontId="1" fillId="0" borderId="38" xfId="0" applyFont="1" applyBorder="1" applyAlignment="1">
      <alignment horizontal="center" vertical="top" wrapText="1"/>
    </xf>
    <xf numFmtId="0" fontId="1" fillId="0" borderId="0" xfId="0" quotePrefix="1" applyFont="1" applyAlignment="1">
      <alignment vertical="top"/>
    </xf>
    <xf numFmtId="164" fontId="6" fillId="0" borderId="0" xfId="0" applyNumberFormat="1" applyFont="1" applyAlignment="1">
      <alignment vertical="center" wrapText="1"/>
    </xf>
    <xf numFmtId="164" fontId="2" fillId="4" borderId="3" xfId="0" applyNumberFormat="1" applyFont="1" applyFill="1" applyBorder="1" applyAlignment="1">
      <alignment horizontal="center" vertical="center" wrapText="1"/>
    </xf>
    <xf numFmtId="0" fontId="1" fillId="0" borderId="26" xfId="0" applyFont="1" applyBorder="1" applyAlignment="1">
      <alignment horizontal="center" vertical="center"/>
    </xf>
    <xf numFmtId="14" fontId="6" fillId="0" borderId="50" xfId="0" applyNumberFormat="1" applyFont="1" applyBorder="1" applyAlignment="1">
      <alignment horizontal="left" vertical="top"/>
    </xf>
    <xf numFmtId="14" fontId="6" fillId="0" borderId="23" xfId="0" applyNumberFormat="1" applyFont="1" applyBorder="1" applyAlignment="1">
      <alignment horizontal="left" vertical="top" wrapText="1"/>
    </xf>
    <xf numFmtId="0" fontId="45" fillId="0" borderId="77" xfId="0" applyFont="1" applyBorder="1" applyAlignment="1">
      <alignment horizontal="center" vertical="center" wrapText="1"/>
    </xf>
    <xf numFmtId="8" fontId="6" fillId="0" borderId="49" xfId="0" applyNumberFormat="1" applyFont="1" applyBorder="1" applyAlignment="1">
      <alignment horizontal="left" vertical="top" wrapText="1"/>
    </xf>
    <xf numFmtId="8" fontId="6" fillId="0" borderId="46" xfId="0" applyNumberFormat="1" applyFont="1" applyBorder="1" applyAlignment="1">
      <alignment horizontal="left" vertical="top" wrapText="1"/>
    </xf>
    <xf numFmtId="0" fontId="6" fillId="0" borderId="29" xfId="0" applyFont="1" applyBorder="1" applyAlignment="1">
      <alignment horizontal="left" vertical="top" wrapText="1"/>
    </xf>
    <xf numFmtId="0" fontId="6" fillId="0" borderId="36" xfId="0" applyFont="1" applyBorder="1" applyAlignment="1">
      <alignment horizontal="left" vertical="top" wrapText="1"/>
    </xf>
    <xf numFmtId="14" fontId="6" fillId="0" borderId="36" xfId="0" applyNumberFormat="1" applyFont="1" applyBorder="1" applyAlignment="1">
      <alignment horizontal="left" vertical="top" wrapText="1"/>
    </xf>
    <xf numFmtId="0" fontId="6" fillId="0" borderId="36" xfId="0" applyFont="1" applyBorder="1" applyAlignment="1">
      <alignment vertical="top" wrapText="1"/>
    </xf>
    <xf numFmtId="0" fontId="1" fillId="0" borderId="22" xfId="0" applyFont="1" applyBorder="1" applyAlignment="1">
      <alignment horizontal="left" vertical="top" wrapText="1"/>
    </xf>
    <xf numFmtId="0" fontId="1" fillId="0" borderId="48" xfId="0" applyFont="1" applyBorder="1" applyAlignment="1">
      <alignment horizontal="left" vertical="top" wrapText="1"/>
    </xf>
    <xf numFmtId="0" fontId="6" fillId="0" borderId="47" xfId="0" applyFont="1" applyBorder="1" applyAlignment="1">
      <alignment horizontal="left" vertical="top" wrapText="1"/>
    </xf>
    <xf numFmtId="0" fontId="0" fillId="0" borderId="129" xfId="0" applyBorder="1"/>
    <xf numFmtId="0" fontId="6" fillId="0" borderId="129" xfId="0" applyFont="1" applyBorder="1"/>
    <xf numFmtId="0" fontId="6" fillId="0" borderId="23" xfId="0" applyFont="1" applyBorder="1" applyAlignment="1">
      <alignment vertical="top" wrapText="1"/>
    </xf>
    <xf numFmtId="8" fontId="6" fillId="0" borderId="46" xfId="0" applyNumberFormat="1" applyFont="1" applyBorder="1" applyAlignment="1">
      <alignment vertical="top" wrapText="1"/>
    </xf>
    <xf numFmtId="8" fontId="6" fillId="0" borderId="47" xfId="0" applyNumberFormat="1" applyFont="1" applyBorder="1" applyAlignment="1">
      <alignment vertical="top" wrapText="1"/>
    </xf>
    <xf numFmtId="8" fontId="6" fillId="0" borderId="48" xfId="0" applyNumberFormat="1" applyFont="1" applyBorder="1" applyAlignment="1">
      <alignment vertical="top" wrapText="1"/>
    </xf>
    <xf numFmtId="0" fontId="0" fillId="0" borderId="31" xfId="0" applyBorder="1"/>
    <xf numFmtId="0" fontId="0" fillId="0" borderId="37" xfId="0" applyBorder="1"/>
    <xf numFmtId="0" fontId="3" fillId="0" borderId="0" xfId="0" applyFont="1" applyAlignment="1">
      <alignment horizontal="right"/>
    </xf>
    <xf numFmtId="6" fontId="1" fillId="0" borderId="28" xfId="0" applyNumberFormat="1" applyFont="1" applyBorder="1" applyAlignment="1">
      <alignment vertical="top" wrapText="1"/>
    </xf>
    <xf numFmtId="0" fontId="1" fillId="0" borderId="0" xfId="0" quotePrefix="1" applyFont="1" applyAlignment="1">
      <alignment horizontal="left" indent="5"/>
    </xf>
    <xf numFmtId="6" fontId="6" fillId="0" borderId="36" xfId="0" applyNumberFormat="1" applyFont="1" applyBorder="1" applyAlignment="1">
      <alignment vertical="top" wrapText="1"/>
    </xf>
    <xf numFmtId="6" fontId="6" fillId="0" borderId="23" xfId="0" applyNumberFormat="1" applyFont="1" applyBorder="1" applyAlignment="1">
      <alignment vertical="top" wrapText="1"/>
    </xf>
    <xf numFmtId="0" fontId="0" fillId="0" borderId="0" xfId="0" applyAlignment="1">
      <alignment horizontal="left" vertical="top" wrapText="1"/>
    </xf>
    <xf numFmtId="0" fontId="0" fillId="0" borderId="0" xfId="0" applyAlignment="1">
      <alignment horizontal="left" vertical="center" wrapText="1"/>
    </xf>
    <xf numFmtId="0" fontId="37" fillId="0" borderId="27" xfId="0" applyFont="1" applyBorder="1" applyAlignment="1">
      <alignment horizontal="center" vertical="top" wrapText="1"/>
    </xf>
    <xf numFmtId="9" fontId="37" fillId="0" borderId="26" xfId="1" applyFont="1" applyFill="1" applyBorder="1" applyAlignment="1">
      <alignment horizontal="center" vertical="center" wrapText="1"/>
    </xf>
    <xf numFmtId="164" fontId="8" fillId="16" borderId="5" xfId="0" applyNumberFormat="1" applyFont="1" applyFill="1" applyBorder="1" applyAlignment="1">
      <alignment horizontal="center" vertical="center" wrapText="1"/>
    </xf>
    <xf numFmtId="0" fontId="52" fillId="13" borderId="80" xfId="2" applyFont="1" applyFill="1" applyBorder="1" applyAlignment="1">
      <alignment vertical="top" wrapText="1"/>
    </xf>
    <xf numFmtId="0" fontId="1" fillId="17" borderId="25" xfId="0" applyFont="1" applyFill="1" applyBorder="1" applyAlignment="1">
      <alignment horizontal="left" vertical="top"/>
    </xf>
    <xf numFmtId="164" fontId="1" fillId="17" borderId="26" xfId="0" applyNumberFormat="1" applyFont="1" applyFill="1" applyBorder="1" applyAlignment="1">
      <alignment horizontal="center" vertical="top" wrapText="1"/>
    </xf>
    <xf numFmtId="164" fontId="1" fillId="17" borderId="27" xfId="0" applyNumberFormat="1" applyFont="1" applyFill="1" applyBorder="1" applyAlignment="1">
      <alignment horizontal="center" vertical="top" wrapText="1"/>
    </xf>
    <xf numFmtId="164" fontId="1" fillId="0" borderId="0" xfId="0" applyNumberFormat="1" applyFont="1" applyAlignment="1">
      <alignment horizontal="center" vertical="top" wrapText="1"/>
    </xf>
    <xf numFmtId="164" fontId="1" fillId="0" borderId="48" xfId="0" applyNumberFormat="1" applyFont="1" applyBorder="1" applyAlignment="1">
      <alignment horizontal="center" vertical="top" wrapText="1"/>
    </xf>
    <xf numFmtId="0" fontId="1" fillId="17" borderId="27" xfId="0" applyFont="1" applyFill="1" applyBorder="1" applyAlignment="1">
      <alignment horizontal="left" vertical="top" wrapText="1"/>
    </xf>
    <xf numFmtId="0" fontId="1" fillId="17" borderId="25" xfId="0" applyFont="1" applyFill="1" applyBorder="1" applyAlignment="1">
      <alignment vertical="top" wrapText="1"/>
    </xf>
    <xf numFmtId="0" fontId="1" fillId="17" borderId="26" xfId="0" applyFont="1" applyFill="1" applyBorder="1" applyAlignment="1">
      <alignment horizontal="center" vertical="top" wrapText="1"/>
    </xf>
    <xf numFmtId="0" fontId="1" fillId="17" borderId="27" xfId="0" applyFont="1" applyFill="1" applyBorder="1" applyAlignment="1">
      <alignment horizontal="center" vertical="top" wrapText="1"/>
    </xf>
    <xf numFmtId="0" fontId="1" fillId="0" borderId="0" xfId="0" applyFont="1" applyAlignment="1">
      <alignment horizontal="center" vertical="top" wrapText="1"/>
    </xf>
    <xf numFmtId="0" fontId="23" fillId="17" borderId="27" xfId="0" applyFont="1" applyFill="1" applyBorder="1" applyAlignment="1">
      <alignment horizontal="left" vertical="top" wrapText="1"/>
    </xf>
    <xf numFmtId="0" fontId="21" fillId="17" borderId="26" xfId="0" applyFont="1" applyFill="1" applyBorder="1" applyAlignment="1">
      <alignment horizontal="center" vertical="top" wrapText="1"/>
    </xf>
    <xf numFmtId="0" fontId="1" fillId="17" borderId="27" xfId="0" applyFont="1" applyFill="1" applyBorder="1" applyAlignment="1">
      <alignment horizontal="left" vertical="top"/>
    </xf>
    <xf numFmtId="0" fontId="32" fillId="17" borderId="25" xfId="0" applyFont="1" applyFill="1" applyBorder="1" applyAlignment="1">
      <alignment vertical="top"/>
    </xf>
    <xf numFmtId="0" fontId="21" fillId="17" borderId="27" xfId="0" applyFont="1" applyFill="1" applyBorder="1" applyAlignment="1">
      <alignment horizontal="center" vertical="top" wrapText="1"/>
    </xf>
    <xf numFmtId="0" fontId="77" fillId="17" borderId="25" xfId="0" applyFont="1" applyFill="1" applyBorder="1" applyAlignment="1">
      <alignment vertical="top" wrapText="1"/>
    </xf>
    <xf numFmtId="0" fontId="1" fillId="17" borderId="48" xfId="0" applyFont="1" applyFill="1" applyBorder="1" applyAlignment="1">
      <alignment horizontal="center" vertical="top" wrapText="1"/>
    </xf>
    <xf numFmtId="0" fontId="1" fillId="2" borderId="0" xfId="0" applyFont="1" applyFill="1" applyAlignment="1">
      <alignment horizontal="center" vertical="top" wrapText="1"/>
    </xf>
    <xf numFmtId="0" fontId="9" fillId="17" borderId="48" xfId="0" applyFont="1" applyFill="1" applyBorder="1" applyAlignment="1">
      <alignment horizontal="center" vertical="top" wrapText="1"/>
    </xf>
    <xf numFmtId="0" fontId="9" fillId="17" borderId="26" xfId="0" applyFont="1" applyFill="1" applyBorder="1" applyAlignment="1">
      <alignment horizontal="center" vertical="center" wrapText="1"/>
    </xf>
    <xf numFmtId="0" fontId="9" fillId="17" borderId="23" xfId="0" applyFont="1" applyFill="1" applyBorder="1" applyAlignment="1">
      <alignment horizontal="center" vertical="top" wrapText="1"/>
    </xf>
    <xf numFmtId="0" fontId="9" fillId="17" borderId="24" xfId="0" applyFont="1" applyFill="1" applyBorder="1" applyAlignment="1">
      <alignment horizontal="center" vertical="top" wrapText="1"/>
    </xf>
    <xf numFmtId="0" fontId="1" fillId="17" borderId="22" xfId="0" applyFont="1" applyFill="1" applyBorder="1" applyAlignment="1">
      <alignment vertical="top"/>
    </xf>
    <xf numFmtId="0" fontId="9" fillId="17" borderId="27" xfId="0" applyFont="1" applyFill="1" applyBorder="1" applyAlignment="1">
      <alignment horizontal="left" vertical="top" wrapText="1"/>
    </xf>
    <xf numFmtId="0" fontId="78" fillId="17" borderId="22" xfId="0" applyFont="1" applyFill="1" applyBorder="1" applyAlignment="1">
      <alignment vertical="top" wrapText="1"/>
    </xf>
    <xf numFmtId="0" fontId="9" fillId="17" borderId="47" xfId="0" applyFont="1" applyFill="1" applyBorder="1" applyAlignment="1">
      <alignment horizontal="center" vertical="top" wrapText="1"/>
    </xf>
    <xf numFmtId="0" fontId="1" fillId="17" borderId="25" xfId="0" applyFont="1" applyFill="1" applyBorder="1" applyAlignment="1">
      <alignment horizontal="left" vertical="top" wrapText="1"/>
    </xf>
    <xf numFmtId="0" fontId="0" fillId="9" borderId="0" xfId="0" applyFill="1" applyAlignment="1">
      <alignment vertical="top"/>
    </xf>
    <xf numFmtId="0" fontId="1" fillId="9" borderId="0" xfId="0" quotePrefix="1" applyFont="1" applyFill="1" applyAlignment="1">
      <alignment horizontal="left" vertical="top" wrapText="1" indent="3"/>
    </xf>
    <xf numFmtId="0" fontId="1" fillId="9" borderId="0" xfId="0" applyFont="1" applyFill="1" applyAlignment="1">
      <alignment horizontal="left" vertical="top" wrapText="1" indent="3"/>
    </xf>
    <xf numFmtId="0" fontId="57" fillId="0" borderId="0" xfId="0" applyFont="1" applyAlignment="1">
      <alignment horizontal="center" vertical="center"/>
    </xf>
    <xf numFmtId="0" fontId="57" fillId="0" borderId="45" xfId="0" applyFont="1" applyBorder="1" applyAlignment="1">
      <alignment horizontal="center" vertical="center"/>
    </xf>
    <xf numFmtId="166" fontId="6" fillId="0" borderId="0" xfId="0" applyNumberFormat="1" applyFont="1" applyAlignment="1">
      <alignment horizontal="center" vertical="top"/>
    </xf>
    <xf numFmtId="10" fontId="0" fillId="0" borderId="9" xfId="1" applyNumberFormat="1" applyFont="1" applyBorder="1" applyAlignment="1">
      <alignment horizontal="center"/>
    </xf>
    <xf numFmtId="10" fontId="8" fillId="0" borderId="21" xfId="1" applyNumberFormat="1" applyFont="1" applyFill="1" applyBorder="1" applyAlignment="1">
      <alignment horizontal="center" vertical="center" wrapText="1"/>
    </xf>
    <xf numFmtId="10" fontId="0" fillId="0" borderId="0" xfId="1" applyNumberFormat="1" applyFont="1" applyFill="1" applyBorder="1" applyAlignment="1">
      <alignment horizontal="left"/>
    </xf>
    <xf numFmtId="0" fontId="8" fillId="4" borderId="43" xfId="0" applyFont="1" applyFill="1" applyBorder="1" applyAlignment="1">
      <alignment horizontal="center" vertical="center" wrapText="1"/>
    </xf>
    <xf numFmtId="9" fontId="1" fillId="0" borderId="24" xfId="1" applyFont="1" applyBorder="1" applyAlignment="1">
      <alignment horizontal="center" vertical="top" wrapText="1"/>
    </xf>
    <xf numFmtId="0" fontId="1" fillId="17" borderId="24" xfId="0" applyFont="1" applyFill="1" applyBorder="1" applyAlignment="1">
      <alignment horizontal="center" vertical="top" wrapText="1"/>
    </xf>
    <xf numFmtId="14" fontId="1" fillId="0" borderId="26" xfId="0" applyNumberFormat="1" applyFont="1" applyBorder="1" applyAlignment="1">
      <alignment horizontal="center" vertical="top" wrapText="1"/>
    </xf>
    <xf numFmtId="0" fontId="8" fillId="0" borderId="0" xfId="0" applyFont="1"/>
    <xf numFmtId="14" fontId="1" fillId="0" borderId="27" xfId="0" applyNumberFormat="1" applyFont="1" applyBorder="1" applyAlignment="1">
      <alignment horizontal="center" vertical="top" wrapText="1"/>
    </xf>
    <xf numFmtId="167" fontId="6" fillId="16" borderId="31" xfId="0" applyNumberFormat="1" applyFont="1" applyFill="1" applyBorder="1" applyAlignment="1">
      <alignment horizontal="center" vertical="top" wrapText="1"/>
    </xf>
    <xf numFmtId="0" fontId="6" fillId="0" borderId="96" xfId="0" applyFont="1" applyBorder="1" applyAlignment="1">
      <alignment horizontal="left" vertical="top"/>
    </xf>
    <xf numFmtId="14" fontId="6" fillId="0" borderId="51" xfId="0" applyNumberFormat="1" applyFont="1" applyBorder="1" applyAlignment="1">
      <alignment horizontal="left" vertical="top"/>
    </xf>
    <xf numFmtId="0" fontId="6" fillId="0" borderId="51" xfId="0" applyFont="1" applyBorder="1" applyAlignment="1">
      <alignment vertical="top"/>
    </xf>
    <xf numFmtId="0" fontId="1" fillId="17" borderId="23" xfId="0" applyFont="1" applyFill="1" applyBorder="1" applyAlignment="1">
      <alignment horizontal="center" vertical="top" wrapText="1"/>
    </xf>
    <xf numFmtId="0" fontId="16" fillId="0" borderId="0" xfId="0" applyFont="1" applyAlignment="1">
      <alignment vertical="top" wrapText="1"/>
    </xf>
    <xf numFmtId="0" fontId="1" fillId="0" borderId="0" xfId="0" quotePrefix="1" applyFont="1" applyAlignment="1">
      <alignment horizontal="left" vertical="top" wrapText="1"/>
    </xf>
    <xf numFmtId="0" fontId="1" fillId="0" borderId="45" xfId="0" quotePrefix="1" applyFont="1" applyBorder="1" applyAlignment="1">
      <alignment horizontal="left" vertical="top" wrapText="1"/>
    </xf>
    <xf numFmtId="0" fontId="1" fillId="0" borderId="32" xfId="0" applyFont="1" applyBorder="1" applyAlignment="1">
      <alignment vertical="top" wrapText="1"/>
    </xf>
    <xf numFmtId="0" fontId="1" fillId="0" borderId="32" xfId="0" applyFont="1" applyBorder="1" applyAlignment="1">
      <alignment vertical="top"/>
    </xf>
    <xf numFmtId="0" fontId="8" fillId="0" borderId="18" xfId="0" applyFont="1" applyBorder="1" applyAlignment="1">
      <alignment horizontal="left" vertical="center" wrapText="1"/>
    </xf>
    <xf numFmtId="164" fontId="0" fillId="0" borderId="18" xfId="0" applyNumberFormat="1" applyBorder="1" applyAlignment="1">
      <alignment horizontal="center" vertical="center"/>
    </xf>
    <xf numFmtId="164" fontId="0" fillId="0" borderId="0" xfId="0" applyNumberFormat="1" applyAlignment="1">
      <alignment vertical="center"/>
    </xf>
    <xf numFmtId="164" fontId="1" fillId="0" borderId="26" xfId="0" applyNumberFormat="1" applyFont="1" applyBorder="1" applyAlignment="1">
      <alignment horizontal="center" vertical="top" wrapText="1"/>
    </xf>
    <xf numFmtId="166" fontId="1" fillId="0" borderId="48" xfId="0" applyNumberFormat="1" applyFont="1" applyBorder="1" applyAlignment="1">
      <alignment horizontal="center" vertical="top"/>
    </xf>
    <xf numFmtId="165" fontId="1" fillId="0" borderId="49" xfId="0" applyNumberFormat="1" applyFont="1" applyBorder="1" applyAlignment="1">
      <alignment horizontal="center" vertical="top"/>
    </xf>
    <xf numFmtId="167" fontId="6" fillId="0" borderId="26" xfId="0" applyNumberFormat="1" applyFont="1" applyBorder="1" applyAlignment="1">
      <alignment horizontal="center" vertical="top" wrapText="1"/>
    </xf>
    <xf numFmtId="164" fontId="9" fillId="0" borderId="0" xfId="0" applyNumberFormat="1" applyFont="1" applyAlignment="1">
      <alignment horizontal="center" vertical="top" wrapText="1"/>
    </xf>
    <xf numFmtId="166" fontId="9" fillId="0" borderId="45" xfId="0" applyNumberFormat="1" applyFont="1" applyBorder="1" applyAlignment="1">
      <alignment horizontal="center" vertical="top"/>
    </xf>
    <xf numFmtId="14" fontId="6" fillId="0" borderId="36" xfId="0" applyNumberFormat="1" applyFont="1" applyBorder="1" applyAlignment="1">
      <alignment vertical="top" wrapText="1"/>
    </xf>
    <xf numFmtId="14" fontId="6" fillId="0" borderId="23" xfId="0" applyNumberFormat="1" applyFont="1" applyBorder="1" applyAlignment="1">
      <alignment vertical="top" wrapText="1"/>
    </xf>
    <xf numFmtId="6" fontId="1" fillId="0" borderId="27" xfId="0" applyNumberFormat="1" applyFont="1" applyBorder="1" applyAlignment="1">
      <alignment horizontal="left" vertical="top" wrapText="1"/>
    </xf>
    <xf numFmtId="8" fontId="0" fillId="0" borderId="0" xfId="0" applyNumberFormat="1"/>
    <xf numFmtId="0" fontId="1" fillId="0" borderId="25" xfId="0" applyFont="1" applyBorder="1" applyAlignment="1">
      <alignment horizontal="left" vertical="top" indent="2"/>
    </xf>
    <xf numFmtId="0" fontId="9" fillId="0" borderId="0" xfId="0" applyFont="1" applyAlignment="1">
      <alignment horizontal="left" vertical="center"/>
    </xf>
    <xf numFmtId="0" fontId="9" fillId="0" borderId="0" xfId="0" applyFont="1" applyAlignment="1">
      <alignment horizontal="center" vertical="center" wrapText="1"/>
    </xf>
    <xf numFmtId="0" fontId="9" fillId="0" borderId="0" xfId="0" applyFont="1" applyAlignment="1">
      <alignment horizontal="center" vertical="center"/>
    </xf>
    <xf numFmtId="166" fontId="9" fillId="4" borderId="68" xfId="1" applyNumberFormat="1" applyFont="1" applyFill="1" applyBorder="1" applyAlignment="1">
      <alignment horizontal="center" vertical="top"/>
    </xf>
    <xf numFmtId="166" fontId="9" fillId="0" borderId="0" xfId="1" applyNumberFormat="1" applyFont="1" applyFill="1" applyBorder="1" applyAlignment="1">
      <alignment horizontal="center" vertical="top"/>
    </xf>
    <xf numFmtId="0" fontId="18" fillId="0" borderId="0" xfId="0" applyFont="1" applyAlignment="1">
      <alignment horizontal="left" vertical="top" wrapText="1"/>
    </xf>
    <xf numFmtId="166" fontId="1" fillId="0" borderId="23" xfId="0" applyNumberFormat="1" applyFont="1" applyBorder="1" applyAlignment="1">
      <alignment horizontal="center" vertical="center"/>
    </xf>
    <xf numFmtId="14" fontId="6" fillId="0" borderId="26" xfId="0" applyNumberFormat="1" applyFont="1" applyBorder="1" applyAlignment="1">
      <alignment horizontal="center" vertical="top" wrapText="1"/>
    </xf>
    <xf numFmtId="1" fontId="6" fillId="0" borderId="26" xfId="0" applyNumberFormat="1" applyFont="1" applyBorder="1" applyAlignment="1">
      <alignment horizontal="center" vertical="center" wrapText="1"/>
    </xf>
    <xf numFmtId="1" fontId="6" fillId="0" borderId="25" xfId="0" applyNumberFormat="1" applyFont="1" applyBorder="1" applyAlignment="1">
      <alignment horizontal="center" vertical="center" wrapText="1"/>
    </xf>
    <xf numFmtId="164" fontId="6" fillId="0" borderId="25" xfId="0" applyNumberFormat="1" applyFont="1" applyBorder="1" applyAlignment="1">
      <alignment horizontal="center" vertical="center" wrapText="1"/>
    </xf>
    <xf numFmtId="9" fontId="39" fillId="0" borderId="30" xfId="0" applyNumberFormat="1" applyFont="1" applyBorder="1" applyAlignment="1">
      <alignment horizontal="center" vertical="top" wrapText="1"/>
    </xf>
    <xf numFmtId="165" fontId="6" fillId="6" borderId="32" xfId="0" applyNumberFormat="1" applyFont="1" applyFill="1" applyBorder="1" applyAlignment="1">
      <alignment horizontal="center" vertical="top" wrapText="1"/>
    </xf>
    <xf numFmtId="9" fontId="6" fillId="0" borderId="30" xfId="0" applyNumberFormat="1" applyFont="1" applyBorder="1" applyAlignment="1">
      <alignment vertical="top" wrapText="1"/>
    </xf>
    <xf numFmtId="9" fontId="1" fillId="0" borderId="24" xfId="0" applyNumberFormat="1" applyFont="1" applyBorder="1" applyAlignment="1">
      <alignment horizontal="center" vertical="top" wrapText="1"/>
    </xf>
    <xf numFmtId="0" fontId="1" fillId="0" borderId="130" xfId="0" applyFont="1" applyBorder="1" applyAlignment="1">
      <alignment horizontal="center" vertical="center" wrapText="1"/>
    </xf>
    <xf numFmtId="0" fontId="1" fillId="0" borderId="131" xfId="0" applyFont="1" applyBorder="1" applyAlignment="1">
      <alignment horizontal="center" vertical="center" wrapText="1"/>
    </xf>
    <xf numFmtId="0" fontId="0" fillId="0" borderId="39" xfId="0" applyBorder="1" applyAlignment="1">
      <alignment vertical="top"/>
    </xf>
    <xf numFmtId="9" fontId="6" fillId="0" borderId="31" xfId="0" applyNumberFormat="1" applyFont="1" applyBorder="1" applyAlignment="1">
      <alignment horizontal="center" vertical="top" wrapText="1"/>
    </xf>
    <xf numFmtId="0" fontId="1" fillId="0" borderId="0" xfId="0" quotePrefix="1" applyFont="1" applyAlignment="1">
      <alignment horizontal="left" vertical="center" wrapText="1"/>
    </xf>
    <xf numFmtId="164" fontId="0" fillId="0" borderId="0" xfId="0" applyNumberFormat="1"/>
    <xf numFmtId="166" fontId="1" fillId="0" borderId="26" xfId="0" applyNumberFormat="1" applyFont="1" applyBorder="1" applyAlignment="1">
      <alignment horizontal="center" vertical="center" wrapText="1"/>
    </xf>
    <xf numFmtId="9" fontId="0" fillId="0" borderId="0" xfId="1" applyFont="1" applyFill="1" applyBorder="1" applyAlignment="1">
      <alignment horizontal="left"/>
    </xf>
    <xf numFmtId="10" fontId="6" fillId="0" borderId="29" xfId="1" applyNumberFormat="1" applyFont="1" applyBorder="1" applyAlignment="1">
      <alignment horizontal="center" vertical="center" wrapText="1"/>
    </xf>
    <xf numFmtId="10" fontId="0" fillId="0" borderId="0" xfId="0" applyNumberFormat="1" applyAlignment="1">
      <alignment vertical="center"/>
    </xf>
    <xf numFmtId="10" fontId="0" fillId="0" borderId="0" xfId="1" applyNumberFormat="1" applyFont="1" applyAlignment="1">
      <alignment vertical="center"/>
    </xf>
    <xf numFmtId="166" fontId="6" fillId="0" borderId="29" xfId="1" applyNumberFormat="1" applyFont="1" applyBorder="1" applyAlignment="1">
      <alignment horizontal="center" vertical="center"/>
    </xf>
    <xf numFmtId="10" fontId="0" fillId="0" borderId="0" xfId="1" applyNumberFormat="1" applyFont="1"/>
    <xf numFmtId="0" fontId="6" fillId="0" borderId="24" xfId="0" applyFont="1" applyBorder="1" applyAlignment="1">
      <alignment horizontal="center" vertical="center"/>
    </xf>
    <xf numFmtId="166" fontId="6" fillId="0" borderId="27" xfId="0" applyNumberFormat="1" applyFont="1" applyBorder="1" applyAlignment="1">
      <alignment horizontal="center" vertical="center"/>
    </xf>
    <xf numFmtId="166" fontId="1" fillId="0" borderId="27" xfId="0" applyNumberFormat="1" applyFont="1" applyBorder="1" applyAlignment="1">
      <alignment horizontal="center" vertical="center"/>
    </xf>
    <xf numFmtId="166" fontId="6" fillId="0" borderId="24" xfId="0" applyNumberFormat="1" applyFont="1" applyBorder="1" applyAlignment="1">
      <alignment horizontal="center" vertical="center"/>
    </xf>
    <xf numFmtId="166" fontId="6" fillId="0" borderId="30" xfId="0" applyNumberFormat="1" applyFont="1" applyBorder="1" applyAlignment="1">
      <alignment horizontal="center" vertical="center"/>
    </xf>
    <xf numFmtId="166" fontId="6" fillId="0" borderId="30" xfId="1" applyNumberFormat="1" applyFont="1" applyBorder="1" applyAlignment="1">
      <alignment horizontal="center" vertical="center"/>
    </xf>
    <xf numFmtId="166" fontId="9" fillId="4" borderId="132" xfId="1" applyNumberFormat="1" applyFont="1" applyFill="1" applyBorder="1" applyAlignment="1">
      <alignment horizontal="center" vertical="top"/>
    </xf>
    <xf numFmtId="166" fontId="1" fillId="0" borderId="24" xfId="0" applyNumberFormat="1" applyFont="1" applyBorder="1" applyAlignment="1">
      <alignment horizontal="center" vertical="center"/>
    </xf>
    <xf numFmtId="166" fontId="9" fillId="4" borderId="132" xfId="0" applyNumberFormat="1" applyFont="1" applyFill="1" applyBorder="1" applyAlignment="1">
      <alignment horizontal="center" vertical="center"/>
    </xf>
    <xf numFmtId="10" fontId="6" fillId="0" borderId="26" xfId="1"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166" fontId="1" fillId="0" borderId="26" xfId="0" applyNumberFormat="1" applyFont="1" applyBorder="1" applyAlignment="1">
      <alignment horizontal="center" vertical="center"/>
    </xf>
    <xf numFmtId="0" fontId="6" fillId="0" borderId="29" xfId="0" applyFont="1" applyBorder="1" applyAlignment="1">
      <alignment vertical="top" wrapText="1"/>
    </xf>
    <xf numFmtId="14" fontId="6" fillId="0" borderId="29" xfId="0" applyNumberFormat="1" applyFont="1" applyBorder="1" applyAlignment="1">
      <alignment vertical="top" wrapText="1"/>
    </xf>
    <xf numFmtId="164" fontId="6" fillId="0" borderId="50" xfId="0" applyNumberFormat="1" applyFont="1" applyBorder="1" applyAlignment="1">
      <alignment horizontal="center" vertical="top" wrapText="1"/>
    </xf>
    <xf numFmtId="175" fontId="6" fillId="0" borderId="27" xfId="0" applyNumberFormat="1" applyFont="1" applyBorder="1" applyAlignment="1">
      <alignment horizontal="center" vertical="top" wrapText="1"/>
    </xf>
    <xf numFmtId="44" fontId="0" fillId="0" borderId="0" xfId="3" applyFont="1"/>
    <xf numFmtId="0" fontId="31" fillId="13" borderId="81" xfId="0" applyFont="1" applyFill="1" applyBorder="1" applyAlignment="1">
      <alignment vertical="center" wrapText="1"/>
    </xf>
    <xf numFmtId="164" fontId="8" fillId="16" borderId="6" xfId="0" applyNumberFormat="1" applyFont="1" applyFill="1" applyBorder="1" applyAlignment="1">
      <alignment horizontal="center" vertical="center" wrapText="1"/>
    </xf>
    <xf numFmtId="0" fontId="8" fillId="16" borderId="5" xfId="0" applyFont="1" applyFill="1" applyBorder="1" applyAlignment="1">
      <alignment horizontal="center" vertical="center" wrapText="1"/>
    </xf>
    <xf numFmtId="165" fontId="0" fillId="16" borderId="0" xfId="0" applyNumberFormat="1" applyFill="1" applyAlignment="1">
      <alignment horizontal="left"/>
    </xf>
    <xf numFmtId="0" fontId="8" fillId="16" borderId="42" xfId="0" applyFont="1" applyFill="1" applyBorder="1" applyAlignment="1">
      <alignment horizontal="center" vertical="center" wrapText="1"/>
    </xf>
    <xf numFmtId="164" fontId="8" fillId="16" borderId="42" xfId="0" applyNumberFormat="1" applyFont="1" applyFill="1" applyBorder="1" applyAlignment="1">
      <alignment horizontal="center" vertical="center" wrapText="1"/>
    </xf>
    <xf numFmtId="164" fontId="8" fillId="0" borderId="16" xfId="0" applyNumberFormat="1" applyFont="1" applyBorder="1" applyAlignment="1">
      <alignment horizontal="center" vertical="center" wrapText="1"/>
    </xf>
    <xf numFmtId="0" fontId="6" fillId="16" borderId="29" xfId="0" applyFont="1" applyFill="1" applyBorder="1" applyAlignment="1">
      <alignment horizontal="left" vertical="top" wrapText="1"/>
    </xf>
    <xf numFmtId="173" fontId="6" fillId="16" borderId="27" xfId="0" applyNumberFormat="1" applyFont="1" applyFill="1" applyBorder="1" applyAlignment="1">
      <alignment horizontal="left" vertical="top" wrapText="1"/>
    </xf>
    <xf numFmtId="6" fontId="1" fillId="16" borderId="25" xfId="0" applyNumberFormat="1" applyFont="1" applyFill="1" applyBorder="1" applyAlignment="1">
      <alignment horizontal="left" vertical="top" wrapText="1"/>
    </xf>
    <xf numFmtId="6" fontId="6" fillId="16" borderId="25" xfId="0" applyNumberFormat="1" applyFont="1" applyFill="1" applyBorder="1" applyAlignment="1">
      <alignment horizontal="left" vertical="top" wrapText="1"/>
    </xf>
    <xf numFmtId="0" fontId="6" fillId="16" borderId="36" xfId="0" applyFont="1" applyFill="1" applyBorder="1" applyAlignment="1">
      <alignment horizontal="left" vertical="top" wrapText="1"/>
    </xf>
    <xf numFmtId="0" fontId="6" fillId="16" borderId="23" xfId="0" applyFont="1" applyFill="1" applyBorder="1" applyAlignment="1">
      <alignment horizontal="left" vertical="top" wrapText="1"/>
    </xf>
    <xf numFmtId="0" fontId="81" fillId="13" borderId="84" xfId="2" applyFont="1" applyFill="1" applyBorder="1" applyAlignment="1">
      <alignment horizontal="left" wrapText="1"/>
    </xf>
    <xf numFmtId="0" fontId="52" fillId="13" borderId="78" xfId="2" applyFont="1" applyFill="1" applyBorder="1" applyAlignment="1">
      <alignment horizontal="left" vertical="top" wrapText="1"/>
    </xf>
    <xf numFmtId="0" fontId="14" fillId="16" borderId="0" xfId="0" applyFont="1" applyFill="1"/>
    <xf numFmtId="49" fontId="6" fillId="16" borderId="0" xfId="0" quotePrefix="1" applyNumberFormat="1" applyFont="1" applyFill="1" applyAlignment="1">
      <alignment horizontal="left" vertical="top" wrapText="1"/>
    </xf>
    <xf numFmtId="49" fontId="6" fillId="16" borderId="45" xfId="0" quotePrefix="1" applyNumberFormat="1" applyFont="1" applyFill="1" applyBorder="1" applyAlignment="1">
      <alignment horizontal="left" vertical="top" wrapText="1"/>
    </xf>
    <xf numFmtId="0" fontId="31" fillId="0" borderId="0" xfId="0" quotePrefix="1" applyFont="1" applyAlignment="1">
      <alignment horizontal="left"/>
    </xf>
    <xf numFmtId="0" fontId="6" fillId="0" borderId="0" xfId="0" applyFont="1" applyAlignment="1">
      <alignment horizontal="left"/>
    </xf>
    <xf numFmtId="0" fontId="0" fillId="16" borderId="0" xfId="0" applyFill="1"/>
    <xf numFmtId="49" fontId="1" fillId="2" borderId="0" xfId="0" quotePrefix="1" applyNumberFormat="1" applyFont="1" applyFill="1" applyAlignment="1">
      <alignment horizontal="left" vertical="top" wrapText="1"/>
    </xf>
    <xf numFmtId="49" fontId="6" fillId="2" borderId="0" xfId="0" quotePrefix="1" applyNumberFormat="1" applyFont="1" applyFill="1" applyAlignment="1">
      <alignment horizontal="left" vertical="top" wrapText="1"/>
    </xf>
    <xf numFmtId="49" fontId="6" fillId="2" borderId="45" xfId="0" quotePrefix="1" applyNumberFormat="1" applyFont="1" applyFill="1" applyBorder="1" applyAlignment="1">
      <alignment horizontal="left" vertical="top" wrapText="1"/>
    </xf>
    <xf numFmtId="0" fontId="7" fillId="18" borderId="0" xfId="0" applyFont="1" applyFill="1"/>
    <xf numFmtId="0" fontId="43" fillId="18" borderId="0" xfId="0" applyFont="1" applyFill="1"/>
    <xf numFmtId="0" fontId="3" fillId="18" borderId="0" xfId="0" applyFont="1" applyFill="1"/>
    <xf numFmtId="0" fontId="0" fillId="18" borderId="0" xfId="0" applyFill="1"/>
    <xf numFmtId="0" fontId="23" fillId="0" borderId="133" xfId="0" applyFont="1" applyBorder="1" applyAlignment="1">
      <alignment horizontal="center" vertical="top" wrapText="1"/>
    </xf>
    <xf numFmtId="0" fontId="6" fillId="0" borderId="134" xfId="0" applyFont="1" applyBorder="1" applyAlignment="1">
      <alignment horizontal="left" vertical="top" wrapText="1"/>
    </xf>
    <xf numFmtId="0" fontId="1" fillId="16" borderId="27" xfId="0" applyFont="1" applyFill="1" applyBorder="1" applyAlignment="1">
      <alignment horizontal="center" vertical="top" wrapText="1"/>
    </xf>
    <xf numFmtId="0" fontId="0" fillId="16" borderId="0" xfId="0" applyFill="1" applyAlignment="1">
      <alignment vertical="top"/>
    </xf>
    <xf numFmtId="0" fontId="6" fillId="16" borderId="0" xfId="0" applyFont="1" applyFill="1" applyAlignment="1">
      <alignment horizontal="center" vertical="top" wrapText="1"/>
    </xf>
    <xf numFmtId="0" fontId="0" fillId="0" borderId="135" xfId="0" applyBorder="1"/>
    <xf numFmtId="0" fontId="0" fillId="0" borderId="136" xfId="0" applyBorder="1" applyAlignment="1">
      <alignment vertical="top"/>
    </xf>
    <xf numFmtId="0" fontId="6" fillId="0" borderId="137" xfId="0" applyFont="1" applyBorder="1" applyAlignment="1">
      <alignment horizontal="left" vertical="top" wrapText="1"/>
    </xf>
    <xf numFmtId="0" fontId="0" fillId="0" borderId="138" xfId="0" applyBorder="1" applyAlignment="1">
      <alignment vertical="top" wrapText="1"/>
    </xf>
    <xf numFmtId="0" fontId="6" fillId="0" borderId="139" xfId="0" applyFont="1" applyBorder="1" applyAlignment="1">
      <alignment horizontal="left" vertical="top" wrapText="1"/>
    </xf>
    <xf numFmtId="49" fontId="6" fillId="0" borderId="139" xfId="0" applyNumberFormat="1" applyFont="1" applyBorder="1" applyAlignment="1">
      <alignment horizontal="left" vertical="top" wrapText="1"/>
    </xf>
    <xf numFmtId="49" fontId="1" fillId="0" borderId="139" xfId="0" applyNumberFormat="1" applyFont="1" applyBorder="1" applyAlignment="1">
      <alignment horizontal="left" vertical="top" wrapText="1"/>
    </xf>
    <xf numFmtId="0" fontId="1" fillId="0" borderId="137" xfId="0" quotePrefix="1" applyFont="1" applyBorder="1" applyAlignment="1">
      <alignment horizontal="left" vertical="top" wrapText="1"/>
    </xf>
    <xf numFmtId="0" fontId="6" fillId="0" borderId="140" xfId="0" applyFont="1" applyBorder="1" applyAlignment="1">
      <alignment horizontal="left" vertical="top" wrapText="1"/>
    </xf>
    <xf numFmtId="0" fontId="0" fillId="0" borderId="141" xfId="0" applyBorder="1" applyAlignment="1">
      <alignment vertical="top"/>
    </xf>
    <xf numFmtId="49" fontId="1" fillId="0" borderId="137" xfId="0" applyNumberFormat="1" applyFont="1" applyBorder="1" applyAlignment="1">
      <alignment horizontal="left" vertical="top" wrapText="1"/>
    </xf>
    <xf numFmtId="9" fontId="0" fillId="0" borderId="0" xfId="0" applyNumberFormat="1" applyAlignment="1">
      <alignment horizontal="center"/>
    </xf>
    <xf numFmtId="0" fontId="14" fillId="0" borderId="0" xfId="0" applyFont="1" applyAlignment="1">
      <alignment horizontal="right" vertical="center" wrapText="1"/>
    </xf>
    <xf numFmtId="0" fontId="14" fillId="0" borderId="10" xfId="0" applyFont="1" applyBorder="1" applyAlignment="1">
      <alignment horizontal="right" vertical="center" wrapText="1"/>
    </xf>
    <xf numFmtId="9" fontId="0" fillId="0" borderId="0" xfId="1" applyFont="1"/>
    <xf numFmtId="0" fontId="1" fillId="0" borderId="0" xfId="0" quotePrefix="1" applyFont="1" applyAlignment="1">
      <alignment vertical="center"/>
    </xf>
    <xf numFmtId="0" fontId="0" fillId="19" borderId="0" xfId="0" applyFill="1"/>
    <xf numFmtId="0" fontId="0" fillId="2" borderId="0" xfId="0" applyFill="1"/>
    <xf numFmtId="0" fontId="11" fillId="0" borderId="44" xfId="0" applyFont="1" applyBorder="1" applyAlignment="1">
      <alignment horizontal="right" vertical="center" wrapText="1"/>
    </xf>
    <xf numFmtId="0" fontId="8" fillId="4" borderId="42" xfId="0" applyFont="1" applyFill="1" applyBorder="1" applyAlignment="1">
      <alignment horizontal="center" vertical="center" wrapText="1"/>
    </xf>
    <xf numFmtId="0" fontId="5" fillId="0" borderId="44" xfId="0" applyFont="1"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164" fontId="0" fillId="4" borderId="43" xfId="0" applyNumberFormat="1" applyFill="1" applyBorder="1" applyAlignment="1">
      <alignment horizontal="center" wrapText="1"/>
    </xf>
    <xf numFmtId="164" fontId="1" fillId="0" borderId="27" xfId="0" applyNumberFormat="1" applyFont="1" applyBorder="1" applyAlignment="1">
      <alignment horizontal="center" vertical="top" wrapText="1"/>
    </xf>
    <xf numFmtId="164" fontId="1" fillId="0" borderId="29" xfId="0" applyNumberFormat="1" applyFont="1" applyBorder="1" applyAlignment="1">
      <alignment horizontal="center" vertical="top" wrapText="1"/>
    </xf>
    <xf numFmtId="164" fontId="1" fillId="0" borderId="30" xfId="0" applyNumberFormat="1" applyFont="1" applyBorder="1" applyAlignment="1">
      <alignment horizontal="center" vertical="top" wrapText="1"/>
    </xf>
    <xf numFmtId="164" fontId="1" fillId="0" borderId="49" xfId="0" applyNumberFormat="1" applyFont="1" applyBorder="1" applyAlignment="1">
      <alignment horizontal="center" vertical="top" wrapText="1"/>
    </xf>
    <xf numFmtId="164" fontId="1" fillId="0" borderId="25" xfId="0" applyNumberFormat="1" applyFont="1" applyBorder="1" applyAlignment="1">
      <alignment horizontal="center" vertical="top" wrapText="1"/>
    </xf>
    <xf numFmtId="164" fontId="1" fillId="0" borderId="28" xfId="0" applyNumberFormat="1" applyFont="1" applyBorder="1" applyAlignment="1">
      <alignment horizontal="center" vertical="top" wrapText="1"/>
    </xf>
    <xf numFmtId="0" fontId="1" fillId="0" borderId="0" xfId="0" applyFont="1" applyAlignment="1">
      <alignment vertical="top"/>
    </xf>
    <xf numFmtId="0" fontId="1" fillId="0" borderId="45" xfId="0" applyFont="1" applyBorder="1" applyAlignment="1">
      <alignment horizontal="center" vertical="top" wrapText="1"/>
    </xf>
    <xf numFmtId="14" fontId="0" fillId="0" borderId="0" xfId="0" applyNumberFormat="1" applyAlignment="1">
      <alignment vertical="top"/>
    </xf>
    <xf numFmtId="0" fontId="1" fillId="0" borderId="0" xfId="0" quotePrefix="1" applyFont="1" applyAlignment="1">
      <alignment horizontal="center" vertical="top" wrapText="1"/>
    </xf>
    <xf numFmtId="49" fontId="1" fillId="0" borderId="0" xfId="0" quotePrefix="1" applyNumberFormat="1" applyFont="1" applyAlignment="1">
      <alignment vertical="top" wrapText="1"/>
    </xf>
    <xf numFmtId="49" fontId="1" fillId="0" borderId="0" xfId="0" quotePrefix="1" applyNumberFormat="1" applyFont="1" applyAlignment="1">
      <alignment horizontal="center" vertical="top" wrapText="1"/>
    </xf>
    <xf numFmtId="0" fontId="9" fillId="0" borderId="22" xfId="0" applyFont="1" applyBorder="1" applyAlignment="1">
      <alignment vertical="top"/>
    </xf>
    <xf numFmtId="0" fontId="9" fillId="0" borderId="24" xfId="0" applyFont="1" applyBorder="1" applyAlignment="1">
      <alignment horizontal="center" vertical="top" wrapText="1"/>
    </xf>
    <xf numFmtId="0" fontId="9" fillId="0" borderId="22" xfId="0" applyFont="1" applyBorder="1" applyAlignment="1">
      <alignment vertical="top" wrapText="1"/>
    </xf>
    <xf numFmtId="0" fontId="1" fillId="0" borderId="37" xfId="0" applyFont="1" applyBorder="1" applyAlignment="1">
      <alignment horizontal="left" vertical="top" wrapText="1"/>
    </xf>
    <xf numFmtId="0" fontId="7" fillId="16" borderId="0" xfId="0" applyFont="1" applyFill="1"/>
    <xf numFmtId="10" fontId="0" fillId="0" borderId="0" xfId="1" applyNumberFormat="1" applyFont="1" applyAlignment="1">
      <alignment horizontal="left"/>
    </xf>
    <xf numFmtId="0" fontId="1" fillId="0" borderId="23" xfId="0" applyFont="1" applyBorder="1" applyAlignment="1">
      <alignment horizontal="center" vertical="center" wrapText="1"/>
    </xf>
    <xf numFmtId="3" fontId="1" fillId="0" borderId="26" xfId="0" applyNumberFormat="1" applyFont="1" applyBorder="1" applyAlignment="1">
      <alignment horizontal="center" vertical="center" wrapText="1"/>
    </xf>
    <xf numFmtId="1" fontId="8" fillId="4" borderId="53" xfId="0" applyNumberFormat="1" applyFont="1" applyFill="1" applyBorder="1" applyAlignment="1">
      <alignment horizontal="center" vertical="center" wrapText="1"/>
    </xf>
    <xf numFmtId="0" fontId="7" fillId="20" borderId="0" xfId="0" applyFont="1" applyFill="1"/>
    <xf numFmtId="0" fontId="0" fillId="2" borderId="0" xfId="0" applyFill="1" applyAlignment="1">
      <alignment horizontal="left"/>
    </xf>
    <xf numFmtId="9" fontId="8" fillId="0" borderId="21" xfId="0" applyNumberFormat="1" applyFont="1" applyBorder="1" applyAlignment="1">
      <alignment horizontal="center" vertical="center" wrapText="1"/>
    </xf>
    <xf numFmtId="10" fontId="6" fillId="0" borderId="23" xfId="0" applyNumberFormat="1" applyFont="1" applyBorder="1" applyAlignment="1">
      <alignment horizontal="center" vertical="center" wrapText="1"/>
    </xf>
    <xf numFmtId="9" fontId="6" fillId="0" borderId="26" xfId="1" applyFont="1" applyBorder="1" applyAlignment="1">
      <alignment horizontal="center" vertical="center" wrapText="1"/>
    </xf>
    <xf numFmtId="9" fontId="6" fillId="0" borderId="26" xfId="0" applyNumberFormat="1" applyFont="1" applyBorder="1" applyAlignment="1">
      <alignment horizontal="center" vertical="center" wrapText="1"/>
    </xf>
    <xf numFmtId="0" fontId="1" fillId="2" borderId="62" xfId="0" applyFont="1" applyFill="1" applyBorder="1" applyAlignment="1">
      <alignment horizontal="center" vertical="center" wrapText="1"/>
    </xf>
    <xf numFmtId="0" fontId="1" fillId="2" borderId="63" xfId="0" applyFont="1" applyFill="1" applyBorder="1" applyAlignment="1">
      <alignment horizontal="center" vertical="center" wrapText="1"/>
    </xf>
    <xf numFmtId="0" fontId="1" fillId="2" borderId="64" xfId="0" applyFont="1" applyFill="1" applyBorder="1" applyAlignment="1">
      <alignment horizontal="center" vertical="center" wrapText="1"/>
    </xf>
    <xf numFmtId="0" fontId="6" fillId="2" borderId="26" xfId="0" applyFont="1" applyFill="1" applyBorder="1" applyAlignment="1">
      <alignment horizontal="center" vertical="top" wrapText="1"/>
    </xf>
    <xf numFmtId="0" fontId="17" fillId="0" borderId="0" xfId="0" applyFont="1" applyAlignment="1">
      <alignment horizontal="left" vertical="center" wrapText="1"/>
    </xf>
    <xf numFmtId="0" fontId="9" fillId="0" borderId="28" xfId="0" applyFont="1" applyBorder="1" applyAlignment="1">
      <alignment horizontal="right" vertical="top"/>
    </xf>
    <xf numFmtId="0" fontId="9" fillId="0" borderId="37" xfId="0" applyFont="1" applyBorder="1" applyAlignment="1">
      <alignment horizontal="right" vertical="top" wrapText="1"/>
    </xf>
    <xf numFmtId="0" fontId="18" fillId="20" borderId="0" xfId="0" applyFont="1" applyFill="1" applyAlignment="1">
      <alignment vertical="center"/>
    </xf>
    <xf numFmtId="9" fontId="0" fillId="0" borderId="0" xfId="0" applyNumberFormat="1" applyAlignment="1">
      <alignment horizontal="left"/>
    </xf>
    <xf numFmtId="0" fontId="80" fillId="2" borderId="0" xfId="0" applyFont="1" applyFill="1" applyAlignment="1">
      <alignment horizontal="right" vertical="center" wrapText="1"/>
    </xf>
    <xf numFmtId="0" fontId="0" fillId="2" borderId="0" xfId="0" applyFill="1" applyAlignment="1">
      <alignment horizontal="right" vertical="center"/>
    </xf>
    <xf numFmtId="0" fontId="49" fillId="0" borderId="0" xfId="0" applyFont="1" applyAlignment="1">
      <alignment horizontal="left" vertical="center" wrapText="1"/>
    </xf>
    <xf numFmtId="0" fontId="0" fillId="11" borderId="71" xfId="0" applyFill="1" applyBorder="1" applyAlignment="1">
      <alignment horizontal="center"/>
    </xf>
    <xf numFmtId="0" fontId="0" fillId="11" borderId="72" xfId="0" applyFill="1" applyBorder="1" applyAlignment="1">
      <alignment horizontal="center"/>
    </xf>
    <xf numFmtId="0" fontId="0" fillId="3" borderId="73" xfId="0" applyFill="1" applyBorder="1" applyAlignment="1">
      <alignment horizontal="center"/>
    </xf>
    <xf numFmtId="0" fontId="0" fillId="3" borderId="74" xfId="0" applyFill="1" applyBorder="1" applyAlignment="1">
      <alignment horizontal="center"/>
    </xf>
    <xf numFmtId="0" fontId="0" fillId="3" borderId="75" xfId="0" applyFill="1" applyBorder="1" applyAlignment="1">
      <alignment horizontal="center"/>
    </xf>
    <xf numFmtId="0" fontId="0" fillId="3" borderId="0" xfId="0" applyFill="1" applyAlignment="1">
      <alignment horizontal="center"/>
    </xf>
    <xf numFmtId="0" fontId="0" fillId="10" borderId="57" xfId="0" applyFill="1" applyBorder="1" applyAlignment="1">
      <alignment horizontal="center"/>
    </xf>
    <xf numFmtId="0" fontId="49" fillId="0" borderId="0" xfId="0" applyFont="1" applyAlignment="1">
      <alignment horizontal="left" wrapText="1"/>
    </xf>
    <xf numFmtId="0" fontId="72" fillId="0" borderId="0" xfId="0" applyFont="1" applyAlignment="1">
      <alignment horizontal="left" wrapText="1"/>
    </xf>
    <xf numFmtId="0" fontId="72" fillId="0" borderId="58" xfId="0" applyFont="1" applyBorder="1" applyAlignment="1">
      <alignment horizontal="left" wrapText="1"/>
    </xf>
    <xf numFmtId="0" fontId="0" fillId="0" borderId="0" xfId="0" applyAlignment="1">
      <alignment horizontal="left" vertical="center"/>
    </xf>
    <xf numFmtId="0" fontId="1" fillId="0" borderId="0" xfId="0" quotePrefix="1" applyFont="1" applyAlignment="1">
      <alignment horizontal="left" vertical="center" wrapText="1"/>
    </xf>
    <xf numFmtId="0" fontId="1" fillId="0" borderId="0" xfId="0" quotePrefix="1" applyFont="1" applyAlignment="1">
      <alignment horizontal="left" vertical="top" wrapText="1"/>
    </xf>
    <xf numFmtId="0" fontId="32" fillId="12" borderId="32" xfId="0" applyFont="1" applyFill="1" applyBorder="1" applyAlignment="1">
      <alignment horizontal="center" vertical="top" wrapText="1"/>
    </xf>
    <xf numFmtId="0" fontId="32" fillId="12" borderId="25" xfId="0" applyFont="1" applyFill="1" applyBorder="1" applyAlignment="1">
      <alignment horizontal="center" vertical="top" wrapText="1"/>
    </xf>
    <xf numFmtId="0" fontId="17" fillId="0" borderId="0" xfId="0" applyFont="1" applyAlignment="1">
      <alignment horizontal="left" vertical="center" wrapText="1"/>
    </xf>
    <xf numFmtId="0" fontId="9" fillId="0" borderId="28" xfId="0" applyFont="1" applyBorder="1" applyAlignment="1">
      <alignment horizontal="right" vertical="top"/>
    </xf>
    <xf numFmtId="0" fontId="9" fillId="0" borderId="37" xfId="0" applyFont="1" applyBorder="1" applyAlignment="1">
      <alignment horizontal="right" vertical="top"/>
    </xf>
    <xf numFmtId="0" fontId="9" fillId="0" borderId="22" xfId="0" applyFont="1" applyBorder="1" applyAlignment="1">
      <alignment horizontal="right" vertical="top"/>
    </xf>
    <xf numFmtId="0" fontId="9" fillId="0" borderId="28" xfId="0" applyFont="1" applyBorder="1" applyAlignment="1">
      <alignment horizontal="right" vertical="top" wrapText="1"/>
    </xf>
    <xf numFmtId="0" fontId="9" fillId="0" borderId="37" xfId="0" applyFont="1" applyBorder="1" applyAlignment="1">
      <alignment horizontal="right" vertical="top" wrapText="1"/>
    </xf>
    <xf numFmtId="0" fontId="9" fillId="0" borderId="22" xfId="0" applyFont="1" applyBorder="1" applyAlignment="1">
      <alignment horizontal="right" vertical="top" wrapText="1"/>
    </xf>
    <xf numFmtId="0" fontId="16" fillId="0" borderId="0" xfId="0" applyFont="1" applyAlignment="1">
      <alignment horizontal="left"/>
    </xf>
    <xf numFmtId="0" fontId="23" fillId="2" borderId="0" xfId="0" applyFont="1" applyFill="1" applyAlignment="1">
      <alignment horizontal="left" wrapText="1"/>
    </xf>
    <xf numFmtId="0" fontId="1" fillId="2" borderId="0" xfId="0" applyFont="1" applyFill="1" applyAlignment="1">
      <alignment horizontal="left" vertical="top" wrapText="1"/>
    </xf>
    <xf numFmtId="0" fontId="6" fillId="2" borderId="0" xfId="0" applyFont="1" applyFill="1" applyAlignment="1">
      <alignment horizontal="left" vertical="top" wrapText="1"/>
    </xf>
    <xf numFmtId="0" fontId="17" fillId="0" borderId="0" xfId="0" applyFont="1" applyAlignment="1">
      <alignment horizontal="left" vertical="top" wrapText="1"/>
    </xf>
    <xf numFmtId="0" fontId="31" fillId="0" borderId="0" xfId="0" quotePrefix="1" applyFont="1" applyAlignment="1">
      <alignment horizontal="left"/>
    </xf>
    <xf numFmtId="0" fontId="31" fillId="0" borderId="0" xfId="0" applyFont="1" applyAlignment="1">
      <alignment horizontal="left"/>
    </xf>
    <xf numFmtId="0" fontId="50" fillId="0" borderId="0" xfId="0" applyFont="1" applyAlignment="1">
      <alignment horizontal="left"/>
    </xf>
    <xf numFmtId="0" fontId="6" fillId="0" borderId="0" xfId="0" applyFont="1" applyAlignment="1">
      <alignment horizontal="left"/>
    </xf>
    <xf numFmtId="0" fontId="6" fillId="0" borderId="0" xfId="0" applyFont="1" applyAlignment="1">
      <alignment horizontal="left" vertical="center" wrapText="1"/>
    </xf>
    <xf numFmtId="0" fontId="31" fillId="0" borderId="0" xfId="0" applyFont="1" applyAlignment="1">
      <alignment horizontal="left" vertical="center"/>
    </xf>
    <xf numFmtId="0" fontId="31" fillId="0" borderId="0" xfId="0" applyFont="1" applyAlignment="1">
      <alignment horizontal="left" vertical="center" wrapText="1"/>
    </xf>
    <xf numFmtId="0" fontId="1" fillId="0" borderId="0" xfId="0" applyFont="1" applyAlignment="1">
      <alignment horizontal="left" vertical="center" wrapText="1"/>
    </xf>
    <xf numFmtId="0" fontId="31" fillId="0" borderId="0" xfId="0" quotePrefix="1" applyFont="1" applyAlignment="1">
      <alignment horizontal="left" vertical="center"/>
    </xf>
    <xf numFmtId="0" fontId="50" fillId="0" borderId="0" xfId="0" applyFont="1" applyAlignment="1">
      <alignment horizontal="left" vertical="center"/>
    </xf>
    <xf numFmtId="0" fontId="6" fillId="0" borderId="0" xfId="0" applyFont="1" applyAlignment="1">
      <alignment horizontal="left" vertical="center"/>
    </xf>
    <xf numFmtId="0" fontId="76" fillId="0" borderId="0" xfId="0" applyFont="1" applyAlignment="1">
      <alignment horizontal="left" vertical="center" wrapText="1"/>
    </xf>
    <xf numFmtId="0" fontId="37" fillId="0" borderId="0" xfId="0" applyFont="1" applyAlignment="1">
      <alignment horizontal="left" vertical="center" wrapText="1"/>
    </xf>
    <xf numFmtId="0" fontId="31" fillId="0" borderId="0" xfId="0" applyFont="1" applyAlignment="1">
      <alignment horizontal="left" vertical="top" wrapText="1"/>
    </xf>
    <xf numFmtId="0" fontId="0" fillId="12" borderId="42" xfId="0" applyFill="1" applyBorder="1" applyAlignment="1">
      <alignment horizontal="center"/>
    </xf>
    <xf numFmtId="0" fontId="0" fillId="9" borderId="42" xfId="0" applyFill="1" applyBorder="1" applyAlignment="1">
      <alignment horizontal="center"/>
    </xf>
    <xf numFmtId="0" fontId="0" fillId="0" borderId="19" xfId="0" applyBorder="1" applyAlignment="1">
      <alignment horizontal="center"/>
    </xf>
    <xf numFmtId="0" fontId="0" fillId="0" borderId="0" xfId="0" applyAlignment="1">
      <alignment horizontal="center"/>
    </xf>
    <xf numFmtId="0" fontId="11" fillId="0" borderId="2" xfId="0" applyFont="1" applyBorder="1" applyAlignment="1">
      <alignment horizontal="center" wrapText="1"/>
    </xf>
    <xf numFmtId="0" fontId="11" fillId="0" borderId="3" xfId="0" applyFont="1" applyBorder="1" applyAlignment="1">
      <alignment horizontal="center" wrapText="1"/>
    </xf>
    <xf numFmtId="0" fontId="11" fillId="0" borderId="7" xfId="0" applyFont="1" applyBorder="1" applyAlignment="1">
      <alignment horizontal="center" wrapText="1"/>
    </xf>
    <xf numFmtId="0" fontId="0" fillId="0" borderId="35"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18" xfId="0" applyBorder="1" applyAlignment="1">
      <alignment horizontal="center"/>
    </xf>
    <xf numFmtId="0" fontId="0" fillId="0" borderId="7" xfId="0" applyBorder="1" applyAlignment="1">
      <alignment horizontal="center"/>
    </xf>
    <xf numFmtId="0" fontId="11" fillId="0" borderId="20" xfId="0" applyFont="1" applyBorder="1" applyAlignment="1">
      <alignment horizontal="center" wrapText="1"/>
    </xf>
    <xf numFmtId="0" fontId="11" fillId="0" borderId="0" xfId="0" applyFont="1" applyAlignment="1">
      <alignment horizontal="center" wrapText="1"/>
    </xf>
    <xf numFmtId="0" fontId="11" fillId="0" borderId="11" xfId="0" applyFont="1" applyBorder="1" applyAlignment="1">
      <alignment horizontal="center" wrapText="1"/>
    </xf>
    <xf numFmtId="0" fontId="11" fillId="0" borderId="1" xfId="0" applyFont="1" applyBorder="1" applyAlignment="1">
      <alignment horizontal="center" wrapText="1"/>
    </xf>
    <xf numFmtId="0" fontId="46" fillId="0" borderId="20" xfId="0" applyFont="1" applyBorder="1" applyAlignment="1">
      <alignment horizontal="center" wrapText="1"/>
    </xf>
    <xf numFmtId="0" fontId="46" fillId="0" borderId="0" xfId="0" applyFont="1" applyAlignment="1">
      <alignment horizontal="center" wrapText="1"/>
    </xf>
    <xf numFmtId="166" fontId="3" fillId="0" borderId="7" xfId="0" applyNumberFormat="1" applyFont="1" applyBorder="1" applyAlignment="1">
      <alignment horizontal="center"/>
    </xf>
    <xf numFmtId="166" fontId="3" fillId="0" borderId="2" xfId="0" applyNumberFormat="1" applyFont="1" applyBorder="1" applyAlignment="1">
      <alignment horizontal="center"/>
    </xf>
    <xf numFmtId="0" fontId="5" fillId="0" borderId="0" xfId="0" applyFont="1" applyAlignment="1">
      <alignment horizontal="left"/>
    </xf>
    <xf numFmtId="0" fontId="5" fillId="0" borderId="13" xfId="0" applyFont="1" applyBorder="1" applyAlignment="1">
      <alignment horizontal="left"/>
    </xf>
    <xf numFmtId="0" fontId="13" fillId="0" borderId="19" xfId="0" applyFont="1" applyBorder="1" applyAlignment="1">
      <alignment horizontal="left" wrapText="1"/>
    </xf>
    <xf numFmtId="0" fontId="11" fillId="0" borderId="0" xfId="0" applyFont="1" applyAlignment="1">
      <alignment horizontal="right" vertical="center" wrapText="1"/>
    </xf>
    <xf numFmtId="0" fontId="11" fillId="0" borderId="1" xfId="0" applyFont="1" applyBorder="1" applyAlignment="1">
      <alignment horizontal="right" vertical="center" wrapText="1"/>
    </xf>
    <xf numFmtId="0" fontId="0" fillId="0" borderId="0" xfId="0" applyAlignment="1">
      <alignment horizontal="left" vertical="top" wrapText="1"/>
    </xf>
    <xf numFmtId="0" fontId="13" fillId="0" borderId="11" xfId="0" applyFont="1" applyBorder="1" applyAlignment="1">
      <alignment horizontal="left" wrapText="1"/>
    </xf>
    <xf numFmtId="0" fontId="5" fillId="0" borderId="12" xfId="0" applyFont="1" applyBorder="1" applyAlignment="1">
      <alignment horizontal="left"/>
    </xf>
    <xf numFmtId="0" fontId="11" fillId="16" borderId="0" xfId="0" applyFont="1" applyFill="1" applyAlignment="1">
      <alignment horizontal="right" vertical="center" wrapText="1"/>
    </xf>
    <xf numFmtId="0" fontId="11" fillId="16" borderId="1" xfId="0" applyFont="1" applyFill="1" applyBorder="1" applyAlignment="1">
      <alignment horizontal="right" vertical="center" wrapText="1"/>
    </xf>
    <xf numFmtId="0" fontId="0" fillId="0" borderId="3" xfId="0" applyBorder="1" applyAlignment="1">
      <alignment horizontal="center"/>
    </xf>
    <xf numFmtId="0" fontId="24" fillId="0" borderId="19" xfId="0" applyFont="1" applyBorder="1" applyAlignment="1">
      <alignment horizontal="left" vertical="center" wrapText="1"/>
    </xf>
    <xf numFmtId="0" fontId="0" fillId="5" borderId="0" xfId="0" applyFill="1" applyAlignment="1">
      <alignment horizontal="center"/>
    </xf>
    <xf numFmtId="164" fontId="11" fillId="0" borderId="3" xfId="0" applyNumberFormat="1" applyFont="1" applyBorder="1" applyAlignment="1">
      <alignment horizontal="center" vertical="center" wrapText="1"/>
    </xf>
    <xf numFmtId="164" fontId="3" fillId="0" borderId="3" xfId="0" applyNumberFormat="1" applyFont="1" applyBorder="1" applyAlignment="1">
      <alignment horizontal="center"/>
    </xf>
    <xf numFmtId="164" fontId="3" fillId="0" borderId="7" xfId="0" applyNumberFormat="1" applyFont="1" applyBorder="1" applyAlignment="1">
      <alignment horizontal="center"/>
    </xf>
    <xf numFmtId="0" fontId="0" fillId="8" borderId="0" xfId="0" applyFill="1" applyAlignment="1">
      <alignment horizontal="center"/>
    </xf>
    <xf numFmtId="166" fontId="26" fillId="0" borderId="7" xfId="0" applyNumberFormat="1" applyFont="1" applyBorder="1" applyAlignment="1">
      <alignment horizontal="center"/>
    </xf>
    <xf numFmtId="166" fontId="26" fillId="0" borderId="2" xfId="0" applyNumberFormat="1" applyFont="1" applyBorder="1" applyAlignment="1">
      <alignment horizontal="center"/>
    </xf>
    <xf numFmtId="164" fontId="3" fillId="0" borderId="11" xfId="0" applyNumberFormat="1" applyFont="1" applyBorder="1" applyAlignment="1">
      <alignment horizontal="center"/>
    </xf>
    <xf numFmtId="0" fontId="3" fillId="0" borderId="7" xfId="0" applyFont="1" applyBorder="1" applyAlignment="1">
      <alignment horizontal="center"/>
    </xf>
    <xf numFmtId="0" fontId="3" fillId="0" borderId="11" xfId="0" applyFont="1" applyBorder="1" applyAlignment="1">
      <alignment horizontal="center"/>
    </xf>
    <xf numFmtId="0" fontId="3" fillId="0" borderId="105" xfId="0" applyFont="1" applyBorder="1" applyAlignment="1">
      <alignment horizontal="center"/>
    </xf>
    <xf numFmtId="0" fontId="0" fillId="0" borderId="0" xfId="0" applyAlignment="1">
      <alignment horizontal="left" wrapText="1"/>
    </xf>
    <xf numFmtId="164" fontId="11" fillId="0" borderId="7" xfId="0" applyNumberFormat="1" applyFont="1" applyBorder="1" applyAlignment="1">
      <alignment horizontal="center" vertical="center" wrapText="1"/>
    </xf>
    <xf numFmtId="164" fontId="11" fillId="0" borderId="2" xfId="0" applyNumberFormat="1" applyFont="1" applyBorder="1" applyAlignment="1">
      <alignment horizontal="center" vertical="center" wrapText="1"/>
    </xf>
    <xf numFmtId="0" fontId="0" fillId="0" borderId="20" xfId="0" applyBorder="1" applyAlignment="1">
      <alignment horizontal="center"/>
    </xf>
    <xf numFmtId="0" fontId="22" fillId="0" borderId="0" xfId="0" applyFont="1" applyAlignment="1">
      <alignment horizontal="center"/>
    </xf>
    <xf numFmtId="0" fontId="25" fillId="0" borderId="7" xfId="0" applyFont="1" applyBorder="1" applyAlignment="1">
      <alignment horizontal="center" wrapText="1"/>
    </xf>
    <xf numFmtId="0" fontId="25" fillId="0" borderId="11" xfId="0" applyFont="1" applyBorder="1" applyAlignment="1">
      <alignment horizontal="center" wrapText="1"/>
    </xf>
    <xf numFmtId="0" fontId="0" fillId="0" borderId="0" xfId="0" applyAlignment="1">
      <alignment horizontal="left" vertical="center" wrapText="1"/>
    </xf>
    <xf numFmtId="164" fontId="0" fillId="4" borderId="6" xfId="0" applyNumberFormat="1" applyFill="1" applyBorder="1" applyAlignment="1">
      <alignment horizontal="center" vertical="center"/>
    </xf>
    <xf numFmtId="164" fontId="0" fillId="4" borderId="10" xfId="0" applyNumberFormat="1" applyFill="1" applyBorder="1" applyAlignment="1">
      <alignment horizontal="center" vertical="center"/>
    </xf>
    <xf numFmtId="164" fontId="0" fillId="4" borderId="3" xfId="0" applyNumberFormat="1" applyFill="1" applyBorder="1" applyAlignment="1">
      <alignment horizontal="center" vertical="center"/>
    </xf>
    <xf numFmtId="164" fontId="8" fillId="4" borderId="6" xfId="0" applyNumberFormat="1" applyFont="1" applyFill="1" applyBorder="1" applyAlignment="1">
      <alignment horizontal="center" vertical="center" wrapText="1"/>
    </xf>
    <xf numFmtId="164" fontId="8" fillId="4" borderId="10" xfId="0" applyNumberFormat="1" applyFont="1" applyFill="1" applyBorder="1" applyAlignment="1">
      <alignment horizontal="center" vertical="center" wrapText="1"/>
    </xf>
    <xf numFmtId="164" fontId="8" fillId="4" borderId="3" xfId="0" applyNumberFormat="1" applyFont="1" applyFill="1" applyBorder="1" applyAlignment="1">
      <alignment horizontal="center" vertical="center" wrapText="1"/>
    </xf>
    <xf numFmtId="164" fontId="0" fillId="4" borderId="6" xfId="0" applyNumberFormat="1" applyFill="1" applyBorder="1" applyAlignment="1">
      <alignment horizontal="center"/>
    </xf>
    <xf numFmtId="164" fontId="0" fillId="4" borderId="10" xfId="0" applyNumberFormat="1" applyFill="1" applyBorder="1" applyAlignment="1">
      <alignment horizontal="center"/>
    </xf>
    <xf numFmtId="164" fontId="0" fillId="4" borderId="3" xfId="0" applyNumberFormat="1" applyFill="1" applyBorder="1" applyAlignment="1">
      <alignment horizontal="center"/>
    </xf>
    <xf numFmtId="0" fontId="25" fillId="0" borderId="2" xfId="0" applyFont="1" applyBorder="1" applyAlignment="1">
      <alignment horizontal="center" wrapText="1"/>
    </xf>
    <xf numFmtId="164" fontId="25" fillId="0" borderId="7" xfId="0" applyNumberFormat="1" applyFont="1" applyBorder="1" applyAlignment="1">
      <alignment horizontal="center" vertical="center" wrapText="1"/>
    </xf>
    <xf numFmtId="164" fontId="25" fillId="0" borderId="2" xfId="0" applyNumberFormat="1" applyFont="1" applyBorder="1" applyAlignment="1">
      <alignment horizontal="center" vertical="center" wrapText="1"/>
    </xf>
    <xf numFmtId="0" fontId="2" fillId="0" borderId="0" xfId="0" applyFont="1" applyAlignment="1">
      <alignment horizontal="left" wrapText="1"/>
    </xf>
    <xf numFmtId="0" fontId="13" fillId="0" borderId="0" xfId="0" applyFont="1" applyAlignment="1">
      <alignment horizontal="left" wrapText="1"/>
    </xf>
    <xf numFmtId="0" fontId="3" fillId="0" borderId="2" xfId="0" applyFont="1" applyBorder="1" applyAlignment="1">
      <alignment horizontal="center"/>
    </xf>
    <xf numFmtId="0" fontId="0" fillId="16" borderId="0" xfId="0" applyFill="1"/>
    <xf numFmtId="164" fontId="26" fillId="0" borderId="7" xfId="0" applyNumberFormat="1" applyFont="1" applyBorder="1" applyAlignment="1">
      <alignment horizontal="center"/>
    </xf>
    <xf numFmtId="164" fontId="26" fillId="0" borderId="11" xfId="0" applyNumberFormat="1" applyFont="1" applyBorder="1" applyAlignment="1">
      <alignment horizontal="center"/>
    </xf>
    <xf numFmtId="0" fontId="11" fillId="0" borderId="7" xfId="0" applyFont="1" applyBorder="1" applyAlignment="1">
      <alignment horizontal="center" vertical="center" wrapText="1"/>
    </xf>
    <xf numFmtId="0" fontId="11" fillId="0" borderId="2" xfId="0" applyFont="1" applyBorder="1" applyAlignment="1">
      <alignment horizontal="center" vertical="center" wrapText="1"/>
    </xf>
    <xf numFmtId="164" fontId="8" fillId="4" borderId="9" xfId="0" applyNumberFormat="1" applyFont="1" applyFill="1" applyBorder="1" applyAlignment="1">
      <alignment horizontal="center" vertical="center" wrapText="1"/>
    </xf>
    <xf numFmtId="164" fontId="8" fillId="4" borderId="20" xfId="0" applyNumberFormat="1" applyFont="1" applyFill="1" applyBorder="1" applyAlignment="1">
      <alignment horizontal="center" vertical="center" wrapText="1"/>
    </xf>
    <xf numFmtId="164" fontId="8" fillId="4" borderId="7" xfId="0" applyNumberFormat="1" applyFont="1" applyFill="1" applyBorder="1" applyAlignment="1">
      <alignment horizontal="center" vertical="center" wrapText="1"/>
    </xf>
    <xf numFmtId="164" fontId="0" fillId="4" borderId="9" xfId="0" applyNumberFormat="1" applyFill="1" applyBorder="1" applyAlignment="1">
      <alignment horizontal="center"/>
    </xf>
    <xf numFmtId="164" fontId="0" fillId="4" borderId="20" xfId="0" applyNumberFormat="1" applyFill="1" applyBorder="1" applyAlignment="1">
      <alignment horizontal="center"/>
    </xf>
    <xf numFmtId="164" fontId="0" fillId="4" borderId="7" xfId="0" applyNumberFormat="1" applyFill="1" applyBorder="1" applyAlignment="1">
      <alignment horizontal="center"/>
    </xf>
    <xf numFmtId="0" fontId="8" fillId="0" borderId="21" xfId="0" applyFont="1" applyBorder="1" applyAlignment="1">
      <alignment horizontal="left" vertical="center" wrapText="1"/>
    </xf>
    <xf numFmtId="0" fontId="8" fillId="0" borderId="2" xfId="0" applyFont="1" applyBorder="1" applyAlignment="1">
      <alignment horizontal="left" vertical="center" wrapText="1"/>
    </xf>
    <xf numFmtId="164" fontId="8" fillId="0" borderId="6" xfId="0" applyNumberFormat="1" applyFont="1" applyBorder="1" applyAlignment="1">
      <alignment horizontal="center" vertical="center" wrapText="1"/>
    </xf>
    <xf numFmtId="164" fontId="8" fillId="0" borderId="3" xfId="0" applyNumberFormat="1" applyFont="1" applyBorder="1" applyAlignment="1">
      <alignment horizontal="center" vertical="center" wrapText="1"/>
    </xf>
    <xf numFmtId="166" fontId="0" fillId="0" borderId="6" xfId="0" applyNumberFormat="1" applyBorder="1" applyAlignment="1">
      <alignment horizontal="center" vertical="center"/>
    </xf>
    <xf numFmtId="166" fontId="0" fillId="0" borderId="3" xfId="0" applyNumberFormat="1" applyBorder="1" applyAlignment="1">
      <alignment horizontal="center" vertical="center"/>
    </xf>
    <xf numFmtId="164" fontId="0" fillId="0" borderId="6" xfId="0" applyNumberFormat="1" applyBorder="1" applyAlignment="1">
      <alignment horizontal="center" vertical="center"/>
    </xf>
    <xf numFmtId="164" fontId="0" fillId="0" borderId="3" xfId="0" applyNumberFormat="1" applyBorder="1" applyAlignment="1">
      <alignment horizontal="center" vertical="center"/>
    </xf>
    <xf numFmtId="164" fontId="11" fillId="0" borderId="11" xfId="0" applyNumberFormat="1" applyFont="1" applyBorder="1" applyAlignment="1">
      <alignment horizontal="center" vertical="center" wrapText="1"/>
    </xf>
    <xf numFmtId="166" fontId="3" fillId="0" borderId="11" xfId="0" applyNumberFormat="1" applyFont="1" applyBorder="1" applyAlignment="1">
      <alignment horizontal="center"/>
    </xf>
    <xf numFmtId="0" fontId="1" fillId="0" borderId="45" xfId="0" applyFont="1" applyBorder="1" applyAlignment="1">
      <alignment horizontal="left" vertical="center" wrapText="1"/>
    </xf>
    <xf numFmtId="0" fontId="9" fillId="0" borderId="25" xfId="0" applyFont="1" applyBorder="1" applyAlignment="1">
      <alignment horizontal="left" vertical="center"/>
    </xf>
    <xf numFmtId="0" fontId="9" fillId="0" borderId="26" xfId="0" applyFont="1" applyBorder="1" applyAlignment="1">
      <alignment horizontal="center" vertical="center"/>
    </xf>
    <xf numFmtId="0" fontId="9" fillId="0" borderId="27" xfId="0" applyFont="1" applyBorder="1" applyAlignment="1">
      <alignment horizontal="center" vertical="center"/>
    </xf>
    <xf numFmtId="0" fontId="9" fillId="0" borderId="26" xfId="0" applyFont="1" applyBorder="1" applyAlignment="1">
      <alignment horizontal="center" vertical="center" wrapText="1"/>
    </xf>
    <xf numFmtId="0" fontId="57" fillId="3" borderId="38" xfId="0" applyFont="1" applyFill="1" applyBorder="1" applyAlignment="1">
      <alignment horizontal="center" vertical="center"/>
    </xf>
    <xf numFmtId="0" fontId="57" fillId="3" borderId="51" xfId="0" applyFont="1" applyFill="1" applyBorder="1" applyAlignment="1">
      <alignment horizontal="center" vertical="center"/>
    </xf>
    <xf numFmtId="0" fontId="57" fillId="3" borderId="0" xfId="0" applyFont="1" applyFill="1" applyAlignment="1">
      <alignment horizontal="center" vertical="center"/>
    </xf>
    <xf numFmtId="0" fontId="57" fillId="3" borderId="45" xfId="0" applyFont="1" applyFill="1" applyBorder="1" applyAlignment="1">
      <alignment horizontal="center" vertical="center"/>
    </xf>
    <xf numFmtId="0" fontId="1" fillId="0" borderId="45" xfId="0" quotePrefix="1" applyFont="1" applyBorder="1" applyAlignment="1">
      <alignment horizontal="left" vertical="top" wrapText="1"/>
    </xf>
    <xf numFmtId="49" fontId="1" fillId="0" borderId="0" xfId="0" applyNumberFormat="1" applyFont="1" applyAlignment="1" applyProtection="1">
      <alignment horizontal="left" vertical="top" wrapText="1"/>
      <protection locked="0"/>
    </xf>
    <xf numFmtId="0" fontId="6" fillId="0" borderId="0" xfId="0" applyFont="1" applyAlignment="1" applyProtection="1">
      <alignment horizontal="left" vertical="top" wrapText="1"/>
      <protection locked="0"/>
    </xf>
    <xf numFmtId="49" fontId="1" fillId="0" borderId="0" xfId="0" quotePrefix="1" applyNumberFormat="1" applyFont="1" applyAlignment="1" applyProtection="1">
      <alignment horizontal="left" vertical="top" wrapText="1"/>
      <protection locked="0"/>
    </xf>
    <xf numFmtId="0" fontId="9" fillId="0" borderId="49" xfId="0" applyFont="1" applyBorder="1" applyAlignment="1">
      <alignment horizontal="center" vertical="center"/>
    </xf>
    <xf numFmtId="0" fontId="9" fillId="0" borderId="47" xfId="0" applyFont="1" applyBorder="1" applyAlignment="1">
      <alignment horizontal="center" vertical="center"/>
    </xf>
    <xf numFmtId="0" fontId="1" fillId="0" borderId="0" xfId="0" quotePrefix="1" applyFont="1" applyAlignment="1">
      <alignment horizontal="left" vertical="center"/>
    </xf>
    <xf numFmtId="0" fontId="1" fillId="0" borderId="45" xfId="0" quotePrefix="1" applyFont="1" applyBorder="1" applyAlignment="1">
      <alignment horizontal="left" vertical="center"/>
    </xf>
    <xf numFmtId="49" fontId="1" fillId="0" borderId="0" xfId="0" applyNumberFormat="1" applyFont="1" applyAlignment="1">
      <alignment horizontal="left" vertical="center" wrapText="1"/>
    </xf>
    <xf numFmtId="49" fontId="1" fillId="0" borderId="45" xfId="0" applyNumberFormat="1" applyFont="1" applyBorder="1" applyAlignment="1">
      <alignment horizontal="left" vertical="center" wrapText="1"/>
    </xf>
    <xf numFmtId="0" fontId="6" fillId="0" borderId="45" xfId="0" applyFont="1" applyBorder="1" applyAlignment="1">
      <alignment horizontal="left" vertical="center" wrapText="1"/>
    </xf>
    <xf numFmtId="0" fontId="21" fillId="0" borderId="30" xfId="0" applyFont="1" applyBorder="1" applyAlignment="1">
      <alignment horizontal="center" vertical="center" wrapText="1"/>
    </xf>
    <xf numFmtId="0" fontId="21" fillId="0" borderId="24" xfId="0" applyFont="1" applyBorder="1" applyAlignment="1">
      <alignment horizontal="center" vertical="center" wrapText="1"/>
    </xf>
    <xf numFmtId="0" fontId="18" fillId="0" borderId="0" xfId="0" applyFont="1" applyAlignment="1">
      <alignment horizontal="left" vertical="top"/>
    </xf>
    <xf numFmtId="49" fontId="1" fillId="2" borderId="0" xfId="0" quotePrefix="1" applyNumberFormat="1" applyFont="1" applyFill="1" applyAlignment="1">
      <alignment horizontal="left" vertical="top" wrapText="1"/>
    </xf>
    <xf numFmtId="49" fontId="6" fillId="2" borderId="0" xfId="0" quotePrefix="1" applyNumberFormat="1" applyFont="1" applyFill="1" applyAlignment="1">
      <alignment horizontal="left" vertical="top" wrapText="1"/>
    </xf>
    <xf numFmtId="49" fontId="6" fillId="2" borderId="45" xfId="0" quotePrefix="1" applyNumberFormat="1" applyFont="1" applyFill="1" applyBorder="1" applyAlignment="1">
      <alignment horizontal="left" vertical="top" wrapText="1"/>
    </xf>
    <xf numFmtId="0" fontId="18" fillId="0" borderId="0" xfId="0" applyFont="1" applyAlignment="1">
      <alignment horizontal="left" vertical="top" wrapText="1"/>
    </xf>
    <xf numFmtId="0" fontId="1" fillId="6" borderId="32" xfId="0" applyFont="1" applyFill="1" applyBorder="1" applyAlignment="1">
      <alignment horizontal="left" vertical="top" wrapText="1"/>
    </xf>
    <xf numFmtId="0" fontId="6" fillId="6" borderId="32" xfId="0" applyFont="1" applyFill="1" applyBorder="1" applyAlignment="1">
      <alignment horizontal="left" vertical="top" wrapText="1"/>
    </xf>
    <xf numFmtId="0" fontId="1" fillId="0" borderId="31" xfId="0" applyFont="1" applyBorder="1" applyAlignment="1">
      <alignment horizontal="center" vertical="top"/>
    </xf>
    <xf numFmtId="0" fontId="6" fillId="0" borderId="0" xfId="0" applyFont="1" applyAlignment="1">
      <alignment horizontal="center" vertical="top"/>
    </xf>
    <xf numFmtId="0" fontId="6" fillId="0" borderId="37" xfId="0" applyFont="1" applyBorder="1" applyAlignment="1">
      <alignment horizontal="center" vertical="top"/>
    </xf>
    <xf numFmtId="49" fontId="1" fillId="2" borderId="0" xfId="0" quotePrefix="1" applyNumberFormat="1" applyFont="1" applyFill="1" applyAlignment="1">
      <alignment horizontal="left" vertical="top"/>
    </xf>
    <xf numFmtId="49" fontId="6" fillId="2" borderId="0" xfId="0" quotePrefix="1" applyNumberFormat="1" applyFont="1" applyFill="1" applyAlignment="1">
      <alignment horizontal="left" vertical="top"/>
    </xf>
    <xf numFmtId="49" fontId="6" fillId="2" borderId="45" xfId="0" quotePrefix="1" applyNumberFormat="1" applyFont="1" applyFill="1" applyBorder="1" applyAlignment="1">
      <alignment horizontal="left" vertical="top"/>
    </xf>
    <xf numFmtId="49" fontId="1" fillId="0" borderId="0" xfId="0" quotePrefix="1" applyNumberFormat="1" applyFont="1" applyAlignment="1">
      <alignment horizontal="left" vertical="top" wrapText="1"/>
    </xf>
    <xf numFmtId="49" fontId="6" fillId="0" borderId="0" xfId="0" quotePrefix="1" applyNumberFormat="1" applyFont="1" applyAlignment="1">
      <alignment horizontal="left" vertical="top" wrapText="1"/>
    </xf>
    <xf numFmtId="49" fontId="6" fillId="0" borderId="45" xfId="0" quotePrefix="1" applyNumberFormat="1" applyFont="1" applyBorder="1" applyAlignment="1">
      <alignment horizontal="left" vertical="top" wrapText="1"/>
    </xf>
    <xf numFmtId="0" fontId="6" fillId="0" borderId="49" xfId="0" applyFont="1" applyBorder="1" applyAlignment="1">
      <alignment horizontal="center" vertical="top" wrapText="1"/>
    </xf>
    <xf numFmtId="0" fontId="6" fillId="0" borderId="47" xfId="0" applyFont="1" applyBorder="1" applyAlignment="1">
      <alignment horizontal="center" vertical="top" wrapText="1"/>
    </xf>
    <xf numFmtId="0" fontId="21" fillId="0" borderId="49" xfId="0" applyFont="1" applyBorder="1" applyAlignment="1">
      <alignment horizontal="center" vertical="top" wrapText="1"/>
    </xf>
    <xf numFmtId="0" fontId="21" fillId="0" borderId="47" xfId="0" applyFont="1" applyBorder="1" applyAlignment="1">
      <alignment horizontal="center" vertical="top" wrapText="1"/>
    </xf>
    <xf numFmtId="0" fontId="1" fillId="0" borderId="31" xfId="0" applyFont="1" applyBorder="1" applyAlignment="1">
      <alignment horizontal="center" vertical="center" wrapText="1"/>
    </xf>
    <xf numFmtId="0" fontId="6" fillId="0" borderId="31" xfId="0" applyFont="1" applyBorder="1" applyAlignment="1">
      <alignment horizontal="center" vertical="center" wrapText="1"/>
    </xf>
    <xf numFmtId="0" fontId="6" fillId="0" borderId="24" xfId="0" applyFont="1" applyBorder="1" applyAlignment="1">
      <alignment horizontal="center" vertical="center" wrapText="1"/>
    </xf>
    <xf numFmtId="49" fontId="1" fillId="2" borderId="45" xfId="0" quotePrefix="1" applyNumberFormat="1" applyFont="1" applyFill="1" applyBorder="1" applyAlignment="1">
      <alignment horizontal="left" vertical="top" wrapText="1"/>
    </xf>
    <xf numFmtId="0" fontId="1" fillId="0" borderId="31" xfId="0" applyFont="1" applyBorder="1" applyAlignment="1">
      <alignment horizontal="center" vertical="top" wrapText="1"/>
    </xf>
    <xf numFmtId="0" fontId="1" fillId="0" borderId="0" xfId="0" applyFont="1" applyAlignment="1">
      <alignment horizontal="center" vertical="top" wrapText="1"/>
    </xf>
    <xf numFmtId="0" fontId="1" fillId="0" borderId="37" xfId="0" applyFont="1" applyBorder="1" applyAlignment="1">
      <alignment horizontal="center" vertical="top" wrapText="1"/>
    </xf>
    <xf numFmtId="49" fontId="1" fillId="16" borderId="0" xfId="0" quotePrefix="1" applyNumberFormat="1" applyFont="1" applyFill="1" applyAlignment="1">
      <alignment horizontal="left" vertical="top" wrapText="1"/>
    </xf>
    <xf numFmtId="49" fontId="6" fillId="16" borderId="0" xfId="0" quotePrefix="1" applyNumberFormat="1" applyFont="1" applyFill="1" applyAlignment="1">
      <alignment horizontal="left" vertical="top" wrapText="1"/>
    </xf>
    <xf numFmtId="49" fontId="6" fillId="16" borderId="45" xfId="0" quotePrefix="1" applyNumberFormat="1" applyFont="1" applyFill="1" applyBorder="1" applyAlignment="1">
      <alignment horizontal="left" vertical="top" wrapText="1"/>
    </xf>
    <xf numFmtId="0" fontId="17" fillId="16" borderId="38" xfId="0" applyFont="1" applyFill="1" applyBorder="1" applyAlignment="1">
      <alignment horizontal="center" vertical="center" wrapText="1"/>
    </xf>
    <xf numFmtId="0" fontId="17" fillId="16" borderId="0" xfId="0" applyFont="1" applyFill="1" applyAlignment="1">
      <alignment horizontal="center" vertical="center" wrapText="1"/>
    </xf>
    <xf numFmtId="0" fontId="17" fillId="16" borderId="39" xfId="0" applyFont="1" applyFill="1" applyBorder="1" applyAlignment="1">
      <alignment horizontal="center" vertical="center" wrapText="1"/>
    </xf>
    <xf numFmtId="0" fontId="6" fillId="0" borderId="0" xfId="0" quotePrefix="1" applyFont="1" applyAlignment="1">
      <alignment horizontal="left" vertical="top" wrapText="1"/>
    </xf>
    <xf numFmtId="0" fontId="6" fillId="0" borderId="45" xfId="0" quotePrefix="1" applyFont="1" applyBorder="1" applyAlignment="1">
      <alignment horizontal="left" vertical="top" wrapText="1"/>
    </xf>
    <xf numFmtId="9" fontId="21" fillId="0" borderId="30" xfId="0" applyNumberFormat="1" applyFont="1" applyBorder="1" applyAlignment="1">
      <alignment horizontal="center" vertical="center" wrapText="1"/>
    </xf>
    <xf numFmtId="9" fontId="21" fillId="0" borderId="24" xfId="0" applyNumberFormat="1" applyFont="1" applyBorder="1" applyAlignment="1">
      <alignment horizontal="center" vertical="center" wrapText="1"/>
    </xf>
    <xf numFmtId="0" fontId="1" fillId="0" borderId="39" xfId="0" applyFont="1" applyBorder="1" applyAlignment="1">
      <alignment horizontal="left" vertical="top" wrapText="1"/>
    </xf>
    <xf numFmtId="0" fontId="6" fillId="0" borderId="39" xfId="0" applyFont="1" applyBorder="1" applyAlignment="1">
      <alignment horizontal="left" vertical="top" wrapText="1"/>
    </xf>
    <xf numFmtId="0" fontId="6" fillId="0" borderId="96" xfId="0" applyFont="1" applyBorder="1" applyAlignment="1">
      <alignment horizontal="left" vertical="top" wrapText="1"/>
    </xf>
    <xf numFmtId="0" fontId="9" fillId="0" borderId="0" xfId="0" applyFont="1" applyAlignment="1">
      <alignment horizontal="left" vertical="top" wrapText="1"/>
    </xf>
    <xf numFmtId="0" fontId="9" fillId="0" borderId="45" xfId="0" applyFont="1" applyBorder="1" applyAlignment="1">
      <alignment horizontal="left" vertical="top" wrapText="1"/>
    </xf>
    <xf numFmtId="6" fontId="6" fillId="6" borderId="27" xfId="0" applyNumberFormat="1" applyFont="1" applyFill="1" applyBorder="1" applyAlignment="1">
      <alignment horizontal="center" vertical="top" wrapText="1"/>
    </xf>
    <xf numFmtId="6" fontId="6" fillId="6" borderId="32" xfId="0" applyNumberFormat="1" applyFont="1" applyFill="1" applyBorder="1" applyAlignment="1">
      <alignment horizontal="center" vertical="top" wrapText="1"/>
    </xf>
    <xf numFmtId="6" fontId="6" fillId="6" borderId="25" xfId="0" applyNumberFormat="1" applyFont="1" applyFill="1" applyBorder="1" applyAlignment="1">
      <alignment horizontal="center" vertical="top" wrapText="1"/>
    </xf>
    <xf numFmtId="0" fontId="6" fillId="0" borderId="26" xfId="0" applyFont="1" applyBorder="1" applyAlignment="1">
      <alignment horizontal="left" vertical="top" wrapText="1"/>
    </xf>
    <xf numFmtId="6" fontId="6" fillId="0" borderId="27" xfId="0" applyNumberFormat="1" applyFont="1" applyBorder="1" applyAlignment="1">
      <alignment horizontal="left" vertical="top" wrapText="1"/>
    </xf>
    <xf numFmtId="14" fontId="6" fillId="0" borderId="29" xfId="0" applyNumberFormat="1" applyFont="1" applyBorder="1" applyAlignment="1">
      <alignment horizontal="left" vertical="top" wrapText="1"/>
    </xf>
    <xf numFmtId="0" fontId="6" fillId="0" borderId="36" xfId="0" applyFont="1" applyBorder="1" applyAlignment="1">
      <alignment horizontal="left" vertical="top" wrapText="1"/>
    </xf>
    <xf numFmtId="0" fontId="6" fillId="0" borderId="23" xfId="0"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37" xfId="0" applyNumberFormat="1" applyFont="1" applyBorder="1" applyAlignment="1">
      <alignment horizontal="left" vertical="top" wrapText="1"/>
    </xf>
    <xf numFmtId="6" fontId="6" fillId="0" borderId="22" xfId="0" applyNumberFormat="1" applyFont="1" applyBorder="1" applyAlignment="1">
      <alignment horizontal="left" vertical="top" wrapText="1"/>
    </xf>
    <xf numFmtId="6" fontId="6" fillId="0" borderId="30" xfId="0" applyNumberFormat="1" applyFont="1" applyBorder="1" applyAlignment="1">
      <alignment horizontal="left" vertical="top" wrapText="1"/>
    </xf>
    <xf numFmtId="6" fontId="6" fillId="0" borderId="31"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0" fontId="6" fillId="0" borderId="29" xfId="0" applyFont="1" applyBorder="1" applyAlignment="1">
      <alignment horizontal="left" vertical="top" wrapText="1"/>
    </xf>
    <xf numFmtId="14" fontId="6" fillId="0" borderId="36" xfId="0" applyNumberFormat="1" applyFont="1" applyBorder="1" applyAlignment="1">
      <alignment horizontal="left" vertical="top" wrapText="1"/>
    </xf>
    <xf numFmtId="14" fontId="6" fillId="0" borderId="23" xfId="0" applyNumberFormat="1" applyFont="1" applyBorder="1" applyAlignment="1">
      <alignment horizontal="left" vertical="top" wrapText="1"/>
    </xf>
    <xf numFmtId="0" fontId="6" fillId="0" borderId="25" xfId="0" applyFont="1" applyBorder="1" applyAlignment="1">
      <alignment horizontal="left" vertical="top" wrapText="1"/>
    </xf>
    <xf numFmtId="0" fontId="6" fillId="0" borderId="28" xfId="0" applyFont="1" applyBorder="1" applyAlignment="1">
      <alignment horizontal="left" vertical="top" wrapText="1"/>
    </xf>
    <xf numFmtId="0" fontId="6" fillId="0" borderId="37" xfId="0" applyFont="1" applyBorder="1" applyAlignment="1">
      <alignment horizontal="left" vertical="top" wrapText="1"/>
    </xf>
    <xf numFmtId="0" fontId="6" fillId="0" borderId="22" xfId="0" applyFont="1" applyBorder="1" applyAlignment="1">
      <alignment horizontal="left" vertical="top" wrapText="1"/>
    </xf>
    <xf numFmtId="6" fontId="1" fillId="0" borderId="28" xfId="0" applyNumberFormat="1" applyFont="1" applyBorder="1" applyAlignment="1">
      <alignment horizontal="left" vertical="top" wrapText="1"/>
    </xf>
    <xf numFmtId="8" fontId="6" fillId="0" borderId="49" xfId="0" applyNumberFormat="1" applyFont="1" applyBorder="1" applyAlignment="1">
      <alignment horizontal="left" vertical="top" wrapText="1"/>
    </xf>
    <xf numFmtId="8" fontId="6" fillId="0" borderId="46" xfId="0" applyNumberFormat="1" applyFont="1" applyBorder="1" applyAlignment="1">
      <alignment horizontal="left" vertical="top" wrapText="1"/>
    </xf>
    <xf numFmtId="8" fontId="6" fillId="0" borderId="47" xfId="0" applyNumberFormat="1" applyFont="1" applyBorder="1" applyAlignment="1">
      <alignment horizontal="left" vertical="top" wrapText="1"/>
    </xf>
    <xf numFmtId="8" fontId="6" fillId="0" borderId="48" xfId="0" applyNumberFormat="1" applyFont="1" applyBorder="1" applyAlignment="1">
      <alignment horizontal="left" vertical="top" wrapText="1"/>
    </xf>
    <xf numFmtId="0" fontId="1" fillId="0" borderId="29" xfId="0" applyFont="1" applyBorder="1" applyAlignment="1">
      <alignment horizontal="left" vertical="top" wrapText="1"/>
    </xf>
    <xf numFmtId="6" fontId="6" fillId="0" borderId="25" xfId="0" applyNumberFormat="1" applyFont="1" applyBorder="1" applyAlignment="1">
      <alignment horizontal="left" vertical="top" wrapText="1"/>
    </xf>
    <xf numFmtId="165" fontId="6" fillId="0" borderId="49" xfId="0" applyNumberFormat="1" applyFont="1" applyBorder="1" applyAlignment="1">
      <alignment horizontal="left" vertical="top" wrapText="1"/>
    </xf>
    <xf numFmtId="165" fontId="6" fillId="0" borderId="47" xfId="0" applyNumberFormat="1" applyFont="1" applyBorder="1" applyAlignment="1">
      <alignment horizontal="left" vertical="top" wrapText="1"/>
    </xf>
    <xf numFmtId="14" fontId="1" fillId="0" borderId="29" xfId="0" applyNumberFormat="1" applyFont="1" applyBorder="1" applyAlignment="1">
      <alignment horizontal="left" vertical="top" wrapText="1"/>
    </xf>
    <xf numFmtId="6" fontId="6" fillId="6" borderId="24" xfId="0" applyNumberFormat="1" applyFont="1" applyFill="1" applyBorder="1" applyAlignment="1">
      <alignment horizontal="center" vertical="top" wrapText="1"/>
    </xf>
    <xf numFmtId="6" fontId="6" fillId="6" borderId="39" xfId="0" applyNumberFormat="1" applyFont="1" applyFill="1" applyBorder="1" applyAlignment="1">
      <alignment horizontal="center" vertical="top" wrapText="1"/>
    </xf>
    <xf numFmtId="6" fontId="6" fillId="6" borderId="22" xfId="0" applyNumberFormat="1" applyFont="1" applyFill="1" applyBorder="1" applyAlignment="1">
      <alignment horizontal="center" vertical="top" wrapText="1"/>
    </xf>
    <xf numFmtId="0" fontId="10" fillId="0" borderId="0" xfId="0" applyFont="1" applyAlignment="1">
      <alignment horizontal="center" vertical="center" wrapText="1"/>
    </xf>
    <xf numFmtId="0" fontId="0" fillId="0" borderId="0" xfId="0" applyAlignment="1">
      <alignment horizontal="center" vertical="center" wrapText="1"/>
    </xf>
    <xf numFmtId="0" fontId="40" fillId="3" borderId="23" xfId="0" applyFont="1" applyFill="1" applyBorder="1" applyAlignment="1">
      <alignment horizontal="center" vertical="top" wrapText="1"/>
    </xf>
    <xf numFmtId="0" fontId="41" fillId="3" borderId="23" xfId="0" applyFont="1" applyFill="1" applyBorder="1" applyAlignment="1">
      <alignment horizontal="center"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0" fontId="6" fillId="0" borderId="0" xfId="0" applyFont="1" applyAlignment="1">
      <alignment horizontal="left" indent="1"/>
    </xf>
    <xf numFmtId="0" fontId="6" fillId="0" borderId="45" xfId="0" applyFont="1" applyBorder="1" applyAlignment="1">
      <alignment horizontal="left" indent="1"/>
    </xf>
    <xf numFmtId="0" fontId="6" fillId="0" borderId="0" xfId="0" applyFont="1" applyAlignment="1">
      <alignment horizontal="left" vertical="top" wrapText="1" indent="1"/>
    </xf>
    <xf numFmtId="0" fontId="6" fillId="0" borderId="45" xfId="0" applyFont="1" applyBorder="1" applyAlignment="1">
      <alignment horizontal="left" vertical="top" wrapText="1" indent="1"/>
    </xf>
    <xf numFmtId="0" fontId="9" fillId="0" borderId="40" xfId="0" applyFont="1" applyBorder="1" applyAlignment="1">
      <alignment horizontal="center" vertical="top" wrapText="1"/>
    </xf>
    <xf numFmtId="0" fontId="6" fillId="0" borderId="0" xfId="0" applyFont="1" applyAlignment="1">
      <alignment horizontal="left" wrapText="1" indent="1"/>
    </xf>
    <xf numFmtId="0" fontId="6" fillId="0" borderId="45" xfId="0" applyFont="1" applyBorder="1" applyAlignment="1">
      <alignment horizontal="left" wrapText="1" indent="1"/>
    </xf>
    <xf numFmtId="0" fontId="6" fillId="0" borderId="0" xfId="0" applyFont="1" applyAlignment="1">
      <alignment horizontal="left" vertical="top" wrapText="1"/>
    </xf>
    <xf numFmtId="14" fontId="6" fillId="0" borderId="28" xfId="0" applyNumberFormat="1" applyFont="1" applyBorder="1" applyAlignment="1">
      <alignment horizontal="left" vertical="top" wrapText="1"/>
    </xf>
    <xf numFmtId="14" fontId="6" fillId="0" borderId="37" xfId="0" applyNumberFormat="1" applyFont="1" applyBorder="1" applyAlignment="1">
      <alignment horizontal="left" vertical="top" wrapText="1"/>
    </xf>
    <xf numFmtId="0" fontId="1" fillId="0" borderId="36" xfId="0" applyFont="1" applyBorder="1" applyAlignment="1">
      <alignment horizontal="left" vertical="top" wrapText="1"/>
    </xf>
    <xf numFmtId="0" fontId="1" fillId="0" borderId="23" xfId="0" applyFont="1" applyBorder="1" applyAlignment="1">
      <alignment horizontal="left" vertical="top" wrapText="1"/>
    </xf>
    <xf numFmtId="0" fontId="1" fillId="0" borderId="28" xfId="0" applyFont="1" applyBorder="1" applyAlignment="1">
      <alignment horizontal="left" vertical="top" wrapText="1"/>
    </xf>
    <xf numFmtId="0" fontId="1" fillId="16" borderId="28" xfId="0" applyFont="1" applyFill="1" applyBorder="1" applyAlignment="1">
      <alignment horizontal="left" vertical="top" wrapText="1"/>
    </xf>
    <xf numFmtId="0" fontId="1" fillId="16" borderId="37" xfId="0" applyFont="1" applyFill="1" applyBorder="1" applyAlignment="1">
      <alignment horizontal="left" vertical="top" wrapText="1"/>
    </xf>
    <xf numFmtId="0" fontId="1" fillId="16" borderId="22" xfId="0" applyFont="1" applyFill="1" applyBorder="1" applyAlignment="1">
      <alignment horizontal="left" vertical="top" wrapText="1"/>
    </xf>
    <xf numFmtId="0" fontId="1" fillId="16" borderId="29" xfId="0" applyFont="1" applyFill="1" applyBorder="1" applyAlignment="1">
      <alignment horizontal="left" vertical="top" wrapText="1"/>
    </xf>
    <xf numFmtId="0" fontId="1" fillId="16" borderId="36" xfId="0" applyFont="1" applyFill="1" applyBorder="1" applyAlignment="1">
      <alignment horizontal="left" vertical="top" wrapText="1"/>
    </xf>
    <xf numFmtId="0" fontId="1" fillId="16" borderId="23" xfId="0" applyFont="1" applyFill="1" applyBorder="1" applyAlignment="1">
      <alignment horizontal="left" vertical="top" wrapText="1"/>
    </xf>
    <xf numFmtId="14" fontId="1" fillId="16" borderId="29" xfId="0" applyNumberFormat="1" applyFont="1" applyFill="1" applyBorder="1" applyAlignment="1">
      <alignment horizontal="left" vertical="top" wrapText="1"/>
    </xf>
    <xf numFmtId="14" fontId="1" fillId="16" borderId="36" xfId="0" applyNumberFormat="1" applyFont="1" applyFill="1" applyBorder="1" applyAlignment="1">
      <alignment horizontal="left" vertical="top" wrapText="1"/>
    </xf>
    <xf numFmtId="14" fontId="1" fillId="16" borderId="23" xfId="0" applyNumberFormat="1" applyFont="1" applyFill="1" applyBorder="1" applyAlignment="1">
      <alignment horizontal="left" vertical="top" wrapText="1"/>
    </xf>
    <xf numFmtId="174" fontId="6" fillId="16" borderId="49" xfId="0" applyNumberFormat="1" applyFont="1" applyFill="1" applyBorder="1" applyAlignment="1">
      <alignment horizontal="left" vertical="top" wrapText="1"/>
    </xf>
    <xf numFmtId="174" fontId="6" fillId="16" borderId="46" xfId="0" applyNumberFormat="1" applyFont="1" applyFill="1" applyBorder="1" applyAlignment="1">
      <alignment horizontal="left" vertical="top" wrapText="1"/>
    </xf>
    <xf numFmtId="174" fontId="6" fillId="16" borderId="47" xfId="0" applyNumberFormat="1" applyFont="1" applyFill="1" applyBorder="1" applyAlignment="1">
      <alignment horizontal="left" vertical="top" wrapText="1"/>
    </xf>
    <xf numFmtId="0" fontId="1" fillId="0" borderId="22" xfId="0" applyFont="1" applyBorder="1" applyAlignment="1">
      <alignment horizontal="left" vertical="top" wrapText="1"/>
    </xf>
    <xf numFmtId="0" fontId="6" fillId="0" borderId="93" xfId="0" quotePrefix="1" applyFont="1" applyBorder="1" applyAlignment="1">
      <alignment horizontal="left" vertical="center" wrapText="1" indent="4"/>
    </xf>
    <xf numFmtId="0" fontId="6" fillId="0" borderId="94" xfId="0" applyFont="1" applyBorder="1" applyAlignment="1">
      <alignment horizontal="left" vertical="center" wrapText="1" indent="4"/>
    </xf>
    <xf numFmtId="0" fontId="54" fillId="0" borderId="93" xfId="0" applyFont="1" applyBorder="1" applyAlignment="1">
      <alignment vertical="center" wrapText="1"/>
    </xf>
    <xf numFmtId="0" fontId="54" fillId="0" borderId="94" xfId="0" applyFont="1" applyBorder="1" applyAlignment="1">
      <alignment vertical="center" wrapText="1"/>
    </xf>
    <xf numFmtId="0" fontId="1" fillId="0" borderId="93" xfId="0" quotePrefix="1" applyFont="1" applyBorder="1" applyAlignment="1">
      <alignment horizontal="left" vertical="center" wrapText="1" indent="4"/>
    </xf>
    <xf numFmtId="0" fontId="54" fillId="0" borderId="87" xfId="0" applyFont="1" applyBorder="1" applyAlignment="1">
      <alignment vertical="center" wrapText="1"/>
    </xf>
    <xf numFmtId="0" fontId="54" fillId="0" borderId="88" xfId="0" applyFont="1" applyBorder="1" applyAlignment="1">
      <alignment vertical="center" wrapText="1"/>
    </xf>
    <xf numFmtId="0" fontId="6" fillId="0" borderId="95" xfId="0" quotePrefix="1" applyFont="1" applyBorder="1" applyAlignment="1">
      <alignment horizontal="left" vertical="center" wrapText="1" indent="4"/>
    </xf>
    <xf numFmtId="0" fontId="6" fillId="0" borderId="89" xfId="0" applyFont="1" applyBorder="1" applyAlignment="1">
      <alignment horizontal="left" vertical="center" wrapText="1" indent="4"/>
    </xf>
    <xf numFmtId="0" fontId="41" fillId="3" borderId="0" xfId="0" applyFont="1" applyFill="1" applyAlignment="1">
      <alignment horizontal="left" wrapText="1"/>
    </xf>
    <xf numFmtId="0" fontId="37" fillId="3" borderId="0" xfId="0" applyFont="1" applyFill="1" applyAlignment="1">
      <alignment horizontal="left" wrapText="1"/>
    </xf>
    <xf numFmtId="0" fontId="23" fillId="0" borderId="0" xfId="0" applyFont="1" applyAlignment="1">
      <alignment horizontal="left"/>
    </xf>
    <xf numFmtId="0" fontId="79" fillId="0" borderId="0" xfId="0" quotePrefix="1" applyFont="1" applyAlignment="1">
      <alignment horizontal="left"/>
    </xf>
    <xf numFmtId="0" fontId="31" fillId="9" borderId="0" xfId="0" quotePrefix="1" applyFont="1" applyFill="1" applyAlignment="1">
      <alignment horizontal="left"/>
    </xf>
    <xf numFmtId="0" fontId="1" fillId="9" borderId="0" xfId="0" applyFont="1" applyFill="1" applyAlignment="1">
      <alignment horizontal="left"/>
    </xf>
    <xf numFmtId="170" fontId="6" fillId="0" borderId="0" xfId="0" applyNumberFormat="1" applyFont="1" applyAlignment="1">
      <alignment horizontal="left" vertical="center"/>
    </xf>
    <xf numFmtId="0" fontId="6" fillId="0" borderId="0" xfId="0" applyFont="1" applyAlignment="1">
      <alignment horizontal="left" vertical="top"/>
    </xf>
    <xf numFmtId="0" fontId="37" fillId="0" borderId="0" xfId="0" applyFont="1" applyAlignment="1">
      <alignment horizontal="left" vertical="top"/>
    </xf>
    <xf numFmtId="0" fontId="45" fillId="0" borderId="0" xfId="0" applyFont="1" applyAlignment="1">
      <alignment horizontal="left" vertical="top"/>
    </xf>
    <xf numFmtId="0" fontId="0" fillId="0" borderId="0" xfId="0" applyAlignment="1">
      <alignment horizontal="left" vertical="top"/>
    </xf>
    <xf numFmtId="0" fontId="1" fillId="0" borderId="0" xfId="0" quotePrefix="1" applyFont="1" applyAlignment="1">
      <alignment horizontal="left" vertical="top" indent="3"/>
    </xf>
    <xf numFmtId="0" fontId="1" fillId="0" borderId="0" xfId="0" applyFont="1" applyAlignment="1">
      <alignment horizontal="left" vertical="top" indent="3"/>
    </xf>
    <xf numFmtId="0" fontId="1" fillId="0" borderId="0" xfId="0" quotePrefix="1" applyFont="1" applyAlignment="1">
      <alignment horizontal="left" vertical="top" wrapText="1" indent="3"/>
    </xf>
    <xf numFmtId="0" fontId="1" fillId="0" borderId="0" xfId="0" applyFont="1" applyAlignment="1">
      <alignment horizontal="left" vertical="top" wrapText="1" indent="3"/>
    </xf>
    <xf numFmtId="0" fontId="66" fillId="0" borderId="0" xfId="0" applyFont="1" applyAlignment="1">
      <alignment horizontal="left" vertical="top"/>
    </xf>
    <xf numFmtId="0" fontId="31" fillId="0" borderId="0" xfId="0" applyFont="1" applyAlignment="1">
      <alignment horizontal="left" vertical="top" wrapText="1" indent="3"/>
    </xf>
    <xf numFmtId="0" fontId="65" fillId="0" borderId="0" xfId="0" applyFont="1" applyAlignment="1">
      <alignment horizontal="left" vertical="top" indent="2"/>
    </xf>
    <xf numFmtId="0" fontId="31" fillId="0" borderId="0" xfId="0" applyFont="1" applyAlignment="1">
      <alignment horizontal="left" vertical="top" indent="2"/>
    </xf>
    <xf numFmtId="0" fontId="1" fillId="9" borderId="0" xfId="0" quotePrefix="1" applyFont="1" applyFill="1" applyAlignment="1">
      <alignment horizontal="left" vertical="top" indent="3"/>
    </xf>
    <xf numFmtId="0" fontId="1" fillId="9" borderId="0" xfId="0" applyFont="1" applyFill="1" applyAlignment="1">
      <alignment horizontal="left" vertical="top" indent="3"/>
    </xf>
    <xf numFmtId="0" fontId="1" fillId="9" borderId="0" xfId="0" quotePrefix="1" applyFont="1" applyFill="1" applyAlignment="1">
      <alignment horizontal="left" vertical="top" wrapText="1" indent="3"/>
    </xf>
    <xf numFmtId="0" fontId="1" fillId="9" borderId="0" xfId="0" applyFont="1" applyFill="1" applyAlignment="1">
      <alignment horizontal="left" vertical="top" wrapText="1" indent="3"/>
    </xf>
    <xf numFmtId="0" fontId="65" fillId="0" borderId="0" xfId="0" applyFont="1" applyAlignment="1">
      <alignment horizontal="left" vertical="top" wrapText="1" indent="3"/>
    </xf>
    <xf numFmtId="0" fontId="31" fillId="0" borderId="0" xfId="0" applyFont="1" applyAlignment="1">
      <alignment horizontal="left" vertical="top"/>
    </xf>
    <xf numFmtId="0" fontId="65" fillId="0" borderId="0" xfId="0" applyFont="1" applyAlignment="1">
      <alignment horizontal="left" vertical="top" wrapText="1" indent="2"/>
    </xf>
    <xf numFmtId="0" fontId="31" fillId="0" borderId="0" xfId="0" applyFont="1" applyAlignment="1">
      <alignment horizontal="left" vertical="top" wrapText="1" indent="2"/>
    </xf>
    <xf numFmtId="0" fontId="45" fillId="16" borderId="0" xfId="0" applyFont="1" applyFill="1" applyAlignment="1">
      <alignment horizontal="left" vertical="top"/>
    </xf>
    <xf numFmtId="0" fontId="0" fillId="16" borderId="0" xfId="0" applyFill="1" applyAlignment="1">
      <alignment horizontal="left" vertical="top"/>
    </xf>
    <xf numFmtId="0" fontId="31" fillId="16" borderId="0" xfId="0" applyFont="1" applyFill="1" applyAlignment="1">
      <alignment horizontal="left" vertical="top" wrapText="1" indent="3"/>
    </xf>
    <xf numFmtId="0" fontId="31" fillId="16" borderId="0" xfId="0" applyFont="1" applyFill="1" applyAlignment="1">
      <alignment horizontal="left" vertical="top" wrapText="1"/>
    </xf>
    <xf numFmtId="0" fontId="31" fillId="13" borderId="83" xfId="0" applyFont="1" applyFill="1" applyBorder="1" applyAlignment="1">
      <alignment vertical="center" wrapText="1"/>
    </xf>
    <xf numFmtId="0" fontId="31" fillId="13" borderId="79" xfId="0" applyFont="1" applyFill="1" applyBorder="1" applyAlignment="1">
      <alignment vertical="center" wrapText="1"/>
    </xf>
    <xf numFmtId="0" fontId="31" fillId="13" borderId="86" xfId="0" applyFont="1" applyFill="1" applyBorder="1" applyAlignment="1">
      <alignment vertical="center" wrapText="1"/>
    </xf>
    <xf numFmtId="0" fontId="31" fillId="13" borderId="80" xfId="0" applyFont="1" applyFill="1" applyBorder="1" applyAlignment="1">
      <alignment vertical="center" wrapText="1"/>
    </xf>
    <xf numFmtId="0" fontId="31" fillId="13" borderId="84" xfId="0" applyFont="1" applyFill="1" applyBorder="1" applyAlignment="1">
      <alignment vertical="center" wrapText="1"/>
    </xf>
    <xf numFmtId="0" fontId="31" fillId="13" borderId="78" xfId="0" applyFont="1" applyFill="1" applyBorder="1" applyAlignment="1">
      <alignment vertical="center" wrapText="1"/>
    </xf>
    <xf numFmtId="0" fontId="31" fillId="13" borderId="84" xfId="0" applyFont="1" applyFill="1" applyBorder="1" applyAlignment="1">
      <alignment horizontal="left" vertical="center" wrapText="1"/>
    </xf>
    <xf numFmtId="0" fontId="31" fillId="13" borderId="78" xfId="0" applyFont="1" applyFill="1" applyBorder="1" applyAlignment="1">
      <alignment horizontal="left" vertical="center" wrapText="1"/>
    </xf>
    <xf numFmtId="0" fontId="57" fillId="3" borderId="128" xfId="0" applyFont="1" applyFill="1" applyBorder="1" applyAlignment="1">
      <alignment horizontal="left" vertical="top" wrapText="1"/>
    </xf>
    <xf numFmtId="0" fontId="57" fillId="3" borderId="128" xfId="0" applyFont="1" applyFill="1" applyBorder="1" applyAlignment="1">
      <alignment horizontal="left" vertical="top"/>
    </xf>
    <xf numFmtId="0" fontId="45" fillId="0" borderId="76" xfId="0" applyFont="1" applyBorder="1" applyAlignment="1">
      <alignment horizontal="center" vertical="center" wrapText="1"/>
    </xf>
    <xf numFmtId="0" fontId="45" fillId="0" borderId="77" xfId="0" applyFont="1" applyBorder="1" applyAlignment="1">
      <alignment horizontal="center" vertical="center" wrapText="1"/>
    </xf>
    <xf numFmtId="0" fontId="31" fillId="13" borderId="81" xfId="0" applyFont="1" applyFill="1" applyBorder="1" applyAlignment="1">
      <alignment vertical="center" wrapText="1"/>
    </xf>
    <xf numFmtId="0" fontId="31" fillId="13" borderId="85" xfId="0" applyFont="1" applyFill="1" applyBorder="1" applyAlignment="1">
      <alignment horizontal="left" vertical="center" wrapText="1"/>
    </xf>
    <xf numFmtId="0" fontId="31" fillId="13" borderId="86" xfId="0" applyFont="1" applyFill="1" applyBorder="1" applyAlignment="1">
      <alignment horizontal="left" vertical="center" wrapText="1"/>
    </xf>
    <xf numFmtId="0" fontId="31" fillId="13" borderId="82" xfId="0" applyFont="1" applyFill="1" applyBorder="1" applyAlignment="1">
      <alignment horizontal="left" vertical="center" wrapText="1"/>
    </xf>
    <xf numFmtId="0" fontId="31" fillId="13" borderId="80" xfId="0" applyFont="1" applyFill="1" applyBorder="1" applyAlignment="1">
      <alignment horizontal="left" vertical="center" wrapText="1"/>
    </xf>
    <xf numFmtId="0" fontId="31" fillId="13" borderId="85" xfId="0" applyFont="1" applyFill="1" applyBorder="1" applyAlignment="1">
      <alignment vertical="center" wrapText="1"/>
    </xf>
    <xf numFmtId="0" fontId="9" fillId="0" borderId="0" xfId="0" applyFont="1" applyAlignment="1">
      <alignment horizontal="left" wrapText="1"/>
    </xf>
    <xf numFmtId="0" fontId="6" fillId="0" borderId="23" xfId="0" applyFont="1" applyBorder="1" applyAlignment="1">
      <alignment horizontal="left" vertical="center" wrapText="1"/>
    </xf>
    <xf numFmtId="0" fontId="6" fillId="0" borderId="24" xfId="0" applyFont="1" applyBorder="1" applyAlignment="1">
      <alignment horizontal="left" vertical="center" wrapText="1"/>
    </xf>
    <xf numFmtId="0" fontId="6" fillId="0" borderId="26" xfId="0" applyFont="1" applyBorder="1" applyAlignment="1">
      <alignment horizontal="left" vertical="center" wrapText="1"/>
    </xf>
    <xf numFmtId="0" fontId="6" fillId="0" borderId="27" xfId="0" applyFont="1" applyBorder="1" applyAlignment="1">
      <alignment horizontal="left" vertical="center" wrapText="1"/>
    </xf>
    <xf numFmtId="0" fontId="6" fillId="0" borderId="29" xfId="0" applyFont="1" applyBorder="1" applyAlignment="1">
      <alignment horizontal="left" vertical="center" wrapText="1"/>
    </xf>
    <xf numFmtId="0" fontId="6" fillId="0" borderId="30" xfId="0" applyFont="1" applyBorder="1" applyAlignment="1">
      <alignment horizontal="left" vertical="center" wrapText="1"/>
    </xf>
    <xf numFmtId="0" fontId="53" fillId="0" borderId="0" xfId="0" applyFont="1" applyAlignment="1">
      <alignment horizontal="right" vertical="top" wrapText="1"/>
    </xf>
    <xf numFmtId="0" fontId="6" fillId="0" borderId="0" xfId="0" applyFont="1" applyAlignment="1">
      <alignment horizontal="left" wrapText="1"/>
    </xf>
  </cellXfs>
  <cellStyles count="4">
    <cellStyle name="Currency" xfId="3" builtinId="4"/>
    <cellStyle name="Hyperlink" xfId="2" builtinId="8"/>
    <cellStyle name="Normal" xfId="0" builtinId="0"/>
    <cellStyle name="Percent" xfId="1" builtinId="5"/>
  </cellStyles>
  <dxfs count="2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ill>
        <patternFill>
          <bgColor rgb="FFFFFF00"/>
        </patternFill>
      </fill>
    </dxf>
    <dxf>
      <fill>
        <patternFill>
          <bgColor rgb="FFFFFF00"/>
        </patternFill>
      </fill>
    </dxf>
    <dxf>
      <font>
        <b/>
        <i val="0"/>
        <color rgb="FFFF0000"/>
      </font>
    </dxf>
    <dxf>
      <font>
        <b/>
        <i val="0"/>
        <color rgb="FF00B05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Medium9"/>
  <colors>
    <mruColors>
      <color rgb="FF004B65"/>
      <color rgb="FFB8B8B8"/>
      <color rgb="FF808080"/>
      <color rgb="FF003F5E"/>
      <color rgb="FF004B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8.jpeg"/><Relationship Id="rId7" Type="http://schemas.openxmlformats.org/officeDocument/2006/relationships/image" Target="../media/image12.pn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34.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37.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38.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39.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_rels/vmlDrawing4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8</xdr:col>
      <xdr:colOff>326569</xdr:colOff>
      <xdr:row>13</xdr:row>
      <xdr:rowOff>195942</xdr:rowOff>
    </xdr:from>
    <xdr:to>
      <xdr:col>8</xdr:col>
      <xdr:colOff>600889</xdr:colOff>
      <xdr:row>13</xdr:row>
      <xdr:rowOff>470262</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6641644" y="8854167"/>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13</xdr:row>
      <xdr:rowOff>489854</xdr:rowOff>
    </xdr:from>
    <xdr:to>
      <xdr:col>8</xdr:col>
      <xdr:colOff>306975</xdr:colOff>
      <xdr:row>13</xdr:row>
      <xdr:rowOff>764174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347730" y="9148079"/>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13</xdr:row>
      <xdr:rowOff>195942</xdr:rowOff>
    </xdr:from>
    <xdr:to>
      <xdr:col>8</xdr:col>
      <xdr:colOff>306975</xdr:colOff>
      <xdr:row>13</xdr:row>
      <xdr:rowOff>470262</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6347730" y="8854167"/>
          <a:ext cx="274320" cy="274320"/>
        </a:xfrm>
        <a:prstGeom prst="rect">
          <a:avLst/>
        </a:prstGeom>
        <a:solidFill>
          <a:srgbClr val="F1B43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26118</xdr:colOff>
      <xdr:row>2</xdr:row>
      <xdr:rowOff>304254</xdr:rowOff>
    </xdr:from>
    <xdr:to>
      <xdr:col>8</xdr:col>
      <xdr:colOff>333376</xdr:colOff>
      <xdr:row>3</xdr:row>
      <xdr:rowOff>778255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2378793" y="1428204"/>
          <a:ext cx="4269658" cy="15503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190502</xdr:colOff>
      <xdr:row>6</xdr:row>
      <xdr:rowOff>152400</xdr:rowOff>
    </xdr:from>
    <xdr:to>
      <xdr:col>13</xdr:col>
      <xdr:colOff>714375</xdr:colOff>
      <xdr:row>6</xdr:row>
      <xdr:rowOff>152401</xdr:rowOff>
    </xdr:to>
    <xdr:cxnSp macro="">
      <xdr:nvCxnSpPr>
        <xdr:cNvPr id="2" name="Straight Arrow Connector 1">
          <a:extLst>
            <a:ext uri="{FF2B5EF4-FFF2-40B4-BE49-F238E27FC236}">
              <a16:creationId xmlns:a16="http://schemas.microsoft.com/office/drawing/2014/main" id="{00000000-0008-0000-0100-000002000000}"/>
            </a:ext>
          </a:extLst>
        </xdr:cNvPr>
        <xdr:cNvCxnSpPr/>
      </xdr:nvCxnSpPr>
      <xdr:spPr>
        <a:xfrm flipH="1">
          <a:off x="14668502" y="1781175"/>
          <a:ext cx="523873" cy="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xdr:colOff>
      <xdr:row>1</xdr:row>
      <xdr:rowOff>0</xdr:rowOff>
    </xdr:from>
    <xdr:to>
      <xdr:col>5</xdr:col>
      <xdr:colOff>9526</xdr:colOff>
      <xdr:row>3</xdr:row>
      <xdr:rowOff>0</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H="1" flipV="1">
          <a:off x="6651625" y="190500"/>
          <a:ext cx="568326" cy="32385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254000</xdr:colOff>
      <xdr:row>2</xdr:row>
      <xdr:rowOff>95250</xdr:rowOff>
    </xdr:from>
    <xdr:to>
      <xdr:col>5</xdr:col>
      <xdr:colOff>514349</xdr:colOff>
      <xdr:row>2</xdr:row>
      <xdr:rowOff>95250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a:off x="7175500" y="476250"/>
          <a:ext cx="863599"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2505075</xdr:colOff>
      <xdr:row>12</xdr:row>
      <xdr:rowOff>85725</xdr:rowOff>
    </xdr:from>
    <xdr:to>
      <xdr:col>11</xdr:col>
      <xdr:colOff>523875</xdr:colOff>
      <xdr:row>13</xdr:row>
      <xdr:rowOff>38100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flipV="1">
          <a:off x="10410825" y="2428875"/>
          <a:ext cx="533400" cy="14287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28575</xdr:colOff>
      <xdr:row>13</xdr:row>
      <xdr:rowOff>47625</xdr:rowOff>
    </xdr:from>
    <xdr:to>
      <xdr:col>11</xdr:col>
      <xdr:colOff>523876</xdr:colOff>
      <xdr:row>13</xdr:row>
      <xdr:rowOff>104775</xdr:rowOff>
    </xdr:to>
    <xdr:cxnSp macro="">
      <xdr:nvCxnSpPr>
        <xdr:cNvPr id="9" name="Straight Arrow Connector 8">
          <a:extLst>
            <a:ext uri="{FF2B5EF4-FFF2-40B4-BE49-F238E27FC236}">
              <a16:creationId xmlns:a16="http://schemas.microsoft.com/office/drawing/2014/main" id="{00000000-0008-0000-0B00-000009000000}"/>
            </a:ext>
          </a:extLst>
        </xdr:cNvPr>
        <xdr:cNvCxnSpPr/>
      </xdr:nvCxnSpPr>
      <xdr:spPr>
        <a:xfrm flipH="1">
          <a:off x="10448925" y="2581275"/>
          <a:ext cx="495301" cy="5715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1847850</xdr:colOff>
      <xdr:row>40</xdr:row>
      <xdr:rowOff>114300</xdr:rowOff>
    </xdr:from>
    <xdr:to>
      <xdr:col>11</xdr:col>
      <xdr:colOff>619126</xdr:colOff>
      <xdr:row>40</xdr:row>
      <xdr:rowOff>114300</xdr:rowOff>
    </xdr:to>
    <xdr:cxnSp macro="">
      <xdr:nvCxnSpPr>
        <xdr:cNvPr id="2" name="Straight Arrow Connector 1">
          <a:extLst>
            <a:ext uri="{FF2B5EF4-FFF2-40B4-BE49-F238E27FC236}">
              <a16:creationId xmlns:a16="http://schemas.microsoft.com/office/drawing/2014/main" id="{00000000-0008-0000-1000-000002000000}"/>
            </a:ext>
          </a:extLst>
        </xdr:cNvPr>
        <xdr:cNvCxnSpPr/>
      </xdr:nvCxnSpPr>
      <xdr:spPr>
        <a:xfrm flipH="1">
          <a:off x="9753600" y="7410450"/>
          <a:ext cx="676276"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1857375</xdr:colOff>
      <xdr:row>67</xdr:row>
      <xdr:rowOff>114300</xdr:rowOff>
    </xdr:from>
    <xdr:to>
      <xdr:col>11</xdr:col>
      <xdr:colOff>628651</xdr:colOff>
      <xdr:row>67</xdr:row>
      <xdr:rowOff>114300</xdr:rowOff>
    </xdr:to>
    <xdr:cxnSp macro="">
      <xdr:nvCxnSpPr>
        <xdr:cNvPr id="3" name="Straight Arrow Connector 2">
          <a:extLst>
            <a:ext uri="{FF2B5EF4-FFF2-40B4-BE49-F238E27FC236}">
              <a16:creationId xmlns:a16="http://schemas.microsoft.com/office/drawing/2014/main" id="{00000000-0008-0000-1000-000003000000}"/>
            </a:ext>
          </a:extLst>
        </xdr:cNvPr>
        <xdr:cNvCxnSpPr/>
      </xdr:nvCxnSpPr>
      <xdr:spPr>
        <a:xfrm flipH="1">
          <a:off x="9763125" y="8267700"/>
          <a:ext cx="676276"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1724025</xdr:colOff>
      <xdr:row>80</xdr:row>
      <xdr:rowOff>95250</xdr:rowOff>
    </xdr:from>
    <xdr:to>
      <xdr:col>11</xdr:col>
      <xdr:colOff>495301</xdr:colOff>
      <xdr:row>80</xdr:row>
      <xdr:rowOff>95250</xdr:rowOff>
    </xdr:to>
    <xdr:cxnSp macro="">
      <xdr:nvCxnSpPr>
        <xdr:cNvPr id="3" name="Straight Arrow Connector 2">
          <a:extLst>
            <a:ext uri="{FF2B5EF4-FFF2-40B4-BE49-F238E27FC236}">
              <a16:creationId xmlns:a16="http://schemas.microsoft.com/office/drawing/2014/main" id="{00000000-0008-0000-1100-000003000000}"/>
            </a:ext>
          </a:extLst>
        </xdr:cNvPr>
        <xdr:cNvCxnSpPr/>
      </xdr:nvCxnSpPr>
      <xdr:spPr>
        <a:xfrm flipH="1">
          <a:off x="9629775" y="10153650"/>
          <a:ext cx="676276"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1809750</xdr:colOff>
      <xdr:row>86</xdr:row>
      <xdr:rowOff>133350</xdr:rowOff>
    </xdr:from>
    <xdr:to>
      <xdr:col>11</xdr:col>
      <xdr:colOff>581026</xdr:colOff>
      <xdr:row>86</xdr:row>
      <xdr:rowOff>133350</xdr:rowOff>
    </xdr:to>
    <xdr:cxnSp macro="">
      <xdr:nvCxnSpPr>
        <xdr:cNvPr id="3" name="Straight Arrow Connector 2">
          <a:extLst>
            <a:ext uri="{FF2B5EF4-FFF2-40B4-BE49-F238E27FC236}">
              <a16:creationId xmlns:a16="http://schemas.microsoft.com/office/drawing/2014/main" id="{00000000-0008-0000-1800-000003000000}"/>
            </a:ext>
          </a:extLst>
        </xdr:cNvPr>
        <xdr:cNvCxnSpPr/>
      </xdr:nvCxnSpPr>
      <xdr:spPr>
        <a:xfrm flipH="1">
          <a:off x="9715500" y="8191500"/>
          <a:ext cx="676276"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1828800</xdr:colOff>
      <xdr:row>117</xdr:row>
      <xdr:rowOff>123825</xdr:rowOff>
    </xdr:from>
    <xdr:to>
      <xdr:col>11</xdr:col>
      <xdr:colOff>600076</xdr:colOff>
      <xdr:row>117</xdr:row>
      <xdr:rowOff>123825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H="1">
          <a:off x="9734550" y="8658225"/>
          <a:ext cx="676276"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1847850</xdr:colOff>
      <xdr:row>40</xdr:row>
      <xdr:rowOff>114300</xdr:rowOff>
    </xdr:from>
    <xdr:to>
      <xdr:col>11</xdr:col>
      <xdr:colOff>619126</xdr:colOff>
      <xdr:row>40</xdr:row>
      <xdr:rowOff>114300</xdr:rowOff>
    </xdr:to>
    <xdr:cxnSp macro="">
      <xdr:nvCxnSpPr>
        <xdr:cNvPr id="2" name="Straight Arrow Connector 1">
          <a:extLst>
            <a:ext uri="{FF2B5EF4-FFF2-40B4-BE49-F238E27FC236}">
              <a16:creationId xmlns:a16="http://schemas.microsoft.com/office/drawing/2014/main" id="{03F9ECF0-3D74-499D-BAD4-734C51F01E3E}"/>
            </a:ext>
          </a:extLst>
        </xdr:cNvPr>
        <xdr:cNvCxnSpPr/>
      </xdr:nvCxnSpPr>
      <xdr:spPr>
        <a:xfrm flipH="1">
          <a:off x="11896725" y="7867650"/>
          <a:ext cx="914401"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1857375</xdr:colOff>
      <xdr:row>67</xdr:row>
      <xdr:rowOff>114300</xdr:rowOff>
    </xdr:from>
    <xdr:to>
      <xdr:col>11</xdr:col>
      <xdr:colOff>628651</xdr:colOff>
      <xdr:row>67</xdr:row>
      <xdr:rowOff>114300</xdr:rowOff>
    </xdr:to>
    <xdr:cxnSp macro="">
      <xdr:nvCxnSpPr>
        <xdr:cNvPr id="3" name="Straight Arrow Connector 2">
          <a:extLst>
            <a:ext uri="{FF2B5EF4-FFF2-40B4-BE49-F238E27FC236}">
              <a16:creationId xmlns:a16="http://schemas.microsoft.com/office/drawing/2014/main" id="{A6BC6D4B-3120-402E-BD30-57DDDA00D53C}"/>
            </a:ext>
          </a:extLst>
        </xdr:cNvPr>
        <xdr:cNvCxnSpPr/>
      </xdr:nvCxnSpPr>
      <xdr:spPr>
        <a:xfrm flipH="1">
          <a:off x="11906250" y="8534400"/>
          <a:ext cx="914401"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152400</xdr:colOff>
      <xdr:row>21</xdr:row>
      <xdr:rowOff>180975</xdr:rowOff>
    </xdr:from>
    <xdr:to>
      <xdr:col>8</xdr:col>
      <xdr:colOff>174624</xdr:colOff>
      <xdr:row>21</xdr:row>
      <xdr:rowOff>180975</xdr:rowOff>
    </xdr:to>
    <xdr:cxnSp macro="">
      <xdr:nvCxnSpPr>
        <xdr:cNvPr id="2" name="Straight Arrow Connector 1">
          <a:extLst>
            <a:ext uri="{FF2B5EF4-FFF2-40B4-BE49-F238E27FC236}">
              <a16:creationId xmlns:a16="http://schemas.microsoft.com/office/drawing/2014/main" id="{00000000-0008-0000-2100-000002000000}"/>
            </a:ext>
          </a:extLst>
        </xdr:cNvPr>
        <xdr:cNvCxnSpPr/>
      </xdr:nvCxnSpPr>
      <xdr:spPr>
        <a:xfrm flipH="1">
          <a:off x="7067550" y="4143375"/>
          <a:ext cx="869949"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47625</xdr:colOff>
      <xdr:row>71</xdr:row>
      <xdr:rowOff>171450</xdr:rowOff>
    </xdr:from>
    <xdr:to>
      <xdr:col>11</xdr:col>
      <xdr:colOff>561975</xdr:colOff>
      <xdr:row>71</xdr:row>
      <xdr:rowOff>171450</xdr:rowOff>
    </xdr:to>
    <xdr:cxnSp macro="">
      <xdr:nvCxnSpPr>
        <xdr:cNvPr id="3" name="Straight Arrow Connector 2">
          <a:extLst>
            <a:ext uri="{FF2B5EF4-FFF2-40B4-BE49-F238E27FC236}">
              <a16:creationId xmlns:a16="http://schemas.microsoft.com/office/drawing/2014/main" id="{00000000-0008-0000-2800-000003000000}"/>
            </a:ext>
          </a:extLst>
        </xdr:cNvPr>
        <xdr:cNvCxnSpPr/>
      </xdr:nvCxnSpPr>
      <xdr:spPr>
        <a:xfrm flipH="1">
          <a:off x="12334875" y="15373350"/>
          <a:ext cx="514350" cy="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15876</xdr:colOff>
      <xdr:row>3</xdr:row>
      <xdr:rowOff>30724</xdr:rowOff>
    </xdr:from>
    <xdr:to>
      <xdr:col>0</xdr:col>
      <xdr:colOff>635001</xdr:colOff>
      <xdr:row>5</xdr:row>
      <xdr:rowOff>299087</xdr:rowOff>
    </xdr:to>
    <xdr:pic>
      <xdr:nvPicPr>
        <xdr:cNvPr id="196" name="195 Imagen" descr="Bundschuh_Gregg">
          <a:extLst>
            <a:ext uri="{FF2B5EF4-FFF2-40B4-BE49-F238E27FC236}">
              <a16:creationId xmlns:a16="http://schemas.microsoft.com/office/drawing/2014/main" id="{00000000-0008-0000-3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76" y="924845"/>
          <a:ext cx="619125" cy="895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15876</xdr:colOff>
      <xdr:row>6</xdr:row>
      <xdr:rowOff>33797</xdr:rowOff>
    </xdr:from>
    <xdr:to>
      <xdr:col>0</xdr:col>
      <xdr:colOff>625476</xdr:colOff>
      <xdr:row>8</xdr:row>
      <xdr:rowOff>292406</xdr:rowOff>
    </xdr:to>
    <xdr:pic>
      <xdr:nvPicPr>
        <xdr:cNvPr id="202" name="Picture 14">
          <a:extLst>
            <a:ext uri="{FF2B5EF4-FFF2-40B4-BE49-F238E27FC236}">
              <a16:creationId xmlns:a16="http://schemas.microsoft.com/office/drawing/2014/main" id="{00000000-0008-0000-3000-0000C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876" y="6569176"/>
          <a:ext cx="609600" cy="8854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39689</xdr:colOff>
      <xdr:row>9</xdr:row>
      <xdr:rowOff>39686</xdr:rowOff>
    </xdr:from>
    <xdr:to>
      <xdr:col>0</xdr:col>
      <xdr:colOff>621635</xdr:colOff>
      <xdr:row>10</xdr:row>
      <xdr:rowOff>396874</xdr:rowOff>
    </xdr:to>
    <xdr:pic>
      <xdr:nvPicPr>
        <xdr:cNvPr id="3" name="Picture 2">
          <a:extLst>
            <a:ext uri="{FF2B5EF4-FFF2-40B4-BE49-F238E27FC236}">
              <a16:creationId xmlns:a16="http://schemas.microsoft.com/office/drawing/2014/main" id="{F0DC9023-7422-E047-7DA4-BCF7D8B907D1}"/>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4757" r="14062"/>
        <a:stretch/>
      </xdr:blipFill>
      <xdr:spPr>
        <a:xfrm>
          <a:off x="39689" y="2960686"/>
          <a:ext cx="581946" cy="812271"/>
        </a:xfrm>
        <a:prstGeom prst="rect">
          <a:avLst/>
        </a:prstGeom>
      </xdr:spPr>
    </xdr:pic>
    <xdr:clientData/>
  </xdr:twoCellAnchor>
  <xdr:twoCellAnchor editAs="oneCell">
    <xdr:from>
      <xdr:col>0</xdr:col>
      <xdr:colOff>23812</xdr:colOff>
      <xdr:row>11</xdr:row>
      <xdr:rowOff>39687</xdr:rowOff>
    </xdr:from>
    <xdr:to>
      <xdr:col>0</xdr:col>
      <xdr:colOff>621272</xdr:colOff>
      <xdr:row>12</xdr:row>
      <xdr:rowOff>457146</xdr:rowOff>
    </xdr:to>
    <xdr:pic>
      <xdr:nvPicPr>
        <xdr:cNvPr id="4" name="Picture 3">
          <a:extLst>
            <a:ext uri="{FF2B5EF4-FFF2-40B4-BE49-F238E27FC236}">
              <a16:creationId xmlns:a16="http://schemas.microsoft.com/office/drawing/2014/main" id="{FA8D5BD2-6C21-4BC2-8E02-807D6FA85DC0}"/>
            </a:ext>
          </a:extLst>
        </xdr:cNvPr>
        <xdr:cNvPicPr>
          <a:picLocks noChangeAspect="1"/>
        </xdr:cNvPicPr>
      </xdr:nvPicPr>
      <xdr:blipFill>
        <a:blip xmlns:r="http://schemas.openxmlformats.org/officeDocument/2006/relationships" r:embed="rId4"/>
        <a:stretch>
          <a:fillRect/>
        </a:stretch>
      </xdr:blipFill>
      <xdr:spPr>
        <a:xfrm>
          <a:off x="23812" y="3524250"/>
          <a:ext cx="597460" cy="846084"/>
        </a:xfrm>
        <a:prstGeom prst="rect">
          <a:avLst/>
        </a:prstGeom>
      </xdr:spPr>
    </xdr:pic>
    <xdr:clientData/>
  </xdr:twoCellAnchor>
  <xdr:twoCellAnchor editAs="oneCell">
    <xdr:from>
      <xdr:col>0</xdr:col>
      <xdr:colOff>31750</xdr:colOff>
      <xdr:row>15</xdr:row>
      <xdr:rowOff>31750</xdr:rowOff>
    </xdr:from>
    <xdr:to>
      <xdr:col>0</xdr:col>
      <xdr:colOff>635306</xdr:colOff>
      <xdr:row>16</xdr:row>
      <xdr:rowOff>436508</xdr:rowOff>
    </xdr:to>
    <xdr:pic>
      <xdr:nvPicPr>
        <xdr:cNvPr id="5" name="Picture 4">
          <a:extLst>
            <a:ext uri="{FF2B5EF4-FFF2-40B4-BE49-F238E27FC236}">
              <a16:creationId xmlns:a16="http://schemas.microsoft.com/office/drawing/2014/main" id="{CB20CA60-B9BA-42E5-8380-8F2F418E5C23}"/>
            </a:ext>
          </a:extLst>
        </xdr:cNvPr>
        <xdr:cNvPicPr>
          <a:picLocks noChangeAspect="1"/>
        </xdr:cNvPicPr>
      </xdr:nvPicPr>
      <xdr:blipFill>
        <a:blip xmlns:r="http://schemas.openxmlformats.org/officeDocument/2006/relationships" r:embed="rId5"/>
        <a:stretch>
          <a:fillRect/>
        </a:stretch>
      </xdr:blipFill>
      <xdr:spPr>
        <a:xfrm>
          <a:off x="31750" y="4413250"/>
          <a:ext cx="603556" cy="841321"/>
        </a:xfrm>
        <a:prstGeom prst="rect">
          <a:avLst/>
        </a:prstGeom>
      </xdr:spPr>
    </xdr:pic>
    <xdr:clientData/>
  </xdr:twoCellAnchor>
  <xdr:twoCellAnchor editAs="oneCell">
    <xdr:from>
      <xdr:col>0</xdr:col>
      <xdr:colOff>15874</xdr:colOff>
      <xdr:row>17</xdr:row>
      <xdr:rowOff>31751</xdr:rowOff>
    </xdr:from>
    <xdr:to>
      <xdr:col>0</xdr:col>
      <xdr:colOff>613334</xdr:colOff>
      <xdr:row>18</xdr:row>
      <xdr:rowOff>436510</xdr:rowOff>
    </xdr:to>
    <xdr:pic>
      <xdr:nvPicPr>
        <xdr:cNvPr id="7" name="Picture 6">
          <a:extLst>
            <a:ext uri="{FF2B5EF4-FFF2-40B4-BE49-F238E27FC236}">
              <a16:creationId xmlns:a16="http://schemas.microsoft.com/office/drawing/2014/main" id="{B7461A7E-F3EA-41F1-A3C5-773119C7926D}"/>
            </a:ext>
          </a:extLst>
        </xdr:cNvPr>
        <xdr:cNvPicPr>
          <a:picLocks noChangeAspect="1"/>
        </xdr:cNvPicPr>
      </xdr:nvPicPr>
      <xdr:blipFill>
        <a:blip xmlns:r="http://schemas.openxmlformats.org/officeDocument/2006/relationships" r:embed="rId6"/>
        <a:stretch>
          <a:fillRect/>
        </a:stretch>
      </xdr:blipFill>
      <xdr:spPr>
        <a:xfrm>
          <a:off x="15874" y="5294314"/>
          <a:ext cx="597460" cy="841321"/>
        </a:xfrm>
        <a:prstGeom prst="rect">
          <a:avLst/>
        </a:prstGeom>
      </xdr:spPr>
    </xdr:pic>
    <xdr:clientData/>
  </xdr:twoCellAnchor>
  <xdr:twoCellAnchor editAs="oneCell">
    <xdr:from>
      <xdr:col>0</xdr:col>
      <xdr:colOff>23813</xdr:colOff>
      <xdr:row>19</xdr:row>
      <xdr:rowOff>47625</xdr:rowOff>
    </xdr:from>
    <xdr:to>
      <xdr:col>0</xdr:col>
      <xdr:colOff>627369</xdr:colOff>
      <xdr:row>20</xdr:row>
      <xdr:rowOff>452384</xdr:rowOff>
    </xdr:to>
    <xdr:pic>
      <xdr:nvPicPr>
        <xdr:cNvPr id="8" name="Picture 7">
          <a:extLst>
            <a:ext uri="{FF2B5EF4-FFF2-40B4-BE49-F238E27FC236}">
              <a16:creationId xmlns:a16="http://schemas.microsoft.com/office/drawing/2014/main" id="{9692E242-CE46-42A7-9FC5-26019AE66306}"/>
            </a:ext>
          </a:extLst>
        </xdr:cNvPr>
        <xdr:cNvPicPr>
          <a:picLocks noChangeAspect="1"/>
        </xdr:cNvPicPr>
      </xdr:nvPicPr>
      <xdr:blipFill>
        <a:blip xmlns:r="http://schemas.openxmlformats.org/officeDocument/2006/relationships" r:embed="rId7"/>
        <a:stretch>
          <a:fillRect/>
        </a:stretch>
      </xdr:blipFill>
      <xdr:spPr>
        <a:xfrm>
          <a:off x="23813" y="7167563"/>
          <a:ext cx="603556" cy="84132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1066800</xdr:colOff>
      <xdr:row>2</xdr:row>
      <xdr:rowOff>295274</xdr:rowOff>
    </xdr:from>
    <xdr:to>
      <xdr:col>1</xdr:col>
      <xdr:colOff>2714625</xdr:colOff>
      <xdr:row>2</xdr:row>
      <xdr:rowOff>1959993</xdr:rowOff>
    </xdr:to>
    <xdr:pic>
      <xdr:nvPicPr>
        <xdr:cNvPr id="4" name="Picture 3">
          <a:extLst>
            <a:ext uri="{FF2B5EF4-FFF2-40B4-BE49-F238E27FC236}">
              <a16:creationId xmlns:a16="http://schemas.microsoft.com/office/drawing/2014/main" id="{00000000-0008-0000-3200-000004000000}"/>
            </a:ext>
          </a:extLst>
        </xdr:cNvPr>
        <xdr:cNvPicPr>
          <a:picLocks noChangeAspect="1"/>
        </xdr:cNvPicPr>
      </xdr:nvPicPr>
      <xdr:blipFill>
        <a:blip xmlns:r="http://schemas.openxmlformats.org/officeDocument/2006/relationships" r:embed="rId1"/>
        <a:stretch>
          <a:fillRect/>
        </a:stretch>
      </xdr:blipFill>
      <xdr:spPr>
        <a:xfrm>
          <a:off x="1066800" y="771524"/>
          <a:ext cx="4584700" cy="16647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Clients\BRPH\2022%20to%202023\2%20-%20Meetings\2%20-%20Renewal%20Meeting%20-%20Add%20Date\BRPH%20Renewal%20Proposal%2022-23.xlsm" TargetMode="External"/><Relationship Id="rId1" Type="http://schemas.openxmlformats.org/officeDocument/2006/relationships/externalLinkPath" Target="/Clients/BRPH/2022%20to%202023/2%20-%20Meetings/2%20-%20Renewal%20Meeting%20-%20Add%20Date/BRPH%20Renewal%20Proposal%202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chedule Named"/>
      <sheetName val="Renewal Strategy"/>
      <sheetName val="Insurers Approached (PL)"/>
      <sheetName val="Insurers Approached (All Other)"/>
      <sheetName val="Summary Comparison of Insurer"/>
      <sheetName val="Input"/>
      <sheetName val="Renewal Summary (Incumbent)"/>
      <sheetName val="Renewal Summary (Market)"/>
      <sheetName val="Professional Liability"/>
      <sheetName val="Excess Professional Liability"/>
      <sheetName val="Excess Professional Liability 2"/>
      <sheetName val="PL CPL GL"/>
      <sheetName val="General Liab."/>
      <sheetName val="General Liab"/>
      <sheetName val="Workers Comp"/>
      <sheetName val="Workers Comp CA"/>
      <sheetName val="Business Auto"/>
      <sheetName val="Umbrella Liability"/>
      <sheetName val="Excess Umbrella"/>
      <sheetName val="BOP"/>
      <sheetName val="Property"/>
      <sheetName val="Property Coverage by Location"/>
      <sheetName val="Inland Marine"/>
      <sheetName val="Package - Property"/>
      <sheetName val="Package - Inland Marine"/>
      <sheetName val="Watercraft"/>
      <sheetName val="BTA"/>
      <sheetName val="Foreign Package"/>
      <sheetName val="Executive Liability"/>
      <sheetName val="Crime"/>
      <sheetName val="Network &amp; Privacy Liability"/>
      <sheetName val="DBA"/>
      <sheetName val="RRP"/>
      <sheetName val="OCP"/>
      <sheetName val="Kidnap &amp; Ransom"/>
      <sheetName val="Employed Lawyers"/>
      <sheetName val="Drone"/>
      <sheetName val="Subjectivities"/>
      <sheetName val="Policies Subject to Audit"/>
      <sheetName val="When to Call"/>
      <sheetName val="Program Changes"/>
      <sheetName val="CoC"/>
      <sheetName val="Reporting Claims"/>
      <sheetName val="Payment Options"/>
      <sheetName val="Appendix"/>
      <sheetName val="Greyling Service Team"/>
      <sheetName val="Premium Audit"/>
      <sheetName val="Final Page"/>
    </sheetNames>
    <sheetDataSet>
      <sheetData sheetId="0"/>
      <sheetData sheetId="1"/>
      <sheetData sheetId="2"/>
      <sheetData sheetId="3"/>
      <sheetData sheetId="4"/>
      <sheetData sheetId="5"/>
      <sheetData sheetId="6">
        <row r="5">
          <cell r="C5" t="str">
            <v>8/1/2021 - 8/1/2022</v>
          </cell>
        </row>
        <row r="6">
          <cell r="B6" t="str">
            <v>Renewal Policy Period</v>
          </cell>
          <cell r="C6" t="str">
            <v>8/1/2022 - 8/1/2023</v>
          </cell>
        </row>
        <row r="934">
          <cell r="B934" t="str">
            <v>Employed Lawyers Liability</v>
          </cell>
        </row>
        <row r="936">
          <cell r="C936" t="str">
            <v>8260-3535</v>
          </cell>
        </row>
        <row r="937">
          <cell r="B937" t="str">
            <v>Renewal Policy Number</v>
          </cell>
          <cell r="C937" t="str">
            <v>TBD</v>
          </cell>
        </row>
        <row r="938">
          <cell r="D938" t="str">
            <v>Insurer Renewal Option I</v>
          </cell>
          <cell r="E938" t="str">
            <v>Insurer Renewal Option II</v>
          </cell>
          <cell r="G938"/>
        </row>
        <row r="939">
          <cell r="B939" t="str">
            <v>Federal Insurance Company (Chubb)</v>
          </cell>
          <cell r="D939" t="str">
            <v>Federal Insurance Company (Chubb)</v>
          </cell>
          <cell r="E939"/>
        </row>
        <row r="941">
          <cell r="B941" t="str">
            <v>A++: XV</v>
          </cell>
          <cell r="D941" t="str">
            <v>A++: XV</v>
          </cell>
          <cell r="E941"/>
        </row>
        <row r="943">
          <cell r="B943">
            <v>2999</v>
          </cell>
          <cell r="D943">
            <v>2999</v>
          </cell>
          <cell r="E943"/>
        </row>
        <row r="951">
          <cell r="B951">
            <v>2999</v>
          </cell>
          <cell r="D951">
            <v>2999</v>
          </cell>
          <cell r="E951">
            <v>0</v>
          </cell>
        </row>
        <row r="955">
          <cell r="G955">
            <v>2000000</v>
          </cell>
          <cell r="H955">
            <v>2000000</v>
          </cell>
          <cell r="I955" t="str">
            <v>Clause A - $0;
Clause B - $10,000</v>
          </cell>
        </row>
        <row r="956">
          <cell r="G956">
            <v>2000000</v>
          </cell>
          <cell r="H956">
            <v>2000000</v>
          </cell>
          <cell r="I956" t="str">
            <v>Clause A - $0;
Clause B - $10,000</v>
          </cell>
        </row>
        <row r="957">
          <cell r="G957"/>
          <cell r="H957"/>
          <cell r="I957"/>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T5@Singapore%20PTE,%20LTD"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1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8" Type="http://schemas.openxmlformats.org/officeDocument/2006/relationships/printerSettings" Target="../printerSettings/printerSettings53.bin"/><Relationship Id="rId3" Type="http://schemas.openxmlformats.org/officeDocument/2006/relationships/hyperlink" Target="mailto:Carly.Underwood@greyling.com" TargetMode="External"/><Relationship Id="rId7" Type="http://schemas.openxmlformats.org/officeDocument/2006/relationships/hyperlink" Target="mailto:Nicole.Larsen@greyling.com" TargetMode="External"/><Relationship Id="rId2" Type="http://schemas.openxmlformats.org/officeDocument/2006/relationships/hyperlink" Target="mailto:Kent.Collier@greyling.com" TargetMode="External"/><Relationship Id="rId1" Type="http://schemas.openxmlformats.org/officeDocument/2006/relationships/hyperlink" Target="mailto:Gregg.Bundschuh@greyling.com" TargetMode="External"/><Relationship Id="rId6" Type="http://schemas.openxmlformats.org/officeDocument/2006/relationships/hyperlink" Target="mailto:Brian%20Donald%20%3cbrian.donald@epicbrokers.com%3e" TargetMode="External"/><Relationship Id="rId5" Type="http://schemas.openxmlformats.org/officeDocument/2006/relationships/hyperlink" Target="mailto:Winnie.Chan@greyling.com" TargetMode="External"/><Relationship Id="rId10" Type="http://schemas.openxmlformats.org/officeDocument/2006/relationships/vmlDrawing" Target="../drawings/vmlDrawing52.vml"/><Relationship Id="rId4" Type="http://schemas.openxmlformats.org/officeDocument/2006/relationships/hyperlink" Target="mailto:Erin.Maurer@greyling.com" TargetMode="External"/><Relationship Id="rId9" Type="http://schemas.openxmlformats.org/officeDocument/2006/relationships/drawing" Target="../drawings/drawing12.xml"/></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55.bin"/><Relationship Id="rId1" Type="http://schemas.openxmlformats.org/officeDocument/2006/relationships/hyperlink" Target="mailto:info@greyling.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B1:Q16"/>
  <sheetViews>
    <sheetView showGridLines="0" view="pageBreakPreview" zoomScaleNormal="100" zoomScaleSheetLayoutView="100" workbookViewId="0">
      <selection activeCell="L4" sqref="L4"/>
    </sheetView>
  </sheetViews>
  <sheetFormatPr defaultColWidth="15.7109375" defaultRowHeight="15" x14ac:dyDescent="0.25"/>
  <cols>
    <col min="1" max="1" width="1.5703125" customWidth="1"/>
    <col min="2" max="3" width="14.85546875" customWidth="1"/>
    <col min="4" max="4" width="4" customWidth="1"/>
    <col min="5" max="8" width="14.85546875" customWidth="1"/>
    <col min="9" max="9" width="9.28515625" customWidth="1"/>
  </cols>
  <sheetData>
    <row r="1" spans="2:17" ht="9" customHeight="1" thickBot="1" x14ac:dyDescent="0.3"/>
    <row r="2" spans="2:17" ht="79.900000000000006" customHeight="1" x14ac:dyDescent="0.25">
      <c r="B2" s="329"/>
      <c r="C2" s="328"/>
      <c r="D2" s="299"/>
      <c r="E2" s="299"/>
      <c r="F2" s="299"/>
      <c r="G2" s="299"/>
      <c r="H2" s="299"/>
      <c r="I2" s="300"/>
    </row>
    <row r="3" spans="2:17" ht="85.15" customHeight="1" thickBot="1" x14ac:dyDescent="0.3">
      <c r="B3" s="330"/>
      <c r="C3" s="301"/>
      <c r="D3" s="217"/>
      <c r="E3" s="217"/>
      <c r="F3" s="217"/>
      <c r="I3" s="302"/>
    </row>
    <row r="4" spans="2:17" ht="85.15" customHeight="1" thickBot="1" x14ac:dyDescent="0.3">
      <c r="B4" s="331"/>
      <c r="C4" s="301"/>
      <c r="I4" s="302"/>
    </row>
    <row r="5" spans="2:17" ht="85.15" customHeight="1" thickBot="1" x14ac:dyDescent="0.3">
      <c r="B5" s="332"/>
      <c r="C5" s="303"/>
      <c r="E5" s="1132" t="str">
        <f>IF(Input!C2="","",Input!C2)</f>
        <v>T5 Construction Services, LLC
T5 Data Centers, LLC</v>
      </c>
      <c r="F5" s="1132"/>
      <c r="G5" s="1132"/>
      <c r="H5" s="1132"/>
      <c r="I5" s="1133"/>
    </row>
    <row r="6" spans="2:17" ht="42" customHeight="1" x14ac:dyDescent="0.25">
      <c r="B6" s="1126"/>
      <c r="C6" s="1124"/>
      <c r="E6" s="1132"/>
      <c r="F6" s="1132"/>
      <c r="G6" s="1132"/>
      <c r="H6" s="1132"/>
      <c r="I6" s="1133"/>
      <c r="K6" s="334"/>
      <c r="L6" s="335"/>
      <c r="M6" s="335"/>
      <c r="N6" s="335"/>
      <c r="O6" s="334"/>
      <c r="P6" s="335"/>
      <c r="Q6" s="335"/>
    </row>
    <row r="7" spans="2:17" ht="42.6" customHeight="1" thickBot="1" x14ac:dyDescent="0.3">
      <c r="B7" s="1127"/>
      <c r="C7" s="1125"/>
      <c r="E7" s="1132"/>
      <c r="F7" s="1132"/>
      <c r="G7" s="1132"/>
      <c r="H7" s="1132"/>
      <c r="I7" s="1133"/>
      <c r="K7" s="334"/>
      <c r="L7" s="335"/>
      <c r="M7" s="335"/>
      <c r="N7" s="335"/>
      <c r="O7" s="334"/>
      <c r="P7" s="335"/>
      <c r="Q7" s="335"/>
    </row>
    <row r="8" spans="2:17" ht="42.6" customHeight="1" x14ac:dyDescent="0.25">
      <c r="B8" s="1130"/>
      <c r="C8" s="1128"/>
      <c r="E8" s="1123" t="s">
        <v>1937</v>
      </c>
      <c r="F8" s="1123"/>
      <c r="G8" s="1123"/>
      <c r="H8" s="1123"/>
      <c r="I8" s="302"/>
      <c r="K8" s="335"/>
      <c r="L8" s="335"/>
      <c r="M8" s="335"/>
      <c r="N8" s="335"/>
      <c r="O8" s="335"/>
      <c r="P8" s="335"/>
      <c r="Q8" s="335"/>
    </row>
    <row r="9" spans="2:17" ht="42.6" customHeight="1" x14ac:dyDescent="0.4">
      <c r="B9" s="1130"/>
      <c r="C9" s="1129"/>
      <c r="E9" s="1131" t="s">
        <v>328</v>
      </c>
      <c r="F9" s="1131"/>
      <c r="G9" s="1131"/>
      <c r="H9" s="1131"/>
      <c r="I9" s="302"/>
      <c r="K9" s="335"/>
      <c r="L9" s="335"/>
      <c r="M9" s="335"/>
      <c r="N9" s="335"/>
      <c r="O9" s="335"/>
      <c r="P9" s="335"/>
      <c r="Q9" s="335"/>
    </row>
    <row r="10" spans="2:17" ht="42" customHeight="1" x14ac:dyDescent="0.25">
      <c r="B10" s="330"/>
      <c r="C10" s="301"/>
      <c r="E10" s="1123" t="str">
        <f>IF(Input!C6="","",Input!C6)</f>
        <v>7/1/2023 - 7/1/2024</v>
      </c>
      <c r="F10" s="1123"/>
      <c r="G10" s="1123"/>
      <c r="H10" s="1123"/>
      <c r="I10" s="302"/>
      <c r="K10" s="335"/>
      <c r="L10" s="335"/>
      <c r="M10" s="335"/>
      <c r="N10" s="335"/>
      <c r="O10" s="335"/>
      <c r="P10" s="335"/>
      <c r="Q10" s="335"/>
    </row>
    <row r="11" spans="2:17" ht="42" customHeight="1" x14ac:dyDescent="0.25">
      <c r="B11" s="330"/>
      <c r="C11" s="301"/>
      <c r="E11" s="1123"/>
      <c r="F11" s="1123"/>
      <c r="G11" s="1123"/>
      <c r="H11" s="1123"/>
      <c r="I11" s="302"/>
      <c r="K11" s="335"/>
      <c r="L11" s="335"/>
      <c r="M11" s="335"/>
      <c r="N11" s="335"/>
      <c r="O11" s="335"/>
      <c r="P11" s="335"/>
      <c r="Q11" s="335"/>
    </row>
    <row r="12" spans="2:17" ht="42" customHeight="1" x14ac:dyDescent="0.25">
      <c r="B12" s="330"/>
      <c r="C12" s="301"/>
      <c r="E12" s="1123"/>
      <c r="F12" s="1123"/>
      <c r="G12" s="1123"/>
      <c r="H12" s="1123"/>
      <c r="I12" s="302"/>
      <c r="K12" s="335"/>
      <c r="L12" s="335"/>
      <c r="M12" s="335"/>
      <c r="N12" s="335"/>
      <c r="O12" s="335"/>
      <c r="P12" s="335"/>
      <c r="Q12" s="335"/>
    </row>
    <row r="13" spans="2:17" ht="42" customHeight="1" x14ac:dyDescent="0.25">
      <c r="B13" s="330"/>
      <c r="C13" s="301"/>
      <c r="E13" s="1134"/>
      <c r="F13" s="1134"/>
      <c r="G13" s="1134"/>
      <c r="H13" s="1134"/>
      <c r="I13" s="302"/>
    </row>
    <row r="14" spans="2:17" ht="76.5" customHeight="1" x14ac:dyDescent="0.25">
      <c r="B14" s="330"/>
      <c r="C14" s="301"/>
      <c r="F14" s="1121" t="s">
        <v>1975</v>
      </c>
      <c r="G14" s="1122"/>
      <c r="H14" s="1122"/>
      <c r="I14" s="302"/>
    </row>
    <row r="15" spans="2:17" ht="2.25" customHeight="1" thickBot="1" x14ac:dyDescent="0.3">
      <c r="B15" s="304"/>
      <c r="C15" s="304"/>
      <c r="D15" s="304"/>
      <c r="E15" s="304"/>
      <c r="F15" s="304"/>
      <c r="G15" s="304"/>
      <c r="H15" s="304"/>
      <c r="I15" s="305"/>
    </row>
    <row r="16" spans="2:17" ht="85.15" customHeight="1" x14ac:dyDescent="0.25"/>
  </sheetData>
  <mergeCells count="12">
    <mergeCell ref="F14:H14"/>
    <mergeCell ref="E8:H8"/>
    <mergeCell ref="C6:C7"/>
    <mergeCell ref="B6:B7"/>
    <mergeCell ref="C8:C9"/>
    <mergeCell ref="B8:B9"/>
    <mergeCell ref="E9:H9"/>
    <mergeCell ref="E10:H10"/>
    <mergeCell ref="E5:I7"/>
    <mergeCell ref="E11:H11"/>
    <mergeCell ref="E12:H12"/>
    <mergeCell ref="E13:H13"/>
  </mergeCells>
  <printOptions horizontalCentered="1" verticalCentered="1"/>
  <pageMargins left="0" right="0" top="0" bottom="0" header="0" footer="0"/>
  <pageSetup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pageSetUpPr fitToPage="1"/>
  </sheetPr>
  <dimension ref="A2:Q28"/>
  <sheetViews>
    <sheetView showGridLines="0" view="pageBreakPreview" zoomScale="136" zoomScaleNormal="100" zoomScaleSheetLayoutView="136" workbookViewId="0">
      <selection activeCell="H5" sqref="H5"/>
    </sheetView>
  </sheetViews>
  <sheetFormatPr defaultColWidth="11.42578125" defaultRowHeight="15" x14ac:dyDescent="0.25"/>
  <cols>
    <col min="1" max="1" width="23.5703125" style="2" customWidth="1"/>
    <col min="2" max="2" width="43.7109375" customWidth="1"/>
    <col min="3" max="3" width="38.7109375" hidden="1" customWidth="1"/>
    <col min="4" max="4" width="15.7109375" customWidth="1"/>
    <col min="5" max="5" width="8.42578125" bestFit="1" customWidth="1"/>
    <col min="6" max="13" width="15.7109375" customWidth="1"/>
  </cols>
  <sheetData>
    <row r="2" spans="1:17" s="212" customFormat="1" ht="76.5" x14ac:dyDescent="0.2">
      <c r="A2" s="517"/>
      <c r="B2" s="518" t="s">
        <v>447</v>
      </c>
      <c r="C2" s="518"/>
      <c r="D2" s="518" t="s">
        <v>448</v>
      </c>
      <c r="E2" s="518" t="s">
        <v>880</v>
      </c>
      <c r="F2" s="576" t="str">
        <f>Input!B8</f>
        <v>Contractor's Professional &amp; Pollution Liability</v>
      </c>
      <c r="G2" s="576" t="str">
        <f>Input!B184</f>
        <v>T5CS Commercial General Liability</v>
      </c>
      <c r="H2" s="576" t="str">
        <f>Input!B227</f>
        <v>Workers Compensation</v>
      </c>
      <c r="I2" s="576" t="str">
        <f>Input!B311</f>
        <v>T5DC Business Auto</v>
      </c>
      <c r="J2" s="576" t="str">
        <f>Input!B359</f>
        <v>T5CS Umbrella</v>
      </c>
      <c r="K2" s="576" t="str">
        <f>Input!B541</f>
        <v>Inland Marine (T5CS)</v>
      </c>
      <c r="L2" s="576" t="str">
        <f>Input!B816</f>
        <v>Foreign Package - T5CS</v>
      </c>
      <c r="M2" s="576" t="str">
        <f>Input!B853</f>
        <v>Executive Liability (Directors &amp; Officers, Employment Practices, Fiduciary Liability)</v>
      </c>
    </row>
    <row r="3" spans="1:17" s="212" customFormat="1" ht="38.25" customHeight="1" x14ac:dyDescent="0.25">
      <c r="A3" s="395" t="s">
        <v>658</v>
      </c>
      <c r="B3" s="712" t="s">
        <v>2141</v>
      </c>
      <c r="C3" s="390"/>
      <c r="D3" s="390"/>
      <c r="E3" s="390"/>
      <c r="F3" s="558"/>
      <c r="G3" s="558"/>
      <c r="H3" s="558"/>
      <c r="I3" s="558"/>
      <c r="J3" s="558"/>
      <c r="K3" s="558"/>
      <c r="L3" s="558"/>
      <c r="M3" s="558"/>
      <c r="O3" s="1139" t="s">
        <v>992</v>
      </c>
      <c r="P3" s="1139"/>
      <c r="Q3" s="1139"/>
    </row>
    <row r="4" spans="1:17" s="212" customFormat="1" ht="48.75" customHeight="1" x14ac:dyDescent="0.25">
      <c r="A4" s="1117"/>
      <c r="B4" s="712" t="s">
        <v>2142</v>
      </c>
      <c r="C4" s="390"/>
      <c r="D4" s="390"/>
      <c r="E4" s="390"/>
      <c r="F4" s="558"/>
      <c r="G4" s="558"/>
      <c r="H4" s="558"/>
      <c r="I4" s="558"/>
      <c r="J4" s="558"/>
      <c r="K4" s="558"/>
      <c r="L4" s="558"/>
      <c r="M4" s="558"/>
      <c r="O4" s="1139"/>
      <c r="P4" s="1139"/>
      <c r="Q4" s="1139"/>
    </row>
    <row r="5" spans="1:17" s="212" customFormat="1" ht="48" customHeight="1" x14ac:dyDescent="0.25">
      <c r="A5" s="1117"/>
      <c r="B5" s="712" t="s">
        <v>2143</v>
      </c>
      <c r="C5" s="390"/>
      <c r="D5" s="390"/>
      <c r="E5" s="390"/>
      <c r="F5" s="558"/>
      <c r="G5" s="558"/>
      <c r="H5" s="558"/>
      <c r="I5" s="558"/>
      <c r="J5" s="558"/>
      <c r="K5" s="558"/>
      <c r="L5" s="558"/>
      <c r="M5" s="558"/>
      <c r="O5" s="1139"/>
      <c r="P5" s="1139"/>
      <c r="Q5" s="1139"/>
    </row>
    <row r="6" spans="1:17" s="212" customFormat="1" ht="26.25" customHeight="1" x14ac:dyDescent="0.25">
      <c r="A6" s="1117"/>
      <c r="B6" s="712" t="s">
        <v>2144</v>
      </c>
      <c r="C6" s="390"/>
      <c r="D6" s="390"/>
      <c r="E6" s="390"/>
      <c r="F6" s="558"/>
      <c r="G6" s="558"/>
      <c r="H6" s="558"/>
      <c r="I6" s="558"/>
      <c r="J6" s="558"/>
      <c r="K6" s="558"/>
      <c r="L6" s="558"/>
      <c r="M6" s="558"/>
      <c r="O6" s="1139"/>
      <c r="P6" s="1139"/>
      <c r="Q6" s="1139"/>
    </row>
    <row r="7" spans="1:17" s="212" customFormat="1" ht="24" customHeight="1" x14ac:dyDescent="0.25">
      <c r="A7" s="1143" t="s">
        <v>669</v>
      </c>
      <c r="B7" s="712" t="s">
        <v>2138</v>
      </c>
      <c r="C7" s="390"/>
      <c r="D7" s="390"/>
      <c r="E7" s="390"/>
      <c r="F7" s="558"/>
      <c r="G7" s="558"/>
      <c r="H7" s="558"/>
      <c r="I7" s="558"/>
      <c r="J7" s="558"/>
      <c r="K7" s="558"/>
      <c r="L7" s="558"/>
      <c r="M7" s="558"/>
      <c r="O7" s="1139"/>
      <c r="P7" s="1139"/>
      <c r="Q7" s="1139"/>
    </row>
    <row r="8" spans="1:17" s="212" customFormat="1" ht="24" customHeight="1" x14ac:dyDescent="0.25">
      <c r="A8" s="1144"/>
      <c r="B8" s="390" t="s">
        <v>2139</v>
      </c>
      <c r="C8" s="390"/>
      <c r="D8" s="390"/>
      <c r="E8" s="390"/>
      <c r="F8" s="558"/>
      <c r="G8" s="558"/>
      <c r="H8" s="558"/>
      <c r="I8" s="558"/>
      <c r="J8" s="558"/>
      <c r="K8" s="558"/>
      <c r="L8" s="558"/>
      <c r="M8" s="558"/>
      <c r="O8" s="1139"/>
      <c r="P8" s="1139"/>
      <c r="Q8" s="1139"/>
    </row>
    <row r="9" spans="1:17" s="212" customFormat="1" ht="24" customHeight="1" x14ac:dyDescent="0.25">
      <c r="A9" s="1145"/>
      <c r="B9" s="712" t="s">
        <v>2140</v>
      </c>
      <c r="C9" s="390"/>
      <c r="D9" s="390"/>
      <c r="E9" s="390"/>
      <c r="F9" s="558"/>
      <c r="G9" s="558"/>
      <c r="H9" s="558"/>
      <c r="I9" s="558"/>
      <c r="J9" s="558"/>
      <c r="K9" s="558"/>
      <c r="L9" s="558"/>
      <c r="M9" s="558"/>
      <c r="O9" s="1139"/>
      <c r="P9" s="1139"/>
      <c r="Q9" s="1139"/>
    </row>
    <row r="10" spans="1:17" s="212" customFormat="1" ht="24" customHeight="1" x14ac:dyDescent="0.25">
      <c r="A10" s="1118"/>
      <c r="B10" s="712" t="s">
        <v>1545</v>
      </c>
      <c r="C10" s="390"/>
      <c r="D10" s="390"/>
      <c r="E10" s="390"/>
      <c r="F10" s="558"/>
      <c r="G10" s="558"/>
      <c r="H10" s="558"/>
      <c r="I10" s="558"/>
      <c r="J10" s="558"/>
      <c r="K10" s="558"/>
      <c r="L10" s="558"/>
      <c r="M10" s="558"/>
      <c r="O10" s="1116"/>
      <c r="P10" s="1116"/>
      <c r="Q10" s="1116"/>
    </row>
    <row r="11" spans="1:17" s="212" customFormat="1" ht="24" customHeight="1" x14ac:dyDescent="0.25">
      <c r="A11" s="1144" t="s">
        <v>668</v>
      </c>
      <c r="B11" s="390"/>
      <c r="C11" s="390"/>
      <c r="D11" s="390"/>
      <c r="E11" s="390"/>
      <c r="F11" s="558"/>
      <c r="G11" s="558"/>
      <c r="H11" s="558"/>
      <c r="I11" s="558"/>
      <c r="J11" s="558"/>
      <c r="K11" s="558"/>
      <c r="L11" s="558"/>
      <c r="M11" s="558"/>
    </row>
    <row r="12" spans="1:17" s="212" customFormat="1" ht="24" customHeight="1" x14ac:dyDescent="0.25">
      <c r="A12" s="1144"/>
      <c r="B12" s="390"/>
      <c r="C12" s="390"/>
      <c r="D12" s="390"/>
      <c r="E12" s="390"/>
      <c r="F12" s="558"/>
      <c r="G12" s="558"/>
      <c r="H12" s="558"/>
      <c r="I12" s="558"/>
      <c r="J12" s="558"/>
      <c r="K12" s="558"/>
      <c r="L12" s="558"/>
      <c r="M12" s="558"/>
    </row>
    <row r="13" spans="1:17" s="212" customFormat="1" ht="24" customHeight="1" x14ac:dyDescent="0.25">
      <c r="A13" s="1145"/>
      <c r="B13" s="390"/>
      <c r="C13" s="390"/>
      <c r="D13" s="390"/>
      <c r="E13" s="390"/>
      <c r="F13" s="558"/>
      <c r="G13" s="558"/>
      <c r="H13" s="558"/>
      <c r="I13" s="558"/>
      <c r="J13" s="558"/>
      <c r="K13" s="558"/>
      <c r="L13" s="558"/>
      <c r="M13" s="558"/>
    </row>
    <row r="14" spans="1:17" s="212" customFormat="1" ht="24" customHeight="1" x14ac:dyDescent="0.25">
      <c r="A14" s="1140" t="s">
        <v>635</v>
      </c>
      <c r="B14" s="390"/>
      <c r="C14" s="390"/>
      <c r="D14" s="390"/>
      <c r="E14" s="390"/>
      <c r="F14" s="558"/>
      <c r="G14" s="558"/>
      <c r="H14" s="558"/>
      <c r="I14" s="558"/>
      <c r="J14" s="558"/>
      <c r="K14" s="558"/>
      <c r="L14" s="558"/>
      <c r="M14" s="558"/>
    </row>
    <row r="15" spans="1:17" s="212" customFormat="1" ht="24" customHeight="1" x14ac:dyDescent="0.25">
      <c r="A15" s="1141"/>
      <c r="B15" s="390"/>
      <c r="C15" s="390"/>
      <c r="D15" s="390"/>
      <c r="E15" s="390"/>
      <c r="F15" s="558"/>
      <c r="G15" s="558"/>
      <c r="H15" s="558"/>
      <c r="I15" s="558"/>
      <c r="J15" s="558"/>
      <c r="K15" s="558"/>
      <c r="L15" s="558"/>
      <c r="M15" s="558"/>
    </row>
    <row r="16" spans="1:17" s="212" customFormat="1" ht="24" customHeight="1" x14ac:dyDescent="0.25">
      <c r="A16" s="1142"/>
      <c r="B16" s="390"/>
      <c r="C16" s="390"/>
      <c r="D16" s="390"/>
      <c r="E16" s="390"/>
      <c r="F16" s="558"/>
      <c r="G16" s="558"/>
      <c r="H16" s="558"/>
      <c r="I16" s="558"/>
      <c r="J16" s="558"/>
      <c r="K16" s="558"/>
      <c r="L16" s="558"/>
      <c r="M16" s="558"/>
    </row>
    <row r="17" spans="1:14" s="212" customFormat="1" ht="24" customHeight="1" x14ac:dyDescent="0.25">
      <c r="A17" s="1140" t="s">
        <v>677</v>
      </c>
      <c r="B17" s="390"/>
      <c r="C17" s="390"/>
      <c r="D17" s="390"/>
      <c r="E17" s="390"/>
      <c r="F17" s="558"/>
      <c r="G17" s="558"/>
      <c r="H17" s="558"/>
      <c r="I17" s="558"/>
      <c r="J17" s="558"/>
      <c r="K17" s="558"/>
      <c r="L17" s="558"/>
      <c r="M17" s="558"/>
    </row>
    <row r="18" spans="1:14" s="212" customFormat="1" ht="24" customHeight="1" x14ac:dyDescent="0.25">
      <c r="A18" s="1141"/>
      <c r="B18" s="390"/>
      <c r="C18" s="390"/>
      <c r="D18" s="390"/>
      <c r="E18" s="390"/>
      <c r="F18" s="558"/>
      <c r="G18" s="558"/>
      <c r="H18" s="558"/>
      <c r="I18" s="558"/>
      <c r="J18" s="558"/>
      <c r="K18" s="558"/>
      <c r="L18" s="558"/>
      <c r="M18" s="558"/>
    </row>
    <row r="19" spans="1:14" s="212" customFormat="1" ht="24" customHeight="1" x14ac:dyDescent="0.25">
      <c r="A19" s="1142"/>
      <c r="B19" s="390"/>
      <c r="C19" s="390"/>
      <c r="D19" s="390"/>
      <c r="E19" s="390"/>
      <c r="F19" s="558"/>
      <c r="G19" s="558"/>
      <c r="H19" s="558"/>
      <c r="I19" s="558"/>
      <c r="J19" s="558"/>
      <c r="K19" s="558"/>
      <c r="L19" s="558"/>
      <c r="M19" s="558"/>
    </row>
    <row r="20" spans="1:14" s="212" customFormat="1" ht="24" customHeight="1" x14ac:dyDescent="0.25">
      <c r="A20" s="1140" t="s">
        <v>541</v>
      </c>
      <c r="B20" s="390"/>
      <c r="C20" s="390"/>
      <c r="D20" s="390"/>
      <c r="E20" s="390"/>
      <c r="F20" s="558"/>
      <c r="G20" s="558"/>
      <c r="H20" s="558"/>
      <c r="I20" s="558"/>
      <c r="J20" s="558"/>
      <c r="K20" s="558"/>
      <c r="L20" s="558"/>
      <c r="M20" s="558"/>
    </row>
    <row r="21" spans="1:14" s="212" customFormat="1" ht="24" customHeight="1" x14ac:dyDescent="0.25">
      <c r="A21" s="1141"/>
      <c r="B21" s="390"/>
      <c r="C21" s="390"/>
      <c r="D21" s="390"/>
      <c r="E21" s="390"/>
      <c r="F21" s="558"/>
      <c r="G21" s="558"/>
      <c r="H21" s="558"/>
      <c r="I21" s="558"/>
      <c r="J21" s="558"/>
      <c r="K21" s="558"/>
      <c r="L21" s="558"/>
      <c r="M21" s="558"/>
    </row>
    <row r="22" spans="1:14" ht="20.100000000000001" customHeight="1" x14ac:dyDescent="0.25">
      <c r="A22" s="1142"/>
      <c r="B22" s="390"/>
      <c r="C22" s="390"/>
      <c r="D22" s="390"/>
      <c r="E22" s="390"/>
      <c r="F22" s="558"/>
      <c r="G22" s="558"/>
      <c r="H22" s="558"/>
      <c r="I22" s="558"/>
      <c r="J22" s="558"/>
      <c r="K22" s="558"/>
      <c r="L22" s="558"/>
      <c r="M22" s="558"/>
    </row>
    <row r="23" spans="1:14" ht="20.100000000000001" customHeight="1" x14ac:dyDescent="0.25">
      <c r="A23" s="1137" t="s">
        <v>78</v>
      </c>
      <c r="B23" s="1137"/>
      <c r="C23" s="1137"/>
      <c r="D23" s="1137"/>
      <c r="E23" s="1138"/>
      <c r="F23" s="558"/>
      <c r="G23" s="558"/>
      <c r="H23" s="558"/>
      <c r="I23" s="558"/>
      <c r="J23" s="558"/>
      <c r="K23" s="558"/>
      <c r="L23" s="558"/>
      <c r="M23" s="558"/>
    </row>
    <row r="24" spans="1:14" x14ac:dyDescent="0.25">
      <c r="B24" s="175"/>
      <c r="C24" s="175"/>
      <c r="D24" s="175"/>
      <c r="E24" s="175"/>
      <c r="F24" s="392"/>
    </row>
    <row r="25" spans="1:14" x14ac:dyDescent="0.25">
      <c r="A25" s="741" t="s">
        <v>1097</v>
      </c>
      <c r="B25" s="175"/>
      <c r="C25" s="175"/>
      <c r="D25" s="175"/>
      <c r="E25" s="175"/>
      <c r="F25" s="392"/>
    </row>
    <row r="26" spans="1:14" ht="45" customHeight="1" x14ac:dyDescent="0.25">
      <c r="A26" s="1135" t="s">
        <v>1094</v>
      </c>
      <c r="B26" s="1135"/>
      <c r="C26" s="1135"/>
      <c r="D26" s="1135"/>
      <c r="E26" s="1135"/>
      <c r="F26" s="1135"/>
      <c r="G26" s="1135"/>
      <c r="H26" s="1135"/>
      <c r="I26" s="1135"/>
      <c r="J26" s="1135"/>
      <c r="K26" s="1135"/>
      <c r="L26" s="1135"/>
      <c r="M26" s="1135"/>
    </row>
    <row r="27" spans="1:14" ht="30" customHeight="1" x14ac:dyDescent="0.25">
      <c r="A27" s="1135" t="s">
        <v>1095</v>
      </c>
      <c r="B27" s="1135"/>
      <c r="C27" s="1135"/>
      <c r="D27" s="1135"/>
      <c r="E27" s="1135"/>
      <c r="F27" s="1135"/>
      <c r="G27" s="1135"/>
      <c r="H27" s="1135"/>
      <c r="I27" s="1135"/>
      <c r="J27" s="1135"/>
      <c r="K27" s="1135"/>
      <c r="L27" s="1135"/>
      <c r="M27" s="1135"/>
    </row>
    <row r="28" spans="1:14" ht="15" customHeight="1" x14ac:dyDescent="0.25">
      <c r="A28" s="1136" t="s">
        <v>1096</v>
      </c>
      <c r="B28" s="1136"/>
      <c r="C28" s="1136"/>
      <c r="D28" s="1136"/>
      <c r="E28" s="1136"/>
      <c r="F28" s="1136"/>
      <c r="G28" s="1136"/>
      <c r="H28" s="1136"/>
      <c r="I28" s="1136"/>
      <c r="J28" s="1136"/>
      <c r="K28" s="1136"/>
      <c r="L28" s="1136"/>
      <c r="M28" s="1136"/>
      <c r="N28" s="1136"/>
    </row>
  </sheetData>
  <mergeCells count="10">
    <mergeCell ref="A26:M26"/>
    <mergeCell ref="A27:M27"/>
    <mergeCell ref="A28:N28"/>
    <mergeCell ref="A23:E23"/>
    <mergeCell ref="O3:Q9"/>
    <mergeCell ref="A14:A16"/>
    <mergeCell ref="A20:A22"/>
    <mergeCell ref="A7:A9"/>
    <mergeCell ref="A11:A13"/>
    <mergeCell ref="A17:A19"/>
  </mergeCells>
  <hyperlinks>
    <hyperlink ref="B8" r:id="rId1" xr:uid="{5A903C3A-5142-4091-8D0A-B60FA219FA6A}"/>
  </hyperlinks>
  <printOptions horizontalCentered="1"/>
  <pageMargins left="0.23622047244094491" right="0.23622047244094491" top="0.74803149606299213" bottom="1.2598425196850394" header="0.31496062992125984" footer="0.31496062992125984"/>
  <pageSetup fitToHeight="0" orientation="portrait" r:id="rId2"/>
  <headerFooter scaleWithDoc="0">
    <oddHeader>&amp;L&amp;"Calibri,Bold"&amp;14Schedule of Named Insureds</oddHeader>
    <oddFooter>&amp;L&amp;G&amp;CPage &amp;P of &amp;N</oddFooter>
  </headerFooter>
  <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pageSetUpPr fitToPage="1"/>
  </sheetPr>
  <dimension ref="A2:Y41"/>
  <sheetViews>
    <sheetView showGridLines="0" view="pageBreakPreview" topLeftCell="A26" zoomScale="80" zoomScaleNormal="100" zoomScaleSheetLayoutView="80" workbookViewId="0"/>
  </sheetViews>
  <sheetFormatPr defaultColWidth="11.42578125" defaultRowHeight="15" x14ac:dyDescent="0.25"/>
  <cols>
    <col min="1" max="1" width="23.5703125" style="2" customWidth="1"/>
    <col min="2" max="2" width="43.7109375" customWidth="1"/>
    <col min="3" max="3" width="14.28515625" customWidth="1"/>
    <col min="4" max="4" width="8.42578125" bestFit="1" customWidth="1"/>
    <col min="5" max="25" width="14.28515625" customWidth="1"/>
  </cols>
  <sheetData>
    <row r="2" spans="1:25" ht="113.25" customHeight="1" x14ac:dyDescent="0.25">
      <c r="A2" s="517"/>
      <c r="B2" s="518" t="s">
        <v>447</v>
      </c>
      <c r="C2" s="518" t="s">
        <v>448</v>
      </c>
      <c r="D2" s="518" t="s">
        <v>880</v>
      </c>
      <c r="E2" s="576" t="str">
        <f>Input!B955</f>
        <v>Technology Errors &amp; Omissions</v>
      </c>
      <c r="F2" s="576" t="s">
        <v>1460</v>
      </c>
      <c r="G2" s="576" t="str">
        <f>Input!B8</f>
        <v>Contractor's Professional &amp; Pollution Liability</v>
      </c>
      <c r="H2" s="576" t="str">
        <f>Input!B227</f>
        <v>Workers Compensation</v>
      </c>
      <c r="I2" s="576" t="s">
        <v>1230</v>
      </c>
      <c r="J2" s="576" t="str">
        <f>Input!B184</f>
        <v>T5CS Commercial General Liability</v>
      </c>
      <c r="K2" s="576" t="s">
        <v>1234</v>
      </c>
      <c r="L2" s="576" t="str">
        <f>Input!B359</f>
        <v>T5CS Umbrella</v>
      </c>
      <c r="M2" s="576" t="s">
        <v>1549</v>
      </c>
      <c r="N2" s="576" t="s">
        <v>1550</v>
      </c>
      <c r="O2" s="842" t="s">
        <v>1551</v>
      </c>
      <c r="P2" s="576" t="str">
        <f>Input!B649</f>
        <v>T5DC Package</v>
      </c>
      <c r="Q2" s="576" t="str">
        <f>Input!B311</f>
        <v>T5DC Business Auto</v>
      </c>
      <c r="R2" s="576" t="s">
        <v>1237</v>
      </c>
      <c r="S2" s="576" t="str">
        <f>Input!B778</f>
        <v>Business Travel Accident</v>
      </c>
      <c r="T2" s="576" t="str">
        <f>Input!B816</f>
        <v>Foreign Package - T5CS</v>
      </c>
      <c r="U2" s="576" t="str">
        <f>Input!B853</f>
        <v>Executive Liability (Directors &amp; Officers, Employment Practices, Fiduciary Liability)</v>
      </c>
      <c r="V2" s="576" t="str">
        <f>Input!B913</f>
        <v>Commercial Crime</v>
      </c>
      <c r="W2" s="576" t="str">
        <f>Input!B1102</f>
        <v>Excess Crime</v>
      </c>
      <c r="X2" s="576" t="str">
        <f>Input!B1145</f>
        <v>3rd Excess Technology Errors &amp; Omissions</v>
      </c>
      <c r="Y2" s="576" t="str">
        <f>Input!B1174</f>
        <v>Aircraft (Drone) Liability</v>
      </c>
    </row>
    <row r="3" spans="1:25" s="212" customFormat="1" ht="24" customHeight="1" x14ac:dyDescent="0.25">
      <c r="A3" s="395" t="s">
        <v>658</v>
      </c>
      <c r="B3" s="390"/>
      <c r="C3" s="390"/>
      <c r="D3" s="913"/>
      <c r="E3" s="914" t="s">
        <v>1547</v>
      </c>
      <c r="F3" s="914" t="s">
        <v>1547</v>
      </c>
      <c r="G3" s="839" t="s">
        <v>1552</v>
      </c>
      <c r="H3" s="839" t="s">
        <v>1553</v>
      </c>
      <c r="I3" s="839" t="s">
        <v>1553</v>
      </c>
      <c r="J3" s="839" t="s">
        <v>1552</v>
      </c>
      <c r="K3" s="839" t="s">
        <v>1552</v>
      </c>
      <c r="L3" s="839" t="s">
        <v>1552</v>
      </c>
      <c r="M3" s="839" t="s">
        <v>1552</v>
      </c>
      <c r="N3" s="839" t="s">
        <v>1552</v>
      </c>
      <c r="O3" s="839" t="s">
        <v>1552</v>
      </c>
      <c r="P3" s="839" t="s">
        <v>1547</v>
      </c>
      <c r="Q3" s="839" t="s">
        <v>1553</v>
      </c>
      <c r="R3" s="839" t="s">
        <v>1553</v>
      </c>
      <c r="S3" s="558"/>
      <c r="T3" s="558" t="s">
        <v>1553</v>
      </c>
      <c r="U3" s="839" t="s">
        <v>1554</v>
      </c>
      <c r="V3" s="843" t="s">
        <v>1553</v>
      </c>
      <c r="W3" s="558"/>
      <c r="X3" s="558"/>
      <c r="Y3" s="558"/>
    </row>
    <row r="4" spans="1:25" s="212" customFormat="1" ht="24" customHeight="1" x14ac:dyDescent="0.25">
      <c r="A4" s="1143" t="s">
        <v>669</v>
      </c>
      <c r="B4" s="390" t="s">
        <v>1505</v>
      </c>
      <c r="C4" s="390" t="s">
        <v>1506</v>
      </c>
      <c r="D4" s="838"/>
      <c r="E4" s="840" t="s">
        <v>1548</v>
      </c>
      <c r="F4" s="840" t="s">
        <v>1548</v>
      </c>
      <c r="G4" s="841" t="s">
        <v>391</v>
      </c>
      <c r="H4" s="841" t="s">
        <v>391</v>
      </c>
      <c r="I4" s="841" t="s">
        <v>391</v>
      </c>
      <c r="J4" s="841" t="s">
        <v>391</v>
      </c>
      <c r="K4" s="841" t="s">
        <v>391</v>
      </c>
      <c r="L4" s="841" t="s">
        <v>391</v>
      </c>
      <c r="M4" s="841" t="s">
        <v>391</v>
      </c>
      <c r="N4" s="841" t="s">
        <v>391</v>
      </c>
      <c r="O4" s="841" t="s">
        <v>391</v>
      </c>
      <c r="P4" s="840" t="s">
        <v>1548</v>
      </c>
      <c r="Q4" s="841" t="s">
        <v>391</v>
      </c>
      <c r="R4" s="841" t="s">
        <v>391</v>
      </c>
      <c r="S4" s="558"/>
      <c r="T4" s="841" t="s">
        <v>391</v>
      </c>
      <c r="U4" s="699" t="s">
        <v>157</v>
      </c>
      <c r="V4" s="702" t="s">
        <v>157</v>
      </c>
      <c r="W4" s="558"/>
      <c r="X4" s="558"/>
      <c r="Y4" s="558"/>
    </row>
    <row r="5" spans="1:25" s="212" customFormat="1" ht="24" customHeight="1" x14ac:dyDescent="0.25">
      <c r="A5" s="1144"/>
      <c r="B5" s="390" t="s">
        <v>1503</v>
      </c>
      <c r="C5" s="390" t="s">
        <v>1507</v>
      </c>
      <c r="D5" s="838">
        <v>1</v>
      </c>
      <c r="E5" s="699" t="s">
        <v>157</v>
      </c>
      <c r="F5" s="699" t="s">
        <v>157</v>
      </c>
      <c r="G5" s="841" t="s">
        <v>391</v>
      </c>
      <c r="H5" s="840" t="s">
        <v>1548</v>
      </c>
      <c r="I5" s="840" t="s">
        <v>1548</v>
      </c>
      <c r="J5" s="841" t="s">
        <v>391</v>
      </c>
      <c r="K5" s="841" t="s">
        <v>391</v>
      </c>
      <c r="L5" s="841" t="s">
        <v>391</v>
      </c>
      <c r="M5" s="841" t="s">
        <v>391</v>
      </c>
      <c r="N5" s="841" t="s">
        <v>391</v>
      </c>
      <c r="O5" s="841" t="s">
        <v>391</v>
      </c>
      <c r="P5" s="699" t="s">
        <v>157</v>
      </c>
      <c r="Q5" s="840" t="s">
        <v>1548</v>
      </c>
      <c r="R5" s="840" t="s">
        <v>1548</v>
      </c>
      <c r="S5" s="558"/>
      <c r="T5" s="840" t="s">
        <v>1548</v>
      </c>
      <c r="U5" s="699" t="s">
        <v>157</v>
      </c>
      <c r="V5" s="702" t="s">
        <v>157</v>
      </c>
      <c r="W5" s="558"/>
      <c r="X5" s="558"/>
      <c r="Y5" s="558"/>
    </row>
    <row r="6" spans="1:25" s="212" customFormat="1" ht="24" customHeight="1" x14ac:dyDescent="0.25">
      <c r="A6" s="1144"/>
      <c r="B6" s="390" t="s">
        <v>1277</v>
      </c>
      <c r="C6" s="390" t="s">
        <v>1546</v>
      </c>
      <c r="D6" s="838">
        <v>1</v>
      </c>
      <c r="E6" s="699" t="s">
        <v>157</v>
      </c>
      <c r="F6" s="699" t="s">
        <v>157</v>
      </c>
      <c r="G6" s="840" t="s">
        <v>1548</v>
      </c>
      <c r="H6" s="699" t="s">
        <v>157</v>
      </c>
      <c r="I6" s="841" t="s">
        <v>391</v>
      </c>
      <c r="J6" s="840" t="s">
        <v>1548</v>
      </c>
      <c r="K6" s="840" t="s">
        <v>1548</v>
      </c>
      <c r="L6" s="840" t="s">
        <v>1548</v>
      </c>
      <c r="M6" s="840" t="s">
        <v>1548</v>
      </c>
      <c r="N6" s="840" t="s">
        <v>1548</v>
      </c>
      <c r="O6" s="840" t="s">
        <v>1548</v>
      </c>
      <c r="P6" s="841" t="s">
        <v>391</v>
      </c>
      <c r="Q6" s="841" t="s">
        <v>391</v>
      </c>
      <c r="R6" s="841" t="s">
        <v>391</v>
      </c>
      <c r="S6" s="558"/>
      <c r="T6" s="699" t="s">
        <v>157</v>
      </c>
      <c r="U6" s="699" t="s">
        <v>157</v>
      </c>
      <c r="V6" s="702" t="s">
        <v>157</v>
      </c>
      <c r="W6" s="558"/>
      <c r="X6" s="558"/>
      <c r="Y6" s="558"/>
    </row>
    <row r="7" spans="1:25" s="212" customFormat="1" ht="24" customHeight="1" x14ac:dyDescent="0.25">
      <c r="A7" s="1144"/>
      <c r="B7" s="390" t="s">
        <v>1504</v>
      </c>
      <c r="C7" s="390"/>
      <c r="D7" s="838">
        <v>1</v>
      </c>
      <c r="E7" s="699" t="s">
        <v>157</v>
      </c>
      <c r="F7" s="699" t="s">
        <v>157</v>
      </c>
      <c r="G7" s="841" t="s">
        <v>391</v>
      </c>
      <c r="H7" s="699" t="s">
        <v>157</v>
      </c>
      <c r="I7" s="841" t="s">
        <v>391</v>
      </c>
      <c r="J7" s="841" t="s">
        <v>391</v>
      </c>
      <c r="K7" s="841" t="s">
        <v>391</v>
      </c>
      <c r="L7" s="841" t="s">
        <v>391</v>
      </c>
      <c r="M7" s="841" t="s">
        <v>391</v>
      </c>
      <c r="N7" s="841" t="s">
        <v>391</v>
      </c>
      <c r="O7" s="841" t="s">
        <v>391</v>
      </c>
      <c r="P7" s="699" t="s">
        <v>157</v>
      </c>
      <c r="Q7" s="699" t="s">
        <v>157</v>
      </c>
      <c r="R7" s="699" t="s">
        <v>157</v>
      </c>
      <c r="S7" s="558"/>
      <c r="T7" s="699" t="s">
        <v>157</v>
      </c>
      <c r="U7" s="699" t="s">
        <v>157</v>
      </c>
      <c r="V7" s="702" t="s">
        <v>157</v>
      </c>
      <c r="W7" s="558"/>
      <c r="X7" s="558"/>
      <c r="Y7" s="558"/>
    </row>
    <row r="8" spans="1:25" s="212" customFormat="1" ht="24" customHeight="1" x14ac:dyDescent="0.25">
      <c r="A8" s="1144"/>
      <c r="B8" s="390" t="s">
        <v>1545</v>
      </c>
      <c r="C8" s="390"/>
      <c r="D8" s="838">
        <v>1</v>
      </c>
      <c r="E8" s="699" t="s">
        <v>157</v>
      </c>
      <c r="F8" s="699" t="s">
        <v>157</v>
      </c>
      <c r="G8" s="841" t="s">
        <v>391</v>
      </c>
      <c r="H8" s="841" t="s">
        <v>391</v>
      </c>
      <c r="I8" s="841" t="s">
        <v>391</v>
      </c>
      <c r="J8" s="841" t="s">
        <v>391</v>
      </c>
      <c r="K8" s="841" t="s">
        <v>391</v>
      </c>
      <c r="L8" s="841" t="s">
        <v>391</v>
      </c>
      <c r="M8" s="841" t="s">
        <v>391</v>
      </c>
      <c r="N8" s="841" t="s">
        <v>391</v>
      </c>
      <c r="O8" s="841" t="s">
        <v>391</v>
      </c>
      <c r="P8" s="699" t="s">
        <v>157</v>
      </c>
      <c r="Q8" s="699" t="s">
        <v>157</v>
      </c>
      <c r="R8" s="699" t="s">
        <v>157</v>
      </c>
      <c r="S8" s="558"/>
      <c r="T8" s="699" t="s">
        <v>157</v>
      </c>
      <c r="U8" s="699" t="s">
        <v>157</v>
      </c>
      <c r="V8" s="702" t="s">
        <v>157</v>
      </c>
      <c r="W8" s="558"/>
      <c r="X8" s="558"/>
      <c r="Y8" s="558"/>
    </row>
    <row r="9" spans="1:25" s="212" customFormat="1" ht="24" customHeight="1" x14ac:dyDescent="0.25">
      <c r="A9" s="1144"/>
      <c r="B9" s="390" t="s">
        <v>1508</v>
      </c>
      <c r="C9" s="390" t="s">
        <v>1509</v>
      </c>
      <c r="D9" s="838">
        <v>1</v>
      </c>
      <c r="E9" s="558"/>
      <c r="F9" s="558"/>
      <c r="G9" s="558"/>
      <c r="H9" s="558"/>
      <c r="I9" s="558"/>
      <c r="J9" s="558"/>
      <c r="K9" s="558"/>
      <c r="L9" s="558"/>
      <c r="M9" s="558"/>
      <c r="N9" s="558"/>
      <c r="O9" s="558"/>
      <c r="P9" s="558"/>
      <c r="Q9" s="558"/>
      <c r="R9" s="558"/>
      <c r="S9" s="558"/>
      <c r="T9" s="558"/>
      <c r="U9" s="558"/>
      <c r="V9" s="558"/>
      <c r="W9" s="558"/>
      <c r="X9" s="558"/>
      <c r="Y9" s="558"/>
    </row>
    <row r="10" spans="1:25" s="212" customFormat="1" ht="24" customHeight="1" x14ac:dyDescent="0.25">
      <c r="A10" s="1144"/>
      <c r="B10" s="390" t="s">
        <v>1510</v>
      </c>
      <c r="C10" s="390"/>
      <c r="D10" s="838">
        <v>1</v>
      </c>
      <c r="E10" s="558"/>
      <c r="F10" s="558"/>
      <c r="G10" s="558"/>
      <c r="H10" s="558"/>
      <c r="I10" s="558"/>
      <c r="J10" s="558"/>
      <c r="K10" s="558"/>
      <c r="L10" s="558"/>
      <c r="M10" s="558"/>
      <c r="N10" s="558"/>
      <c r="O10" s="558"/>
      <c r="P10" s="558"/>
      <c r="Q10" s="558"/>
      <c r="R10" s="558"/>
      <c r="S10" s="558"/>
      <c r="T10" s="558"/>
      <c r="U10" s="558"/>
      <c r="V10" s="558"/>
      <c r="W10" s="558"/>
      <c r="X10" s="558"/>
      <c r="Y10" s="558"/>
    </row>
    <row r="11" spans="1:25" s="212" customFormat="1" ht="24" customHeight="1" x14ac:dyDescent="0.25">
      <c r="A11" s="1144"/>
      <c r="B11" s="390" t="s">
        <v>1511</v>
      </c>
      <c r="C11" s="390"/>
      <c r="D11" s="838">
        <v>1</v>
      </c>
      <c r="E11" s="558"/>
      <c r="F11" s="558"/>
      <c r="G11" s="558"/>
      <c r="H11" s="558"/>
      <c r="I11" s="558"/>
      <c r="J11" s="558"/>
      <c r="K11" s="558"/>
      <c r="L11" s="558"/>
      <c r="M11" s="558"/>
      <c r="N11" s="558"/>
      <c r="O11" s="558"/>
      <c r="P11" s="558"/>
      <c r="Q11" s="558"/>
      <c r="R11" s="558"/>
      <c r="S11" s="558"/>
      <c r="T11" s="558"/>
      <c r="U11" s="558"/>
      <c r="V11" s="558"/>
      <c r="W11" s="558"/>
      <c r="X11" s="558"/>
      <c r="Y11" s="558"/>
    </row>
    <row r="12" spans="1:25" s="212" customFormat="1" ht="24" customHeight="1" x14ac:dyDescent="0.25">
      <c r="A12" s="1144"/>
      <c r="B12" s="390" t="s">
        <v>1512</v>
      </c>
      <c r="C12" s="390"/>
      <c r="D12" s="838">
        <v>1</v>
      </c>
      <c r="E12" s="558"/>
      <c r="F12" s="558"/>
      <c r="G12" s="558"/>
      <c r="H12" s="558"/>
      <c r="I12" s="558"/>
      <c r="J12" s="558"/>
      <c r="K12" s="558"/>
      <c r="L12" s="558"/>
      <c r="M12" s="558"/>
      <c r="N12" s="558"/>
      <c r="O12" s="558"/>
      <c r="P12" s="558"/>
      <c r="Q12" s="558"/>
      <c r="R12" s="558"/>
      <c r="S12" s="558"/>
      <c r="T12" s="558"/>
      <c r="U12" s="558"/>
      <c r="V12" s="558"/>
      <c r="W12" s="558"/>
      <c r="X12" s="558"/>
      <c r="Y12" s="558"/>
    </row>
    <row r="13" spans="1:25" s="212" customFormat="1" ht="24" customHeight="1" x14ac:dyDescent="0.25">
      <c r="A13" s="1144"/>
      <c r="B13" s="390" t="s">
        <v>1513</v>
      </c>
      <c r="C13" s="390"/>
      <c r="D13" s="838">
        <v>1</v>
      </c>
      <c r="E13" s="558"/>
      <c r="F13" s="558"/>
      <c r="G13" s="558"/>
      <c r="H13" s="558"/>
      <c r="I13" s="558"/>
      <c r="J13" s="558"/>
      <c r="K13" s="558"/>
      <c r="L13" s="558"/>
      <c r="M13" s="558"/>
      <c r="N13" s="558"/>
      <c r="O13" s="558"/>
      <c r="P13" s="558"/>
      <c r="Q13" s="558"/>
      <c r="R13" s="558"/>
      <c r="S13" s="558"/>
      <c r="T13" s="558"/>
      <c r="U13" s="558"/>
      <c r="V13" s="558"/>
      <c r="W13" s="558"/>
      <c r="X13" s="558"/>
      <c r="Y13" s="558"/>
    </row>
    <row r="14" spans="1:25" s="212" customFormat="1" ht="24" customHeight="1" x14ac:dyDescent="0.25">
      <c r="A14" s="1144"/>
      <c r="B14" s="390" t="s">
        <v>1514</v>
      </c>
      <c r="C14" s="390"/>
      <c r="D14" s="838">
        <v>1</v>
      </c>
      <c r="E14" s="558"/>
      <c r="F14" s="558"/>
      <c r="G14" s="558"/>
      <c r="H14" s="558"/>
      <c r="I14" s="558"/>
      <c r="J14" s="558"/>
      <c r="K14" s="558"/>
      <c r="L14" s="558"/>
      <c r="M14" s="558"/>
      <c r="N14" s="558"/>
      <c r="O14" s="558"/>
      <c r="P14" s="558"/>
      <c r="Q14" s="558"/>
      <c r="R14" s="558"/>
      <c r="S14" s="558"/>
      <c r="T14" s="558"/>
      <c r="U14" s="558"/>
      <c r="V14" s="558"/>
      <c r="W14" s="558"/>
      <c r="X14" s="558"/>
      <c r="Y14" s="558"/>
    </row>
    <row r="15" spans="1:25" s="212" customFormat="1" ht="24" customHeight="1" x14ac:dyDescent="0.25">
      <c r="A15" s="1144" t="s">
        <v>668</v>
      </c>
      <c r="B15" s="390" t="s">
        <v>1515</v>
      </c>
      <c r="C15" s="390" t="s">
        <v>1523</v>
      </c>
      <c r="D15" s="390"/>
      <c r="E15" s="558"/>
      <c r="F15" s="558"/>
      <c r="G15" s="558"/>
      <c r="H15" s="558"/>
      <c r="I15" s="558"/>
      <c r="J15" s="558"/>
      <c r="K15" s="558"/>
      <c r="L15" s="558"/>
      <c r="M15" s="558"/>
      <c r="N15" s="558"/>
      <c r="O15" s="558"/>
      <c r="P15" s="558"/>
      <c r="Q15" s="558"/>
      <c r="R15" s="558"/>
      <c r="S15" s="558"/>
      <c r="T15" s="558"/>
      <c r="U15" s="840" t="s">
        <v>1548</v>
      </c>
      <c r="V15" s="840" t="s">
        <v>1548</v>
      </c>
      <c r="W15" s="558"/>
      <c r="X15" s="558"/>
      <c r="Y15" s="558"/>
    </row>
    <row r="16" spans="1:25" s="212" customFormat="1" ht="24" customHeight="1" x14ac:dyDescent="0.25">
      <c r="A16" s="1144"/>
      <c r="B16" s="390" t="s">
        <v>1516</v>
      </c>
      <c r="C16" s="390"/>
      <c r="D16" s="390"/>
      <c r="E16" s="558"/>
      <c r="F16" s="558"/>
      <c r="G16" s="558"/>
      <c r="H16" s="558"/>
      <c r="I16" s="558"/>
      <c r="J16" s="558"/>
      <c r="K16" s="558"/>
      <c r="L16" s="558"/>
      <c r="M16" s="558"/>
      <c r="N16" s="558"/>
      <c r="O16" s="558"/>
      <c r="P16" s="558"/>
      <c r="Q16" s="558"/>
      <c r="R16" s="558"/>
      <c r="S16" s="558"/>
      <c r="T16" s="558"/>
      <c r="U16" s="558"/>
      <c r="V16" s="558"/>
      <c r="W16" s="558"/>
      <c r="X16" s="558"/>
      <c r="Y16" s="558"/>
    </row>
    <row r="17" spans="1:25" s="212" customFormat="1" ht="24" customHeight="1" x14ac:dyDescent="0.25">
      <c r="A17" s="1144"/>
      <c r="B17" s="390" t="s">
        <v>1517</v>
      </c>
      <c r="C17" s="390" t="s">
        <v>1524</v>
      </c>
      <c r="D17" s="390"/>
      <c r="E17" s="558"/>
      <c r="F17" s="558"/>
      <c r="G17" s="558"/>
      <c r="H17" s="558"/>
      <c r="I17" s="558"/>
      <c r="J17" s="558"/>
      <c r="K17" s="558"/>
      <c r="L17" s="558"/>
      <c r="M17" s="558"/>
      <c r="N17" s="558"/>
      <c r="O17" s="558"/>
      <c r="P17" s="558"/>
      <c r="Q17" s="558"/>
      <c r="R17" s="558"/>
      <c r="S17" s="558"/>
      <c r="T17" s="558"/>
      <c r="U17" s="558"/>
      <c r="V17" s="558"/>
      <c r="W17" s="558"/>
      <c r="X17" s="558"/>
      <c r="Y17" s="558"/>
    </row>
    <row r="18" spans="1:25" s="212" customFormat="1" ht="24" customHeight="1" x14ac:dyDescent="0.25">
      <c r="A18" s="1144"/>
      <c r="B18" s="390" t="s">
        <v>1518</v>
      </c>
      <c r="C18" s="390"/>
      <c r="D18" s="390"/>
      <c r="E18" s="558"/>
      <c r="F18" s="558"/>
      <c r="G18" s="558"/>
      <c r="H18" s="558"/>
      <c r="I18" s="558"/>
      <c r="J18" s="558"/>
      <c r="K18" s="558"/>
      <c r="L18" s="558"/>
      <c r="M18" s="558"/>
      <c r="N18" s="558"/>
      <c r="O18" s="558"/>
      <c r="P18" s="558"/>
      <c r="Q18" s="558"/>
      <c r="R18" s="558"/>
      <c r="S18" s="558"/>
      <c r="T18" s="558"/>
      <c r="U18" s="558"/>
      <c r="V18" s="558"/>
      <c r="W18" s="558"/>
      <c r="X18" s="558"/>
      <c r="Y18" s="558"/>
    </row>
    <row r="19" spans="1:25" s="212" customFormat="1" ht="24" customHeight="1" x14ac:dyDescent="0.25">
      <c r="A19" s="1144"/>
      <c r="B19" s="390" t="s">
        <v>1519</v>
      </c>
      <c r="C19" s="390" t="s">
        <v>1525</v>
      </c>
      <c r="D19" s="390"/>
      <c r="E19" s="558"/>
      <c r="F19" s="558"/>
      <c r="G19" s="558"/>
      <c r="H19" s="558"/>
      <c r="I19" s="558"/>
      <c r="J19" s="558"/>
      <c r="K19" s="558"/>
      <c r="L19" s="558"/>
      <c r="M19" s="558"/>
      <c r="N19" s="558"/>
      <c r="O19" s="558"/>
      <c r="P19" s="558"/>
      <c r="Q19" s="558"/>
      <c r="R19" s="558"/>
      <c r="S19" s="558"/>
      <c r="T19" s="558"/>
      <c r="U19" s="558"/>
      <c r="V19" s="558"/>
      <c r="W19" s="558"/>
      <c r="X19" s="558"/>
      <c r="Y19" s="558"/>
    </row>
    <row r="20" spans="1:25" s="212" customFormat="1" ht="24" customHeight="1" x14ac:dyDescent="0.25">
      <c r="A20" s="1144"/>
      <c r="B20" s="390" t="s">
        <v>1520</v>
      </c>
      <c r="C20" s="390"/>
      <c r="D20" s="390"/>
      <c r="E20" s="558"/>
      <c r="F20" s="558"/>
      <c r="G20" s="558"/>
      <c r="H20" s="558"/>
      <c r="I20" s="558"/>
      <c r="J20" s="558"/>
      <c r="K20" s="558"/>
      <c r="L20" s="558"/>
      <c r="M20" s="558"/>
      <c r="N20" s="558"/>
      <c r="O20" s="558"/>
      <c r="P20" s="558"/>
      <c r="Q20" s="558"/>
      <c r="R20" s="558"/>
      <c r="S20" s="558"/>
      <c r="T20" s="558"/>
      <c r="U20" s="558"/>
      <c r="V20" s="558"/>
      <c r="W20" s="558"/>
      <c r="X20" s="558"/>
      <c r="Y20" s="558"/>
    </row>
    <row r="21" spans="1:25" s="212" customFormat="1" ht="24" customHeight="1" x14ac:dyDescent="0.25">
      <c r="A21" s="1144"/>
      <c r="B21" s="390" t="s">
        <v>1521</v>
      </c>
      <c r="C21" s="390"/>
      <c r="D21" s="390"/>
      <c r="E21" s="558"/>
      <c r="F21" s="558"/>
      <c r="G21" s="558"/>
      <c r="H21" s="558"/>
      <c r="I21" s="558"/>
      <c r="J21" s="558"/>
      <c r="K21" s="558"/>
      <c r="L21" s="558"/>
      <c r="M21" s="558"/>
      <c r="N21" s="558"/>
      <c r="O21" s="558"/>
      <c r="P21" s="558"/>
      <c r="Q21" s="558"/>
      <c r="R21" s="558"/>
      <c r="S21" s="558"/>
      <c r="T21" s="558"/>
      <c r="U21" s="558"/>
      <c r="V21" s="558"/>
      <c r="W21" s="558"/>
      <c r="X21" s="558"/>
      <c r="Y21" s="558"/>
    </row>
    <row r="22" spans="1:25" s="212" customFormat="1" ht="24" customHeight="1" x14ac:dyDescent="0.25">
      <c r="A22" s="1144"/>
      <c r="B22" s="390" t="s">
        <v>1522</v>
      </c>
      <c r="C22" s="390"/>
      <c r="D22" s="390"/>
      <c r="E22" s="558"/>
      <c r="F22" s="558"/>
      <c r="G22" s="558"/>
      <c r="H22" s="558"/>
      <c r="I22" s="558"/>
      <c r="J22" s="558"/>
      <c r="K22" s="558"/>
      <c r="L22" s="558"/>
      <c r="M22" s="558"/>
      <c r="N22" s="558"/>
      <c r="O22" s="558"/>
      <c r="P22" s="558"/>
      <c r="Q22" s="558"/>
      <c r="R22" s="558"/>
      <c r="S22" s="558"/>
      <c r="T22" s="558"/>
      <c r="U22" s="558"/>
      <c r="V22" s="558"/>
      <c r="W22" s="558"/>
      <c r="X22" s="558"/>
      <c r="Y22" s="558"/>
    </row>
    <row r="23" spans="1:25" s="212" customFormat="1" ht="24" hidden="1" customHeight="1" x14ac:dyDescent="0.25">
      <c r="A23" s="1140" t="s">
        <v>635</v>
      </c>
      <c r="B23" s="390"/>
      <c r="C23" s="390"/>
      <c r="D23" s="390"/>
      <c r="E23" s="558"/>
      <c r="F23" s="558"/>
      <c r="G23" s="558"/>
      <c r="H23" s="558"/>
      <c r="I23" s="558"/>
      <c r="J23" s="558"/>
      <c r="K23" s="558"/>
      <c r="L23" s="558"/>
      <c r="M23" s="558"/>
      <c r="N23" s="558"/>
      <c r="O23" s="558"/>
      <c r="P23" s="558"/>
      <c r="Q23" s="558"/>
      <c r="R23" s="558"/>
      <c r="S23" s="558"/>
      <c r="T23" s="558"/>
      <c r="U23" s="558"/>
      <c r="V23" s="558"/>
      <c r="W23" s="558"/>
      <c r="X23" s="558"/>
      <c r="Y23" s="558"/>
    </row>
    <row r="24" spans="1:25" s="212" customFormat="1" ht="24" hidden="1" customHeight="1" x14ac:dyDescent="0.25">
      <c r="A24" s="1141"/>
      <c r="B24" s="390"/>
      <c r="C24" s="390"/>
      <c r="D24" s="390"/>
      <c r="E24" s="558"/>
      <c r="F24" s="558"/>
      <c r="G24" s="558"/>
      <c r="H24" s="558"/>
      <c r="I24" s="558"/>
      <c r="J24" s="558"/>
      <c r="K24" s="558"/>
      <c r="L24" s="558"/>
      <c r="M24" s="558"/>
      <c r="N24" s="558"/>
      <c r="O24" s="558"/>
      <c r="P24" s="558"/>
      <c r="Q24" s="558"/>
      <c r="R24" s="558"/>
      <c r="S24" s="558"/>
      <c r="T24" s="558"/>
      <c r="U24" s="558"/>
      <c r="V24" s="558"/>
      <c r="W24" s="558"/>
      <c r="X24" s="558"/>
      <c r="Y24" s="558"/>
    </row>
    <row r="25" spans="1:25" s="212" customFormat="1" ht="24" hidden="1" customHeight="1" x14ac:dyDescent="0.25">
      <c r="A25" s="1142"/>
      <c r="B25" s="390"/>
      <c r="C25" s="390"/>
      <c r="D25" s="390"/>
      <c r="E25" s="558"/>
      <c r="F25" s="558"/>
      <c r="G25" s="558"/>
      <c r="H25" s="558"/>
      <c r="I25" s="558"/>
      <c r="J25" s="558"/>
      <c r="K25" s="558"/>
      <c r="L25" s="558"/>
      <c r="M25" s="558"/>
      <c r="N25" s="558"/>
      <c r="O25" s="558"/>
      <c r="P25" s="558"/>
      <c r="Q25" s="558"/>
      <c r="R25" s="558"/>
      <c r="S25" s="558"/>
      <c r="T25" s="558"/>
      <c r="U25" s="558"/>
      <c r="V25" s="558"/>
      <c r="W25" s="558"/>
      <c r="X25" s="558"/>
      <c r="Y25" s="558"/>
    </row>
    <row r="26" spans="1:25" s="212" customFormat="1" ht="24" customHeight="1" x14ac:dyDescent="0.25">
      <c r="A26" s="1140" t="s">
        <v>677</v>
      </c>
      <c r="B26" s="390" t="s">
        <v>1526</v>
      </c>
      <c r="C26" s="390" t="s">
        <v>1527</v>
      </c>
      <c r="D26" s="390"/>
      <c r="E26" s="558"/>
      <c r="F26" s="558"/>
      <c r="G26" s="558"/>
      <c r="H26" s="558"/>
      <c r="I26" s="558"/>
      <c r="J26" s="558"/>
      <c r="K26" s="558"/>
      <c r="L26" s="558"/>
      <c r="M26" s="558"/>
      <c r="N26" s="558"/>
      <c r="O26" s="558"/>
      <c r="P26" s="558"/>
      <c r="Q26" s="558"/>
      <c r="R26" s="558"/>
      <c r="S26" s="558"/>
      <c r="T26" s="558"/>
      <c r="U26" s="558"/>
      <c r="V26" s="558"/>
      <c r="W26" s="558"/>
      <c r="X26" s="558"/>
      <c r="Y26" s="558"/>
    </row>
    <row r="27" spans="1:25" s="212" customFormat="1" ht="24" customHeight="1" x14ac:dyDescent="0.25">
      <c r="A27" s="1141"/>
      <c r="B27" s="390" t="s">
        <v>1528</v>
      </c>
      <c r="C27" s="390" t="s">
        <v>1529</v>
      </c>
      <c r="D27" s="390"/>
      <c r="E27" s="558"/>
      <c r="F27" s="558"/>
      <c r="G27" s="558"/>
      <c r="H27" s="558"/>
      <c r="I27" s="558"/>
      <c r="J27" s="558"/>
      <c r="K27" s="558"/>
      <c r="L27" s="558"/>
      <c r="M27" s="558"/>
      <c r="N27" s="558"/>
      <c r="O27" s="558"/>
      <c r="P27" s="558"/>
      <c r="Q27" s="558"/>
      <c r="R27" s="558"/>
      <c r="S27" s="558"/>
      <c r="T27" s="558"/>
      <c r="U27" s="558"/>
      <c r="V27" s="558"/>
      <c r="W27" s="558"/>
      <c r="X27" s="558"/>
      <c r="Y27" s="558"/>
    </row>
    <row r="28" spans="1:25" s="212" customFormat="1" ht="24" customHeight="1" x14ac:dyDescent="0.25">
      <c r="A28" s="1141"/>
      <c r="B28" s="390" t="s">
        <v>1530</v>
      </c>
      <c r="C28" s="390" t="s">
        <v>1531</v>
      </c>
      <c r="D28" s="390"/>
      <c r="E28" s="558"/>
      <c r="F28" s="558"/>
      <c r="G28" s="558"/>
      <c r="H28" s="558"/>
      <c r="I28" s="558"/>
      <c r="J28" s="558"/>
      <c r="K28" s="558"/>
      <c r="L28" s="558"/>
      <c r="M28" s="558"/>
      <c r="N28" s="558"/>
      <c r="O28" s="558"/>
      <c r="P28" s="558"/>
      <c r="Q28" s="558"/>
      <c r="R28" s="558"/>
      <c r="S28" s="558"/>
      <c r="T28" s="558"/>
      <c r="U28" s="558"/>
      <c r="V28" s="558"/>
      <c r="W28" s="558"/>
      <c r="X28" s="558"/>
      <c r="Y28" s="558"/>
    </row>
    <row r="29" spans="1:25" s="212" customFormat="1" ht="24" customHeight="1" x14ac:dyDescent="0.25">
      <c r="A29" s="1141"/>
      <c r="B29" s="390" t="s">
        <v>1532</v>
      </c>
      <c r="C29" s="390" t="s">
        <v>1533</v>
      </c>
      <c r="D29" s="390"/>
      <c r="E29" s="558"/>
      <c r="F29" s="558"/>
      <c r="G29" s="558"/>
      <c r="H29" s="558"/>
      <c r="I29" s="558"/>
      <c r="J29" s="558"/>
      <c r="K29" s="558"/>
      <c r="L29" s="558"/>
      <c r="M29" s="558"/>
      <c r="N29" s="558"/>
      <c r="O29" s="558"/>
      <c r="P29" s="558"/>
      <c r="Q29" s="558"/>
      <c r="R29" s="558"/>
      <c r="S29" s="558"/>
      <c r="T29" s="558"/>
      <c r="U29" s="558"/>
      <c r="V29" s="558"/>
      <c r="W29" s="558"/>
      <c r="X29" s="558"/>
      <c r="Y29" s="558"/>
    </row>
    <row r="30" spans="1:25" s="212" customFormat="1" ht="24" customHeight="1" x14ac:dyDescent="0.25">
      <c r="A30" s="1141"/>
      <c r="B30" s="390" t="s">
        <v>1534</v>
      </c>
      <c r="C30" s="390" t="s">
        <v>1535</v>
      </c>
      <c r="D30" s="390"/>
      <c r="E30" s="558"/>
      <c r="F30" s="558"/>
      <c r="G30" s="558"/>
      <c r="H30" s="558"/>
      <c r="I30" s="558"/>
      <c r="J30" s="558"/>
      <c r="K30" s="558"/>
      <c r="L30" s="558"/>
      <c r="M30" s="558"/>
      <c r="N30" s="558"/>
      <c r="O30" s="558"/>
      <c r="P30" s="558"/>
      <c r="Q30" s="558"/>
      <c r="R30" s="558"/>
      <c r="S30" s="558"/>
      <c r="T30" s="558"/>
      <c r="U30" s="558"/>
      <c r="V30" s="558"/>
      <c r="W30" s="558"/>
      <c r="X30" s="558"/>
      <c r="Y30" s="558"/>
    </row>
    <row r="31" spans="1:25" s="212" customFormat="1" ht="24" customHeight="1" x14ac:dyDescent="0.25">
      <c r="A31" s="1141"/>
      <c r="B31" s="390" t="s">
        <v>1536</v>
      </c>
      <c r="C31" s="390" t="s">
        <v>1537</v>
      </c>
      <c r="D31" s="390"/>
      <c r="E31" s="558"/>
      <c r="F31" s="558"/>
      <c r="G31" s="558"/>
      <c r="H31" s="558"/>
      <c r="I31" s="558"/>
      <c r="J31" s="558"/>
      <c r="K31" s="558"/>
      <c r="L31" s="558"/>
      <c r="M31" s="558"/>
      <c r="N31" s="558"/>
      <c r="O31" s="558"/>
      <c r="P31" s="558"/>
      <c r="Q31" s="558"/>
      <c r="R31" s="558"/>
      <c r="S31" s="558"/>
      <c r="T31" s="558"/>
      <c r="U31" s="558"/>
      <c r="V31" s="558"/>
      <c r="W31" s="558"/>
      <c r="X31" s="558"/>
      <c r="Y31" s="558"/>
    </row>
    <row r="32" spans="1:25" s="212" customFormat="1" ht="24" customHeight="1" x14ac:dyDescent="0.25">
      <c r="A32" s="1141"/>
      <c r="B32" s="390" t="s">
        <v>1538</v>
      </c>
      <c r="C32" s="390" t="s">
        <v>1539</v>
      </c>
      <c r="D32" s="390"/>
      <c r="E32" s="558"/>
      <c r="F32" s="558"/>
      <c r="G32" s="558"/>
      <c r="H32" s="558"/>
      <c r="I32" s="558"/>
      <c r="J32" s="558"/>
      <c r="K32" s="558"/>
      <c r="L32" s="558"/>
      <c r="M32" s="558"/>
      <c r="N32" s="558"/>
      <c r="O32" s="558"/>
      <c r="P32" s="558"/>
      <c r="Q32" s="558"/>
      <c r="R32" s="558"/>
      <c r="S32" s="558"/>
      <c r="T32" s="558"/>
      <c r="U32" s="558"/>
      <c r="V32" s="558"/>
      <c r="W32" s="558"/>
      <c r="X32" s="558"/>
      <c r="Y32" s="558"/>
    </row>
    <row r="33" spans="1:25" s="212" customFormat="1" ht="24" customHeight="1" x14ac:dyDescent="0.25">
      <c r="A33" s="1141"/>
      <c r="B33" s="390" t="s">
        <v>1540</v>
      </c>
      <c r="C33" s="390" t="s">
        <v>1541</v>
      </c>
      <c r="D33" s="390"/>
      <c r="E33" s="558"/>
      <c r="F33" s="558"/>
      <c r="G33" s="558"/>
      <c r="H33" s="558"/>
      <c r="I33" s="558"/>
      <c r="J33" s="558"/>
      <c r="K33" s="558"/>
      <c r="L33" s="558"/>
      <c r="M33" s="558"/>
      <c r="N33" s="558"/>
      <c r="O33" s="558"/>
      <c r="P33" s="558"/>
      <c r="Q33" s="558"/>
      <c r="R33" s="558"/>
      <c r="S33" s="558"/>
      <c r="T33" s="558"/>
      <c r="U33" s="558"/>
      <c r="V33" s="558"/>
      <c r="W33" s="558"/>
      <c r="X33" s="558"/>
      <c r="Y33" s="558"/>
    </row>
    <row r="34" spans="1:25" s="212" customFormat="1" ht="24" customHeight="1" x14ac:dyDescent="0.25">
      <c r="A34" s="1141"/>
      <c r="B34" s="390" t="s">
        <v>1542</v>
      </c>
      <c r="C34" s="390" t="s">
        <v>649</v>
      </c>
      <c r="D34" s="390"/>
      <c r="E34" s="558"/>
      <c r="F34" s="558"/>
      <c r="G34" s="558"/>
      <c r="H34" s="558"/>
      <c r="I34" s="558"/>
      <c r="J34" s="558"/>
      <c r="K34" s="558"/>
      <c r="L34" s="558"/>
      <c r="M34" s="558"/>
      <c r="N34" s="558"/>
      <c r="O34" s="558"/>
      <c r="P34" s="558"/>
      <c r="Q34" s="558"/>
      <c r="R34" s="558"/>
      <c r="S34" s="558"/>
      <c r="T34" s="558"/>
      <c r="U34" s="558"/>
      <c r="V34" s="558"/>
      <c r="W34" s="558"/>
      <c r="X34" s="558"/>
      <c r="Y34" s="558"/>
    </row>
    <row r="35" spans="1:25" s="212" customFormat="1" ht="24" customHeight="1" x14ac:dyDescent="0.25">
      <c r="A35" s="1141"/>
      <c r="B35" s="390" t="s">
        <v>1543</v>
      </c>
      <c r="C35" s="390" t="s">
        <v>649</v>
      </c>
      <c r="D35" s="390"/>
      <c r="E35" s="558"/>
      <c r="F35" s="558"/>
      <c r="G35" s="558"/>
      <c r="H35" s="558"/>
      <c r="I35" s="558"/>
      <c r="J35" s="558"/>
      <c r="K35" s="558"/>
      <c r="L35" s="558"/>
      <c r="M35" s="558"/>
      <c r="N35" s="558"/>
      <c r="O35" s="558"/>
      <c r="P35" s="558"/>
      <c r="Q35" s="558"/>
      <c r="R35" s="558"/>
      <c r="S35" s="558"/>
      <c r="T35" s="558"/>
      <c r="U35" s="558"/>
      <c r="V35" s="558"/>
      <c r="W35" s="558"/>
      <c r="X35" s="558"/>
      <c r="Y35" s="558"/>
    </row>
    <row r="36" spans="1:25" s="212" customFormat="1" ht="24" customHeight="1" x14ac:dyDescent="0.25">
      <c r="A36" s="395" t="s">
        <v>541</v>
      </c>
      <c r="B36" s="390" t="s">
        <v>1544</v>
      </c>
      <c r="C36" s="390"/>
      <c r="D36" s="390"/>
      <c r="E36" s="558"/>
      <c r="F36" s="558"/>
      <c r="G36" s="558"/>
      <c r="H36" s="558"/>
      <c r="I36" s="558"/>
      <c r="J36" s="558"/>
      <c r="K36" s="558"/>
      <c r="L36" s="558"/>
      <c r="M36" s="558"/>
      <c r="N36" s="558"/>
      <c r="O36" s="558"/>
      <c r="P36" s="558"/>
      <c r="Q36" s="558"/>
      <c r="R36" s="558"/>
      <c r="S36" s="558"/>
      <c r="T36" s="558"/>
      <c r="U36" s="558"/>
      <c r="V36" s="558"/>
      <c r="W36" s="558"/>
      <c r="X36" s="558"/>
      <c r="Y36" s="558"/>
    </row>
    <row r="37" spans="1:25" x14ac:dyDescent="0.25">
      <c r="B37" s="175"/>
      <c r="C37" s="175"/>
      <c r="D37" s="175"/>
      <c r="E37" s="175"/>
      <c r="F37" s="175"/>
      <c r="G37" s="392"/>
      <c r="H37" s="392"/>
      <c r="I37" s="392"/>
    </row>
    <row r="38" spans="1:25" x14ac:dyDescent="0.25">
      <c r="A38" s="1146"/>
      <c r="B38" s="1146"/>
      <c r="C38" s="1146"/>
      <c r="D38" s="1146"/>
      <c r="E38" s="1146"/>
      <c r="F38" s="1146"/>
      <c r="G38" s="1146"/>
      <c r="H38" s="1146"/>
      <c r="I38" s="1146"/>
      <c r="J38" s="1146"/>
      <c r="K38" s="1146"/>
      <c r="L38" s="1146"/>
      <c r="M38" s="1146"/>
      <c r="N38" s="1146"/>
      <c r="O38" s="1146"/>
      <c r="P38" s="1146"/>
      <c r="Q38" s="1146"/>
      <c r="R38" s="1146"/>
      <c r="S38" s="1146"/>
      <c r="T38" s="1146"/>
      <c r="U38" s="1146"/>
      <c r="V38" s="1146"/>
      <c r="W38" s="1146"/>
      <c r="X38" s="1146"/>
      <c r="Y38" s="1146"/>
    </row>
    <row r="39" spans="1:25" ht="30" customHeight="1" x14ac:dyDescent="0.25">
      <c r="A39" s="1135"/>
      <c r="B39" s="1135"/>
      <c r="C39" s="1135"/>
      <c r="D39" s="1135"/>
      <c r="E39" s="1135"/>
      <c r="F39" s="1135"/>
      <c r="G39" s="1135"/>
      <c r="H39" s="1135"/>
      <c r="I39" s="1135"/>
      <c r="J39" s="1135"/>
      <c r="K39" s="1135"/>
      <c r="L39" s="1135"/>
      <c r="M39" s="1135"/>
      <c r="N39" s="1135"/>
      <c r="O39" s="1135"/>
      <c r="P39" s="1135"/>
      <c r="Q39" s="1135"/>
      <c r="R39" s="1135"/>
      <c r="S39" s="1135"/>
      <c r="T39" s="1135"/>
      <c r="U39" s="1135"/>
      <c r="V39" s="1135"/>
      <c r="W39" s="1135"/>
      <c r="X39" s="1135"/>
      <c r="Y39" s="1135"/>
    </row>
    <row r="40" spans="1:25" ht="30" customHeight="1" x14ac:dyDescent="0.25">
      <c r="A40" s="1135"/>
      <c r="B40" s="1135"/>
      <c r="C40" s="1135"/>
      <c r="D40" s="1135"/>
      <c r="E40" s="1135"/>
      <c r="F40" s="1135"/>
      <c r="G40" s="1135"/>
      <c r="H40" s="1135"/>
      <c r="I40" s="1135"/>
      <c r="J40" s="1135"/>
      <c r="K40" s="1135"/>
      <c r="L40" s="1135"/>
      <c r="M40" s="1135"/>
      <c r="N40" s="1135"/>
      <c r="O40" s="1135"/>
      <c r="P40" s="1135"/>
      <c r="Q40" s="1135"/>
      <c r="R40" s="1135"/>
      <c r="S40" s="1135"/>
      <c r="T40" s="1135"/>
      <c r="U40" s="1135"/>
      <c r="V40" s="1135"/>
      <c r="W40" s="1135"/>
      <c r="X40" s="1135"/>
      <c r="Y40" s="1135"/>
    </row>
    <row r="41" spans="1:25" ht="15" customHeight="1" x14ac:dyDescent="0.25">
      <c r="A41" s="1136"/>
      <c r="B41" s="1136"/>
      <c r="C41" s="1136"/>
      <c r="D41" s="1136"/>
      <c r="E41" s="1136"/>
      <c r="F41" s="1136"/>
      <c r="G41" s="1136"/>
      <c r="H41" s="1136"/>
      <c r="I41" s="1136"/>
      <c r="J41" s="1136"/>
      <c r="K41" s="1136"/>
      <c r="L41" s="1136"/>
      <c r="M41" s="1136"/>
      <c r="N41" s="1136"/>
      <c r="O41" s="1136"/>
      <c r="P41" s="1136"/>
      <c r="Q41" s="1136"/>
      <c r="R41" s="1136"/>
      <c r="S41" s="1136"/>
      <c r="T41" s="1136"/>
      <c r="U41" s="1136"/>
      <c r="V41" s="1136"/>
      <c r="W41" s="1136"/>
      <c r="X41" s="1136"/>
      <c r="Y41" s="1136"/>
    </row>
  </sheetData>
  <mergeCells count="8">
    <mergeCell ref="A38:Y38"/>
    <mergeCell ref="A39:Y39"/>
    <mergeCell ref="A40:Y40"/>
    <mergeCell ref="A41:Y41"/>
    <mergeCell ref="A4:A14"/>
    <mergeCell ref="A15:A22"/>
    <mergeCell ref="A23:A25"/>
    <mergeCell ref="A26:A35"/>
  </mergeCells>
  <printOptions horizontalCentered="1"/>
  <pageMargins left="0.23622047244094491" right="0.23622047244094491" top="0.74803149606299213" bottom="1.2598425196850394" header="0.31496062992125984" footer="0.31496062992125984"/>
  <pageSetup paperSize="3" scale="54" fitToHeight="0" orientation="landscape" r:id="rId1"/>
  <headerFooter>
    <oddHeader>&amp;L&amp;"Calibri,Bold"&amp;14 Name</oddHeader>
    <oddFooter>&amp;L&amp;G&amp;CPage &amp;P of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pageSetUpPr fitToPage="1"/>
  </sheetPr>
  <dimension ref="A1:K10"/>
  <sheetViews>
    <sheetView showGridLines="0" view="pageBreakPreview" zoomScale="115" zoomScaleNormal="100" zoomScaleSheetLayoutView="115" workbookViewId="0">
      <selection activeCell="C17" sqref="C17"/>
    </sheetView>
  </sheetViews>
  <sheetFormatPr defaultColWidth="9.140625" defaultRowHeight="12.75" x14ac:dyDescent="0.2"/>
  <cols>
    <col min="1" max="1" width="22.28515625" style="200" customWidth="1"/>
    <col min="2" max="2" width="25" style="200" customWidth="1"/>
    <col min="3" max="3" width="26.5703125" style="200" customWidth="1"/>
    <col min="4" max="4" width="25.140625" style="200" customWidth="1"/>
    <col min="5" max="16384" width="9.140625" style="200"/>
  </cols>
  <sheetData>
    <row r="1" spans="1:11" ht="15" customHeight="1" x14ac:dyDescent="0.2">
      <c r="A1" s="1148" t="s">
        <v>2014</v>
      </c>
      <c r="B1" s="1149"/>
      <c r="C1" s="1149"/>
      <c r="D1" s="1149"/>
      <c r="E1" s="1139"/>
      <c r="F1" s="1139"/>
      <c r="G1" s="1139"/>
      <c r="H1" s="1139"/>
      <c r="I1" s="1139"/>
    </row>
    <row r="2" spans="1:11" ht="12.75" customHeight="1" x14ac:dyDescent="0.2">
      <c r="A2" s="1149"/>
      <c r="B2" s="1149"/>
      <c r="C2" s="1149"/>
      <c r="D2" s="1149"/>
      <c r="E2" s="1139"/>
      <c r="F2" s="1139"/>
      <c r="G2" s="1139"/>
      <c r="H2" s="1139"/>
      <c r="I2" s="1139"/>
    </row>
    <row r="3" spans="1:11" x14ac:dyDescent="0.2">
      <c r="A3" s="1149"/>
      <c r="B3" s="1149"/>
      <c r="C3" s="1149"/>
      <c r="D3" s="1149"/>
      <c r="E3" s="1139"/>
      <c r="F3" s="1139"/>
      <c r="G3" s="1139"/>
      <c r="H3" s="1139"/>
      <c r="I3" s="1139"/>
    </row>
    <row r="4" spans="1:11" x14ac:dyDescent="0.2">
      <c r="A4" s="310"/>
      <c r="B4" s="310"/>
      <c r="C4" s="310"/>
      <c r="D4" s="393"/>
      <c r="F4" s="1150" t="s">
        <v>993</v>
      </c>
      <c r="G4" s="1150"/>
      <c r="H4" s="1150"/>
      <c r="I4" s="1150"/>
      <c r="J4" s="1150"/>
      <c r="K4" s="1150"/>
    </row>
    <row r="5" spans="1:11" ht="21" customHeight="1" x14ac:dyDescent="0.2">
      <c r="A5" s="409"/>
      <c r="B5" s="256" t="s">
        <v>425</v>
      </c>
      <c r="C5" s="256" t="s">
        <v>426</v>
      </c>
      <c r="D5" s="519" t="s">
        <v>427</v>
      </c>
      <c r="F5" s="1150"/>
      <c r="G5" s="1150"/>
      <c r="H5" s="1150"/>
      <c r="I5" s="1150"/>
      <c r="J5" s="1150"/>
      <c r="K5" s="1150"/>
    </row>
    <row r="6" spans="1:11" s="225" customFormat="1" ht="88.5" customHeight="1" x14ac:dyDescent="0.25">
      <c r="A6" s="395" t="s">
        <v>428</v>
      </c>
      <c r="B6" s="295" t="s">
        <v>429</v>
      </c>
      <c r="C6" s="295" t="s">
        <v>430</v>
      </c>
      <c r="D6" s="231" t="s">
        <v>431</v>
      </c>
    </row>
    <row r="7" spans="1:11" s="225" customFormat="1" ht="89.25" customHeight="1" x14ac:dyDescent="0.25">
      <c r="A7" s="395" t="s">
        <v>432</v>
      </c>
      <c r="B7" s="295" t="s">
        <v>433</v>
      </c>
      <c r="C7" s="295" t="s">
        <v>434</v>
      </c>
      <c r="D7" s="231" t="s">
        <v>435</v>
      </c>
    </row>
    <row r="9" spans="1:11" x14ac:dyDescent="0.2">
      <c r="A9" s="1147" t="s">
        <v>2015</v>
      </c>
      <c r="B9" s="1147"/>
      <c r="C9" s="1147"/>
      <c r="D9" s="1147"/>
    </row>
    <row r="10" spans="1:11" x14ac:dyDescent="0.2">
      <c r="A10" s="1147"/>
      <c r="B10" s="1147"/>
      <c r="C10" s="1147"/>
      <c r="D10" s="1147"/>
    </row>
  </sheetData>
  <mergeCells count="4">
    <mergeCell ref="A9:D10"/>
    <mergeCell ref="A1:D3"/>
    <mergeCell ref="E1:I3"/>
    <mergeCell ref="F4:K5"/>
  </mergeCells>
  <printOptions horizontalCentered="1"/>
  <pageMargins left="0.25" right="0.25" top="0.75" bottom="1.25" header="0.3" footer="0.3"/>
  <pageSetup fitToHeight="0" orientation="portrait" r:id="rId1"/>
  <headerFooter>
    <oddHeader>&amp;L&amp;"-,Bold"&amp;14   Renewal Strategy</oddHeader>
    <oddFooter>&amp;L&amp;G&amp;CPage &amp;P of &amp;N</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fitToPage="1"/>
  </sheetPr>
  <dimension ref="A1:F9"/>
  <sheetViews>
    <sheetView showGridLines="0" zoomScaleNormal="100" zoomScaleSheetLayoutView="100" workbookViewId="0">
      <selection activeCell="B4" sqref="B4:D4"/>
    </sheetView>
  </sheetViews>
  <sheetFormatPr defaultColWidth="9.140625" defaultRowHeight="15" x14ac:dyDescent="0.25"/>
  <cols>
    <col min="1" max="1" width="4.28515625" customWidth="1"/>
    <col min="2" max="2" width="25.28515625" customWidth="1"/>
    <col min="3" max="3" width="43" customWidth="1"/>
    <col min="4" max="4" width="28" customWidth="1"/>
  </cols>
  <sheetData>
    <row r="1" spans="1:6" ht="15" customHeight="1" x14ac:dyDescent="0.25">
      <c r="A1" s="1155" t="str">
        <f>"Greyling Insurance Brokerage negotiated with the insurers listed below on behalf of "&amp;Input!C2&amp; " to obtain proposals for:"</f>
        <v>Greyling Insurance Brokerage negotiated with the insurers listed below on behalf of T5 Construction Services, LLC
T5 Data Centers, LLC to obtain proposals for:</v>
      </c>
      <c r="B1" s="1155"/>
      <c r="C1" s="1155"/>
      <c r="D1" s="1155"/>
    </row>
    <row r="2" spans="1:6" ht="15" customHeight="1" x14ac:dyDescent="0.25">
      <c r="A2" s="1155"/>
      <c r="B2" s="1155"/>
      <c r="C2" s="1155"/>
      <c r="D2" s="1155"/>
    </row>
    <row r="3" spans="1:6" x14ac:dyDescent="0.25">
      <c r="A3" s="213"/>
      <c r="B3" s="213"/>
      <c r="C3" s="213"/>
      <c r="D3" s="213"/>
    </row>
    <row r="4" spans="1:6" x14ac:dyDescent="0.25">
      <c r="B4" s="1151" t="str">
        <f>"- "&amp;Input!B8</f>
        <v>- Contractor's Professional &amp; Pollution Liability</v>
      </c>
      <c r="C4" s="1152"/>
      <c r="D4" s="1153"/>
      <c r="E4" s="217"/>
      <c r="F4" s="217"/>
    </row>
    <row r="6" spans="1:6" x14ac:dyDescent="0.25">
      <c r="B6" s="1154" t="s">
        <v>548</v>
      </c>
      <c r="C6" s="1154"/>
      <c r="D6" s="1154"/>
    </row>
    <row r="8" spans="1:6" x14ac:dyDescent="0.25">
      <c r="B8" s="520" t="s">
        <v>60</v>
      </c>
      <c r="C8" s="521" t="s">
        <v>436</v>
      </c>
      <c r="D8" s="522" t="s">
        <v>437</v>
      </c>
    </row>
    <row r="9" spans="1:6" ht="22.5" customHeight="1" x14ac:dyDescent="0.25">
      <c r="B9" s="782" t="str">
        <f>Input!B13</f>
        <v>Columbia Casualty Company (CNA)</v>
      </c>
      <c r="C9" s="781" t="str">
        <f>Input!B8</f>
        <v>Contractor's Professional &amp; Pollution Liability</v>
      </c>
      <c r="D9" s="783" t="s">
        <v>1940</v>
      </c>
    </row>
  </sheetData>
  <mergeCells count="3">
    <mergeCell ref="B4:D4"/>
    <mergeCell ref="B6:D6"/>
    <mergeCell ref="A1:D2"/>
  </mergeCells>
  <printOptions horizontalCentered="1"/>
  <pageMargins left="0.25" right="0.25" top="0.75" bottom="1.25" header="0.3" footer="0.3"/>
  <pageSetup fitToHeight="0" orientation="portrait" r:id="rId1"/>
  <headerFooter>
    <oddHeader>&amp;L&amp;"-,Bold"&amp;14Insurers Approached - Professional and Pollution Liability</oddHeader>
    <oddFooter>&amp;L&amp;G&amp;CPage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pageSetUpPr fitToPage="1"/>
  </sheetPr>
  <dimension ref="A1:K73"/>
  <sheetViews>
    <sheetView showGridLines="0" view="pageBreakPreview" topLeftCell="A44" zoomScaleNormal="100" zoomScaleSheetLayoutView="100" workbookViewId="0">
      <selection activeCell="G70" sqref="G70"/>
    </sheetView>
  </sheetViews>
  <sheetFormatPr defaultColWidth="9.140625" defaultRowHeight="15" x14ac:dyDescent="0.25"/>
  <cols>
    <col min="1" max="1" width="4.28515625" customWidth="1"/>
    <col min="2" max="2" width="25.42578125" customWidth="1"/>
    <col min="3" max="3" width="44.28515625" customWidth="1"/>
    <col min="4" max="4" width="29.7109375" customWidth="1"/>
  </cols>
  <sheetData>
    <row r="1" spans="1:11" ht="15" customHeight="1" x14ac:dyDescent="0.25">
      <c r="A1" s="1158" t="s">
        <v>1762</v>
      </c>
      <c r="B1" s="1155"/>
      <c r="C1" s="1155"/>
      <c r="D1" s="1155"/>
    </row>
    <row r="2" spans="1:11" ht="7.5" customHeight="1" x14ac:dyDescent="0.25">
      <c r="A2" s="1155"/>
      <c r="B2" s="1155"/>
      <c r="C2" s="1155"/>
      <c r="D2" s="1155"/>
      <c r="G2" s="1150" t="s">
        <v>994</v>
      </c>
      <c r="H2" s="1150"/>
      <c r="I2" s="1150"/>
      <c r="J2" s="1150"/>
      <c r="K2" s="1150"/>
    </row>
    <row r="3" spans="1:11" ht="18.75" customHeight="1" x14ac:dyDescent="0.25">
      <c r="A3" s="213"/>
      <c r="B3" s="213"/>
      <c r="C3" s="213"/>
      <c r="D3" s="213"/>
      <c r="G3" s="1150"/>
      <c r="H3" s="1150"/>
      <c r="I3" s="1150"/>
      <c r="J3" s="1150"/>
      <c r="K3" s="1150"/>
    </row>
    <row r="4" spans="1:11" ht="11.25" customHeight="1" x14ac:dyDescent="0.25">
      <c r="A4" s="213"/>
      <c r="B4" s="1151" t="str">
        <f>"- "&amp;Input!B8</f>
        <v>- Contractor's Professional &amp; Pollution Liability</v>
      </c>
      <c r="C4" s="1152"/>
      <c r="D4" s="1153"/>
      <c r="G4" s="1150"/>
      <c r="H4" s="1150"/>
      <c r="I4" s="1150"/>
      <c r="J4" s="1150"/>
      <c r="K4" s="1150"/>
    </row>
    <row r="5" spans="1:11" ht="13.5" customHeight="1" x14ac:dyDescent="0.25">
      <c r="A5" s="213"/>
      <c r="B5" s="1156" t="str">
        <f>"- "&amp;Input!B184</f>
        <v>- T5CS Commercial General Liability</v>
      </c>
      <c r="C5" s="1156"/>
      <c r="D5" s="1160"/>
      <c r="G5" s="1150"/>
      <c r="H5" s="1150"/>
      <c r="I5" s="1150"/>
      <c r="J5" s="1150"/>
      <c r="K5" s="1150"/>
    </row>
    <row r="6" spans="1:11" x14ac:dyDescent="0.25">
      <c r="A6" s="213"/>
      <c r="B6" s="1156" t="str">
        <f>"- "&amp;Input!B444</f>
        <v>- T5CS Business Auto</v>
      </c>
      <c r="C6" s="1156"/>
      <c r="D6" s="1156"/>
      <c r="G6" s="1150"/>
      <c r="H6" s="1150"/>
      <c r="I6" s="1150"/>
      <c r="J6" s="1150"/>
      <c r="K6" s="1150"/>
    </row>
    <row r="7" spans="1:11" x14ac:dyDescent="0.25">
      <c r="A7" s="213"/>
      <c r="B7" s="1156" t="str">
        <f>"- "&amp;Input!B359</f>
        <v>- T5CS Umbrella</v>
      </c>
      <c r="C7" s="1156"/>
      <c r="D7" s="1156"/>
    </row>
    <row r="8" spans="1:11" x14ac:dyDescent="0.25">
      <c r="B8" s="1159" t="str">
        <f>"- "&amp;Input!B403</f>
        <v>- T5CS 1st Excess Liability</v>
      </c>
      <c r="C8" s="1156"/>
      <c r="D8" s="1156"/>
      <c r="E8" s="217"/>
      <c r="F8" s="217"/>
    </row>
    <row r="9" spans="1:11" x14ac:dyDescent="0.25">
      <c r="B9" s="1152" t="str">
        <f>"- "&amp;Input!B142</f>
        <v>- T5CS 2nd Excess Liability</v>
      </c>
      <c r="C9" s="1154"/>
      <c r="D9" s="1154"/>
    </row>
    <row r="10" spans="1:11" x14ac:dyDescent="0.25">
      <c r="B10" s="1152" t="str">
        <f>"- "&amp;Input!B43</f>
        <v>- T5CS 3rd Excess Liability</v>
      </c>
      <c r="C10" s="1154"/>
      <c r="D10" s="1154"/>
    </row>
    <row r="11" spans="1:11" x14ac:dyDescent="0.25">
      <c r="B11" s="1156" t="str">
        <f>"- "&amp;Input!B608</f>
        <v>- T5CS 4th Excess Liability</v>
      </c>
      <c r="C11" s="1156"/>
      <c r="D11" s="1156"/>
    </row>
    <row r="12" spans="1:11" x14ac:dyDescent="0.25">
      <c r="B12" s="1156" t="str">
        <f>"- "&amp;Input!B541</f>
        <v>- Inland Marine (T5CS)</v>
      </c>
      <c r="C12" s="1156"/>
      <c r="D12" s="1156"/>
    </row>
    <row r="13" spans="1:11" x14ac:dyDescent="0.25">
      <c r="B13" s="1156" t="str">
        <f>"- "&amp;Input!B649</f>
        <v>- T5DC Package</v>
      </c>
      <c r="C13" s="1156"/>
      <c r="D13" s="1156"/>
    </row>
    <row r="14" spans="1:11" ht="14.25" customHeight="1" x14ac:dyDescent="0.25">
      <c r="B14" s="1156" t="str">
        <f>"- "&amp;Input!B311</f>
        <v>- T5DC Business Auto</v>
      </c>
      <c r="C14" s="1156"/>
      <c r="D14" s="1156"/>
    </row>
    <row r="15" spans="1:11" x14ac:dyDescent="0.25">
      <c r="B15" s="1156" t="str">
        <f>"- "&amp;Input!B227</f>
        <v>- Workers Compensation</v>
      </c>
      <c r="C15" s="1161"/>
      <c r="D15" s="1161"/>
    </row>
    <row r="16" spans="1:11" x14ac:dyDescent="0.25">
      <c r="B16" s="1156" t="str">
        <f>"- "&amp;Input!B269</f>
        <v>- Workers Compensation - CA Only</v>
      </c>
      <c r="C16" s="1156"/>
      <c r="D16" s="1156"/>
    </row>
    <row r="17" spans="2:7" x14ac:dyDescent="0.25">
      <c r="B17" s="1151" t="str">
        <f>"- "&amp;Input!B94</f>
        <v>- T5DC Umbrella</v>
      </c>
      <c r="C17" s="1154"/>
      <c r="D17" s="1154"/>
    </row>
    <row r="18" spans="2:7" x14ac:dyDescent="0.25">
      <c r="B18" s="1046" t="s">
        <v>1976</v>
      </c>
      <c r="C18" s="1047"/>
      <c r="D18" s="1047"/>
    </row>
    <row r="19" spans="2:7" x14ac:dyDescent="0.25">
      <c r="B19" s="1046" t="s">
        <v>1978</v>
      </c>
      <c r="C19" s="1047"/>
      <c r="D19" s="1047"/>
    </row>
    <row r="20" spans="2:7" x14ac:dyDescent="0.25">
      <c r="B20" s="1046" t="s">
        <v>1979</v>
      </c>
      <c r="C20" s="1047"/>
      <c r="D20" s="1047"/>
    </row>
    <row r="21" spans="2:7" x14ac:dyDescent="0.25">
      <c r="B21" s="1046" t="s">
        <v>1980</v>
      </c>
      <c r="C21" s="1047"/>
      <c r="D21" s="1047"/>
    </row>
    <row r="22" spans="2:7" x14ac:dyDescent="0.25">
      <c r="B22" s="1046" t="s">
        <v>1981</v>
      </c>
      <c r="C22" s="1047"/>
      <c r="D22" s="1047"/>
    </row>
    <row r="23" spans="2:7" x14ac:dyDescent="0.25">
      <c r="B23" s="1046" t="s">
        <v>1982</v>
      </c>
      <c r="C23" s="1047"/>
      <c r="D23" s="1047"/>
    </row>
    <row r="24" spans="2:7" x14ac:dyDescent="0.25">
      <c r="B24" s="1156" t="str">
        <f>"- "&amp;Input!B778</f>
        <v>- Business Travel Accident</v>
      </c>
      <c r="C24" s="1156"/>
      <c r="D24" s="1156"/>
    </row>
    <row r="25" spans="2:7" ht="15" hidden="1" customHeight="1" x14ac:dyDescent="0.25">
      <c r="B25" s="1157" t="str">
        <f>"- "&amp;Input!B816</f>
        <v>- Foreign Package - T5CS</v>
      </c>
      <c r="C25" s="1157"/>
      <c r="D25" s="1157"/>
      <c r="E25" s="309"/>
      <c r="F25" s="309"/>
      <c r="G25" s="309"/>
    </row>
    <row r="26" spans="2:7" x14ac:dyDescent="0.25">
      <c r="B26" s="1156" t="str">
        <f>"- "&amp;Input!B853</f>
        <v>- Executive Liability (Directors &amp; Officers, Employment Practices, Fiduciary Liability)</v>
      </c>
      <c r="C26" s="1156"/>
      <c r="D26" s="1156"/>
    </row>
    <row r="27" spans="2:7" x14ac:dyDescent="0.25">
      <c r="B27" s="1156" t="str">
        <f>"- "&amp;Input!B913</f>
        <v>- Commercial Crime</v>
      </c>
      <c r="C27" s="1156"/>
      <c r="D27" s="1156"/>
    </row>
    <row r="28" spans="2:7" hidden="1" x14ac:dyDescent="0.25">
      <c r="B28" s="1156" t="str">
        <f>"- "&amp;Input!B955</f>
        <v>- Technology Errors &amp; Omissions</v>
      </c>
      <c r="C28" s="1156"/>
      <c r="D28" s="1156"/>
    </row>
    <row r="29" spans="2:7" hidden="1" x14ac:dyDescent="0.25">
      <c r="B29" s="1156" t="str">
        <f>"- "&amp;Input!B1000</f>
        <v>- Foreign Package - T5DC</v>
      </c>
      <c r="C29" s="1156"/>
      <c r="D29" s="1156"/>
    </row>
    <row r="30" spans="2:7" hidden="1" x14ac:dyDescent="0.25">
      <c r="B30" s="1156" t="str">
        <f>"- "&amp;Input!B1043</f>
        <v>- 1st Excess Technology Errors &amp; Omissions</v>
      </c>
      <c r="C30" s="1156"/>
      <c r="D30" s="1156"/>
    </row>
    <row r="31" spans="2:7" hidden="1" x14ac:dyDescent="0.25"/>
    <row r="32" spans="2:7" hidden="1" x14ac:dyDescent="0.25"/>
    <row r="33" spans="2:4" hidden="1" x14ac:dyDescent="0.25"/>
    <row r="34" spans="2:4" hidden="1" x14ac:dyDescent="0.25">
      <c r="B34" s="1156"/>
      <c r="C34" s="1156"/>
      <c r="D34" s="1156"/>
    </row>
    <row r="35" spans="2:4" hidden="1" x14ac:dyDescent="0.25">
      <c r="B35" s="1156"/>
      <c r="C35" s="1156"/>
      <c r="D35" s="1156"/>
    </row>
    <row r="36" spans="2:4" ht="13.5" hidden="1" customHeight="1" x14ac:dyDescent="0.25"/>
    <row r="37" spans="2:4" ht="13.5" customHeight="1" x14ac:dyDescent="0.25">
      <c r="B37" s="1156" t="s">
        <v>1977</v>
      </c>
      <c r="C37" s="1156"/>
      <c r="D37" s="1156"/>
    </row>
    <row r="39" spans="2:4" x14ac:dyDescent="0.25">
      <c r="B39" s="1154" t="s">
        <v>548</v>
      </c>
      <c r="C39" s="1154"/>
      <c r="D39" s="1154"/>
    </row>
    <row r="40" spans="2:4" ht="17.25" customHeight="1" x14ac:dyDescent="0.25"/>
    <row r="41" spans="2:4" x14ac:dyDescent="0.25">
      <c r="B41" s="520" t="s">
        <v>60</v>
      </c>
      <c r="C41" s="521" t="s">
        <v>436</v>
      </c>
      <c r="D41" s="522" t="s">
        <v>437</v>
      </c>
    </row>
    <row r="42" spans="2:4" ht="30.75" customHeight="1" x14ac:dyDescent="0.25">
      <c r="B42" s="782" t="str">
        <f>Input!B13</f>
        <v>Columbia Casualty Company (CNA)</v>
      </c>
      <c r="C42" s="781" t="str">
        <f>Input!B8</f>
        <v>Contractor's Professional &amp; Pollution Liability</v>
      </c>
      <c r="D42" s="783" t="s">
        <v>1458</v>
      </c>
    </row>
    <row r="43" spans="2:4" ht="30.75" customHeight="1" x14ac:dyDescent="0.25">
      <c r="B43" s="782" t="s">
        <v>2016</v>
      </c>
      <c r="C43" s="781" t="s">
        <v>2017</v>
      </c>
      <c r="D43" s="783" t="s">
        <v>1458</v>
      </c>
    </row>
    <row r="44" spans="2:4" ht="30.75" customHeight="1" x14ac:dyDescent="0.25">
      <c r="B44" s="782" t="s">
        <v>1782</v>
      </c>
      <c r="C44" s="781" t="s">
        <v>2010</v>
      </c>
      <c r="D44" s="783" t="s">
        <v>1458</v>
      </c>
    </row>
    <row r="45" spans="2:4" ht="30.75" customHeight="1" x14ac:dyDescent="0.25">
      <c r="B45" s="782" t="s">
        <v>2016</v>
      </c>
      <c r="C45" s="781" t="s">
        <v>2018</v>
      </c>
      <c r="D45" s="783" t="s">
        <v>1458</v>
      </c>
    </row>
    <row r="46" spans="2:4" ht="30.75" customHeight="1" x14ac:dyDescent="0.25">
      <c r="B46" s="782" t="str">
        <f>Input!B408</f>
        <v xml:space="preserve">RSUI Indemnity Company </v>
      </c>
      <c r="C46" s="781" t="str">
        <f>Input!B403</f>
        <v>T5CS 1st Excess Liability</v>
      </c>
      <c r="D46" s="783" t="s">
        <v>1458</v>
      </c>
    </row>
    <row r="47" spans="2:4" ht="42.75" customHeight="1" x14ac:dyDescent="0.25">
      <c r="B47" s="1112" t="str">
        <f>Input!B147</f>
        <v>American Guarantee And Liability Insurance Company (Zurich)</v>
      </c>
      <c r="C47" s="1113" t="str">
        <f>Input!B142</f>
        <v>T5CS 2nd Excess Liability</v>
      </c>
      <c r="D47" s="783" t="s">
        <v>1458</v>
      </c>
    </row>
    <row r="48" spans="2:4" ht="30.75" customHeight="1" x14ac:dyDescent="0.25">
      <c r="B48" s="1112" t="str">
        <f>Input!B48</f>
        <v>Travelers Property Casualty Company of America</v>
      </c>
      <c r="C48" s="1113" t="str">
        <f>Input!B43</f>
        <v>T5CS 3rd Excess Liability</v>
      </c>
      <c r="D48" s="783" t="s">
        <v>1458</v>
      </c>
    </row>
    <row r="49" spans="2:11" ht="30.75" hidden="1" customHeight="1" x14ac:dyDescent="0.25">
      <c r="B49" s="1112" t="str">
        <f>Input!B99</f>
        <v>The Continental Insurance Company (CNA)</v>
      </c>
      <c r="C49" s="1113" t="str">
        <f>Input!B94</f>
        <v>T5DC Umbrella</v>
      </c>
      <c r="D49" s="783" t="s">
        <v>1458</v>
      </c>
    </row>
    <row r="50" spans="2:11" ht="30.75" customHeight="1" x14ac:dyDescent="0.25">
      <c r="B50" s="1112" t="s">
        <v>1115</v>
      </c>
      <c r="C50" s="1113" t="s">
        <v>1781</v>
      </c>
      <c r="D50" s="783" t="s">
        <v>1458</v>
      </c>
    </row>
    <row r="51" spans="2:11" ht="30.75" hidden="1" customHeight="1" x14ac:dyDescent="0.25">
      <c r="B51" s="782" t="str">
        <f>Input!B189</f>
        <v>Continental Insurance Company (CNA)</v>
      </c>
      <c r="C51" s="781" t="str">
        <f>Input!B184</f>
        <v>T5CS Commercial General Liability</v>
      </c>
      <c r="D51" s="783" t="s">
        <v>1458</v>
      </c>
    </row>
    <row r="52" spans="2:11" ht="30.75" hidden="1" customHeight="1" x14ac:dyDescent="0.25">
      <c r="B52" s="782" t="str">
        <f>Input!B232</f>
        <v>The Continental Insurance Company (CNA)</v>
      </c>
      <c r="C52" s="781" t="str">
        <f>Input!B227</f>
        <v>Workers Compensation</v>
      </c>
      <c r="D52" s="783" t="s">
        <v>1458</v>
      </c>
    </row>
    <row r="53" spans="2:11" ht="30.75" hidden="1" customHeight="1" x14ac:dyDescent="0.25">
      <c r="B53" s="782" t="str">
        <f>Input!B274</f>
        <v>The Continental Insurance Company (CNA)</v>
      </c>
      <c r="C53" s="781" t="str">
        <f>Input!B269</f>
        <v>Workers Compensation - CA Only</v>
      </c>
      <c r="D53" s="783" t="s">
        <v>1458</v>
      </c>
    </row>
    <row r="54" spans="2:11" ht="30.75" hidden="1" customHeight="1" x14ac:dyDescent="0.25">
      <c r="B54" s="782" t="str">
        <f>Input!B316</f>
        <v>Valley Forge Insurance Company (CNA)</v>
      </c>
      <c r="C54" s="781" t="str">
        <f>Input!B311</f>
        <v>T5DC Business Auto</v>
      </c>
      <c r="D54" s="783" t="s">
        <v>1458</v>
      </c>
    </row>
    <row r="55" spans="2:11" ht="30.75" hidden="1" customHeight="1" x14ac:dyDescent="0.25">
      <c r="B55" s="998" t="str">
        <f>Input!B364</f>
        <v>The Continental Insurance Company (CNA)</v>
      </c>
      <c r="C55" s="999" t="str">
        <f>Input!B359</f>
        <v>T5CS Umbrella</v>
      </c>
      <c r="D55" s="783" t="s">
        <v>1458</v>
      </c>
      <c r="K55" s="1061"/>
    </row>
    <row r="56" spans="2:11" ht="30.75" hidden="1" customHeight="1" x14ac:dyDescent="0.25">
      <c r="B56" s="782"/>
      <c r="C56" s="781"/>
      <c r="D56" s="783"/>
    </row>
    <row r="57" spans="2:11" ht="30.75" hidden="1" customHeight="1" x14ac:dyDescent="0.25">
      <c r="B57" s="782" t="str">
        <f>Input!B449</f>
        <v>Continental Casualty Company (CNA)</v>
      </c>
      <c r="C57" s="781" t="str">
        <f>Input!B444</f>
        <v>T5CS Business Auto</v>
      </c>
      <c r="D57" s="783" t="s">
        <v>1458</v>
      </c>
    </row>
    <row r="58" spans="2:11" ht="30.75" hidden="1" customHeight="1" x14ac:dyDescent="0.25">
      <c r="B58" s="782" t="str">
        <f>Input!B546</f>
        <v>Continental Insurance Company (CNA)</v>
      </c>
      <c r="C58" s="781" t="str">
        <f>Input!B541</f>
        <v>Inland Marine (T5CS)</v>
      </c>
      <c r="D58" s="783" t="s">
        <v>1458</v>
      </c>
    </row>
    <row r="59" spans="2:11" ht="30.75" hidden="1" customHeight="1" x14ac:dyDescent="0.25">
      <c r="B59" s="782" t="str">
        <f>Input!B613</f>
        <v>The Continental Insurance Company (CNA)</v>
      </c>
      <c r="C59" s="781" t="str">
        <f>Input!B608</f>
        <v>T5CS 4th Excess Liability</v>
      </c>
      <c r="D59" s="783" t="s">
        <v>1984</v>
      </c>
    </row>
    <row r="60" spans="2:11" ht="30.75" hidden="1" customHeight="1" x14ac:dyDescent="0.25">
      <c r="B60" s="782" t="str">
        <f>Input!B654</f>
        <v>Valley Forge Insurance Company (CNA)</v>
      </c>
      <c r="C60" s="781" t="str">
        <f>Input!B649</f>
        <v>T5DC Package</v>
      </c>
      <c r="D60" s="783" t="s">
        <v>1458</v>
      </c>
    </row>
    <row r="61" spans="2:11" ht="30.75" customHeight="1" x14ac:dyDescent="0.25">
      <c r="B61" s="782" t="str">
        <f>Input!B783</f>
        <v>Zurich American Insurance Company</v>
      </c>
      <c r="C61" s="781" t="str">
        <f>Input!B778</f>
        <v>Business Travel Accident</v>
      </c>
      <c r="D61" s="783" t="s">
        <v>1458</v>
      </c>
    </row>
    <row r="62" spans="2:11" ht="25.5" hidden="1" x14ac:dyDescent="0.25">
      <c r="B62" s="782" t="str">
        <f>Input!B821</f>
        <v>The Continental Insurance Company (CNA)</v>
      </c>
      <c r="C62" s="781" t="str">
        <f>Input!B816</f>
        <v>Foreign Package - T5CS</v>
      </c>
      <c r="D62" s="783" t="s">
        <v>1458</v>
      </c>
    </row>
    <row r="63" spans="2:11" ht="30" customHeight="1" x14ac:dyDescent="0.25">
      <c r="B63" s="1112" t="str">
        <f>Input!B858</f>
        <v>Westchester Surplus Lines Insurance Company (Chubb)</v>
      </c>
      <c r="C63" s="1113" t="str">
        <f>Input!B853</f>
        <v>Executive Liability (Directors &amp; Officers, Employment Practices, Fiduciary Liability)</v>
      </c>
      <c r="D63" s="783" t="s">
        <v>1458</v>
      </c>
    </row>
    <row r="64" spans="2:11" ht="28.5" customHeight="1" x14ac:dyDescent="0.25">
      <c r="B64" s="1112" t="str">
        <f>Input!B918</f>
        <v>Federal Insurance Company (Chubb)</v>
      </c>
      <c r="C64" s="1113" t="str">
        <f>Input!B913</f>
        <v>Commercial Crime</v>
      </c>
      <c r="D64" s="783" t="s">
        <v>1458</v>
      </c>
    </row>
    <row r="65" spans="2:4" ht="25.5" x14ac:dyDescent="0.25">
      <c r="B65" s="1112" t="str">
        <f>Input!B1107</f>
        <v>Great American Insurance Company</v>
      </c>
      <c r="C65" s="1113" t="str">
        <f>Input!B1102</f>
        <v>Excess Crime</v>
      </c>
      <c r="D65" s="783" t="s">
        <v>1458</v>
      </c>
    </row>
    <row r="66" spans="2:4" ht="29.25" customHeight="1" x14ac:dyDescent="0.25">
      <c r="B66" s="782" t="str">
        <f>Input!B960</f>
        <v>Beazley</v>
      </c>
      <c r="C66" s="781" t="str">
        <f>Input!B955</f>
        <v>Technology Errors &amp; Omissions</v>
      </c>
      <c r="D66" s="783" t="s">
        <v>1458</v>
      </c>
    </row>
    <row r="67" spans="2:4" ht="25.5" hidden="1" x14ac:dyDescent="0.25">
      <c r="B67" s="782" t="str">
        <f>Input!B1005</f>
        <v>The Continental Insurance Company (CNA)</v>
      </c>
      <c r="C67" s="781" t="str">
        <f>Input!B1000</f>
        <v>Foreign Package - T5DC</v>
      </c>
      <c r="D67" s="783" t="s">
        <v>1458</v>
      </c>
    </row>
    <row r="68" spans="2:4" ht="25.5" x14ac:dyDescent="0.25">
      <c r="B68" s="782" t="str">
        <f>Input!B1048</f>
        <v>Indian Harbor Insurance Company (AXA XL)</v>
      </c>
      <c r="C68" s="781" t="str">
        <f>Input!B1043</f>
        <v>1st Excess Technology Errors &amp; Omissions</v>
      </c>
      <c r="D68" s="783" t="s">
        <v>1458</v>
      </c>
    </row>
    <row r="69" spans="2:4" ht="28.5" customHeight="1" x14ac:dyDescent="0.25">
      <c r="B69" s="1112" t="s">
        <v>1823</v>
      </c>
      <c r="C69" s="1113" t="s">
        <v>1658</v>
      </c>
      <c r="D69" s="783" t="s">
        <v>1458</v>
      </c>
    </row>
    <row r="70" spans="2:4" ht="30" customHeight="1" x14ac:dyDescent="0.25">
      <c r="B70" s="1112" t="s">
        <v>1985</v>
      </c>
      <c r="C70" s="1113" t="s">
        <v>1663</v>
      </c>
      <c r="D70" s="783" t="s">
        <v>1458</v>
      </c>
    </row>
    <row r="71" spans="2:4" ht="31.5" customHeight="1" x14ac:dyDescent="0.25">
      <c r="B71" s="1112" t="s">
        <v>1986</v>
      </c>
      <c r="C71" s="1113" t="s">
        <v>1983</v>
      </c>
      <c r="D71" s="783" t="s">
        <v>1458</v>
      </c>
    </row>
    <row r="72" spans="2:4" ht="33" customHeight="1" x14ac:dyDescent="0.25">
      <c r="B72" s="1112" t="s">
        <v>1115</v>
      </c>
      <c r="C72" s="1113" t="s">
        <v>1663</v>
      </c>
      <c r="D72" s="1114" t="s">
        <v>2120</v>
      </c>
    </row>
    <row r="73" spans="2:4" ht="30.95" customHeight="1" x14ac:dyDescent="0.25">
      <c r="B73" s="1112" t="s">
        <v>2121</v>
      </c>
      <c r="C73" s="1113" t="s">
        <v>1983</v>
      </c>
      <c r="D73" s="1114" t="s">
        <v>2120</v>
      </c>
    </row>
  </sheetData>
  <mergeCells count="27">
    <mergeCell ref="B35:D35"/>
    <mergeCell ref="G2:K6"/>
    <mergeCell ref="B29:D29"/>
    <mergeCell ref="B30:D30"/>
    <mergeCell ref="B5:D5"/>
    <mergeCell ref="B15:D15"/>
    <mergeCell ref="B13:D13"/>
    <mergeCell ref="B24:D24"/>
    <mergeCell ref="B26:D26"/>
    <mergeCell ref="B27:D27"/>
    <mergeCell ref="B28:D28"/>
    <mergeCell ref="B37:D37"/>
    <mergeCell ref="B39:D39"/>
    <mergeCell ref="B25:D25"/>
    <mergeCell ref="A1:D2"/>
    <mergeCell ref="B4:D4"/>
    <mergeCell ref="B10:D10"/>
    <mergeCell ref="B17:D17"/>
    <mergeCell ref="B9:D9"/>
    <mergeCell ref="B16:D16"/>
    <mergeCell ref="B14:D14"/>
    <mergeCell ref="B7:D7"/>
    <mergeCell ref="B8:D8"/>
    <mergeCell ref="B6:D6"/>
    <mergeCell ref="B12:D12"/>
    <mergeCell ref="B11:D11"/>
    <mergeCell ref="B34:D34"/>
  </mergeCells>
  <printOptions horizontalCentered="1"/>
  <pageMargins left="0.25" right="0.25" top="0.75" bottom="1.25" header="0.3" footer="0.3"/>
  <pageSetup scale="98" fitToHeight="0" orientation="portrait" r:id="rId1"/>
  <headerFooter>
    <oddHeader>&amp;L&amp;"-,Bold"&amp;14Insurers Approached - All Other</oddHeader>
    <oddFooter>&amp;L&amp;G&amp;CPage &amp;P of &amp;N</oddFooter>
  </headerFooter>
  <rowBreaks count="1" manualBreakCount="1">
    <brk id="47" max="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pageSetUpPr fitToPage="1"/>
  </sheetPr>
  <dimension ref="A1:F23"/>
  <sheetViews>
    <sheetView showGridLines="0" view="pageBreakPreview" zoomScale="60" zoomScaleNormal="100" workbookViewId="0">
      <selection activeCell="Q39" sqref="Q39"/>
    </sheetView>
  </sheetViews>
  <sheetFormatPr defaultColWidth="9.140625" defaultRowHeight="15" x14ac:dyDescent="0.25"/>
  <cols>
    <col min="1" max="1" width="4.140625" customWidth="1"/>
    <col min="2" max="2" width="21.5703125" customWidth="1"/>
    <col min="3" max="3" width="22.42578125" customWidth="1"/>
    <col min="4" max="4" width="26.5703125" customWidth="1"/>
    <col min="5" max="5" width="27.28515625" customWidth="1"/>
  </cols>
  <sheetData>
    <row r="1" spans="1:6" ht="15" customHeight="1" x14ac:dyDescent="0.25">
      <c r="A1" s="1155" t="s">
        <v>438</v>
      </c>
      <c r="B1" s="1155"/>
      <c r="C1" s="1155"/>
      <c r="D1" s="1163"/>
      <c r="E1" s="1163"/>
      <c r="F1" s="217"/>
    </row>
    <row r="2" spans="1:6" x14ac:dyDescent="0.25">
      <c r="A2" s="1155"/>
      <c r="B2" s="1155"/>
      <c r="C2" s="1155"/>
      <c r="D2" s="1155"/>
      <c r="E2" s="1155"/>
    </row>
    <row r="3" spans="1:6" x14ac:dyDescent="0.25">
      <c r="A3" s="1155"/>
      <c r="B3" s="1155"/>
      <c r="C3" s="1155"/>
      <c r="D3" s="1155"/>
      <c r="E3" s="1155"/>
    </row>
    <row r="4" spans="1:6" ht="9" customHeight="1" x14ac:dyDescent="0.25"/>
    <row r="5" spans="1:6" x14ac:dyDescent="0.25">
      <c r="B5" s="1157" t="s">
        <v>678</v>
      </c>
      <c r="C5" s="1155"/>
      <c r="D5" s="1155"/>
      <c r="E5" s="1155"/>
    </row>
    <row r="6" spans="1:6" x14ac:dyDescent="0.25">
      <c r="B6" s="1155"/>
      <c r="C6" s="1155"/>
      <c r="D6" s="1155"/>
      <c r="E6" s="1155"/>
    </row>
    <row r="7" spans="1:6" x14ac:dyDescent="0.25">
      <c r="B7" s="1155"/>
      <c r="C7" s="1155"/>
      <c r="D7" s="1155"/>
      <c r="E7" s="1155"/>
    </row>
    <row r="8" spans="1:6" ht="9.75" customHeight="1" x14ac:dyDescent="0.25"/>
    <row r="9" spans="1:6" ht="15" customHeight="1" x14ac:dyDescent="0.25">
      <c r="B9" s="1164" t="s">
        <v>439</v>
      </c>
      <c r="C9" s="1164"/>
      <c r="D9" s="1164"/>
      <c r="E9" s="1164"/>
    </row>
    <row r="10" spans="1:6" x14ac:dyDescent="0.25">
      <c r="B10" s="1164"/>
      <c r="C10" s="1164"/>
      <c r="D10" s="1164"/>
      <c r="E10" s="1164"/>
    </row>
    <row r="11" spans="1:6" x14ac:dyDescent="0.25">
      <c r="B11" s="1164"/>
      <c r="C11" s="1164"/>
      <c r="D11" s="1164"/>
      <c r="E11" s="1164"/>
    </row>
    <row r="12" spans="1:6" x14ac:dyDescent="0.25">
      <c r="B12" s="1164"/>
      <c r="C12" s="1164"/>
      <c r="D12" s="1164"/>
      <c r="E12" s="1164"/>
    </row>
    <row r="13" spans="1:6" x14ac:dyDescent="0.25">
      <c r="B13" s="1164"/>
      <c r="C13" s="1164"/>
      <c r="D13" s="1164"/>
      <c r="E13" s="1164"/>
    </row>
    <row r="14" spans="1:6" ht="15" customHeight="1" x14ac:dyDescent="0.25">
      <c r="B14" s="1164" t="s">
        <v>679</v>
      </c>
      <c r="C14" s="1164"/>
      <c r="D14" s="1164"/>
      <c r="E14" s="1164"/>
    </row>
    <row r="15" spans="1:6" ht="15" customHeight="1" x14ac:dyDescent="0.25">
      <c r="B15" s="1164"/>
      <c r="C15" s="1164"/>
      <c r="D15" s="1164"/>
      <c r="E15" s="1164"/>
    </row>
    <row r="16" spans="1:6" x14ac:dyDescent="0.25">
      <c r="A16" s="1154" t="s">
        <v>440</v>
      </c>
      <c r="B16" s="1154"/>
      <c r="C16" s="1154"/>
      <c r="D16" s="1154"/>
      <c r="E16" s="1154"/>
    </row>
    <row r="18" spans="2:5" x14ac:dyDescent="0.25">
      <c r="C18" s="540" t="s">
        <v>336</v>
      </c>
      <c r="D18" s="541" t="s">
        <v>441</v>
      </c>
    </row>
    <row r="19" spans="2:5" x14ac:dyDescent="0.25">
      <c r="C19" s="306" t="s">
        <v>391</v>
      </c>
      <c r="D19" s="307" t="s">
        <v>361</v>
      </c>
    </row>
    <row r="20" spans="2:5" x14ac:dyDescent="0.25">
      <c r="C20" s="542" t="s">
        <v>157</v>
      </c>
      <c r="D20" s="307" t="s">
        <v>362</v>
      </c>
    </row>
    <row r="22" spans="2:5" x14ac:dyDescent="0.25">
      <c r="B22" s="1162" t="s">
        <v>1685</v>
      </c>
      <c r="C22" s="1162"/>
      <c r="D22" s="1162"/>
      <c r="E22" s="1162"/>
    </row>
    <row r="23" spans="2:5" ht="35.25" customHeight="1" x14ac:dyDescent="0.25">
      <c r="B23" s="1162"/>
      <c r="C23" s="1162"/>
      <c r="D23" s="1162"/>
      <c r="E23" s="1162"/>
    </row>
  </sheetData>
  <mergeCells count="6">
    <mergeCell ref="B22:E23"/>
    <mergeCell ref="A16:E16"/>
    <mergeCell ref="A1:E3"/>
    <mergeCell ref="B5:E7"/>
    <mergeCell ref="B9:E13"/>
    <mergeCell ref="B14:E15"/>
  </mergeCells>
  <printOptions horizontalCentered="1"/>
  <pageMargins left="0.25" right="0.25" top="0.75" bottom="1.25" header="0.3" footer="0.3"/>
  <pageSetup scale="99" fitToHeight="0" orientation="portrait" r:id="rId1"/>
  <headerFooter>
    <oddHeader>&amp;L&amp;"-,Bold"&amp;14Explanation of Renewal Comparisons</oddHeader>
    <oddFooter>&amp;L&amp;G&amp;CPage &amp;P of &amp;N</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00000"/>
    <pageSetUpPr fitToPage="1"/>
  </sheetPr>
  <dimension ref="B1:AA1000139"/>
  <sheetViews>
    <sheetView showGridLines="0" tabSelected="1" topLeftCell="A8" zoomScaleNormal="100" workbookViewId="0">
      <selection activeCell="G25" sqref="G25"/>
    </sheetView>
  </sheetViews>
  <sheetFormatPr defaultColWidth="9.140625" defaultRowHeight="15" outlineLevelRow="1" x14ac:dyDescent="0.25"/>
  <cols>
    <col min="1" max="1" width="2.140625" customWidth="1"/>
    <col min="2" max="2" width="36" customWidth="1"/>
    <col min="3" max="5" width="34.5703125" customWidth="1"/>
    <col min="6" max="6" width="21.5703125" customWidth="1"/>
    <col min="7" max="7" width="21.42578125" customWidth="1"/>
    <col min="8" max="8" width="18.42578125" customWidth="1"/>
    <col min="9" max="9" width="22.28515625" customWidth="1"/>
    <col min="10" max="10" width="21.42578125" customWidth="1"/>
    <col min="11" max="11" width="19.42578125" customWidth="1"/>
    <col min="12" max="12" width="12.42578125" customWidth="1"/>
  </cols>
  <sheetData>
    <row r="1" spans="2:26" ht="7.5" customHeight="1" x14ac:dyDescent="0.25"/>
    <row r="2" spans="2:26" ht="30" x14ac:dyDescent="0.25">
      <c r="B2" t="s">
        <v>378</v>
      </c>
      <c r="C2" s="246" t="s">
        <v>1624</v>
      </c>
      <c r="Z2" s="339"/>
    </row>
    <row r="3" spans="2:26" ht="32.25" customHeight="1" x14ac:dyDescent="0.25">
      <c r="B3" s="212" t="s">
        <v>191</v>
      </c>
      <c r="C3" s="333" t="s">
        <v>1114</v>
      </c>
      <c r="D3" s="365"/>
      <c r="E3" s="337"/>
      <c r="F3" s="337"/>
      <c r="Z3" s="339"/>
    </row>
    <row r="4" spans="2:26" x14ac:dyDescent="0.25">
      <c r="B4" t="s">
        <v>377</v>
      </c>
      <c r="C4" s="247">
        <v>45108</v>
      </c>
      <c r="Z4" s="339"/>
    </row>
    <row r="5" spans="2:26" x14ac:dyDescent="0.25">
      <c r="B5" t="s">
        <v>379</v>
      </c>
      <c r="C5" s="247" t="s">
        <v>1821</v>
      </c>
      <c r="Z5" s="339"/>
    </row>
    <row r="6" spans="2:26" x14ac:dyDescent="0.25">
      <c r="B6" t="s">
        <v>419</v>
      </c>
      <c r="C6" s="247" t="s">
        <v>1938</v>
      </c>
      <c r="Z6" s="339"/>
    </row>
    <row r="7" spans="2:26" x14ac:dyDescent="0.25">
      <c r="Z7" s="339"/>
    </row>
    <row r="8" spans="2:26" x14ac:dyDescent="0.25">
      <c r="B8" s="1052" t="s">
        <v>1265</v>
      </c>
      <c r="F8" s="338" t="s">
        <v>437</v>
      </c>
      <c r="G8" s="1165" t="s">
        <v>537</v>
      </c>
      <c r="H8" s="1165"/>
      <c r="Z8" s="339"/>
    </row>
    <row r="9" spans="2:26" ht="33" customHeight="1" outlineLevel="1" x14ac:dyDescent="0.25">
      <c r="B9" t="s">
        <v>0</v>
      </c>
      <c r="C9" s="1208" t="s">
        <v>407</v>
      </c>
      <c r="D9" s="1208"/>
      <c r="E9" s="1208"/>
    </row>
    <row r="10" spans="2:26" ht="20.25" customHeight="1" outlineLevel="1" x14ac:dyDescent="0.25">
      <c r="B10" t="s">
        <v>1679</v>
      </c>
      <c r="C10" s="72">
        <v>6080998210</v>
      </c>
      <c r="D10" s="174"/>
      <c r="E10" s="174"/>
    </row>
    <row r="11" spans="2:26" outlineLevel="1" x14ac:dyDescent="0.25">
      <c r="B11" t="s">
        <v>1680</v>
      </c>
      <c r="C11" s="72" t="s">
        <v>649</v>
      </c>
      <c r="E11" s="1055" t="s">
        <v>1966</v>
      </c>
    </row>
    <row r="12" spans="2:26" outlineLevel="1" x14ac:dyDescent="0.25">
      <c r="B12" t="s">
        <v>131</v>
      </c>
      <c r="C12" t="s">
        <v>132</v>
      </c>
      <c r="D12" t="s">
        <v>133</v>
      </c>
      <c r="E12" t="s">
        <v>134</v>
      </c>
      <c r="F12" s="210" t="s">
        <v>392</v>
      </c>
      <c r="G12" s="1166"/>
      <c r="H12" s="1166"/>
    </row>
    <row r="13" spans="2:26" outlineLevel="1" x14ac:dyDescent="0.25">
      <c r="B13" s="176" t="s">
        <v>1238</v>
      </c>
      <c r="C13" s="571" t="str">
        <f>B13</f>
        <v>Columbia Casualty Company (CNA)</v>
      </c>
      <c r="D13" s="176" t="s">
        <v>1238</v>
      </c>
      <c r="E13" s="176" t="s">
        <v>1238</v>
      </c>
      <c r="G13" s="1175"/>
      <c r="H13" s="1175"/>
    </row>
    <row r="14" spans="2:26" outlineLevel="1" x14ac:dyDescent="0.25">
      <c r="B14" t="s">
        <v>135</v>
      </c>
      <c r="C14" t="s">
        <v>136</v>
      </c>
      <c r="D14" t="s">
        <v>137</v>
      </c>
      <c r="E14" t="s">
        <v>139</v>
      </c>
    </row>
    <row r="15" spans="2:26" outlineLevel="1" x14ac:dyDescent="0.25">
      <c r="B15" s="18" t="s">
        <v>1116</v>
      </c>
      <c r="C15" t="str">
        <f>B15</f>
        <v>A: XV</v>
      </c>
      <c r="D15" s="18" t="s">
        <v>1116</v>
      </c>
      <c r="E15" s="18" t="s">
        <v>1116</v>
      </c>
    </row>
    <row r="16" spans="2:26" outlineLevel="1" x14ac:dyDescent="0.25">
      <c r="B16" t="s">
        <v>2</v>
      </c>
      <c r="C16" t="s">
        <v>3</v>
      </c>
      <c r="D16" t="s">
        <v>140</v>
      </c>
      <c r="E16" t="s">
        <v>141</v>
      </c>
    </row>
    <row r="17" spans="2:7" outlineLevel="1" x14ac:dyDescent="0.25">
      <c r="B17" s="123">
        <v>33479</v>
      </c>
      <c r="C17" s="4">
        <f>B17+B17*E41</f>
        <v>106016.83333333333</v>
      </c>
      <c r="D17" s="123">
        <v>76188</v>
      </c>
      <c r="E17" s="123">
        <v>49735</v>
      </c>
      <c r="F17" s="4"/>
    </row>
    <row r="18" spans="2:7" outlineLevel="1" x14ac:dyDescent="0.25">
      <c r="B18" s="4" t="s">
        <v>543</v>
      </c>
      <c r="C18" s="4" t="s">
        <v>543</v>
      </c>
      <c r="D18" s="4" t="s">
        <v>543</v>
      </c>
      <c r="E18" s="4" t="s">
        <v>543</v>
      </c>
      <c r="F18" s="4"/>
    </row>
    <row r="19" spans="2:7" outlineLevel="1" x14ac:dyDescent="0.25">
      <c r="B19" s="166">
        <f>B17/(C40/100)</f>
        <v>0.12130072463768116</v>
      </c>
      <c r="C19" s="166">
        <f>C17/(E40/100)</f>
        <v>0.12130072463768116</v>
      </c>
      <c r="D19" s="166">
        <f>D17/(E40/100)</f>
        <v>8.7171624713958812E-2</v>
      </c>
      <c r="E19" s="166">
        <f>E17/(E40/100)</f>
        <v>5.6905034324942795E-2</v>
      </c>
      <c r="F19" s="4"/>
    </row>
    <row r="20" spans="2:7" outlineLevel="1" x14ac:dyDescent="0.25">
      <c r="D20" t="s">
        <v>5</v>
      </c>
      <c r="E20" t="s">
        <v>6</v>
      </c>
      <c r="G20" s="852">
        <f>E17*E23</f>
        <v>1989.4</v>
      </c>
    </row>
    <row r="21" spans="2:7" outlineLevel="1" x14ac:dyDescent="0.25">
      <c r="D21" s="3">
        <f>-(C17-D17)/C17</f>
        <v>-0.28135940676087601</v>
      </c>
      <c r="E21" s="3">
        <f>-(C17-E17)/C17</f>
        <v>-0.53087638598272913</v>
      </c>
    </row>
    <row r="22" spans="2:7" outlineLevel="1" x14ac:dyDescent="0.25">
      <c r="B22" s="3" t="s">
        <v>781</v>
      </c>
      <c r="C22" s="3" t="s">
        <v>782</v>
      </c>
      <c r="D22" s="3" t="s">
        <v>783</v>
      </c>
      <c r="E22" s="3" t="s">
        <v>784</v>
      </c>
    </row>
    <row r="23" spans="2:7" outlineLevel="1" x14ac:dyDescent="0.25">
      <c r="B23" s="129">
        <v>0.04</v>
      </c>
      <c r="C23" s="3">
        <f>B23</f>
        <v>0.04</v>
      </c>
      <c r="D23" s="129">
        <v>0.04</v>
      </c>
      <c r="E23" s="129">
        <v>0.04</v>
      </c>
    </row>
    <row r="24" spans="2:7" outlineLevel="1" x14ac:dyDescent="0.25">
      <c r="B24" s="3" t="s">
        <v>785</v>
      </c>
      <c r="C24" s="3" t="s">
        <v>786</v>
      </c>
      <c r="D24" s="3" t="s">
        <v>787</v>
      </c>
      <c r="E24" s="3" t="s">
        <v>788</v>
      </c>
    </row>
    <row r="25" spans="2:7" outlineLevel="1" x14ac:dyDescent="0.25">
      <c r="B25" s="178">
        <v>0</v>
      </c>
      <c r="C25" s="179">
        <f>B25</f>
        <v>0</v>
      </c>
      <c r="D25" s="178">
        <v>0</v>
      </c>
      <c r="E25" s="178"/>
    </row>
    <row r="26" spans="2:7" outlineLevel="1" x14ac:dyDescent="0.25">
      <c r="B26" s="3" t="s">
        <v>203</v>
      </c>
      <c r="C26" s="3" t="s">
        <v>204</v>
      </c>
      <c r="D26" s="3" t="s">
        <v>205</v>
      </c>
      <c r="E26" s="3" t="s">
        <v>206</v>
      </c>
    </row>
    <row r="27" spans="2:7" outlineLevel="1" x14ac:dyDescent="0.25">
      <c r="B27" s="178">
        <v>0</v>
      </c>
      <c r="C27" s="179">
        <f>B27+B27*E41</f>
        <v>0</v>
      </c>
      <c r="D27" s="178">
        <v>0</v>
      </c>
      <c r="E27" s="178"/>
    </row>
    <row r="28" spans="2:7" outlineLevel="1" x14ac:dyDescent="0.25">
      <c r="B28" s="3" t="s">
        <v>14</v>
      </c>
      <c r="C28" s="4" t="s">
        <v>15</v>
      </c>
      <c r="D28" s="4" t="s">
        <v>142</v>
      </c>
      <c r="E28" t="s">
        <v>143</v>
      </c>
    </row>
    <row r="29" spans="2:7" outlineLevel="1" x14ac:dyDescent="0.25">
      <c r="B29" s="4">
        <f>B17+(B17*B23)+B25+B27</f>
        <v>34818.160000000003</v>
      </c>
      <c r="C29" s="4">
        <f t="shared" ref="C29:E29" si="0">C17+(C17*C23)+C25+C27</f>
        <v>110257.50666666667</v>
      </c>
      <c r="D29" s="4">
        <f t="shared" si="0"/>
        <v>79235.520000000004</v>
      </c>
      <c r="E29" s="4">
        <f t="shared" si="0"/>
        <v>51724.4</v>
      </c>
      <c r="F29" s="4"/>
    </row>
    <row r="30" spans="2:7" outlineLevel="1" x14ac:dyDescent="0.25">
      <c r="B30" s="3" t="s">
        <v>998</v>
      </c>
      <c r="C30" s="3" t="s">
        <v>999</v>
      </c>
      <c r="D30" s="3" t="s">
        <v>1000</v>
      </c>
      <c r="E30" s="3" t="s">
        <v>1001</v>
      </c>
      <c r="F30" s="4"/>
    </row>
    <row r="31" spans="2:7" outlineLevel="1" x14ac:dyDescent="0.25">
      <c r="B31" s="178"/>
      <c r="C31" s="179" t="s">
        <v>284</v>
      </c>
      <c r="D31" s="178"/>
      <c r="E31" s="178"/>
      <c r="F31" s="4"/>
    </row>
    <row r="32" spans="2:7" outlineLevel="1" x14ac:dyDescent="0.25">
      <c r="B32" s="179"/>
      <c r="C32" s="179"/>
      <c r="D32" s="179"/>
      <c r="E32" s="179"/>
      <c r="F32" s="4"/>
    </row>
    <row r="33" spans="2:11" outlineLevel="1" x14ac:dyDescent="0.25">
      <c r="B33" s="280" t="s">
        <v>1462</v>
      </c>
      <c r="I33" s="2"/>
    </row>
    <row r="34" spans="2:11" outlineLevel="1" x14ac:dyDescent="0.25">
      <c r="B34" s="1169" t="s">
        <v>39</v>
      </c>
      <c r="C34" s="1170"/>
      <c r="D34" s="1170" t="s">
        <v>40</v>
      </c>
      <c r="E34" s="1171"/>
      <c r="F34" s="573"/>
      <c r="G34" s="1173" t="s">
        <v>9</v>
      </c>
      <c r="H34" s="1174"/>
      <c r="I34" s="1181" t="s">
        <v>750</v>
      </c>
      <c r="J34" s="1182"/>
      <c r="K34" s="1182"/>
    </row>
    <row r="35" spans="2:11" outlineLevel="1" x14ac:dyDescent="0.25">
      <c r="B35" s="7" t="s">
        <v>1822</v>
      </c>
      <c r="C35" s="24">
        <v>27600000</v>
      </c>
      <c r="D35" s="7" t="s">
        <v>1939</v>
      </c>
      <c r="E35" s="24">
        <v>87400000</v>
      </c>
      <c r="F35" s="56"/>
      <c r="G35" s="1" t="s">
        <v>11</v>
      </c>
      <c r="H35" s="1" t="s">
        <v>12</v>
      </c>
      <c r="I35" s="39" t="s">
        <v>11</v>
      </c>
      <c r="J35" s="39" t="s">
        <v>12</v>
      </c>
      <c r="K35" s="39" t="s">
        <v>692</v>
      </c>
    </row>
    <row r="36" spans="2:11" outlineLevel="1" x14ac:dyDescent="0.25">
      <c r="B36" s="38"/>
      <c r="C36" s="19"/>
      <c r="D36" s="7" t="s">
        <v>1822</v>
      </c>
      <c r="E36" s="24">
        <v>27600000</v>
      </c>
      <c r="F36" s="57" t="s">
        <v>10</v>
      </c>
      <c r="G36" s="22">
        <v>5000000</v>
      </c>
      <c r="H36" s="22">
        <v>5000000</v>
      </c>
      <c r="I36" s="40">
        <v>25000</v>
      </c>
      <c r="J36" s="40"/>
      <c r="K36" s="40"/>
    </row>
    <row r="37" spans="2:11" outlineLevel="1" x14ac:dyDescent="0.25">
      <c r="B37" s="38"/>
      <c r="C37" s="19"/>
      <c r="D37" s="7" t="s">
        <v>1965</v>
      </c>
      <c r="E37" s="24">
        <v>24800000</v>
      </c>
      <c r="F37" s="57" t="s">
        <v>67</v>
      </c>
      <c r="G37" s="22">
        <v>5000000</v>
      </c>
      <c r="H37" s="22">
        <v>5000000</v>
      </c>
      <c r="I37" s="40">
        <v>25000</v>
      </c>
      <c r="J37" s="40"/>
      <c r="K37" s="40"/>
    </row>
    <row r="38" spans="2:11" outlineLevel="1" x14ac:dyDescent="0.25">
      <c r="B38" s="38"/>
      <c r="C38" s="19"/>
      <c r="D38" s="7"/>
      <c r="E38" s="24"/>
      <c r="F38" s="57" t="s">
        <v>68</v>
      </c>
      <c r="G38" s="22">
        <v>5000000</v>
      </c>
      <c r="H38" s="22">
        <v>5000000</v>
      </c>
      <c r="I38" s="40">
        <v>25000</v>
      </c>
      <c r="J38" s="40"/>
      <c r="K38" s="40"/>
    </row>
    <row r="39" spans="2:11" outlineLevel="1" x14ac:dyDescent="0.25">
      <c r="B39" s="38"/>
      <c r="C39" s="19"/>
      <c r="D39" s="7"/>
      <c r="E39" s="24"/>
      <c r="F39" s="58"/>
      <c r="G39" s="23"/>
      <c r="H39" s="23"/>
      <c r="I39" s="23"/>
    </row>
    <row r="40" spans="2:11" outlineLevel="1" x14ac:dyDescent="0.25">
      <c r="B40" s="41" t="s">
        <v>422</v>
      </c>
      <c r="C40" s="20">
        <f>AVERAGE(C35:C39)</f>
        <v>27600000</v>
      </c>
      <c r="D40" s="21" t="str">
        <f>B40</f>
        <v>Avg.</v>
      </c>
      <c r="E40" s="33">
        <f>E35</f>
        <v>87400000</v>
      </c>
      <c r="F40" s="21" t="s">
        <v>1964</v>
      </c>
      <c r="G40" s="33">
        <f>AVERAGE(E35:E39)</f>
        <v>46600000</v>
      </c>
    </row>
    <row r="41" spans="2:11" outlineLevel="1" x14ac:dyDescent="0.25">
      <c r="D41" s="10" t="s">
        <v>13</v>
      </c>
      <c r="E41" s="15">
        <f>-(C40-E40)/C40</f>
        <v>2.1666666666666665</v>
      </c>
      <c r="F41" s="10" t="s">
        <v>13</v>
      </c>
      <c r="G41" s="15">
        <f>-(C40-G40)/C40</f>
        <v>0.68840579710144922</v>
      </c>
    </row>
    <row r="42" spans="2:11" s="1197" customFormat="1" ht="13.5" customHeight="1" x14ac:dyDescent="0.25"/>
    <row r="43" spans="2:11" x14ac:dyDescent="0.25">
      <c r="B43" s="1052" t="s">
        <v>1660</v>
      </c>
      <c r="F43" s="338" t="s">
        <v>437</v>
      </c>
      <c r="G43" s="1165" t="s">
        <v>537</v>
      </c>
      <c r="H43" s="1165"/>
    </row>
    <row r="44" spans="2:11" ht="48.75" hidden="1" customHeight="1" outlineLevel="1" x14ac:dyDescent="0.25">
      <c r="B44" t="s">
        <v>0</v>
      </c>
      <c r="C44" s="1208" t="s">
        <v>38</v>
      </c>
      <c r="D44" s="1208"/>
      <c r="E44" s="1208"/>
      <c r="F44" s="1208"/>
    </row>
    <row r="45" spans="2:11" ht="21.75" hidden="1" customHeight="1" outlineLevel="1" x14ac:dyDescent="0.25">
      <c r="B45" t="s">
        <v>1679</v>
      </c>
      <c r="C45" s="18" t="s">
        <v>1920</v>
      </c>
      <c r="D45" s="174"/>
      <c r="E45" s="174"/>
      <c r="F45" s="174"/>
    </row>
    <row r="46" spans="2:11" hidden="1" outlineLevel="1" x14ac:dyDescent="0.25">
      <c r="B46" t="s">
        <v>1680</v>
      </c>
      <c r="C46" s="18" t="s">
        <v>649</v>
      </c>
    </row>
    <row r="47" spans="2:11" hidden="1" outlineLevel="1" x14ac:dyDescent="0.25">
      <c r="B47" t="s">
        <v>131</v>
      </c>
      <c r="C47" t="s">
        <v>132</v>
      </c>
      <c r="D47" t="s">
        <v>133</v>
      </c>
      <c r="E47" t="s">
        <v>134</v>
      </c>
      <c r="F47" s="210" t="s">
        <v>392</v>
      </c>
      <c r="G47" s="1166"/>
      <c r="H47" s="1166"/>
    </row>
    <row r="48" spans="2:11" ht="30" hidden="1" outlineLevel="1" x14ac:dyDescent="0.25">
      <c r="B48" s="176" t="s">
        <v>1782</v>
      </c>
      <c r="C48" s="571" t="str">
        <f>B48</f>
        <v>Travelers Property Casualty Company of America</v>
      </c>
      <c r="D48" s="176" t="s">
        <v>1782</v>
      </c>
      <c r="E48" s="176"/>
      <c r="G48" s="1175"/>
      <c r="H48" s="1175"/>
    </row>
    <row r="49" spans="2:6" hidden="1" outlineLevel="1" x14ac:dyDescent="0.25">
      <c r="B49" t="s">
        <v>135</v>
      </c>
      <c r="C49" t="s">
        <v>136</v>
      </c>
      <c r="D49" t="s">
        <v>137</v>
      </c>
      <c r="E49" t="s">
        <v>139</v>
      </c>
    </row>
    <row r="50" spans="2:6" hidden="1" outlineLevel="1" x14ac:dyDescent="0.25">
      <c r="B50" s="18" t="s">
        <v>1280</v>
      </c>
      <c r="C50" t="str">
        <f>B50</f>
        <v>A++: XV</v>
      </c>
      <c r="D50" s="18" t="s">
        <v>1280</v>
      </c>
      <c r="E50" s="18"/>
    </row>
    <row r="51" spans="2:6" hidden="1" outlineLevel="1" x14ac:dyDescent="0.25">
      <c r="B51" t="s">
        <v>2</v>
      </c>
      <c r="C51" t="s">
        <v>3</v>
      </c>
      <c r="D51" t="s">
        <v>140</v>
      </c>
      <c r="E51" t="s">
        <v>141</v>
      </c>
    </row>
    <row r="52" spans="2:6" hidden="1" outlineLevel="1" x14ac:dyDescent="0.25">
      <c r="B52" s="123">
        <v>20200</v>
      </c>
      <c r="C52" s="4">
        <f>B52+B52*G69</f>
        <v>19883.385579937305</v>
      </c>
      <c r="D52" s="123">
        <v>20200</v>
      </c>
      <c r="E52" s="123"/>
      <c r="F52" s="4"/>
    </row>
    <row r="53" spans="2:6" hidden="1" outlineLevel="1" x14ac:dyDescent="0.25">
      <c r="B53" s="4" t="s">
        <v>285</v>
      </c>
      <c r="C53" s="4" t="str">
        <f>B53</f>
        <v>Rate as Percentage of Underlying Premium</v>
      </c>
      <c r="D53" s="4" t="str">
        <f>B53</f>
        <v>Rate as Percentage of Underlying Premium</v>
      </c>
      <c r="E53" s="4" t="str">
        <f>B53</f>
        <v>Rate as Percentage of Underlying Premium</v>
      </c>
      <c r="F53" s="4"/>
    </row>
    <row r="54" spans="2:6" hidden="1" outlineLevel="1" x14ac:dyDescent="0.25">
      <c r="B54" s="1005">
        <f>B52/(C68)</f>
        <v>0.62695924764890287</v>
      </c>
      <c r="C54" s="1005">
        <f>C52/(G68)</f>
        <v>0.62695924764890287</v>
      </c>
      <c r="D54" s="1005">
        <f>D52/(E68)</f>
        <v>0.63694267515923564</v>
      </c>
      <c r="E54" s="1005">
        <f>E52/(E68)</f>
        <v>0</v>
      </c>
      <c r="F54" s="4"/>
    </row>
    <row r="55" spans="2:6" hidden="1" outlineLevel="1" x14ac:dyDescent="0.25">
      <c r="D55" t="s">
        <v>5</v>
      </c>
      <c r="E55" t="s">
        <v>6</v>
      </c>
    </row>
    <row r="56" spans="2:6" hidden="1" outlineLevel="1" x14ac:dyDescent="0.25">
      <c r="D56" s="3">
        <f>-(C52-D52)/C52</f>
        <v>1.5923566878980843E-2</v>
      </c>
      <c r="E56" s="3">
        <f>-(C52-E52)/C52</f>
        <v>-1</v>
      </c>
    </row>
    <row r="57" spans="2:6" hidden="1" outlineLevel="1" x14ac:dyDescent="0.25">
      <c r="B57" s="3" t="s">
        <v>685</v>
      </c>
      <c r="C57" s="3" t="s">
        <v>686</v>
      </c>
      <c r="D57" s="3" t="s">
        <v>687</v>
      </c>
      <c r="E57" s="3" t="s">
        <v>688</v>
      </c>
    </row>
    <row r="58" spans="2:6" hidden="1" outlineLevel="1" x14ac:dyDescent="0.25">
      <c r="B58" s="129">
        <v>0</v>
      </c>
      <c r="C58" s="3">
        <f>B58</f>
        <v>0</v>
      </c>
      <c r="D58" s="129">
        <v>0</v>
      </c>
      <c r="E58" s="129"/>
    </row>
    <row r="59" spans="2:6" hidden="1" outlineLevel="1" x14ac:dyDescent="0.25">
      <c r="B59" s="3" t="s">
        <v>203</v>
      </c>
      <c r="C59" s="3" t="s">
        <v>204</v>
      </c>
      <c r="D59" s="3" t="s">
        <v>205</v>
      </c>
      <c r="E59" s="3" t="s">
        <v>206</v>
      </c>
    </row>
    <row r="60" spans="2:6" hidden="1" outlineLevel="1" x14ac:dyDescent="0.25">
      <c r="B60" s="178"/>
      <c r="C60" s="179">
        <f>B60+B60*E69</f>
        <v>0</v>
      </c>
      <c r="D60" s="178"/>
      <c r="E60" s="178"/>
    </row>
    <row r="61" spans="2:6" hidden="1" outlineLevel="1" x14ac:dyDescent="0.25">
      <c r="B61" s="3" t="s">
        <v>14</v>
      </c>
      <c r="C61" s="4" t="s">
        <v>15</v>
      </c>
      <c r="D61" s="4" t="s">
        <v>142</v>
      </c>
      <c r="E61" t="s">
        <v>143</v>
      </c>
    </row>
    <row r="62" spans="2:6" hidden="1" outlineLevel="1" x14ac:dyDescent="0.25">
      <c r="B62" s="4">
        <f>B52+(B52*B58)+B60</f>
        <v>20200</v>
      </c>
      <c r="C62" s="4">
        <f>C52+(C52*C58)+C60</f>
        <v>19883.385579937305</v>
      </c>
      <c r="D62" s="4">
        <f>D52+(D52*D58)+D60</f>
        <v>20200</v>
      </c>
      <c r="E62" s="4">
        <f>E52+(E52*E58)+E60</f>
        <v>0</v>
      </c>
      <c r="F62" s="4"/>
    </row>
    <row r="63" spans="2:6" hidden="1" outlineLevel="1" x14ac:dyDescent="0.25">
      <c r="B63" s="3" t="s">
        <v>998</v>
      </c>
      <c r="C63" s="3" t="s">
        <v>999</v>
      </c>
      <c r="D63" s="3" t="s">
        <v>1000</v>
      </c>
      <c r="E63" s="3" t="s">
        <v>1001</v>
      </c>
      <c r="F63" s="4"/>
    </row>
    <row r="64" spans="2:6" hidden="1" outlineLevel="1" x14ac:dyDescent="0.25">
      <c r="B64" s="693"/>
      <c r="C64" s="157" t="s">
        <v>284</v>
      </c>
      <c r="D64" s="693"/>
      <c r="E64" s="693"/>
      <c r="F64" s="4"/>
    </row>
    <row r="65" spans="2:9" hidden="1" outlineLevel="1" x14ac:dyDescent="0.25">
      <c r="B65" s="4"/>
      <c r="C65" s="4"/>
      <c r="D65" s="4"/>
      <c r="E65" s="4"/>
      <c r="F65" s="1003"/>
      <c r="G65" s="1003"/>
      <c r="H65" s="1003"/>
      <c r="I65" s="1003"/>
    </row>
    <row r="66" spans="2:9" hidden="1" outlineLevel="1" x14ac:dyDescent="0.25">
      <c r="B66" s="37" t="s">
        <v>1470</v>
      </c>
      <c r="F66" s="1003"/>
      <c r="G66" s="1003"/>
      <c r="H66" s="1003"/>
      <c r="I66" s="1003"/>
    </row>
    <row r="67" spans="2:9" hidden="1" outlineLevel="1" x14ac:dyDescent="0.25">
      <c r="B67" s="1179" t="s">
        <v>39</v>
      </c>
      <c r="C67" s="1169"/>
      <c r="D67" s="1171" t="s">
        <v>40</v>
      </c>
      <c r="E67" s="1179"/>
      <c r="F67" s="1171" t="s">
        <v>1899</v>
      </c>
      <c r="G67" s="1179"/>
      <c r="H67" s="1003"/>
      <c r="I67" s="1003"/>
    </row>
    <row r="68" spans="2:9" ht="30" hidden="1" outlineLevel="1" x14ac:dyDescent="0.25">
      <c r="B68" s="38" t="s">
        <v>1721</v>
      </c>
      <c r="C68" s="19">
        <f>C78</f>
        <v>32219</v>
      </c>
      <c r="D68" s="7" t="str">
        <f>B68</f>
        <v>2nd Excess Policy Exp. Premium</v>
      </c>
      <c r="E68" s="24">
        <f>E78</f>
        <v>31714</v>
      </c>
      <c r="F68" s="7" t="str">
        <f>D68</f>
        <v>2nd Excess Policy Exp. Premium</v>
      </c>
      <c r="G68" s="24">
        <f>E68</f>
        <v>31714</v>
      </c>
      <c r="H68" s="1003"/>
      <c r="I68" s="1003"/>
    </row>
    <row r="69" spans="2:9" hidden="1" outlineLevel="1" x14ac:dyDescent="0.25">
      <c r="B69" s="52"/>
      <c r="C69" s="54"/>
      <c r="D69" s="21" t="s">
        <v>13</v>
      </c>
      <c r="E69" s="61">
        <f>-(C68-E68)/C68</f>
        <v>-1.5673981191222569E-2</v>
      </c>
      <c r="F69" s="21" t="s">
        <v>13</v>
      </c>
      <c r="G69" s="61">
        <f>-(C68-G68)/C68</f>
        <v>-1.5673981191222569E-2</v>
      </c>
      <c r="H69" s="1003"/>
      <c r="I69" s="1003"/>
    </row>
    <row r="70" spans="2:9" hidden="1" outlineLevel="1" x14ac:dyDescent="0.25">
      <c r="B70" s="64" t="s">
        <v>197</v>
      </c>
      <c r="C70" s="55"/>
      <c r="D70" s="51"/>
      <c r="E70" s="15"/>
      <c r="F70" s="2"/>
      <c r="G70" s="23"/>
      <c r="H70" s="23"/>
      <c r="I70" s="23"/>
    </row>
    <row r="71" spans="2:9" hidden="1" outlineLevel="1" x14ac:dyDescent="0.25">
      <c r="B71" s="65"/>
      <c r="C71" s="1209" t="s">
        <v>62</v>
      </c>
      <c r="D71" s="1210"/>
      <c r="E71" s="1183" t="s">
        <v>67</v>
      </c>
      <c r="F71" s="1184"/>
      <c r="G71" s="1200" t="s">
        <v>68</v>
      </c>
      <c r="H71" s="1204"/>
      <c r="I71" s="23"/>
    </row>
    <row r="72" spans="2:9" ht="45" hidden="1" outlineLevel="1" x14ac:dyDescent="0.25">
      <c r="B72" s="66" t="s">
        <v>59</v>
      </c>
      <c r="C72" s="53" t="s">
        <v>200</v>
      </c>
      <c r="D72" s="669" t="s">
        <v>750</v>
      </c>
      <c r="E72" s="69" t="s">
        <v>200</v>
      </c>
      <c r="F72" s="670" t="str">
        <f>D72</f>
        <v>Self-Insured Retention</v>
      </c>
      <c r="G72" s="70" t="s">
        <v>200</v>
      </c>
      <c r="H72" s="671" t="s">
        <v>691</v>
      </c>
      <c r="I72" s="23"/>
    </row>
    <row r="73" spans="2:9" hidden="1" outlineLevel="1" x14ac:dyDescent="0.25">
      <c r="B73" s="66" t="s">
        <v>18</v>
      </c>
      <c r="C73" s="19">
        <v>10000000</v>
      </c>
      <c r="D73" s="19">
        <v>0</v>
      </c>
      <c r="E73" s="19">
        <f>C73</f>
        <v>10000000</v>
      </c>
      <c r="F73" s="19">
        <f>D73</f>
        <v>0</v>
      </c>
      <c r="G73" s="148"/>
      <c r="H73" s="149"/>
      <c r="I73" s="23"/>
    </row>
    <row r="74" spans="2:9" hidden="1" outlineLevel="1" x14ac:dyDescent="0.25">
      <c r="B74" s="66" t="s">
        <v>199</v>
      </c>
      <c r="C74" s="19">
        <v>10000000</v>
      </c>
      <c r="D74" s="19">
        <v>0</v>
      </c>
      <c r="E74" s="19">
        <f t="shared" ref="E74" si="1">C74</f>
        <v>10000000</v>
      </c>
      <c r="F74" s="19">
        <f t="shared" ref="F74" si="2">D74</f>
        <v>0</v>
      </c>
      <c r="G74" s="148"/>
      <c r="H74" s="149"/>
      <c r="I74" s="23"/>
    </row>
    <row r="75" spans="2:9" hidden="1" outlineLevel="1" x14ac:dyDescent="0.25">
      <c r="B75" s="969"/>
      <c r="C75" s="121"/>
      <c r="D75" s="121"/>
      <c r="E75" s="121"/>
      <c r="F75" s="121"/>
      <c r="G75" s="970"/>
      <c r="H75" s="970"/>
      <c r="I75" s="23"/>
    </row>
    <row r="76" spans="2:9" hidden="1" outlineLevel="1" x14ac:dyDescent="0.25">
      <c r="B76" s="37" t="s">
        <v>1470</v>
      </c>
      <c r="F76" s="34"/>
      <c r="G76" s="1168"/>
      <c r="H76" s="1168"/>
      <c r="I76" s="2"/>
    </row>
    <row r="77" spans="2:9" hidden="1" outlineLevel="1" x14ac:dyDescent="0.25">
      <c r="B77" s="1169" t="s">
        <v>39</v>
      </c>
      <c r="C77" s="1170"/>
      <c r="D77" s="1170" t="s">
        <v>40</v>
      </c>
      <c r="E77" s="1171"/>
      <c r="F77" s="573"/>
      <c r="G77" s="1173" t="s">
        <v>9</v>
      </c>
      <c r="H77" s="1174"/>
      <c r="I77" s="660" t="s">
        <v>23</v>
      </c>
    </row>
    <row r="78" spans="2:9" hidden="1" outlineLevel="1" x14ac:dyDescent="0.25">
      <c r="B78" s="38" t="s">
        <v>1721</v>
      </c>
      <c r="C78" s="180">
        <f>B151</f>
        <v>32219</v>
      </c>
      <c r="D78" s="7" t="str">
        <f>B78</f>
        <v>2nd Excess Policy Exp. Premium</v>
      </c>
      <c r="E78" s="60">
        <f>D151</f>
        <v>31714</v>
      </c>
      <c r="F78" s="56"/>
      <c r="G78" s="1" t="s">
        <v>129</v>
      </c>
      <c r="H78" s="1" t="s">
        <v>12</v>
      </c>
      <c r="I78" s="661"/>
    </row>
    <row r="79" spans="2:9" hidden="1" outlineLevel="1" x14ac:dyDescent="0.25">
      <c r="B79" s="52"/>
      <c r="C79" s="54"/>
      <c r="D79" s="21" t="s">
        <v>13</v>
      </c>
      <c r="E79" s="878">
        <f>-(C78-E78)/C78</f>
        <v>-1.5673981191222569E-2</v>
      </c>
      <c r="F79" s="57" t="s">
        <v>10</v>
      </c>
      <c r="G79" s="22">
        <v>10000000</v>
      </c>
      <c r="H79" s="22">
        <v>10000000</v>
      </c>
      <c r="I79" s="662">
        <v>0</v>
      </c>
    </row>
    <row r="80" spans="2:9" hidden="1" outlineLevel="1" x14ac:dyDescent="0.25">
      <c r="B80" s="51"/>
      <c r="C80" s="55"/>
      <c r="D80" s="55"/>
      <c r="E80" s="55"/>
      <c r="F80" s="57" t="s">
        <v>67</v>
      </c>
      <c r="G80" s="22">
        <v>10000000</v>
      </c>
      <c r="H80" s="22">
        <v>10000000</v>
      </c>
      <c r="I80" s="662">
        <v>0</v>
      </c>
    </row>
    <row r="81" spans="2:9" hidden="1" outlineLevel="1" x14ac:dyDescent="0.25">
      <c r="B81" s="51"/>
      <c r="C81" s="55"/>
      <c r="D81" s="55"/>
      <c r="E81" s="55"/>
      <c r="F81" s="57" t="s">
        <v>68</v>
      </c>
      <c r="G81" s="22"/>
      <c r="H81" s="22"/>
      <c r="I81" s="662"/>
    </row>
    <row r="82" spans="2:9" hidden="1" outlineLevel="1" x14ac:dyDescent="0.25">
      <c r="B82" s="120" t="s">
        <v>311</v>
      </c>
      <c r="C82" s="55"/>
      <c r="D82" s="51"/>
      <c r="E82" s="55"/>
      <c r="F82" s="2"/>
      <c r="G82" s="23"/>
      <c r="H82" s="23"/>
      <c r="I82" s="23"/>
    </row>
    <row r="83" spans="2:9" hidden="1" outlineLevel="1" x14ac:dyDescent="0.25">
      <c r="B83" s="51"/>
      <c r="C83" s="55"/>
      <c r="D83" s="51"/>
      <c r="E83" s="55"/>
      <c r="F83" s="2"/>
      <c r="G83" s="23"/>
      <c r="H83" s="23"/>
      <c r="I83" s="23"/>
    </row>
    <row r="84" spans="2:9" hidden="1" outlineLevel="1" x14ac:dyDescent="0.25">
      <c r="B84" s="282" t="s">
        <v>10</v>
      </c>
      <c r="C84" s="55"/>
      <c r="D84" s="51"/>
      <c r="E84" s="55"/>
      <c r="F84" s="2"/>
      <c r="G84" s="23"/>
      <c r="H84" s="23"/>
      <c r="I84" s="23"/>
    </row>
    <row r="85" spans="2:9" hidden="1" outlineLevel="1" x14ac:dyDescent="0.25">
      <c r="D85" s="1205" t="s">
        <v>310</v>
      </c>
      <c r="E85" s="1230"/>
      <c r="F85" s="2"/>
      <c r="G85" s="23"/>
      <c r="H85" s="23"/>
      <c r="I85" s="23"/>
    </row>
    <row r="86" spans="2:9" hidden="1" outlineLevel="1" x14ac:dyDescent="0.25">
      <c r="B86" s="163" t="s">
        <v>59</v>
      </c>
      <c r="C86" s="167" t="s">
        <v>1</v>
      </c>
      <c r="D86" s="184" t="str">
        <f>G78</f>
        <v>Each Occurrence</v>
      </c>
      <c r="E86" s="184" t="str">
        <f>H78</f>
        <v>Aggregate</v>
      </c>
      <c r="F86" s="183" t="s">
        <v>23</v>
      </c>
      <c r="G86" s="168" t="s">
        <v>60</v>
      </c>
      <c r="H86" s="168" t="s">
        <v>328</v>
      </c>
      <c r="I86" s="23"/>
    </row>
    <row r="87" spans="2:9" hidden="1" outlineLevel="1" x14ac:dyDescent="0.25">
      <c r="B87" s="164" t="s">
        <v>1466</v>
      </c>
      <c r="C87" s="171" t="str">
        <f>C144</f>
        <v>AEC 0465241-02</v>
      </c>
      <c r="D87" s="172">
        <f>I170</f>
        <v>15000000</v>
      </c>
      <c r="E87" s="172">
        <f>J170</f>
        <v>15000000</v>
      </c>
      <c r="F87" s="172">
        <f>K170</f>
        <v>0</v>
      </c>
      <c r="G87" s="173" t="str">
        <f>B147</f>
        <v>American Guarantee And Liability Insurance Company (Zurich)</v>
      </c>
      <c r="H87" s="609" t="s">
        <v>1821</v>
      </c>
      <c r="I87" s="23"/>
    </row>
    <row r="88" spans="2:9" hidden="1" outlineLevel="1" x14ac:dyDescent="0.25">
      <c r="C88" s="156"/>
      <c r="D88" s="281"/>
      <c r="E88" s="281"/>
      <c r="F88" s="281"/>
      <c r="G88" s="156"/>
      <c r="H88" s="156"/>
      <c r="I88" s="23"/>
    </row>
    <row r="89" spans="2:9" hidden="1" outlineLevel="1" x14ac:dyDescent="0.25">
      <c r="B89" s="36" t="s">
        <v>4</v>
      </c>
      <c r="C89" s="55"/>
      <c r="D89" s="51"/>
      <c r="E89" s="55"/>
      <c r="F89" s="2"/>
      <c r="G89" s="23"/>
      <c r="H89" s="23"/>
      <c r="I89" s="23"/>
    </row>
    <row r="90" spans="2:9" hidden="1" outlineLevel="1" x14ac:dyDescent="0.25">
      <c r="D90" s="1205" t="s">
        <v>310</v>
      </c>
      <c r="E90" s="1230"/>
      <c r="F90" s="2"/>
      <c r="G90" s="23"/>
      <c r="H90" s="23"/>
      <c r="I90" s="23"/>
    </row>
    <row r="91" spans="2:9" hidden="1" outlineLevel="1" x14ac:dyDescent="0.25">
      <c r="B91" s="163" t="s">
        <v>59</v>
      </c>
      <c r="C91" s="167" t="s">
        <v>1</v>
      </c>
      <c r="D91" s="184" t="str">
        <f>G78</f>
        <v>Each Occurrence</v>
      </c>
      <c r="E91" s="184" t="str">
        <f>H78</f>
        <v>Aggregate</v>
      </c>
      <c r="F91" s="183" t="s">
        <v>23</v>
      </c>
      <c r="G91" s="168" t="s">
        <v>60</v>
      </c>
      <c r="H91" s="168" t="s">
        <v>328</v>
      </c>
      <c r="I91" s="23"/>
    </row>
    <row r="92" spans="2:9" hidden="1" outlineLevel="1" x14ac:dyDescent="0.25">
      <c r="B92" s="164" t="s">
        <v>1466</v>
      </c>
      <c r="C92" s="171" t="str">
        <f>C145</f>
        <v>TBD</v>
      </c>
      <c r="D92" s="172">
        <f>I171</f>
        <v>15000000</v>
      </c>
      <c r="E92" s="172">
        <f>J171</f>
        <v>15000000</v>
      </c>
      <c r="F92" s="172">
        <f>K171</f>
        <v>0</v>
      </c>
      <c r="G92" s="173" t="str">
        <f>D147</f>
        <v>American Guarantee And Liability Insurance Company (Zurich)</v>
      </c>
      <c r="H92" s="609" t="str">
        <f>C6</f>
        <v>7/1/2023 - 7/1/2024</v>
      </c>
      <c r="I92" s="23"/>
    </row>
    <row r="93" spans="2:9" s="229" customFormat="1" ht="13.5" customHeight="1" collapsed="1" x14ac:dyDescent="0.25"/>
    <row r="94" spans="2:9" x14ac:dyDescent="0.25">
      <c r="B94" s="1052" t="s">
        <v>1237</v>
      </c>
      <c r="F94" s="338" t="s">
        <v>437</v>
      </c>
      <c r="G94" s="1165" t="s">
        <v>537</v>
      </c>
      <c r="H94" s="1165"/>
    </row>
    <row r="95" spans="2:9" hidden="1" outlineLevel="1" x14ac:dyDescent="0.25">
      <c r="B95" t="s">
        <v>0</v>
      </c>
      <c r="C95" s="1208" t="s">
        <v>38</v>
      </c>
      <c r="D95" s="1208"/>
      <c r="E95" s="1208"/>
    </row>
    <row r="96" spans="2:9" hidden="1" outlineLevel="1" x14ac:dyDescent="0.25">
      <c r="B96" t="s">
        <v>1679</v>
      </c>
      <c r="C96" s="72">
        <v>6080920557</v>
      </c>
      <c r="D96" s="174"/>
      <c r="E96" s="174"/>
    </row>
    <row r="97" spans="2:8" hidden="1" outlineLevel="1" x14ac:dyDescent="0.25">
      <c r="B97" t="s">
        <v>1680</v>
      </c>
      <c r="C97" s="72">
        <v>6080920557</v>
      </c>
    </row>
    <row r="98" spans="2:8" hidden="1" outlineLevel="1" x14ac:dyDescent="0.25">
      <c r="B98" t="s">
        <v>131</v>
      </c>
      <c r="C98" t="s">
        <v>132</v>
      </c>
      <c r="D98" t="s">
        <v>133</v>
      </c>
      <c r="E98" t="s">
        <v>134</v>
      </c>
      <c r="F98" s="210" t="s">
        <v>392</v>
      </c>
      <c r="G98" s="1166"/>
      <c r="H98" s="1166"/>
    </row>
    <row r="99" spans="2:8" ht="30" hidden="1" outlineLevel="1" x14ac:dyDescent="0.25">
      <c r="B99" s="176" t="s">
        <v>1115</v>
      </c>
      <c r="C99" s="571" t="str">
        <f>B99</f>
        <v>The Continental Insurance Company (CNA)</v>
      </c>
      <c r="D99" s="176" t="s">
        <v>1115</v>
      </c>
      <c r="E99" s="176" t="s">
        <v>1115</v>
      </c>
      <c r="G99" s="1175"/>
      <c r="H99" s="1175"/>
    </row>
    <row r="100" spans="2:8" hidden="1" outlineLevel="1" x14ac:dyDescent="0.25">
      <c r="B100" t="s">
        <v>135</v>
      </c>
      <c r="C100" t="s">
        <v>136</v>
      </c>
      <c r="D100" t="s">
        <v>135</v>
      </c>
      <c r="E100" t="s">
        <v>139</v>
      </c>
    </row>
    <row r="101" spans="2:8" hidden="1" outlineLevel="1" x14ac:dyDescent="0.25">
      <c r="B101" s="18" t="s">
        <v>1116</v>
      </c>
      <c r="C101" t="str">
        <f>B101</f>
        <v>A: XV</v>
      </c>
      <c r="D101" s="18" t="s">
        <v>1116</v>
      </c>
      <c r="E101" s="18" t="s">
        <v>1116</v>
      </c>
    </row>
    <row r="102" spans="2:8" hidden="1" outlineLevel="1" x14ac:dyDescent="0.25">
      <c r="B102" t="s">
        <v>2</v>
      </c>
      <c r="C102" t="s">
        <v>3</v>
      </c>
      <c r="D102" t="s">
        <v>140</v>
      </c>
      <c r="E102" t="s">
        <v>141</v>
      </c>
    </row>
    <row r="103" spans="2:8" hidden="1" outlineLevel="1" x14ac:dyDescent="0.25">
      <c r="B103" s="123">
        <v>19225</v>
      </c>
      <c r="C103" s="4">
        <f>B103+B103*G122</f>
        <v>22575.425351377224</v>
      </c>
      <c r="D103" s="123">
        <v>22163</v>
      </c>
      <c r="E103" s="123">
        <v>22163</v>
      </c>
      <c r="F103" s="4"/>
    </row>
    <row r="104" spans="2:8" ht="30" hidden="1" outlineLevel="1" x14ac:dyDescent="0.25">
      <c r="B104" s="202" t="s">
        <v>285</v>
      </c>
      <c r="C104" s="202" t="s">
        <v>285</v>
      </c>
      <c r="D104" s="202" t="s">
        <v>285</v>
      </c>
      <c r="E104" s="202" t="s">
        <v>285</v>
      </c>
      <c r="F104" s="4"/>
      <c r="G104" s="202" t="s">
        <v>2118</v>
      </c>
    </row>
    <row r="105" spans="2:8" hidden="1" outlineLevel="1" x14ac:dyDescent="0.25">
      <c r="B105" s="858">
        <f>B103/(C121)</f>
        <v>0.83656063704799621</v>
      </c>
      <c r="C105" s="858">
        <f>B103/(C121)</f>
        <v>0.83656063704799621</v>
      </c>
      <c r="D105" s="3">
        <f>D103/(G121)</f>
        <v>0.82127769954791374</v>
      </c>
      <c r="E105" s="3">
        <f>E103/(G121)</f>
        <v>0.82127769954791374</v>
      </c>
      <c r="F105" s="4"/>
    </row>
    <row r="106" spans="2:8" hidden="1" outlineLevel="1" x14ac:dyDescent="0.25">
      <c r="D106" t="s">
        <v>5</v>
      </c>
      <c r="E106" t="s">
        <v>6</v>
      </c>
      <c r="F106" s="3"/>
    </row>
    <row r="107" spans="2:8" hidden="1" outlineLevel="1" x14ac:dyDescent="0.25">
      <c r="D107" s="3">
        <f>-(C103-D103)/C103</f>
        <v>-1.8268774340150517E-2</v>
      </c>
      <c r="E107" s="3">
        <f>-(C103-E103)/C103</f>
        <v>-1.8268774340150517E-2</v>
      </c>
    </row>
    <row r="108" spans="2:8" hidden="1" outlineLevel="1" x14ac:dyDescent="0.25">
      <c r="B108" s="3" t="s">
        <v>781</v>
      </c>
      <c r="C108" s="3" t="s">
        <v>782</v>
      </c>
      <c r="D108" s="3" t="s">
        <v>783</v>
      </c>
      <c r="E108" s="3" t="s">
        <v>784</v>
      </c>
    </row>
    <row r="109" spans="2:8" hidden="1" outlineLevel="1" x14ac:dyDescent="0.25">
      <c r="B109" s="129"/>
      <c r="C109" s="3">
        <f>B109</f>
        <v>0</v>
      </c>
      <c r="D109" s="129"/>
      <c r="E109" s="129"/>
    </row>
    <row r="110" spans="2:8" hidden="1" outlineLevel="1" x14ac:dyDescent="0.25">
      <c r="B110" s="3" t="s">
        <v>785</v>
      </c>
      <c r="C110" s="3" t="s">
        <v>786</v>
      </c>
      <c r="D110" s="3" t="s">
        <v>787</v>
      </c>
      <c r="E110" s="3" t="s">
        <v>788</v>
      </c>
    </row>
    <row r="111" spans="2:8" hidden="1" outlineLevel="1" x14ac:dyDescent="0.25">
      <c r="B111" s="178"/>
      <c r="C111" s="179">
        <f>B111</f>
        <v>0</v>
      </c>
      <c r="D111" s="178"/>
      <c r="E111" s="178"/>
    </row>
    <row r="112" spans="2:8" hidden="1" outlineLevel="1" x14ac:dyDescent="0.25">
      <c r="B112" s="3" t="s">
        <v>203</v>
      </c>
      <c r="C112" s="3" t="s">
        <v>204</v>
      </c>
      <c r="D112" s="3" t="s">
        <v>205</v>
      </c>
      <c r="E112" s="3" t="s">
        <v>206</v>
      </c>
    </row>
    <row r="113" spans="2:11" hidden="1" outlineLevel="1" x14ac:dyDescent="0.25">
      <c r="B113" s="178"/>
      <c r="C113" s="179">
        <f>B113+B113*G122</f>
        <v>0</v>
      </c>
      <c r="D113" s="178"/>
      <c r="E113" s="178"/>
    </row>
    <row r="114" spans="2:11" hidden="1" outlineLevel="1" x14ac:dyDescent="0.25">
      <c r="B114" s="3" t="s">
        <v>14</v>
      </c>
      <c r="C114" s="4" t="s">
        <v>15</v>
      </c>
      <c r="D114" s="4" t="s">
        <v>142</v>
      </c>
      <c r="E114" t="s">
        <v>143</v>
      </c>
    </row>
    <row r="115" spans="2:11" hidden="1" outlineLevel="1" x14ac:dyDescent="0.25">
      <c r="B115" s="4">
        <f>B103+(B103*B109)+B111+B113</f>
        <v>19225</v>
      </c>
      <c r="C115" s="4">
        <f t="shared" ref="C115:E115" si="3">C103+(C103*C109)+C111+C113</f>
        <v>22575.425351377224</v>
      </c>
      <c r="D115" s="4">
        <f t="shared" si="3"/>
        <v>22163</v>
      </c>
      <c r="E115" s="4">
        <f t="shared" si="3"/>
        <v>22163</v>
      </c>
      <c r="F115" s="4"/>
    </row>
    <row r="116" spans="2:11" hidden="1" outlineLevel="1" x14ac:dyDescent="0.25">
      <c r="B116" s="3" t="s">
        <v>998</v>
      </c>
      <c r="C116" s="3" t="s">
        <v>999</v>
      </c>
      <c r="D116" s="3" t="s">
        <v>1000</v>
      </c>
      <c r="E116" s="3" t="s">
        <v>1001</v>
      </c>
      <c r="F116" s="4"/>
    </row>
    <row r="117" spans="2:11" hidden="1" outlineLevel="1" x14ac:dyDescent="0.25">
      <c r="B117" s="693"/>
      <c r="C117" s="157" t="s">
        <v>284</v>
      </c>
      <c r="D117" s="693"/>
      <c r="E117" s="693"/>
      <c r="F117" s="4"/>
    </row>
    <row r="118" spans="2:11" hidden="1" outlineLevel="1" x14ac:dyDescent="0.25">
      <c r="B118" s="4"/>
      <c r="C118" s="4"/>
      <c r="D118" s="4"/>
      <c r="E118" s="4"/>
      <c r="F118" s="4"/>
    </row>
    <row r="119" spans="2:11" hidden="1" outlineLevel="1" x14ac:dyDescent="0.25">
      <c r="B119" s="37" t="s">
        <v>1470</v>
      </c>
      <c r="F119" s="34"/>
      <c r="G119" s="1168"/>
      <c r="H119" s="1168"/>
      <c r="I119" s="2"/>
    </row>
    <row r="120" spans="2:11" hidden="1" outlineLevel="1" x14ac:dyDescent="0.25">
      <c r="B120" s="1169" t="s">
        <v>39</v>
      </c>
      <c r="C120" s="1170"/>
      <c r="D120" s="1171" t="s">
        <v>533</v>
      </c>
      <c r="E120" s="1169"/>
      <c r="F120" s="1170" t="s">
        <v>40</v>
      </c>
      <c r="G120" s="1171"/>
      <c r="H120" s="573"/>
      <c r="I120" s="1173" t="s">
        <v>9</v>
      </c>
      <c r="J120" s="1174"/>
      <c r="K120" s="375" t="str">
        <f>I34</f>
        <v>Self-Insured Retention</v>
      </c>
    </row>
    <row r="121" spans="2:11" ht="30" hidden="1" outlineLevel="1" x14ac:dyDescent="0.25">
      <c r="B121" s="38" t="s">
        <v>319</v>
      </c>
      <c r="C121" s="180">
        <f>B320+B658</f>
        <v>22981</v>
      </c>
      <c r="D121" s="327" t="str">
        <f>B121</f>
        <v>Primary Policy Exp. Premium</v>
      </c>
      <c r="E121" s="326">
        <f>C320+C658</f>
        <v>27903.75</v>
      </c>
      <c r="F121" s="7" t="str">
        <f>B121</f>
        <v>Primary Policy Exp. Premium</v>
      </c>
      <c r="G121" s="60">
        <f>D320+D658</f>
        <v>26986</v>
      </c>
      <c r="H121" s="56"/>
      <c r="I121" s="1" t="s">
        <v>11</v>
      </c>
      <c r="J121" s="1" t="s">
        <v>12</v>
      </c>
      <c r="K121" s="39"/>
    </row>
    <row r="122" spans="2:11" hidden="1" outlineLevel="1" x14ac:dyDescent="0.25">
      <c r="B122" s="52"/>
      <c r="C122" s="54"/>
      <c r="D122" s="54"/>
      <c r="E122" s="859">
        <f>-(C121-E121)/C121</f>
        <v>0.21420956442278405</v>
      </c>
      <c r="F122" s="21" t="s">
        <v>13</v>
      </c>
      <c r="G122" s="1108">
        <f>-(C121-G121)/C121</f>
        <v>0.17427440059179322</v>
      </c>
      <c r="H122" s="57" t="s">
        <v>10</v>
      </c>
      <c r="I122" s="22">
        <v>25000000</v>
      </c>
      <c r="J122" s="22">
        <v>25000000</v>
      </c>
      <c r="K122" s="40">
        <v>10000</v>
      </c>
    </row>
    <row r="123" spans="2:11" hidden="1" outlineLevel="1" x14ac:dyDescent="0.25">
      <c r="B123" s="51"/>
      <c r="C123" s="55"/>
      <c r="D123" s="51"/>
      <c r="E123" s="55"/>
      <c r="F123" s="55"/>
      <c r="G123" s="55"/>
      <c r="H123" s="57" t="s">
        <v>67</v>
      </c>
      <c r="I123" s="22">
        <v>25000000</v>
      </c>
      <c r="J123" s="22">
        <v>25000000</v>
      </c>
      <c r="K123" s="40">
        <v>10000</v>
      </c>
    </row>
    <row r="124" spans="2:11" hidden="1" outlineLevel="1" x14ac:dyDescent="0.25">
      <c r="B124" s="51"/>
      <c r="C124" s="55"/>
      <c r="D124" s="51"/>
      <c r="E124" s="55"/>
      <c r="F124" s="55"/>
      <c r="G124" s="55"/>
      <c r="H124" s="57" t="s">
        <v>68</v>
      </c>
      <c r="I124" s="22"/>
      <c r="J124" s="22"/>
      <c r="K124" s="40"/>
    </row>
    <row r="125" spans="2:11" hidden="1" outlineLevel="1" x14ac:dyDescent="0.25">
      <c r="B125" s="120"/>
      <c r="C125" s="55"/>
      <c r="D125" s="51"/>
      <c r="E125" s="55"/>
      <c r="F125" s="2"/>
      <c r="G125" s="23"/>
      <c r="H125" s="23"/>
      <c r="I125" s="23"/>
    </row>
    <row r="126" spans="2:11" hidden="1" outlineLevel="1" x14ac:dyDescent="0.25">
      <c r="B126" s="51"/>
      <c r="C126" s="55"/>
      <c r="D126" s="51"/>
      <c r="E126" s="55"/>
      <c r="F126" s="2"/>
      <c r="G126" s="23"/>
      <c r="H126" s="23"/>
      <c r="I126" s="23"/>
    </row>
    <row r="127" spans="2:11" hidden="1" outlineLevel="1" x14ac:dyDescent="0.25">
      <c r="B127" s="120" t="s">
        <v>311</v>
      </c>
      <c r="C127" s="1205" t="s">
        <v>657</v>
      </c>
      <c r="D127" s="1206"/>
      <c r="E127" s="1206"/>
      <c r="F127" s="1207"/>
      <c r="G127" s="1204" t="s">
        <v>4</v>
      </c>
      <c r="H127" s="1204"/>
      <c r="I127" s="1204"/>
      <c r="J127" s="1204"/>
    </row>
    <row r="128" spans="2:11" hidden="1" outlineLevel="1" x14ac:dyDescent="0.25">
      <c r="B128" s="163" t="s">
        <v>59</v>
      </c>
      <c r="C128" s="167" t="s">
        <v>1</v>
      </c>
      <c r="D128" s="167" t="s">
        <v>310</v>
      </c>
      <c r="E128" s="168" t="s">
        <v>60</v>
      </c>
      <c r="F128" s="286" t="s">
        <v>328</v>
      </c>
      <c r="G128" s="163" t="s">
        <v>1</v>
      </c>
      <c r="H128" s="167" t="s">
        <v>310</v>
      </c>
      <c r="I128" s="168" t="s">
        <v>60</v>
      </c>
      <c r="J128" s="168" t="s">
        <v>328</v>
      </c>
    </row>
    <row r="129" spans="2:10" hidden="1" outlineLevel="1" x14ac:dyDescent="0.25">
      <c r="B129" s="165" t="s">
        <v>65</v>
      </c>
      <c r="C129" s="378">
        <f>'T5DC Package - General Liab'!C7</f>
        <v>6080911471</v>
      </c>
      <c r="D129" s="379">
        <f>'T5DC Package - General Liab'!C10</f>
        <v>1000000</v>
      </c>
      <c r="E129" s="378" t="str">
        <f>'T5DC Package - General Liab'!C5</f>
        <v>Valley Forge Insurance Company (CNA)</v>
      </c>
      <c r="F129" s="818" t="str">
        <f>C5</f>
        <v>7/1/2022 - 7/1/2023</v>
      </c>
      <c r="G129" s="284">
        <f>'T5DC Package - General Liab'!D7</f>
        <v>6080911471</v>
      </c>
      <c r="H129" s="169">
        <f>'T5DC Package - General Liab'!D10</f>
        <v>1000000</v>
      </c>
      <c r="I129" s="170" t="e">
        <f>IF(#REF!=#REF!,#REF!,IF(#REF!=#REF!,#REF!,#REF!))</f>
        <v>#REF!</v>
      </c>
      <c r="J129" s="819" t="str">
        <f>C6</f>
        <v>7/1/2023 - 7/1/2024</v>
      </c>
    </row>
    <row r="130" spans="2:10" hidden="1" outlineLevel="1" x14ac:dyDescent="0.25">
      <c r="B130" s="165" t="s">
        <v>257</v>
      </c>
      <c r="C130" s="378">
        <f t="shared" ref="C130:J130" si="4">C129</f>
        <v>6080911471</v>
      </c>
      <c r="D130" s="379">
        <f t="shared" si="4"/>
        <v>1000000</v>
      </c>
      <c r="E130" s="378" t="str">
        <f t="shared" si="4"/>
        <v>Valley Forge Insurance Company (CNA)</v>
      </c>
      <c r="F130" s="818" t="str">
        <f t="shared" si="4"/>
        <v>7/1/2022 - 7/1/2023</v>
      </c>
      <c r="G130" s="284">
        <f t="shared" si="4"/>
        <v>6080911471</v>
      </c>
      <c r="H130" s="169">
        <f t="shared" si="4"/>
        <v>1000000</v>
      </c>
      <c r="I130" s="170" t="e">
        <f t="shared" si="4"/>
        <v>#REF!</v>
      </c>
      <c r="J130" s="819" t="str">
        <f t="shared" si="4"/>
        <v>7/1/2023 - 7/1/2024</v>
      </c>
    </row>
    <row r="131" spans="2:10" hidden="1" outlineLevel="1" x14ac:dyDescent="0.25">
      <c r="B131" s="165" t="s">
        <v>1385</v>
      </c>
      <c r="C131" s="284">
        <f>'Workers Comp'!C7</f>
        <v>6080910403</v>
      </c>
      <c r="D131" s="291">
        <f>'Workers Comp'!C11</f>
        <v>1000000</v>
      </c>
      <c r="E131" s="284" t="str">
        <f>'Workers Comp'!C5</f>
        <v>The Continental Insurance Company (CNA)</v>
      </c>
      <c r="F131" s="818" t="str">
        <f t="shared" ref="F131:F139" si="5">F130</f>
        <v>7/1/2022 - 7/1/2023</v>
      </c>
      <c r="G131" s="284">
        <f>'Workers Comp'!D7</f>
        <v>6080910403</v>
      </c>
      <c r="H131" s="169">
        <f>'Workers Comp'!D11</f>
        <v>1000000</v>
      </c>
      <c r="I131" s="170" t="e">
        <f>IF(#REF!=#REF!,#REF!,IF(#REF!=#REF!,#REF!,#REF!))</f>
        <v>#REF!</v>
      </c>
      <c r="J131" s="819" t="str">
        <f t="shared" ref="J131:J139" si="6">J130</f>
        <v>7/1/2023 - 7/1/2024</v>
      </c>
    </row>
    <row r="132" spans="2:10" hidden="1" outlineLevel="1" x14ac:dyDescent="0.25">
      <c r="B132" s="165" t="s">
        <v>753</v>
      </c>
      <c r="C132" s="378">
        <f>C129</f>
        <v>6080911471</v>
      </c>
      <c r="D132" s="379">
        <f>D129</f>
        <v>1000000</v>
      </c>
      <c r="E132" s="378" t="str">
        <f>E129</f>
        <v>Valley Forge Insurance Company (CNA)</v>
      </c>
      <c r="F132" s="818" t="str">
        <f t="shared" si="5"/>
        <v>7/1/2022 - 7/1/2023</v>
      </c>
      <c r="G132" s="378">
        <f>G129</f>
        <v>6080911471</v>
      </c>
      <c r="H132" s="610">
        <f>H129</f>
        <v>1000000</v>
      </c>
      <c r="I132" s="611" t="e">
        <f>I129</f>
        <v>#REF!</v>
      </c>
      <c r="J132" s="819" t="str">
        <f t="shared" si="6"/>
        <v>7/1/2023 - 7/1/2024</v>
      </c>
    </row>
    <row r="133" spans="2:10" hidden="1" outlineLevel="1" x14ac:dyDescent="0.25">
      <c r="B133" s="165" t="s">
        <v>751</v>
      </c>
      <c r="C133" s="378">
        <f>'T5DC Business Auto'!C7</f>
        <v>6081081573</v>
      </c>
      <c r="D133" s="379">
        <f>'T5DC Business Auto'!C17</f>
        <v>1000000</v>
      </c>
      <c r="E133" s="378" t="str">
        <f>'T5DC Business Auto'!C5</f>
        <v>Valley Forge Insurance Company (CNA)</v>
      </c>
      <c r="F133" s="818" t="str">
        <f t="shared" si="5"/>
        <v>7/1/2022 - 7/1/2023</v>
      </c>
      <c r="G133" s="284">
        <f>'T5DC Business Auto'!D7</f>
        <v>6081081573</v>
      </c>
      <c r="H133" s="169">
        <f>'T5DC Business Auto'!D17</f>
        <v>1000000</v>
      </c>
      <c r="I133" s="170" t="str">
        <f>'T5DC Business Auto'!D5</f>
        <v>Valley Forge Insurance Company (CNA)</v>
      </c>
      <c r="J133" s="819" t="str">
        <f t="shared" si="6"/>
        <v>7/1/2023 - 7/1/2024</v>
      </c>
    </row>
    <row r="134" spans="2:10" ht="15" hidden="1" customHeight="1" outlineLevel="1" x14ac:dyDescent="0.25">
      <c r="B134" s="165" t="s">
        <v>314</v>
      </c>
      <c r="C134" s="284" t="s">
        <v>284</v>
      </c>
      <c r="D134" s="291">
        <f>C843</f>
        <v>1000000</v>
      </c>
      <c r="E134" s="284" t="str">
        <f>B821</f>
        <v>The Continental Insurance Company (CNA)</v>
      </c>
      <c r="F134" s="818" t="s">
        <v>284</v>
      </c>
      <c r="G134" s="284" t="str">
        <f>C819</f>
        <v>PST 73 488 5104</v>
      </c>
      <c r="H134" s="169">
        <f>IF(G820=D820,E843,IF(G820=E820,G843,E843))</f>
        <v>1000000</v>
      </c>
      <c r="I134" s="170" t="str">
        <f>'T5CS Foreign Package'!D5</f>
        <v>The Continental Insurance Company (CNA)</v>
      </c>
      <c r="J134" s="819" t="str">
        <f t="shared" si="6"/>
        <v>7/1/2023 - 7/1/2024</v>
      </c>
    </row>
    <row r="135" spans="2:10" hidden="1" outlineLevel="1" x14ac:dyDescent="0.25">
      <c r="B135" s="165" t="s">
        <v>315</v>
      </c>
      <c r="C135" s="284" t="str">
        <f>C134</f>
        <v>N/A</v>
      </c>
      <c r="D135" s="291">
        <f>C844</f>
        <v>1000000</v>
      </c>
      <c r="E135" s="284" t="str">
        <f>E134</f>
        <v>The Continental Insurance Company (CNA)</v>
      </c>
      <c r="F135" s="818" t="str">
        <f t="shared" si="5"/>
        <v>N/A</v>
      </c>
      <c r="G135" s="284" t="str">
        <f>G396</f>
        <v>PST 73 488 5104</v>
      </c>
      <c r="H135" s="169">
        <f>IF(G820=D820,E844,IF(G820=E820,G844,E844))</f>
        <v>1000000</v>
      </c>
      <c r="I135" s="170" t="str">
        <f>I134</f>
        <v>The Continental Insurance Company (CNA)</v>
      </c>
      <c r="J135" s="819" t="str">
        <f t="shared" si="6"/>
        <v>7/1/2023 - 7/1/2024</v>
      </c>
    </row>
    <row r="136" spans="2:10" hidden="1" outlineLevel="1" x14ac:dyDescent="0.25">
      <c r="B136" s="165" t="s">
        <v>316</v>
      </c>
      <c r="C136" s="284" t="str">
        <f>C134</f>
        <v>N/A</v>
      </c>
      <c r="D136" s="291">
        <f>C848</f>
        <v>1000000</v>
      </c>
      <c r="E136" s="284" t="str">
        <f>E134</f>
        <v>The Continental Insurance Company (CNA)</v>
      </c>
      <c r="F136" s="818" t="str">
        <f t="shared" si="5"/>
        <v>N/A</v>
      </c>
      <c r="G136" s="284" t="str">
        <f>G396</f>
        <v>PST 73 488 5104</v>
      </c>
      <c r="H136" s="169">
        <f>IF(G820=D820,E848,IF(G820=E820,G848,E848))</f>
        <v>1000000</v>
      </c>
      <c r="I136" s="170" t="str">
        <f>I134</f>
        <v>The Continental Insurance Company (CNA)</v>
      </c>
      <c r="J136" s="819" t="str">
        <f t="shared" si="6"/>
        <v>7/1/2023 - 7/1/2024</v>
      </c>
    </row>
    <row r="137" spans="2:10" hidden="1" outlineLevel="1" x14ac:dyDescent="0.25">
      <c r="B137" s="165" t="s">
        <v>752</v>
      </c>
      <c r="C137" s="284" t="str">
        <f>C134</f>
        <v>N/A</v>
      </c>
      <c r="D137" s="291">
        <f>C845</f>
        <v>1000000</v>
      </c>
      <c r="E137" s="284" t="str">
        <f>E134</f>
        <v>The Continental Insurance Company (CNA)</v>
      </c>
      <c r="F137" s="818" t="str">
        <f t="shared" si="5"/>
        <v>N/A</v>
      </c>
      <c r="G137" s="284" t="str">
        <f>G396</f>
        <v>PST 73 488 5104</v>
      </c>
      <c r="H137" s="169">
        <f>IF(G820=D820,E845,IF(G820=E820,G845,E845))</f>
        <v>1000000</v>
      </c>
      <c r="I137" s="170" t="str">
        <f>I134</f>
        <v>The Continental Insurance Company (CNA)</v>
      </c>
      <c r="J137" s="819" t="str">
        <f t="shared" si="6"/>
        <v>7/1/2023 - 7/1/2024</v>
      </c>
    </row>
    <row r="138" spans="2:10" hidden="1" outlineLevel="1" x14ac:dyDescent="0.25">
      <c r="B138" s="165" t="s">
        <v>1386</v>
      </c>
      <c r="C138" s="285">
        <f>'Workers Comp (2)'!C7</f>
        <v>6080910868</v>
      </c>
      <c r="D138" s="292">
        <f>'Workers Comp (2)'!C11</f>
        <v>1000000</v>
      </c>
      <c r="E138" s="285" t="str">
        <f>'Workers Comp (2)'!C5</f>
        <v>The Continental Insurance Company (CNA)</v>
      </c>
      <c r="F138" s="818" t="str">
        <f t="shared" si="5"/>
        <v>N/A</v>
      </c>
      <c r="G138" s="285">
        <f>'Workers Comp (2)'!D7</f>
        <v>6080910868</v>
      </c>
      <c r="H138" s="172">
        <f>'Workers Comp (2)'!D11</f>
        <v>1000000</v>
      </c>
      <c r="I138" s="173" t="str">
        <f>'Workers Comp (2)'!D5</f>
        <v>The Continental Insurance Company (CNA)</v>
      </c>
      <c r="J138" s="819" t="str">
        <f t="shared" si="6"/>
        <v>7/1/2023 - 7/1/2024</v>
      </c>
    </row>
    <row r="139" spans="2:10" hidden="1" outlineLevel="1" x14ac:dyDescent="0.25">
      <c r="B139" s="164" t="s">
        <v>408</v>
      </c>
      <c r="C139" s="285" t="e">
        <f>Drone!#REF!</f>
        <v>#REF!</v>
      </c>
      <c r="D139" s="292">
        <f>G899</f>
        <v>0</v>
      </c>
      <c r="E139" s="285" t="str">
        <f>B882</f>
        <v>Policy Limits and Deductibles</v>
      </c>
      <c r="F139" s="820" t="str">
        <f t="shared" si="5"/>
        <v>N/A</v>
      </c>
      <c r="G139" s="285">
        <f>C880</f>
        <v>0</v>
      </c>
      <c r="H139" s="172">
        <f>IF(G881=D881,G900,IF(G881=E881,G901,G900))</f>
        <v>0</v>
      </c>
      <c r="I139" s="173">
        <f>IF(G881=D881,D882,IF(G881=E881,E882,D882))</f>
        <v>0</v>
      </c>
      <c r="J139" s="609" t="str">
        <f t="shared" si="6"/>
        <v>7/1/2023 - 7/1/2024</v>
      </c>
    </row>
    <row r="140" spans="2:10" hidden="1" outlineLevel="1" x14ac:dyDescent="0.25">
      <c r="C140" s="156"/>
      <c r="D140" s="281"/>
      <c r="E140" s="281"/>
      <c r="F140" s="281"/>
      <c r="G140" s="156"/>
      <c r="H140" s="156"/>
      <c r="I140" s="23"/>
    </row>
    <row r="141" spans="2:10" s="1197" customFormat="1" ht="13.5" customHeight="1" collapsed="1" x14ac:dyDescent="0.25"/>
    <row r="142" spans="2:10" x14ac:dyDescent="0.25">
      <c r="B142" s="1052" t="s">
        <v>1662</v>
      </c>
      <c r="F142" s="338" t="s">
        <v>437</v>
      </c>
      <c r="G142" s="1165" t="s">
        <v>537</v>
      </c>
      <c r="H142" s="1165"/>
    </row>
    <row r="143" spans="2:10" ht="30.75" hidden="1" customHeight="1" outlineLevel="1" x14ac:dyDescent="0.25">
      <c r="B143" t="s">
        <v>0</v>
      </c>
      <c r="C143" s="1208" t="s">
        <v>38</v>
      </c>
      <c r="D143" s="1208"/>
      <c r="E143" s="1208"/>
    </row>
    <row r="144" spans="2:10" ht="18.75" hidden="1" customHeight="1" outlineLevel="1" x14ac:dyDescent="0.25">
      <c r="B144" t="s">
        <v>1679</v>
      </c>
      <c r="C144" s="18" t="s">
        <v>1919</v>
      </c>
      <c r="D144" s="174"/>
      <c r="E144" s="174"/>
    </row>
    <row r="145" spans="2:8" hidden="1" outlineLevel="1" x14ac:dyDescent="0.25">
      <c r="B145" t="s">
        <v>1680</v>
      </c>
      <c r="C145" s="18" t="s">
        <v>649</v>
      </c>
    </row>
    <row r="146" spans="2:8" hidden="1" outlineLevel="1" x14ac:dyDescent="0.25">
      <c r="B146" t="s">
        <v>131</v>
      </c>
      <c r="C146" t="s">
        <v>132</v>
      </c>
      <c r="D146" t="s">
        <v>133</v>
      </c>
      <c r="E146" t="s">
        <v>134</v>
      </c>
      <c r="F146" s="210" t="s">
        <v>392</v>
      </c>
      <c r="G146" s="1166"/>
      <c r="H146" s="1166"/>
    </row>
    <row r="147" spans="2:8" ht="30" hidden="1" outlineLevel="1" x14ac:dyDescent="0.25">
      <c r="B147" s="176" t="s">
        <v>1467</v>
      </c>
      <c r="C147" s="571" t="str">
        <f>B147</f>
        <v>American Guarantee And Liability Insurance Company (Zurich)</v>
      </c>
      <c r="D147" s="176" t="s">
        <v>1467</v>
      </c>
      <c r="E147" s="176"/>
      <c r="G147" s="1175"/>
      <c r="H147" s="1175"/>
    </row>
    <row r="148" spans="2:8" hidden="1" outlineLevel="1" x14ac:dyDescent="0.25">
      <c r="B148" t="s">
        <v>135</v>
      </c>
      <c r="C148" t="s">
        <v>136</v>
      </c>
      <c r="D148" t="s">
        <v>137</v>
      </c>
      <c r="E148" t="s">
        <v>139</v>
      </c>
    </row>
    <row r="149" spans="2:8" hidden="1" outlineLevel="1" x14ac:dyDescent="0.25">
      <c r="B149" s="18" t="s">
        <v>1453</v>
      </c>
      <c r="C149" t="str">
        <f>B149</f>
        <v>A+: XV</v>
      </c>
      <c r="D149" s="18" t="s">
        <v>1453</v>
      </c>
      <c r="E149" s="18"/>
    </row>
    <row r="150" spans="2:8" hidden="1" outlineLevel="1" x14ac:dyDescent="0.25">
      <c r="B150" t="s">
        <v>2</v>
      </c>
      <c r="C150" t="s">
        <v>3</v>
      </c>
      <c r="D150" t="s">
        <v>140</v>
      </c>
      <c r="E150" t="s">
        <v>141</v>
      </c>
    </row>
    <row r="151" spans="2:8" hidden="1" outlineLevel="1" x14ac:dyDescent="0.25">
      <c r="B151" s="123">
        <v>32219</v>
      </c>
      <c r="C151" s="179">
        <f>B151+B151*G170</f>
        <v>31039.831069711538</v>
      </c>
      <c r="D151" s="123">
        <v>31714</v>
      </c>
      <c r="E151" s="123"/>
      <c r="F151" s="4"/>
    </row>
    <row r="152" spans="2:8" ht="30" hidden="1" outlineLevel="1" x14ac:dyDescent="0.25">
      <c r="B152" s="202" t="s">
        <v>285</v>
      </c>
      <c r="C152" s="202" t="s">
        <v>285</v>
      </c>
      <c r="D152" s="202" t="s">
        <v>285</v>
      </c>
      <c r="E152" s="202" t="s">
        <v>285</v>
      </c>
      <c r="F152" s="4"/>
      <c r="G152" s="202" t="s">
        <v>1473</v>
      </c>
    </row>
    <row r="153" spans="2:8" hidden="1" outlineLevel="1" x14ac:dyDescent="0.25">
      <c r="B153" s="3">
        <f>B151/(C169)</f>
        <v>0.77449519230769226</v>
      </c>
      <c r="C153" s="952">
        <f>C151/(E169)</f>
        <v>0.77449519230769226</v>
      </c>
      <c r="D153" s="3">
        <f>D151/(G169)</f>
        <v>0.79131682365417</v>
      </c>
      <c r="E153" s="3">
        <f>E151/(G169)</f>
        <v>0</v>
      </c>
      <c r="F153" s="4"/>
      <c r="H153" s="851">
        <v>44378</v>
      </c>
    </row>
    <row r="154" spans="2:8" hidden="1" outlineLevel="1" x14ac:dyDescent="0.25">
      <c r="D154" t="s">
        <v>5</v>
      </c>
      <c r="E154" t="s">
        <v>6</v>
      </c>
      <c r="H154" s="851">
        <v>43862</v>
      </c>
    </row>
    <row r="155" spans="2:8" hidden="1" outlineLevel="1" x14ac:dyDescent="0.25">
      <c r="D155" s="3">
        <f>-(C151-D151)/C151</f>
        <v>2.1719478072363352E-2</v>
      </c>
      <c r="E155" s="3">
        <f>-(C151-E151)/C151</f>
        <v>-1</v>
      </c>
      <c r="H155">
        <f>H153-H154</f>
        <v>516</v>
      </c>
    </row>
    <row r="156" spans="2:8" hidden="1" outlineLevel="1" x14ac:dyDescent="0.25">
      <c r="B156" s="3" t="s">
        <v>781</v>
      </c>
      <c r="C156" s="3" t="s">
        <v>782</v>
      </c>
      <c r="D156" s="3" t="s">
        <v>783</v>
      </c>
      <c r="E156" s="3" t="s">
        <v>784</v>
      </c>
      <c r="H156" s="852">
        <f>35653/H155</f>
        <v>69.094961240310084</v>
      </c>
    </row>
    <row r="157" spans="2:8" hidden="1" outlineLevel="1" x14ac:dyDescent="0.25">
      <c r="B157" s="129"/>
      <c r="C157" s="3">
        <f>B157</f>
        <v>0</v>
      </c>
      <c r="D157" s="129"/>
      <c r="E157" s="129"/>
      <c r="H157" s="852">
        <f>H156*365</f>
        <v>25219.660852713179</v>
      </c>
    </row>
    <row r="158" spans="2:8" hidden="1" outlineLevel="1" x14ac:dyDescent="0.25">
      <c r="B158" s="3" t="s">
        <v>785</v>
      </c>
      <c r="C158" s="3" t="s">
        <v>786</v>
      </c>
      <c r="D158" s="3" t="s">
        <v>787</v>
      </c>
      <c r="E158" s="3" t="s">
        <v>788</v>
      </c>
    </row>
    <row r="159" spans="2:8" hidden="1" outlineLevel="1" x14ac:dyDescent="0.25">
      <c r="B159" s="178"/>
      <c r="C159" s="179">
        <f>B159</f>
        <v>0</v>
      </c>
      <c r="D159" s="178"/>
      <c r="E159" s="178"/>
    </row>
    <row r="160" spans="2:8" hidden="1" outlineLevel="1" x14ac:dyDescent="0.25">
      <c r="B160" s="3" t="s">
        <v>203</v>
      </c>
      <c r="C160" s="3" t="s">
        <v>204</v>
      </c>
      <c r="D160" s="3" t="s">
        <v>205</v>
      </c>
      <c r="E160" s="3" t="s">
        <v>206</v>
      </c>
    </row>
    <row r="161" spans="2:11" hidden="1" outlineLevel="1" x14ac:dyDescent="0.25">
      <c r="B161" s="178"/>
      <c r="C161" s="179">
        <f>B161+B161*G170</f>
        <v>0</v>
      </c>
      <c r="D161" s="178"/>
      <c r="E161" s="178"/>
    </row>
    <row r="162" spans="2:11" hidden="1" outlineLevel="1" x14ac:dyDescent="0.25">
      <c r="B162" s="3" t="s">
        <v>14</v>
      </c>
      <c r="C162" s="4" t="s">
        <v>15</v>
      </c>
      <c r="D162" s="4" t="s">
        <v>142</v>
      </c>
      <c r="E162" t="s">
        <v>143</v>
      </c>
    </row>
    <row r="163" spans="2:11" hidden="1" outlineLevel="1" x14ac:dyDescent="0.25">
      <c r="B163" s="4">
        <f>B151+(B151*B157)+B159+B161</f>
        <v>32219</v>
      </c>
      <c r="C163" s="4">
        <f t="shared" ref="C163:E163" si="7">C151+(C151*C157)+C159+C161</f>
        <v>31039.831069711538</v>
      </c>
      <c r="D163" s="4">
        <f t="shared" si="7"/>
        <v>31714</v>
      </c>
      <c r="E163" s="4">
        <f t="shared" si="7"/>
        <v>0</v>
      </c>
      <c r="F163" s="4"/>
    </row>
    <row r="164" spans="2:11" hidden="1" outlineLevel="1" x14ac:dyDescent="0.25">
      <c r="B164" s="3" t="s">
        <v>998</v>
      </c>
      <c r="C164" s="3" t="s">
        <v>999</v>
      </c>
      <c r="D164" s="3" t="s">
        <v>1000</v>
      </c>
      <c r="E164" s="3" t="s">
        <v>1001</v>
      </c>
      <c r="F164" s="4"/>
    </row>
    <row r="165" spans="2:11" hidden="1" outlineLevel="1" x14ac:dyDescent="0.25">
      <c r="B165" s="693"/>
      <c r="C165" s="157" t="s">
        <v>284</v>
      </c>
      <c r="D165" s="693"/>
      <c r="E165" s="693"/>
      <c r="F165" s="4"/>
    </row>
    <row r="166" spans="2:11" hidden="1" outlineLevel="1" x14ac:dyDescent="0.25">
      <c r="B166" s="4"/>
      <c r="C166" s="4"/>
      <c r="D166" s="4"/>
      <c r="E166" s="4"/>
      <c r="F166" s="4"/>
    </row>
    <row r="167" spans="2:11" hidden="1" outlineLevel="1" x14ac:dyDescent="0.25">
      <c r="B167" s="37" t="s">
        <v>1470</v>
      </c>
      <c r="F167" s="34"/>
      <c r="G167" s="1168"/>
      <c r="H167" s="1168"/>
      <c r="I167" s="2"/>
    </row>
    <row r="168" spans="2:11" hidden="1" outlineLevel="1" x14ac:dyDescent="0.25">
      <c r="B168" s="1169" t="s">
        <v>39</v>
      </c>
      <c r="C168" s="1170"/>
      <c r="D168" s="1234" t="s">
        <v>533</v>
      </c>
      <c r="E168" s="1235"/>
      <c r="F168" s="1170" t="s">
        <v>40</v>
      </c>
      <c r="G168" s="1171"/>
      <c r="H168" s="573"/>
      <c r="I168" s="1173" t="s">
        <v>9</v>
      </c>
      <c r="J168" s="1174"/>
      <c r="K168" s="375" t="str">
        <f>I34</f>
        <v>Self-Insured Retention</v>
      </c>
    </row>
    <row r="169" spans="2:11" ht="30" hidden="1" outlineLevel="1" x14ac:dyDescent="0.25">
      <c r="B169" s="38" t="s">
        <v>405</v>
      </c>
      <c r="C169" s="180">
        <f>B422</f>
        <v>41600</v>
      </c>
      <c r="D169" s="327" t="str">
        <f>B169</f>
        <v>1st Excess Policy Exp. Premium</v>
      </c>
      <c r="E169" s="326">
        <f>G169</f>
        <v>40077.5</v>
      </c>
      <c r="F169" s="7" t="str">
        <f>B169</f>
        <v>1st Excess Policy Exp. Premium</v>
      </c>
      <c r="G169" s="60">
        <f>D422</f>
        <v>40077.5</v>
      </c>
      <c r="H169" s="56"/>
      <c r="I169" s="1" t="s">
        <v>129</v>
      </c>
      <c r="J169" s="1" t="s">
        <v>12</v>
      </c>
      <c r="K169" s="39"/>
    </row>
    <row r="170" spans="2:11" hidden="1" outlineLevel="1" x14ac:dyDescent="0.25">
      <c r="B170" s="52"/>
      <c r="C170" s="54"/>
      <c r="D170" s="54"/>
      <c r="E170" s="951">
        <f>-(C169-E169)/C169</f>
        <v>-3.6598557692307694E-2</v>
      </c>
      <c r="F170" s="21" t="s">
        <v>13</v>
      </c>
      <c r="G170" s="950">
        <f>-(C169-G169)/C169</f>
        <v>-3.6598557692307694E-2</v>
      </c>
      <c r="H170" s="57" t="s">
        <v>10</v>
      </c>
      <c r="I170" s="22">
        <v>15000000</v>
      </c>
      <c r="J170" s="22">
        <v>15000000</v>
      </c>
      <c r="K170" s="40">
        <v>0</v>
      </c>
    </row>
    <row r="171" spans="2:11" hidden="1" outlineLevel="1" x14ac:dyDescent="0.25">
      <c r="B171" s="51"/>
      <c r="C171" s="55"/>
      <c r="D171" s="55"/>
      <c r="E171" s="55"/>
      <c r="F171" s="51"/>
      <c r="G171" s="55"/>
      <c r="H171" s="57" t="s">
        <v>67</v>
      </c>
      <c r="I171" s="22">
        <v>15000000</v>
      </c>
      <c r="J171" s="22">
        <v>15000000</v>
      </c>
      <c r="K171" s="40">
        <v>0</v>
      </c>
    </row>
    <row r="172" spans="2:11" hidden="1" outlineLevel="1" x14ac:dyDescent="0.25">
      <c r="B172" s="51"/>
      <c r="C172" s="55"/>
      <c r="D172" s="55"/>
      <c r="E172" s="55"/>
      <c r="F172" s="51"/>
      <c r="G172" s="55"/>
      <c r="H172" s="57" t="s">
        <v>68</v>
      </c>
      <c r="I172" s="22"/>
      <c r="J172" s="22"/>
      <c r="K172" s="40"/>
    </row>
    <row r="173" spans="2:11" hidden="1" outlineLevel="1" x14ac:dyDescent="0.25">
      <c r="B173" s="120" t="s">
        <v>311</v>
      </c>
      <c r="C173" s="55"/>
      <c r="D173" s="51"/>
      <c r="E173" s="55"/>
      <c r="F173" s="2"/>
      <c r="G173" s="23"/>
      <c r="H173" s="23"/>
      <c r="I173" s="23"/>
    </row>
    <row r="174" spans="2:11" hidden="1" outlineLevel="1" x14ac:dyDescent="0.25">
      <c r="B174" s="120"/>
      <c r="C174" s="55"/>
      <c r="D174" s="51"/>
      <c r="E174" s="55"/>
      <c r="F174" s="2"/>
      <c r="G174" s="23"/>
      <c r="H174" s="23"/>
      <c r="I174" s="23"/>
    </row>
    <row r="175" spans="2:11" hidden="1" outlineLevel="1" x14ac:dyDescent="0.25">
      <c r="B175" s="282" t="s">
        <v>10</v>
      </c>
      <c r="C175" s="55"/>
      <c r="D175" s="51"/>
      <c r="E175" s="55"/>
      <c r="F175" s="2"/>
      <c r="G175" s="23"/>
      <c r="H175" s="23"/>
      <c r="I175" s="23"/>
    </row>
    <row r="176" spans="2:11" hidden="1" outlineLevel="1" x14ac:dyDescent="0.25">
      <c r="B176" s="120"/>
      <c r="D176" s="1205" t="s">
        <v>310</v>
      </c>
      <c r="E176" s="1230"/>
      <c r="F176" s="2"/>
      <c r="G176" s="23"/>
      <c r="H176" s="23"/>
      <c r="I176" s="23"/>
    </row>
    <row r="177" spans="2:11" hidden="1" outlineLevel="1" x14ac:dyDescent="0.25">
      <c r="B177" s="163" t="s">
        <v>59</v>
      </c>
      <c r="C177" s="167" t="s">
        <v>1</v>
      </c>
      <c r="D177" s="184" t="str">
        <f>I169</f>
        <v>Each Occurrence</v>
      </c>
      <c r="E177" s="184" t="str">
        <f>J169</f>
        <v>Aggregate</v>
      </c>
      <c r="F177" s="183" t="str">
        <f>I34</f>
        <v>Self-Insured Retention</v>
      </c>
      <c r="G177" s="168" t="s">
        <v>60</v>
      </c>
      <c r="H177" s="168" t="s">
        <v>328</v>
      </c>
      <c r="I177" s="23"/>
    </row>
    <row r="178" spans="2:11" hidden="1" outlineLevel="1" x14ac:dyDescent="0.25">
      <c r="B178" s="233" t="str">
        <f>B403</f>
        <v>T5CS 1st Excess Liability</v>
      </c>
      <c r="C178" s="171" t="str">
        <f>'T5CS 1st Excess Liab'!C7</f>
        <v>NHA098510</v>
      </c>
      <c r="D178" s="283">
        <f>G429</f>
        <v>10000000</v>
      </c>
      <c r="E178" s="216">
        <f>H429</f>
        <v>10000000</v>
      </c>
      <c r="F178" s="216">
        <v>0</v>
      </c>
      <c r="G178" s="173" t="str">
        <f>B408</f>
        <v xml:space="preserve">RSUI Indemnity Company </v>
      </c>
      <c r="H178" s="173" t="str">
        <f>C5</f>
        <v>7/1/2022 - 7/1/2023</v>
      </c>
      <c r="I178" s="23"/>
    </row>
    <row r="179" spans="2:11" hidden="1" outlineLevel="1" x14ac:dyDescent="0.25">
      <c r="B179" s="36" t="s">
        <v>4</v>
      </c>
      <c r="C179" s="55"/>
      <c r="D179" s="51"/>
      <c r="E179" s="55"/>
      <c r="F179" s="2"/>
      <c r="G179" s="23"/>
      <c r="H179" s="23"/>
      <c r="I179" s="23"/>
    </row>
    <row r="180" spans="2:11" hidden="1" outlineLevel="1" x14ac:dyDescent="0.25">
      <c r="B180" s="120"/>
      <c r="D180" s="1205" t="s">
        <v>310</v>
      </c>
      <c r="E180" s="1230"/>
      <c r="F180" s="2"/>
      <c r="G180" s="23"/>
      <c r="H180" s="23"/>
      <c r="I180" s="23"/>
    </row>
    <row r="181" spans="2:11" hidden="1" outlineLevel="1" x14ac:dyDescent="0.25">
      <c r="B181" s="163" t="s">
        <v>59</v>
      </c>
      <c r="C181" s="167" t="s">
        <v>1</v>
      </c>
      <c r="D181" s="184" t="str">
        <f>I169</f>
        <v>Each Occurrence</v>
      </c>
      <c r="E181" s="184" t="str">
        <f>J169</f>
        <v>Aggregate</v>
      </c>
      <c r="F181" s="183" t="str">
        <f>I34</f>
        <v>Self-Insured Retention</v>
      </c>
      <c r="G181" s="168" t="s">
        <v>60</v>
      </c>
      <c r="H181" s="168" t="s">
        <v>328</v>
      </c>
      <c r="I181" s="23"/>
      <c r="J181" s="23"/>
      <c r="K181" s="23"/>
    </row>
    <row r="182" spans="2:11" hidden="1" outlineLevel="1" x14ac:dyDescent="0.25">
      <c r="B182" s="233" t="str">
        <f>B178</f>
        <v>T5CS 1st Excess Liability</v>
      </c>
      <c r="C182" s="171">
        <f>C97</f>
        <v>6080920557</v>
      </c>
      <c r="D182" s="172">
        <f>G430</f>
        <v>10000000</v>
      </c>
      <c r="E182" s="216">
        <f>H430</f>
        <v>10000000</v>
      </c>
      <c r="F182" s="216">
        <v>0</v>
      </c>
      <c r="G182" s="173" t="str">
        <f>D408</f>
        <v xml:space="preserve">RSUI Indemnity Company </v>
      </c>
      <c r="H182" s="173" t="str">
        <f>C6</f>
        <v>7/1/2023 - 7/1/2024</v>
      </c>
      <c r="I182" s="23"/>
      <c r="J182" s="23"/>
      <c r="K182" s="23"/>
    </row>
    <row r="183" spans="2:11" s="229" customFormat="1" ht="13.5" customHeight="1" collapsed="1" x14ac:dyDescent="0.25"/>
    <row r="184" spans="2:11" x14ac:dyDescent="0.25">
      <c r="B184" s="1052" t="s">
        <v>1231</v>
      </c>
      <c r="F184" s="338" t="s">
        <v>437</v>
      </c>
      <c r="G184" s="1165" t="s">
        <v>537</v>
      </c>
      <c r="H184" s="1165"/>
    </row>
    <row r="185" spans="2:11" hidden="1" outlineLevel="1" x14ac:dyDescent="0.25">
      <c r="B185" t="s">
        <v>0</v>
      </c>
      <c r="C185" t="s">
        <v>17</v>
      </c>
    </row>
    <row r="186" spans="2:11" hidden="1" outlineLevel="1" x14ac:dyDescent="0.25">
      <c r="B186" t="s">
        <v>1679</v>
      </c>
      <c r="C186" s="72">
        <v>6080912085</v>
      </c>
    </row>
    <row r="187" spans="2:11" hidden="1" outlineLevel="1" x14ac:dyDescent="0.25">
      <c r="B187" t="s">
        <v>1680</v>
      </c>
      <c r="C187" s="72">
        <v>6080912085</v>
      </c>
    </row>
    <row r="188" spans="2:11" hidden="1" outlineLevel="1" x14ac:dyDescent="0.25">
      <c r="B188" t="s">
        <v>131</v>
      </c>
      <c r="C188" t="s">
        <v>132</v>
      </c>
      <c r="D188" t="s">
        <v>133</v>
      </c>
      <c r="E188" t="s">
        <v>134</v>
      </c>
      <c r="F188" s="210" t="s">
        <v>392</v>
      </c>
      <c r="G188" s="1166"/>
      <c r="H188" s="1166"/>
    </row>
    <row r="189" spans="2:11" ht="30" hidden="1" outlineLevel="1" x14ac:dyDescent="0.25">
      <c r="B189" s="176" t="s">
        <v>1714</v>
      </c>
      <c r="C189" s="571" t="str">
        <f>B189</f>
        <v>Continental Insurance Company (CNA)</v>
      </c>
      <c r="D189" s="176" t="s">
        <v>1714</v>
      </c>
      <c r="E189" s="176" t="s">
        <v>1714</v>
      </c>
      <c r="G189" s="1175"/>
      <c r="H189" s="1175"/>
    </row>
    <row r="190" spans="2:11" hidden="1" outlineLevel="1" x14ac:dyDescent="0.25">
      <c r="B190" t="s">
        <v>135</v>
      </c>
      <c r="C190" t="s">
        <v>136</v>
      </c>
      <c r="D190" t="s">
        <v>137</v>
      </c>
      <c r="E190" t="s">
        <v>139</v>
      </c>
    </row>
    <row r="191" spans="2:11" hidden="1" outlineLevel="1" x14ac:dyDescent="0.25">
      <c r="B191" s="18" t="s">
        <v>1116</v>
      </c>
      <c r="C191" t="str">
        <f>B191</f>
        <v>A: XV</v>
      </c>
      <c r="D191" s="18" t="s">
        <v>1116</v>
      </c>
      <c r="E191" s="18" t="s">
        <v>1116</v>
      </c>
    </row>
    <row r="192" spans="2:11" hidden="1" outlineLevel="1" x14ac:dyDescent="0.25">
      <c r="B192" t="s">
        <v>2</v>
      </c>
      <c r="C192" t="s">
        <v>3</v>
      </c>
      <c r="D192" t="s">
        <v>140</v>
      </c>
      <c r="E192" t="s">
        <v>141</v>
      </c>
    </row>
    <row r="193" spans="2:12" hidden="1" outlineLevel="1" x14ac:dyDescent="0.25">
      <c r="B193" s="123">
        <v>105758</v>
      </c>
      <c r="C193" s="4">
        <f>K206*(C195/1000)</f>
        <v>130750.39278815196</v>
      </c>
      <c r="D193" s="123">
        <v>94838</v>
      </c>
      <c r="E193" s="123">
        <v>94838</v>
      </c>
      <c r="F193" s="4"/>
    </row>
    <row r="194" spans="2:12" hidden="1" outlineLevel="1" x14ac:dyDescent="0.25">
      <c r="B194" s="4" t="s">
        <v>631</v>
      </c>
      <c r="C194" s="4" t="str">
        <f>B194</f>
        <v>Blended Rate per $1,000 of Exposure</v>
      </c>
      <c r="D194" s="4" t="str">
        <f>B194</f>
        <v>Blended Rate per $1,000 of Exposure</v>
      </c>
      <c r="E194" s="4" t="str">
        <f>B194</f>
        <v>Blended Rate per $1,000 of Exposure</v>
      </c>
      <c r="F194" s="4"/>
    </row>
    <row r="195" spans="2:12" hidden="1" outlineLevel="1" x14ac:dyDescent="0.25">
      <c r="B195" s="289">
        <f>B193/(I206/1000)</f>
        <v>1.3619832582099163</v>
      </c>
      <c r="C195" s="289">
        <f>B195</f>
        <v>1.3619832582099163</v>
      </c>
      <c r="D195" s="289">
        <f>D193/(E209/1000)</f>
        <v>2.3709500000000001</v>
      </c>
      <c r="E195" s="289">
        <f>E193/(E209/1000)</f>
        <v>2.3709500000000001</v>
      </c>
      <c r="F195" s="4"/>
    </row>
    <row r="196" spans="2:12" hidden="1" outlineLevel="1" x14ac:dyDescent="0.25">
      <c r="D196" t="s">
        <v>5</v>
      </c>
      <c r="E196" t="s">
        <v>6</v>
      </c>
    </row>
    <row r="197" spans="2:12" hidden="1" outlineLevel="1" x14ac:dyDescent="0.25">
      <c r="D197" s="3">
        <f>-(C193-D193)/C193</f>
        <v>-0.27466374687178907</v>
      </c>
      <c r="E197" s="3">
        <f>-(C193-E193)/C193</f>
        <v>-0.27466374687178907</v>
      </c>
    </row>
    <row r="198" spans="2:12" hidden="1" outlineLevel="1" x14ac:dyDescent="0.25">
      <c r="B198" s="3" t="s">
        <v>685</v>
      </c>
      <c r="C198" s="3" t="s">
        <v>686</v>
      </c>
      <c r="D198" s="3" t="s">
        <v>687</v>
      </c>
      <c r="E198" s="3" t="s">
        <v>688</v>
      </c>
    </row>
    <row r="199" spans="2:12" hidden="1" outlineLevel="1" x14ac:dyDescent="0.25">
      <c r="B199" s="178"/>
      <c r="C199" s="179">
        <f>B199+B199*E211</f>
        <v>0</v>
      </c>
      <c r="D199" s="178"/>
      <c r="E199" s="178"/>
    </row>
    <row r="200" spans="2:12" hidden="1" outlineLevel="1" x14ac:dyDescent="0.25">
      <c r="B200" s="3" t="s">
        <v>203</v>
      </c>
      <c r="C200" s="3" t="s">
        <v>204</v>
      </c>
      <c r="D200" s="3" t="s">
        <v>205</v>
      </c>
      <c r="E200" s="3" t="s">
        <v>206</v>
      </c>
    </row>
    <row r="201" spans="2:12" hidden="1" outlineLevel="1" x14ac:dyDescent="0.25">
      <c r="B201" s="178"/>
      <c r="C201" s="179">
        <f>B201+B201*E211</f>
        <v>0</v>
      </c>
      <c r="D201" s="178"/>
      <c r="E201" s="178"/>
      <c r="H201" s="1169" t="s">
        <v>39</v>
      </c>
      <c r="I201" s="1170"/>
      <c r="J201" s="1170" t="s">
        <v>40</v>
      </c>
      <c r="K201" s="1171"/>
    </row>
    <row r="202" spans="2:12" ht="30" hidden="1" outlineLevel="1" x14ac:dyDescent="0.25">
      <c r="B202" s="3" t="s">
        <v>14</v>
      </c>
      <c r="C202" s="4" t="s">
        <v>15</v>
      </c>
      <c r="D202" s="4" t="s">
        <v>142</v>
      </c>
      <c r="E202" t="s">
        <v>143</v>
      </c>
      <c r="H202" s="42" t="s">
        <v>1712</v>
      </c>
      <c r="I202" s="19">
        <v>60000000</v>
      </c>
      <c r="J202" s="14" t="str">
        <f>H202</f>
        <v>Subcontracted Work</v>
      </c>
      <c r="K202" s="24">
        <v>40000000</v>
      </c>
      <c r="L202" s="15">
        <f>-(I202-K202)/I202</f>
        <v>-0.33333333333333331</v>
      </c>
    </row>
    <row r="203" spans="2:12" hidden="1" outlineLevel="1" x14ac:dyDescent="0.25">
      <c r="B203" s="4">
        <f>B193+B199+B201</f>
        <v>105758</v>
      </c>
      <c r="C203" s="4">
        <f>C193+C199+C201</f>
        <v>130750.39278815196</v>
      </c>
      <c r="D203" s="4">
        <f>D193+D199+D201</f>
        <v>94838</v>
      </c>
      <c r="E203" s="4">
        <f>E193+E199+E201</f>
        <v>94838</v>
      </c>
      <c r="F203" s="4"/>
      <c r="H203" s="42" t="s">
        <v>1903</v>
      </c>
      <c r="I203" s="19">
        <v>1650000</v>
      </c>
      <c r="J203" s="14" t="str">
        <f t="shared" ref="J203:J205" si="8">H203</f>
        <v>Field payroll</v>
      </c>
      <c r="K203" s="24">
        <v>3000000</v>
      </c>
      <c r="L203" s="15">
        <f t="shared" ref="L203:L205" si="9">-(I203-K203)/I203</f>
        <v>0.81818181818181823</v>
      </c>
    </row>
    <row r="204" spans="2:12" ht="30" hidden="1" outlineLevel="1" x14ac:dyDescent="0.25">
      <c r="B204" s="3" t="s">
        <v>998</v>
      </c>
      <c r="C204" s="3" t="s">
        <v>999</v>
      </c>
      <c r="D204" s="3" t="s">
        <v>1000</v>
      </c>
      <c r="E204" s="3" t="s">
        <v>1001</v>
      </c>
      <c r="F204" s="4"/>
      <c r="H204" s="42" t="s">
        <v>1904</v>
      </c>
      <c r="I204" s="19">
        <v>15000000</v>
      </c>
      <c r="J204" s="14" t="str">
        <f t="shared" si="8"/>
        <v>equipment procurement</v>
      </c>
      <c r="K204" s="24">
        <v>52000000</v>
      </c>
      <c r="L204" s="15">
        <f t="shared" si="9"/>
        <v>2.4666666666666668</v>
      </c>
    </row>
    <row r="205" spans="2:12" ht="30" hidden="1" outlineLevel="1" x14ac:dyDescent="0.25">
      <c r="B205" s="693"/>
      <c r="C205" s="157" t="s">
        <v>284</v>
      </c>
      <c r="D205" s="693"/>
      <c r="E205" s="693"/>
      <c r="F205" s="4"/>
      <c r="H205" s="42" t="s">
        <v>1905</v>
      </c>
      <c r="I205" s="19">
        <v>1000000</v>
      </c>
      <c r="J205" s="14" t="str">
        <f t="shared" si="8"/>
        <v>project management</v>
      </c>
      <c r="K205" s="24">
        <v>1000000</v>
      </c>
      <c r="L205" s="15">
        <f t="shared" si="9"/>
        <v>0</v>
      </c>
    </row>
    <row r="206" spans="2:12" hidden="1" outlineLevel="1" x14ac:dyDescent="0.25">
      <c r="B206" s="4"/>
      <c r="C206" s="4"/>
      <c r="D206" s="4"/>
      <c r="E206" s="4"/>
      <c r="F206" s="4"/>
      <c r="I206" s="1003">
        <f>I202+I203+I204+I205</f>
        <v>77650000</v>
      </c>
      <c r="K206" s="1003">
        <f>K202+K203+K204+K205</f>
        <v>96000000</v>
      </c>
    </row>
    <row r="207" spans="2:12" hidden="1" outlineLevel="1" x14ac:dyDescent="0.25">
      <c r="B207" s="37" t="s">
        <v>7</v>
      </c>
      <c r="F207" s="1072">
        <v>-0.1242</v>
      </c>
      <c r="G207" s="1168"/>
      <c r="H207" s="1168"/>
      <c r="I207" s="2"/>
    </row>
    <row r="208" spans="2:12" hidden="1" outlineLevel="1" x14ac:dyDescent="0.25">
      <c r="B208" s="1169" t="s">
        <v>39</v>
      </c>
      <c r="C208" s="1170"/>
      <c r="D208" s="1170" t="s">
        <v>40</v>
      </c>
      <c r="E208" s="1171"/>
    </row>
    <row r="209" spans="2:11" hidden="1" outlineLevel="1" x14ac:dyDescent="0.25">
      <c r="B209" s="42" t="s">
        <v>1712</v>
      </c>
      <c r="C209" s="19">
        <v>60000000</v>
      </c>
      <c r="D209" s="14" t="str">
        <f>B209</f>
        <v>Subcontracted Work</v>
      </c>
      <c r="E209" s="24">
        <v>40000000</v>
      </c>
      <c r="F209" s="1075">
        <f>-(C209-E209)/C209</f>
        <v>-0.33333333333333331</v>
      </c>
      <c r="J209" s="10" t="s">
        <v>13</v>
      </c>
      <c r="K209" s="15">
        <f>(L202+L204)/2</f>
        <v>1.0666666666666667</v>
      </c>
    </row>
    <row r="210" spans="2:11" hidden="1" outlineLevel="1" x14ac:dyDescent="0.25">
      <c r="B210" s="1073"/>
      <c r="C210" s="735">
        <v>15000000</v>
      </c>
      <c r="D210" s="1074"/>
      <c r="E210" s="735">
        <v>52000000</v>
      </c>
      <c r="F210" s="1075">
        <f>-(C210-E210)/C210</f>
        <v>2.4666666666666668</v>
      </c>
      <c r="J210" s="51"/>
      <c r="K210" s="15"/>
    </row>
    <row r="211" spans="2:11" hidden="1" outlineLevel="1" x14ac:dyDescent="0.25">
      <c r="D211" s="10" t="s">
        <v>13</v>
      </c>
      <c r="E211" s="15">
        <f>AVERAGE(F209:F210)</f>
        <v>1.0666666666666667</v>
      </c>
    </row>
    <row r="212" spans="2:11" hidden="1" outlineLevel="1" x14ac:dyDescent="0.25">
      <c r="B212" s="37" t="s">
        <v>9</v>
      </c>
      <c r="D212" s="5"/>
      <c r="E212" s="6"/>
    </row>
    <row r="213" spans="2:11" hidden="1" outlineLevel="1" x14ac:dyDescent="0.25">
      <c r="B213" s="43"/>
      <c r="C213" s="8" t="s">
        <v>10</v>
      </c>
      <c r="D213" s="8" t="s">
        <v>67</v>
      </c>
      <c r="E213" s="9" t="s">
        <v>68</v>
      </c>
      <c r="F213" s="25"/>
    </row>
    <row r="214" spans="2:11" hidden="1" outlineLevel="1" x14ac:dyDescent="0.25">
      <c r="B214" s="318" t="s">
        <v>129</v>
      </c>
      <c r="C214" s="27">
        <v>1000000</v>
      </c>
      <c r="D214" s="27">
        <f>C214</f>
        <v>1000000</v>
      </c>
      <c r="E214" s="137"/>
      <c r="F214" s="26"/>
    </row>
    <row r="215" spans="2:11" ht="30" hidden="1" outlineLevel="1" x14ac:dyDescent="0.25">
      <c r="B215" s="318" t="s">
        <v>513</v>
      </c>
      <c r="C215" s="27">
        <v>2000000</v>
      </c>
      <c r="D215" s="27">
        <f t="shared" ref="D215:D225" si="10">C215</f>
        <v>2000000</v>
      </c>
      <c r="E215" s="137"/>
      <c r="F215" s="26"/>
    </row>
    <row r="216" spans="2:11" hidden="1" outlineLevel="1" x14ac:dyDescent="0.25">
      <c r="B216" s="318" t="s">
        <v>774</v>
      </c>
      <c r="C216" s="27">
        <v>1000000</v>
      </c>
      <c r="D216" s="27">
        <f t="shared" si="10"/>
        <v>1000000</v>
      </c>
      <c r="E216" s="137"/>
      <c r="F216" s="26"/>
    </row>
    <row r="217" spans="2:11" hidden="1" outlineLevel="1" x14ac:dyDescent="0.25">
      <c r="B217" s="318" t="s">
        <v>775</v>
      </c>
      <c r="C217" s="27">
        <v>2000000</v>
      </c>
      <c r="D217" s="27">
        <f t="shared" si="10"/>
        <v>2000000</v>
      </c>
      <c r="E217" s="137"/>
      <c r="F217" s="26"/>
    </row>
    <row r="218" spans="2:11" hidden="1" outlineLevel="1" x14ac:dyDescent="0.25">
      <c r="B218" s="318" t="s">
        <v>776</v>
      </c>
      <c r="C218" s="27">
        <v>100000</v>
      </c>
      <c r="D218" s="27">
        <f t="shared" si="10"/>
        <v>100000</v>
      </c>
      <c r="E218" s="137"/>
      <c r="F218" s="26"/>
    </row>
    <row r="219" spans="2:11" hidden="1" outlineLevel="1" x14ac:dyDescent="0.25">
      <c r="B219" s="318" t="s">
        <v>202</v>
      </c>
      <c r="C219" s="27">
        <v>15000</v>
      </c>
      <c r="D219" s="27">
        <f t="shared" si="10"/>
        <v>15000</v>
      </c>
      <c r="E219" s="137"/>
      <c r="F219" s="26"/>
    </row>
    <row r="220" spans="2:11" ht="30" hidden="1" outlineLevel="1" x14ac:dyDescent="0.25">
      <c r="B220" s="543" t="s">
        <v>777</v>
      </c>
      <c r="C220" s="27">
        <v>0</v>
      </c>
      <c r="D220" s="27">
        <f t="shared" si="10"/>
        <v>0</v>
      </c>
      <c r="E220" s="137"/>
      <c r="F220" s="26"/>
    </row>
    <row r="221" spans="2:11" ht="30" hidden="1" outlineLevel="1" x14ac:dyDescent="0.25">
      <c r="B221" s="543" t="s">
        <v>778</v>
      </c>
      <c r="C221" s="138">
        <v>0</v>
      </c>
      <c r="D221" s="138">
        <f t="shared" si="10"/>
        <v>0</v>
      </c>
      <c r="E221" s="139"/>
      <c r="F221" s="26"/>
    </row>
    <row r="222" spans="2:11" hidden="1" outlineLevel="1" x14ac:dyDescent="0.25">
      <c r="B222" s="37" t="s">
        <v>37</v>
      </c>
      <c r="D222" s="5"/>
      <c r="E222" s="6"/>
    </row>
    <row r="223" spans="2:11" hidden="1" outlineLevel="1" x14ac:dyDescent="0.25">
      <c r="B223" s="43"/>
      <c r="C223" s="8" t="s">
        <v>10</v>
      </c>
      <c r="D223" s="8" t="s">
        <v>67</v>
      </c>
      <c r="E223" s="9" t="s">
        <v>68</v>
      </c>
      <c r="F223" s="25"/>
    </row>
    <row r="224" spans="2:11" hidden="1" outlineLevel="1" x14ac:dyDescent="0.25">
      <c r="B224" s="318" t="s">
        <v>16</v>
      </c>
      <c r="C224" s="138">
        <v>0</v>
      </c>
      <c r="D224" s="138">
        <f t="shared" si="10"/>
        <v>0</v>
      </c>
      <c r="E224" s="139"/>
      <c r="F224" s="26"/>
    </row>
    <row r="225" spans="2:8" ht="30" hidden="1" outlineLevel="1" x14ac:dyDescent="0.25">
      <c r="B225" s="544" t="s">
        <v>779</v>
      </c>
      <c r="C225" s="138">
        <v>0</v>
      </c>
      <c r="D225" s="138">
        <f t="shared" si="10"/>
        <v>0</v>
      </c>
      <c r="E225" s="139"/>
      <c r="F225" s="26"/>
    </row>
    <row r="226" spans="2:8" s="1197" customFormat="1" ht="13.5" customHeight="1" collapsed="1" x14ac:dyDescent="0.25"/>
    <row r="227" spans="2:8" x14ac:dyDescent="0.25">
      <c r="B227" s="1052" t="s">
        <v>24</v>
      </c>
      <c r="F227" s="338" t="s">
        <v>437</v>
      </c>
      <c r="G227" s="1165" t="s">
        <v>537</v>
      </c>
      <c r="H227" s="1165"/>
    </row>
    <row r="228" spans="2:8" hidden="1" outlineLevel="1" x14ac:dyDescent="0.25">
      <c r="B228" t="s">
        <v>0</v>
      </c>
      <c r="C228" t="s">
        <v>317</v>
      </c>
    </row>
    <row r="229" spans="2:8" hidden="1" outlineLevel="1" x14ac:dyDescent="0.25">
      <c r="B229" t="s">
        <v>1679</v>
      </c>
      <c r="C229" s="72">
        <v>6080910403</v>
      </c>
    </row>
    <row r="230" spans="2:8" hidden="1" outlineLevel="1" x14ac:dyDescent="0.25">
      <c r="B230" t="s">
        <v>1680</v>
      </c>
      <c r="C230" s="72">
        <v>6080910403</v>
      </c>
    </row>
    <row r="231" spans="2:8" hidden="1" outlineLevel="1" x14ac:dyDescent="0.25">
      <c r="B231" t="s">
        <v>131</v>
      </c>
      <c r="C231" t="s">
        <v>132</v>
      </c>
      <c r="D231" t="s">
        <v>133</v>
      </c>
      <c r="E231" t="s">
        <v>134</v>
      </c>
      <c r="F231" s="210" t="s">
        <v>392</v>
      </c>
      <c r="G231" s="1166"/>
      <c r="H231" s="1166"/>
    </row>
    <row r="232" spans="2:8" ht="30" hidden="1" outlineLevel="1" x14ac:dyDescent="0.25">
      <c r="B232" s="176" t="s">
        <v>1115</v>
      </c>
      <c r="C232" s="571" t="str">
        <f>B232</f>
        <v>The Continental Insurance Company (CNA)</v>
      </c>
      <c r="D232" s="176" t="s">
        <v>1949</v>
      </c>
      <c r="E232" s="176" t="s">
        <v>1949</v>
      </c>
      <c r="G232" s="1175"/>
      <c r="H232" s="1175"/>
    </row>
    <row r="233" spans="2:8" hidden="1" outlineLevel="1" x14ac:dyDescent="0.25">
      <c r="B233" t="s">
        <v>135</v>
      </c>
      <c r="C233" t="s">
        <v>136</v>
      </c>
      <c r="D233" t="s">
        <v>135</v>
      </c>
      <c r="E233" t="s">
        <v>139</v>
      </c>
    </row>
    <row r="234" spans="2:8" hidden="1" outlineLevel="1" x14ac:dyDescent="0.25">
      <c r="B234" s="18" t="s">
        <v>1116</v>
      </c>
      <c r="C234" t="str">
        <f>B234</f>
        <v>A: XV</v>
      </c>
      <c r="D234" s="18" t="s">
        <v>1116</v>
      </c>
      <c r="E234" s="18" t="s">
        <v>1116</v>
      </c>
    </row>
    <row r="235" spans="2:8" hidden="1" outlineLevel="1" x14ac:dyDescent="0.25">
      <c r="B235" t="s">
        <v>2</v>
      </c>
      <c r="C235" t="s">
        <v>3</v>
      </c>
      <c r="D235" t="s">
        <v>140</v>
      </c>
      <c r="E235" t="s">
        <v>141</v>
      </c>
    </row>
    <row r="236" spans="2:8" hidden="1" outlineLevel="1" x14ac:dyDescent="0.25">
      <c r="B236" s="123">
        <v>88961</v>
      </c>
      <c r="C236" s="4">
        <f>B236+B236*E253</f>
        <v>100530.99205460245</v>
      </c>
      <c r="D236" s="123">
        <v>108984</v>
      </c>
      <c r="E236" s="123">
        <v>108984</v>
      </c>
    </row>
    <row r="237" spans="2:8" hidden="1" outlineLevel="1" x14ac:dyDescent="0.25">
      <c r="B237" s="4" t="s">
        <v>543</v>
      </c>
      <c r="C237" s="4" t="str">
        <f>B237</f>
        <v>Blended Rate per $100 of Exposure</v>
      </c>
      <c r="D237" s="4" t="str">
        <f>B237</f>
        <v>Blended Rate per $100 of Exposure</v>
      </c>
      <c r="E237" s="4" t="str">
        <f>B237</f>
        <v>Blended Rate per $100 of Exposure</v>
      </c>
    </row>
    <row r="238" spans="2:8" hidden="1" outlineLevel="1" x14ac:dyDescent="0.25">
      <c r="B238" s="289">
        <f>B236/(C252/100)</f>
        <v>0.41490890482630266</v>
      </c>
      <c r="C238" s="289">
        <f>C236/(E252/100)</f>
        <v>0.41490890482630272</v>
      </c>
      <c r="D238" s="289">
        <f>D236/(E252/100)</f>
        <v>0.44979594013187313</v>
      </c>
      <c r="E238" s="289">
        <f>E236/(E252/100)</f>
        <v>0.44979594013187313</v>
      </c>
    </row>
    <row r="239" spans="2:8" hidden="1" outlineLevel="1" x14ac:dyDescent="0.25">
      <c r="D239" t="s">
        <v>5</v>
      </c>
      <c r="E239" t="s">
        <v>6</v>
      </c>
    </row>
    <row r="240" spans="2:8" hidden="1" outlineLevel="1" x14ac:dyDescent="0.25">
      <c r="D240" s="3">
        <f>-(C236-D236)/C236</f>
        <v>8.4083602207032607E-2</v>
      </c>
      <c r="E240" s="3">
        <f>-(C236-E236)/C236</f>
        <v>8.4083602207032607E-2</v>
      </c>
    </row>
    <row r="241" spans="2:9" hidden="1" outlineLevel="1" x14ac:dyDescent="0.25">
      <c r="B241" s="3" t="s">
        <v>685</v>
      </c>
      <c r="C241" s="3" t="s">
        <v>686</v>
      </c>
      <c r="D241" s="3" t="s">
        <v>687</v>
      </c>
      <c r="E241" s="3" t="s">
        <v>688</v>
      </c>
    </row>
    <row r="242" spans="2:9" hidden="1" outlineLevel="1" x14ac:dyDescent="0.25">
      <c r="B242" s="178">
        <v>852</v>
      </c>
      <c r="C242" s="179">
        <f>B242+B242*E253</f>
        <v>962.80848046358835</v>
      </c>
      <c r="D242" s="178">
        <v>1015</v>
      </c>
      <c r="E242" s="178">
        <v>1015</v>
      </c>
    </row>
    <row r="243" spans="2:9" hidden="1" outlineLevel="1" x14ac:dyDescent="0.25">
      <c r="B243" s="3" t="s">
        <v>203</v>
      </c>
      <c r="C243" s="3" t="s">
        <v>204</v>
      </c>
      <c r="D243" s="3" t="s">
        <v>205</v>
      </c>
      <c r="E243" s="3" t="s">
        <v>206</v>
      </c>
    </row>
    <row r="244" spans="2:9" hidden="1" outlineLevel="1" x14ac:dyDescent="0.25">
      <c r="B244" s="178"/>
      <c r="C244" s="179">
        <f>B244+B244*E253</f>
        <v>0</v>
      </c>
      <c r="D244" s="178"/>
      <c r="E244" s="178"/>
    </row>
    <row r="245" spans="2:9" hidden="1" outlineLevel="1" x14ac:dyDescent="0.25">
      <c r="B245" s="3" t="s">
        <v>14</v>
      </c>
      <c r="C245" s="4" t="s">
        <v>15</v>
      </c>
      <c r="D245" s="4" t="s">
        <v>142</v>
      </c>
      <c r="E245" t="s">
        <v>143</v>
      </c>
    </row>
    <row r="246" spans="2:9" hidden="1" outlineLevel="1" x14ac:dyDescent="0.25">
      <c r="B246" s="4">
        <f>B236+B242+B244</f>
        <v>89813</v>
      </c>
      <c r="C246" s="4">
        <f>C236+C242+C244</f>
        <v>101493.80053506604</v>
      </c>
      <c r="D246" s="4">
        <f>D236+D242+D244</f>
        <v>109999</v>
      </c>
      <c r="E246" s="4">
        <f>E236+E242+E244</f>
        <v>109999</v>
      </c>
    </row>
    <row r="247" spans="2:9" hidden="1" outlineLevel="1" x14ac:dyDescent="0.25">
      <c r="B247" s="3" t="s">
        <v>998</v>
      </c>
      <c r="C247" s="3" t="s">
        <v>999</v>
      </c>
      <c r="D247" s="3" t="s">
        <v>1000</v>
      </c>
      <c r="E247" s="3" t="s">
        <v>1001</v>
      </c>
    </row>
    <row r="248" spans="2:9" hidden="1" outlineLevel="1" x14ac:dyDescent="0.25">
      <c r="B248" s="693"/>
      <c r="C248" s="157" t="s">
        <v>284</v>
      </c>
      <c r="D248" s="693"/>
      <c r="E248" s="693"/>
    </row>
    <row r="249" spans="2:9" hidden="1" outlineLevel="1" x14ac:dyDescent="0.25">
      <c r="B249" s="4"/>
      <c r="C249" s="4"/>
      <c r="D249" s="4"/>
      <c r="E249" s="4"/>
    </row>
    <row r="250" spans="2:9" hidden="1" outlineLevel="1" x14ac:dyDescent="0.25">
      <c r="B250" s="37" t="s">
        <v>381</v>
      </c>
      <c r="F250" s="1168"/>
      <c r="G250" s="1168"/>
    </row>
    <row r="251" spans="2:9" hidden="1" outlineLevel="1" x14ac:dyDescent="0.25">
      <c r="B251" s="1169" t="s">
        <v>39</v>
      </c>
      <c r="C251" s="1170"/>
      <c r="D251" s="1170" t="s">
        <v>40</v>
      </c>
      <c r="E251" s="1171"/>
    </row>
    <row r="252" spans="2:9" hidden="1" outlineLevel="1" x14ac:dyDescent="0.25">
      <c r="B252" s="38" t="s">
        <v>320</v>
      </c>
      <c r="C252" s="19">
        <v>21441092</v>
      </c>
      <c r="D252" s="7" t="str">
        <f>B252</f>
        <v>Payroll</v>
      </c>
      <c r="E252" s="24">
        <v>24229654</v>
      </c>
    </row>
    <row r="253" spans="2:9" hidden="1" outlineLevel="1" x14ac:dyDescent="0.25">
      <c r="D253" s="10" t="s">
        <v>13</v>
      </c>
      <c r="E253" s="15">
        <f>-(C252-E252)/C252</f>
        <v>0.13005690195256847</v>
      </c>
    </row>
    <row r="254" spans="2:9" hidden="1" outlineLevel="1" x14ac:dyDescent="0.25">
      <c r="B254" s="37" t="s">
        <v>9</v>
      </c>
      <c r="D254" s="5"/>
      <c r="E254" s="30"/>
      <c r="F254" s="1173" t="s">
        <v>26</v>
      </c>
      <c r="G254" s="1173"/>
      <c r="H254" s="1173"/>
      <c r="I254" s="1173"/>
    </row>
    <row r="255" spans="2:9" hidden="1" outlineLevel="1" x14ac:dyDescent="0.25">
      <c r="B255" s="46"/>
      <c r="C255" s="8" t="s">
        <v>10</v>
      </c>
      <c r="D255" s="8" t="s">
        <v>67</v>
      </c>
      <c r="E255" s="11" t="s">
        <v>68</v>
      </c>
      <c r="F255" s="35" t="s">
        <v>31</v>
      </c>
      <c r="G255" s="8" t="s">
        <v>10</v>
      </c>
      <c r="H255" s="8" t="s">
        <v>4</v>
      </c>
      <c r="I255" s="9" t="s">
        <v>13</v>
      </c>
    </row>
    <row r="256" spans="2:9" hidden="1" outlineLevel="1" x14ac:dyDescent="0.25">
      <c r="B256" s="47" t="s">
        <v>24</v>
      </c>
      <c r="C256" s="27" t="s">
        <v>25</v>
      </c>
      <c r="D256" s="27" t="str">
        <f>C256</f>
        <v>Statutory Benefit</v>
      </c>
      <c r="E256" s="31"/>
      <c r="F256" s="28" t="s">
        <v>27</v>
      </c>
      <c r="G256" s="196">
        <v>0.89</v>
      </c>
      <c r="H256" s="196">
        <v>0.84</v>
      </c>
      <c r="I256" s="48">
        <f t="shared" ref="I256:I267" si="11">-(G256-H256)/G256</f>
        <v>-5.6179775280898923E-2</v>
      </c>
    </row>
    <row r="257" spans="2:9" ht="42.75" hidden="1" customHeight="1" outlineLevel="1" x14ac:dyDescent="0.25">
      <c r="B257" s="47" t="s">
        <v>330</v>
      </c>
      <c r="C257" s="801" t="s">
        <v>1825</v>
      </c>
      <c r="D257" s="801" t="s">
        <v>1950</v>
      </c>
      <c r="E257" s="268"/>
      <c r="F257" s="29" t="s">
        <v>28</v>
      </c>
      <c r="G257" s="196"/>
      <c r="H257" s="196"/>
      <c r="I257" s="48" t="e">
        <f t="shared" si="11"/>
        <v>#DIV/0!</v>
      </c>
    </row>
    <row r="258" spans="2:9" ht="47.25" hidden="1" customHeight="1" outlineLevel="1" x14ac:dyDescent="0.25">
      <c r="B258" s="47" t="s">
        <v>332</v>
      </c>
      <c r="C258" s="27">
        <v>1000000</v>
      </c>
      <c r="D258" s="27">
        <f>C258</f>
        <v>1000000</v>
      </c>
      <c r="E258" s="31"/>
      <c r="F258" s="29" t="s">
        <v>736</v>
      </c>
      <c r="G258" s="196"/>
      <c r="H258" s="196"/>
      <c r="I258" s="48" t="e">
        <f t="shared" si="11"/>
        <v>#DIV/0!</v>
      </c>
    </row>
    <row r="259" spans="2:9" ht="47.25" hidden="1" customHeight="1" outlineLevel="1" x14ac:dyDescent="0.25">
      <c r="B259" s="47" t="s">
        <v>333</v>
      </c>
      <c r="C259" s="27">
        <v>1000000</v>
      </c>
      <c r="D259" s="27">
        <f>C259</f>
        <v>1000000</v>
      </c>
      <c r="E259" s="31"/>
      <c r="F259" s="29" t="s">
        <v>737</v>
      </c>
      <c r="G259" s="196"/>
      <c r="H259" s="196"/>
      <c r="I259" s="48" t="e">
        <f t="shared" si="11"/>
        <v>#DIV/0!</v>
      </c>
    </row>
    <row r="260" spans="2:9" ht="47.25" hidden="1" customHeight="1" outlineLevel="1" x14ac:dyDescent="0.25">
      <c r="B260" s="47" t="s">
        <v>334</v>
      </c>
      <c r="C260" s="27">
        <v>1000000</v>
      </c>
      <c r="D260" s="27">
        <f>C260</f>
        <v>1000000</v>
      </c>
      <c r="E260" s="31"/>
      <c r="F260" s="29" t="s">
        <v>738</v>
      </c>
      <c r="G260" s="196"/>
      <c r="H260" s="196"/>
      <c r="I260" s="48" t="e">
        <f t="shared" si="11"/>
        <v>#DIV/0!</v>
      </c>
    </row>
    <row r="261" spans="2:9" ht="46.5" hidden="1" customHeight="1" outlineLevel="1" x14ac:dyDescent="0.25">
      <c r="B261" s="47" t="s">
        <v>331</v>
      </c>
      <c r="C261" s="27" t="s">
        <v>329</v>
      </c>
      <c r="D261" s="185" t="str">
        <f>C261</f>
        <v>All States except those listed above in Part One and monopolistic states</v>
      </c>
      <c r="E261" s="268"/>
      <c r="F261" s="29" t="s">
        <v>739</v>
      </c>
      <c r="G261" s="196"/>
      <c r="H261" s="196"/>
      <c r="I261" s="48" t="e">
        <f t="shared" si="11"/>
        <v>#DIV/0!</v>
      </c>
    </row>
    <row r="262" spans="2:9" hidden="1" outlineLevel="1" x14ac:dyDescent="0.25">
      <c r="B262" s="47" t="s">
        <v>23</v>
      </c>
      <c r="C262" s="27">
        <v>0</v>
      </c>
      <c r="D262" s="27">
        <f>C262</f>
        <v>0</v>
      </c>
      <c r="E262" s="31"/>
      <c r="F262" s="29" t="s">
        <v>740</v>
      </c>
      <c r="G262" s="196"/>
      <c r="H262" s="196"/>
      <c r="I262" s="48" t="e">
        <f t="shared" si="11"/>
        <v>#DIV/0!</v>
      </c>
    </row>
    <row r="263" spans="2:9" hidden="1" outlineLevel="1" x14ac:dyDescent="0.25">
      <c r="B263" s="77"/>
      <c r="C263" s="26"/>
      <c r="D263" s="26"/>
      <c r="E263" s="26"/>
      <c r="F263" s="57" t="s">
        <v>29</v>
      </c>
      <c r="G263" s="196"/>
      <c r="H263" s="196"/>
      <c r="I263" s="48" t="e">
        <f t="shared" si="11"/>
        <v>#DIV/0!</v>
      </c>
    </row>
    <row r="264" spans="2:9" hidden="1" outlineLevel="1" x14ac:dyDescent="0.25">
      <c r="B264" s="77"/>
      <c r="C264" s="26"/>
      <c r="D264" s="26"/>
      <c r="E264" s="26"/>
      <c r="F264" s="57" t="s">
        <v>741</v>
      </c>
      <c r="G264" s="196"/>
      <c r="H264" s="196"/>
      <c r="I264" s="48" t="e">
        <f t="shared" si="11"/>
        <v>#DIV/0!</v>
      </c>
    </row>
    <row r="265" spans="2:9" hidden="1" outlineLevel="1" x14ac:dyDescent="0.25">
      <c r="B265" s="77"/>
      <c r="C265" s="26"/>
      <c r="D265" s="26"/>
      <c r="E265" s="26"/>
      <c r="F265" s="57" t="s">
        <v>742</v>
      </c>
      <c r="G265" s="196"/>
      <c r="H265" s="196"/>
      <c r="I265" s="48" t="e">
        <f t="shared" si="11"/>
        <v>#DIV/0!</v>
      </c>
    </row>
    <row r="266" spans="2:9" hidden="1" outlineLevel="1" x14ac:dyDescent="0.25">
      <c r="B266" s="77"/>
      <c r="C266" s="26"/>
      <c r="D266" s="26"/>
      <c r="E266" s="26"/>
      <c r="F266" s="57" t="s">
        <v>30</v>
      </c>
      <c r="G266" s="196"/>
      <c r="H266" s="196"/>
      <c r="I266" s="48" t="e">
        <f t="shared" si="11"/>
        <v>#DIV/0!</v>
      </c>
    </row>
    <row r="267" spans="2:9" hidden="1" outlineLevel="1" x14ac:dyDescent="0.25">
      <c r="B267" s="77"/>
      <c r="C267" s="26"/>
      <c r="D267" s="26"/>
      <c r="E267" s="26"/>
      <c r="F267" s="57" t="s">
        <v>743</v>
      </c>
      <c r="G267" s="196"/>
      <c r="H267" s="196"/>
      <c r="I267" s="48" t="e">
        <f t="shared" si="11"/>
        <v>#DIV/0!</v>
      </c>
    </row>
    <row r="268" spans="2:9" s="1197" customFormat="1" ht="13.5" customHeight="1" collapsed="1" x14ac:dyDescent="0.25"/>
    <row r="269" spans="2:9" x14ac:dyDescent="0.25">
      <c r="B269" s="1053" t="s">
        <v>1230</v>
      </c>
      <c r="F269" s="338" t="s">
        <v>437</v>
      </c>
      <c r="G269" s="1165" t="s">
        <v>537</v>
      </c>
      <c r="H269" s="1165"/>
    </row>
    <row r="270" spans="2:9" hidden="1" outlineLevel="1" x14ac:dyDescent="0.25">
      <c r="B270" t="s">
        <v>0</v>
      </c>
      <c r="C270" t="s">
        <v>317</v>
      </c>
    </row>
    <row r="271" spans="2:9" hidden="1" outlineLevel="1" x14ac:dyDescent="0.25">
      <c r="B271" t="s">
        <v>1679</v>
      </c>
      <c r="C271" s="72">
        <v>6080910868</v>
      </c>
    </row>
    <row r="272" spans="2:9" hidden="1" outlineLevel="1" x14ac:dyDescent="0.25">
      <c r="B272" t="s">
        <v>1680</v>
      </c>
      <c r="C272" s="72">
        <v>6080910868</v>
      </c>
    </row>
    <row r="273" spans="2:8" hidden="1" outlineLevel="1" x14ac:dyDescent="0.25">
      <c r="B273" t="s">
        <v>131</v>
      </c>
      <c r="C273" t="s">
        <v>132</v>
      </c>
      <c r="D273" t="s">
        <v>133</v>
      </c>
      <c r="E273" t="s">
        <v>134</v>
      </c>
      <c r="F273" s="210" t="s">
        <v>392</v>
      </c>
      <c r="G273" s="1166"/>
      <c r="H273" s="1166"/>
    </row>
    <row r="274" spans="2:8" ht="30" hidden="1" outlineLevel="1" x14ac:dyDescent="0.25">
      <c r="B274" s="176" t="s">
        <v>1115</v>
      </c>
      <c r="C274" s="571" t="str">
        <f>B274</f>
        <v>The Continental Insurance Company (CNA)</v>
      </c>
      <c r="D274" s="176" t="s">
        <v>1115</v>
      </c>
      <c r="E274" s="176" t="s">
        <v>1115</v>
      </c>
      <c r="G274" s="1175"/>
      <c r="H274" s="1175"/>
    </row>
    <row r="275" spans="2:8" hidden="1" outlineLevel="1" x14ac:dyDescent="0.25">
      <c r="B275" t="s">
        <v>135</v>
      </c>
      <c r="C275" t="s">
        <v>136</v>
      </c>
      <c r="D275" t="s">
        <v>135</v>
      </c>
      <c r="E275" t="s">
        <v>139</v>
      </c>
    </row>
    <row r="276" spans="2:8" hidden="1" outlineLevel="1" x14ac:dyDescent="0.25">
      <c r="B276" s="18" t="s">
        <v>1116</v>
      </c>
      <c r="C276" t="str">
        <f>B276</f>
        <v>A: XV</v>
      </c>
      <c r="D276" s="18" t="s">
        <v>1116</v>
      </c>
      <c r="E276" s="18" t="s">
        <v>1116</v>
      </c>
    </row>
    <row r="277" spans="2:8" hidden="1" outlineLevel="1" x14ac:dyDescent="0.25">
      <c r="B277" t="s">
        <v>2</v>
      </c>
      <c r="C277" t="s">
        <v>3</v>
      </c>
      <c r="D277" t="s">
        <v>140</v>
      </c>
      <c r="E277" t="s">
        <v>141</v>
      </c>
    </row>
    <row r="278" spans="2:8" hidden="1" outlineLevel="1" x14ac:dyDescent="0.25">
      <c r="B278" s="123">
        <v>3344</v>
      </c>
      <c r="C278" s="4">
        <f>B278+B278*E295</f>
        <v>4414.8070304217699</v>
      </c>
      <c r="D278" s="123">
        <v>7995</v>
      </c>
      <c r="E278" s="123">
        <v>7995</v>
      </c>
    </row>
    <row r="279" spans="2:8" hidden="1" outlineLevel="1" x14ac:dyDescent="0.25">
      <c r="B279" s="4" t="s">
        <v>543</v>
      </c>
      <c r="C279" s="4" t="str">
        <f>B279</f>
        <v>Blended Rate per $100 of Exposure</v>
      </c>
      <c r="D279" s="4" t="str">
        <f>B279</f>
        <v>Blended Rate per $100 of Exposure</v>
      </c>
      <c r="E279" s="4" t="str">
        <f>B279</f>
        <v>Blended Rate per $100 of Exposure</v>
      </c>
    </row>
    <row r="280" spans="2:8" hidden="1" outlineLevel="1" x14ac:dyDescent="0.25">
      <c r="B280" s="289">
        <f>B278/(C294/100)</f>
        <v>0.44148070304217696</v>
      </c>
      <c r="C280" s="289">
        <f>C278/(E294/100)</f>
        <v>0.44148070304217701</v>
      </c>
      <c r="D280" s="289">
        <f>D278/(E294/100)</f>
        <v>0.79949999999999999</v>
      </c>
      <c r="E280" s="289">
        <f>E278/(E294/100)</f>
        <v>0.79949999999999999</v>
      </c>
    </row>
    <row r="281" spans="2:8" hidden="1" outlineLevel="1" x14ac:dyDescent="0.25">
      <c r="D281" t="s">
        <v>5</v>
      </c>
      <c r="E281" t="s">
        <v>6</v>
      </c>
    </row>
    <row r="282" spans="2:8" hidden="1" outlineLevel="1" x14ac:dyDescent="0.25">
      <c r="D282" s="3">
        <f>-(C278-D278)/C278</f>
        <v>0.8109511797248804</v>
      </c>
      <c r="E282" s="3">
        <f>-(C278-E278)/C278</f>
        <v>0.8109511797248804</v>
      </c>
    </row>
    <row r="283" spans="2:8" hidden="1" outlineLevel="1" x14ac:dyDescent="0.25">
      <c r="B283" s="3" t="s">
        <v>685</v>
      </c>
      <c r="C283" s="3" t="s">
        <v>686</v>
      </c>
      <c r="D283" s="3" t="s">
        <v>687</v>
      </c>
      <c r="E283" s="3" t="s">
        <v>688</v>
      </c>
    </row>
    <row r="284" spans="2:8" hidden="1" outlineLevel="1" x14ac:dyDescent="0.25">
      <c r="B284" s="178">
        <v>198</v>
      </c>
      <c r="C284" s="179">
        <f>B284+B284*E295</f>
        <v>261.40304785392061</v>
      </c>
      <c r="D284" s="178">
        <v>469</v>
      </c>
      <c r="E284" s="178">
        <v>469</v>
      </c>
    </row>
    <row r="285" spans="2:8" hidden="1" outlineLevel="1" x14ac:dyDescent="0.25">
      <c r="B285" s="3" t="s">
        <v>203</v>
      </c>
      <c r="C285" s="3" t="s">
        <v>204</v>
      </c>
      <c r="D285" s="3" t="s">
        <v>205</v>
      </c>
      <c r="E285" s="3" t="s">
        <v>206</v>
      </c>
    </row>
    <row r="286" spans="2:8" hidden="1" outlineLevel="1" x14ac:dyDescent="0.25">
      <c r="B286" s="178"/>
      <c r="C286" s="179">
        <f>B286+B286*E295</f>
        <v>0</v>
      </c>
      <c r="D286" s="178"/>
      <c r="E286" s="178"/>
    </row>
    <row r="287" spans="2:8" hidden="1" outlineLevel="1" x14ac:dyDescent="0.25">
      <c r="B287" s="3" t="s">
        <v>14</v>
      </c>
      <c r="C287" s="4" t="s">
        <v>15</v>
      </c>
      <c r="D287" s="4" t="s">
        <v>142</v>
      </c>
      <c r="E287" t="s">
        <v>143</v>
      </c>
    </row>
    <row r="288" spans="2:8" hidden="1" outlineLevel="1" x14ac:dyDescent="0.25">
      <c r="B288" s="4">
        <f>B278+B284+B286</f>
        <v>3542</v>
      </c>
      <c r="C288" s="4">
        <f>C278+C284+C286</f>
        <v>4676.2100782756906</v>
      </c>
      <c r="D288" s="4">
        <f>D278+D284+D286</f>
        <v>8464</v>
      </c>
      <c r="E288" s="4">
        <f>E278+E284+E286</f>
        <v>8464</v>
      </c>
    </row>
    <row r="289" spans="2:9" hidden="1" outlineLevel="1" x14ac:dyDescent="0.25">
      <c r="B289" s="3" t="s">
        <v>998</v>
      </c>
      <c r="C289" s="3" t="s">
        <v>999</v>
      </c>
      <c r="D289" s="3" t="s">
        <v>1000</v>
      </c>
      <c r="E289" s="3" t="s">
        <v>1001</v>
      </c>
    </row>
    <row r="290" spans="2:9" hidden="1" outlineLevel="1" x14ac:dyDescent="0.25">
      <c r="B290" s="693"/>
      <c r="C290" s="157" t="s">
        <v>284</v>
      </c>
      <c r="D290" s="693"/>
      <c r="E290" s="693"/>
    </row>
    <row r="291" spans="2:9" hidden="1" outlineLevel="1" x14ac:dyDescent="0.25">
      <c r="B291" s="4"/>
      <c r="C291" s="4"/>
      <c r="D291" s="4"/>
      <c r="E291" s="4"/>
    </row>
    <row r="292" spans="2:9" hidden="1" outlineLevel="1" x14ac:dyDescent="0.25">
      <c r="B292" s="37" t="s">
        <v>381</v>
      </c>
      <c r="F292" s="1168"/>
      <c r="G292" s="1168"/>
    </row>
    <row r="293" spans="2:9" hidden="1" outlineLevel="1" x14ac:dyDescent="0.25">
      <c r="B293" s="1169" t="s">
        <v>39</v>
      </c>
      <c r="C293" s="1170"/>
      <c r="D293" s="1170" t="s">
        <v>40</v>
      </c>
      <c r="E293" s="1171"/>
    </row>
    <row r="294" spans="2:9" hidden="1" outlineLevel="1" x14ac:dyDescent="0.25">
      <c r="B294" s="38" t="s">
        <v>320</v>
      </c>
      <c r="C294" s="19">
        <v>757451</v>
      </c>
      <c r="D294" s="7" t="str">
        <f>B294</f>
        <v>Payroll</v>
      </c>
      <c r="E294" s="24">
        <v>1000000</v>
      </c>
    </row>
    <row r="295" spans="2:9" hidden="1" outlineLevel="1" x14ac:dyDescent="0.25">
      <c r="D295" s="10" t="s">
        <v>13</v>
      </c>
      <c r="E295" s="15">
        <f>-(C294-E294)/C294</f>
        <v>0.32021741340363929</v>
      </c>
    </row>
    <row r="296" spans="2:9" hidden="1" outlineLevel="1" x14ac:dyDescent="0.25">
      <c r="B296" s="37" t="s">
        <v>9</v>
      </c>
      <c r="D296" s="5"/>
      <c r="E296" s="30"/>
      <c r="F296" s="1173" t="s">
        <v>26</v>
      </c>
      <c r="G296" s="1173"/>
      <c r="H296" s="1173"/>
      <c r="I296" s="1173"/>
    </row>
    <row r="297" spans="2:9" hidden="1" outlineLevel="1" x14ac:dyDescent="0.25">
      <c r="B297" s="46"/>
      <c r="C297" s="8" t="s">
        <v>10</v>
      </c>
      <c r="D297" s="8" t="s">
        <v>67</v>
      </c>
      <c r="E297" s="11" t="s">
        <v>68</v>
      </c>
      <c r="F297" s="35" t="s">
        <v>31</v>
      </c>
      <c r="G297" s="8" t="s">
        <v>10</v>
      </c>
      <c r="H297" s="8" t="s">
        <v>4</v>
      </c>
      <c r="I297" s="9" t="s">
        <v>13</v>
      </c>
    </row>
    <row r="298" spans="2:9" hidden="1" outlineLevel="1" x14ac:dyDescent="0.25">
      <c r="B298" s="47" t="s">
        <v>24</v>
      </c>
      <c r="C298" s="27" t="s">
        <v>25</v>
      </c>
      <c r="D298" s="27" t="str">
        <f t="shared" ref="D298:D304" si="12">C298</f>
        <v>Statutory Benefit</v>
      </c>
      <c r="E298" s="31"/>
      <c r="F298" s="28" t="s">
        <v>27</v>
      </c>
      <c r="G298" s="196"/>
      <c r="H298" s="196"/>
      <c r="I298" s="48" t="e">
        <f t="shared" ref="I298:I309" si="13">-(G298-H298)/G298</f>
        <v>#DIV/0!</v>
      </c>
    </row>
    <row r="299" spans="2:9" ht="32.25" hidden="1" customHeight="1" outlineLevel="1" x14ac:dyDescent="0.25">
      <c r="B299" s="47" t="s">
        <v>330</v>
      </c>
      <c r="C299" s="801" t="s">
        <v>28</v>
      </c>
      <c r="D299" s="800" t="str">
        <f t="shared" si="12"/>
        <v>CA</v>
      </c>
      <c r="E299" s="268"/>
      <c r="F299" s="29" t="s">
        <v>28</v>
      </c>
      <c r="G299" s="196">
        <v>0.82</v>
      </c>
      <c r="H299" s="196">
        <v>0.81</v>
      </c>
      <c r="I299" s="48">
        <f t="shared" si="13"/>
        <v>-1.2195121951219388E-2</v>
      </c>
    </row>
    <row r="300" spans="2:9" ht="47.25" hidden="1" customHeight="1" outlineLevel="1" x14ac:dyDescent="0.25">
      <c r="B300" s="47" t="s">
        <v>332</v>
      </c>
      <c r="C300" s="27">
        <v>1000000</v>
      </c>
      <c r="D300" s="27">
        <f t="shared" si="12"/>
        <v>1000000</v>
      </c>
      <c r="E300" s="31"/>
      <c r="F300" s="29" t="s">
        <v>736</v>
      </c>
      <c r="G300" s="196"/>
      <c r="H300" s="196"/>
      <c r="I300" s="48" t="e">
        <f t="shared" si="13"/>
        <v>#DIV/0!</v>
      </c>
    </row>
    <row r="301" spans="2:9" ht="47.25" hidden="1" customHeight="1" outlineLevel="1" x14ac:dyDescent="0.25">
      <c r="B301" s="47" t="s">
        <v>333</v>
      </c>
      <c r="C301" s="27">
        <v>1000000</v>
      </c>
      <c r="D301" s="27">
        <f t="shared" si="12"/>
        <v>1000000</v>
      </c>
      <c r="E301" s="31"/>
      <c r="F301" s="29" t="s">
        <v>737</v>
      </c>
      <c r="G301" s="196"/>
      <c r="H301" s="196"/>
      <c r="I301" s="48" t="e">
        <f t="shared" si="13"/>
        <v>#DIV/0!</v>
      </c>
    </row>
    <row r="302" spans="2:9" ht="47.25" hidden="1" customHeight="1" outlineLevel="1" x14ac:dyDescent="0.25">
      <c r="B302" s="47" t="s">
        <v>334</v>
      </c>
      <c r="C302" s="27">
        <v>1000000</v>
      </c>
      <c r="D302" s="27">
        <f t="shared" si="12"/>
        <v>1000000</v>
      </c>
      <c r="E302" s="31"/>
      <c r="F302" s="29" t="s">
        <v>738</v>
      </c>
      <c r="G302" s="196"/>
      <c r="H302" s="196"/>
      <c r="I302" s="48" t="e">
        <f t="shared" si="13"/>
        <v>#DIV/0!</v>
      </c>
    </row>
    <row r="303" spans="2:9" ht="46.5" hidden="1" customHeight="1" outlineLevel="1" x14ac:dyDescent="0.25">
      <c r="B303" s="47" t="s">
        <v>331</v>
      </c>
      <c r="C303" s="27" t="s">
        <v>329</v>
      </c>
      <c r="D303" s="27" t="str">
        <f t="shared" si="12"/>
        <v>All States except those listed above in Part One and monopolistic states</v>
      </c>
      <c r="E303" s="268"/>
      <c r="F303" s="29" t="s">
        <v>739</v>
      </c>
      <c r="G303" s="196"/>
      <c r="H303" s="196"/>
      <c r="I303" s="48" t="e">
        <f t="shared" si="13"/>
        <v>#DIV/0!</v>
      </c>
    </row>
    <row r="304" spans="2:9" hidden="1" outlineLevel="1" x14ac:dyDescent="0.25">
      <c r="B304" s="47" t="s">
        <v>23</v>
      </c>
      <c r="C304" s="27">
        <v>0</v>
      </c>
      <c r="D304" s="27">
        <f t="shared" si="12"/>
        <v>0</v>
      </c>
      <c r="E304" s="31"/>
      <c r="F304" s="29" t="s">
        <v>740</v>
      </c>
      <c r="G304" s="196"/>
      <c r="H304" s="196"/>
      <c r="I304" s="48" t="e">
        <f t="shared" si="13"/>
        <v>#DIV/0!</v>
      </c>
    </row>
    <row r="305" spans="2:9" hidden="1" outlineLevel="1" x14ac:dyDescent="0.25">
      <c r="B305" s="77"/>
      <c r="C305" s="26"/>
      <c r="D305" s="26"/>
      <c r="E305" s="26"/>
      <c r="F305" s="57" t="s">
        <v>29</v>
      </c>
      <c r="G305" s="196"/>
      <c r="H305" s="196"/>
      <c r="I305" s="48" t="e">
        <f t="shared" si="13"/>
        <v>#DIV/0!</v>
      </c>
    </row>
    <row r="306" spans="2:9" hidden="1" outlineLevel="1" x14ac:dyDescent="0.25">
      <c r="B306" s="77"/>
      <c r="C306" s="26"/>
      <c r="D306" s="26"/>
      <c r="E306" s="26"/>
      <c r="F306" s="57" t="s">
        <v>741</v>
      </c>
      <c r="G306" s="196"/>
      <c r="H306" s="196"/>
      <c r="I306" s="48" t="e">
        <f t="shared" si="13"/>
        <v>#DIV/0!</v>
      </c>
    </row>
    <row r="307" spans="2:9" hidden="1" outlineLevel="1" x14ac:dyDescent="0.25">
      <c r="B307" s="77"/>
      <c r="C307" s="26"/>
      <c r="D307" s="26"/>
      <c r="E307" s="26"/>
      <c r="F307" s="57" t="s">
        <v>742</v>
      </c>
      <c r="G307" s="196"/>
      <c r="H307" s="196"/>
      <c r="I307" s="48" t="e">
        <f t="shared" si="13"/>
        <v>#DIV/0!</v>
      </c>
    </row>
    <row r="308" spans="2:9" hidden="1" outlineLevel="1" x14ac:dyDescent="0.25">
      <c r="B308" s="77"/>
      <c r="C308" s="26"/>
      <c r="D308" s="26"/>
      <c r="E308" s="26"/>
      <c r="F308" s="57" t="s">
        <v>30</v>
      </c>
      <c r="G308" s="196"/>
      <c r="H308" s="196"/>
      <c r="I308" s="48" t="e">
        <f t="shared" si="13"/>
        <v>#DIV/0!</v>
      </c>
    </row>
    <row r="309" spans="2:9" hidden="1" outlineLevel="1" x14ac:dyDescent="0.25">
      <c r="B309" s="77"/>
      <c r="C309" s="26"/>
      <c r="D309" s="26"/>
      <c r="E309" s="26"/>
      <c r="F309" s="57" t="s">
        <v>743</v>
      </c>
      <c r="G309" s="196"/>
      <c r="H309" s="196"/>
      <c r="I309" s="48" t="e">
        <f t="shared" si="13"/>
        <v>#DIV/0!</v>
      </c>
    </row>
    <row r="310" spans="2:9" s="1197" customFormat="1" ht="13.5" customHeight="1" collapsed="1" x14ac:dyDescent="0.25"/>
    <row r="311" spans="2:9" x14ac:dyDescent="0.25">
      <c r="B311" s="1052" t="s">
        <v>1233</v>
      </c>
      <c r="F311" s="338" t="s">
        <v>437</v>
      </c>
      <c r="G311" s="1165" t="s">
        <v>537</v>
      </c>
      <c r="H311" s="1165"/>
    </row>
    <row r="312" spans="2:9" hidden="1" outlineLevel="1" x14ac:dyDescent="0.25">
      <c r="B312" t="s">
        <v>0</v>
      </c>
      <c r="C312" t="s">
        <v>32</v>
      </c>
    </row>
    <row r="313" spans="2:9" hidden="1" outlineLevel="1" x14ac:dyDescent="0.25">
      <c r="B313" t="s">
        <v>1679</v>
      </c>
      <c r="C313" s="72">
        <v>6081081573</v>
      </c>
    </row>
    <row r="314" spans="2:9" hidden="1" outlineLevel="1" x14ac:dyDescent="0.25">
      <c r="B314" t="s">
        <v>1680</v>
      </c>
      <c r="C314" s="72">
        <v>6081081573</v>
      </c>
    </row>
    <row r="315" spans="2:9" hidden="1" outlineLevel="1" x14ac:dyDescent="0.25">
      <c r="B315" t="s">
        <v>131</v>
      </c>
      <c r="C315" t="s">
        <v>132</v>
      </c>
      <c r="D315" t="s">
        <v>133</v>
      </c>
      <c r="E315" t="s">
        <v>134</v>
      </c>
      <c r="F315" s="210" t="s">
        <v>392</v>
      </c>
      <c r="G315" s="1166"/>
      <c r="H315" s="1166"/>
    </row>
    <row r="316" spans="2:9" ht="30" hidden="1" outlineLevel="1" x14ac:dyDescent="0.25">
      <c r="B316" s="176" t="s">
        <v>1281</v>
      </c>
      <c r="C316" s="571" t="str">
        <f>B316</f>
        <v>Valley Forge Insurance Company (CNA)</v>
      </c>
      <c r="D316" s="176" t="s">
        <v>1281</v>
      </c>
      <c r="E316" s="176" t="s">
        <v>1281</v>
      </c>
      <c r="G316" s="1175"/>
      <c r="H316" s="1175"/>
    </row>
    <row r="317" spans="2:9" hidden="1" outlineLevel="1" x14ac:dyDescent="0.25">
      <c r="B317" t="s">
        <v>135</v>
      </c>
      <c r="C317" t="s">
        <v>136</v>
      </c>
      <c r="D317" t="s">
        <v>137</v>
      </c>
      <c r="E317" t="s">
        <v>139</v>
      </c>
    </row>
    <row r="318" spans="2:9" hidden="1" outlineLevel="1" x14ac:dyDescent="0.25">
      <c r="B318" s="18" t="s">
        <v>1116</v>
      </c>
      <c r="C318" t="str">
        <f>B318</f>
        <v>A: XV</v>
      </c>
      <c r="D318" s="18" t="s">
        <v>1116</v>
      </c>
      <c r="E318" s="18" t="s">
        <v>1116</v>
      </c>
    </row>
    <row r="319" spans="2:9" hidden="1" outlineLevel="1" x14ac:dyDescent="0.25">
      <c r="B319" t="s">
        <v>2</v>
      </c>
      <c r="C319" t="s">
        <v>3</v>
      </c>
      <c r="D319" t="s">
        <v>140</v>
      </c>
      <c r="E319" t="s">
        <v>141</v>
      </c>
    </row>
    <row r="320" spans="2:9" hidden="1" outlineLevel="1" x14ac:dyDescent="0.25">
      <c r="B320" s="123">
        <v>3290</v>
      </c>
      <c r="C320" s="179">
        <f>B320+B320*E338</f>
        <v>3290</v>
      </c>
      <c r="D320" s="123">
        <v>1734</v>
      </c>
      <c r="E320" s="123">
        <v>1734</v>
      </c>
    </row>
    <row r="321" spans="2:7" hidden="1" outlineLevel="1" x14ac:dyDescent="0.25">
      <c r="B321" s="656" t="s">
        <v>1459</v>
      </c>
      <c r="C321" s="4" t="str">
        <f>B321</f>
        <v>Blended Rate Hired Auto</v>
      </c>
      <c r="D321" s="4" t="str">
        <f>B321</f>
        <v>Blended Rate Hired Auto</v>
      </c>
      <c r="E321" s="4" t="str">
        <f>B321</f>
        <v>Blended Rate Hired Auto</v>
      </c>
    </row>
    <row r="322" spans="2:7" hidden="1" outlineLevel="1" x14ac:dyDescent="0.25">
      <c r="B322" s="289">
        <f>B320/C336</f>
        <v>3290</v>
      </c>
      <c r="C322" s="289">
        <f>C320/E336</f>
        <v>3290</v>
      </c>
      <c r="D322" s="289">
        <f>D320/E336</f>
        <v>1734</v>
      </c>
      <c r="E322" s="289">
        <f>E320/E336</f>
        <v>1734</v>
      </c>
    </row>
    <row r="323" spans="2:7" hidden="1" outlineLevel="1" x14ac:dyDescent="0.25">
      <c r="D323" t="s">
        <v>5</v>
      </c>
      <c r="E323" t="s">
        <v>6</v>
      </c>
    </row>
    <row r="324" spans="2:7" hidden="1" outlineLevel="1" x14ac:dyDescent="0.25">
      <c r="D324" s="3">
        <f>-(C320-D320)/C320</f>
        <v>-0.47294832826747718</v>
      </c>
      <c r="E324" s="3">
        <f>-(C320-E320)/C320</f>
        <v>-0.47294832826747718</v>
      </c>
    </row>
    <row r="325" spans="2:7" hidden="1" outlineLevel="1" x14ac:dyDescent="0.25">
      <c r="B325" s="3" t="s">
        <v>685</v>
      </c>
      <c r="C325" s="3" t="s">
        <v>686</v>
      </c>
      <c r="D325" s="3" t="s">
        <v>687</v>
      </c>
      <c r="E325" s="3" t="s">
        <v>688</v>
      </c>
    </row>
    <row r="326" spans="2:7" hidden="1" outlineLevel="1" x14ac:dyDescent="0.25">
      <c r="B326" s="178"/>
      <c r="C326" s="179">
        <f>B326+B326*E338</f>
        <v>0</v>
      </c>
      <c r="D326" s="178"/>
      <c r="E326" s="178"/>
    </row>
    <row r="327" spans="2:7" hidden="1" outlineLevel="1" x14ac:dyDescent="0.25">
      <c r="B327" s="3" t="s">
        <v>203</v>
      </c>
      <c r="C327" s="3" t="s">
        <v>204</v>
      </c>
      <c r="D327" s="3" t="s">
        <v>205</v>
      </c>
      <c r="E327" s="3" t="s">
        <v>206</v>
      </c>
    </row>
    <row r="328" spans="2:7" hidden="1" outlineLevel="1" x14ac:dyDescent="0.25">
      <c r="B328" s="178"/>
      <c r="C328" s="179">
        <f>B328+B328*E338</f>
        <v>0</v>
      </c>
      <c r="D328" s="178"/>
      <c r="E328" s="178"/>
    </row>
    <row r="329" spans="2:7" hidden="1" outlineLevel="1" x14ac:dyDescent="0.25">
      <c r="B329" s="3" t="s">
        <v>14</v>
      </c>
      <c r="C329" s="4" t="s">
        <v>15</v>
      </c>
      <c r="D329" s="4" t="s">
        <v>142</v>
      </c>
      <c r="E329" t="s">
        <v>143</v>
      </c>
    </row>
    <row r="330" spans="2:7" hidden="1" outlineLevel="1" x14ac:dyDescent="0.25">
      <c r="B330" s="4">
        <f>B320+B326+B328</f>
        <v>3290</v>
      </c>
      <c r="C330" s="4">
        <f>C320+C326+C328</f>
        <v>3290</v>
      </c>
      <c r="D330" s="4">
        <f>D320+D326+D328</f>
        <v>1734</v>
      </c>
      <c r="E330" s="4">
        <f>E320+E326+E328</f>
        <v>1734</v>
      </c>
    </row>
    <row r="331" spans="2:7" hidden="1" outlineLevel="1" x14ac:dyDescent="0.25">
      <c r="B331" s="3" t="s">
        <v>998</v>
      </c>
      <c r="C331" s="3" t="s">
        <v>999</v>
      </c>
      <c r="D331" s="3" t="s">
        <v>1000</v>
      </c>
      <c r="E331" s="3" t="s">
        <v>1001</v>
      </c>
    </row>
    <row r="332" spans="2:7" hidden="1" outlineLevel="1" x14ac:dyDescent="0.25">
      <c r="B332" s="693"/>
      <c r="C332" s="157" t="s">
        <v>284</v>
      </c>
      <c r="D332" s="693"/>
      <c r="E332" s="693"/>
    </row>
    <row r="333" spans="2:7" hidden="1" outlineLevel="1" x14ac:dyDescent="0.25">
      <c r="B333" s="4"/>
      <c r="C333" s="4"/>
      <c r="D333" s="4"/>
      <c r="E333" s="4"/>
    </row>
    <row r="334" spans="2:7" hidden="1" outlineLevel="1" x14ac:dyDescent="0.25">
      <c r="B334" s="280" t="s">
        <v>1279</v>
      </c>
      <c r="F334" s="1168"/>
      <c r="G334" s="1168"/>
    </row>
    <row r="335" spans="2:7" hidden="1" outlineLevel="1" x14ac:dyDescent="0.25">
      <c r="B335" s="1169" t="s">
        <v>39</v>
      </c>
      <c r="C335" s="1170"/>
      <c r="D335" s="1170" t="s">
        <v>40</v>
      </c>
      <c r="E335" s="1171"/>
      <c r="F335" s="619" t="s">
        <v>13</v>
      </c>
    </row>
    <row r="336" spans="2:7" hidden="1" outlineLevel="1" x14ac:dyDescent="0.25">
      <c r="B336" s="38" t="s">
        <v>1278</v>
      </c>
      <c r="C336" s="32">
        <v>1</v>
      </c>
      <c r="D336" s="7" t="str">
        <f>B336</f>
        <v># of Employees</v>
      </c>
      <c r="E336" s="32">
        <v>1</v>
      </c>
      <c r="F336" s="829">
        <f>-(C336-E336)/C336</f>
        <v>0</v>
      </c>
    </row>
    <row r="337" spans="2:11" hidden="1" outlineLevel="1" x14ac:dyDescent="0.25">
      <c r="B337" s="620" t="s">
        <v>876</v>
      </c>
      <c r="C337" s="316">
        <v>28800</v>
      </c>
      <c r="D337" s="621" t="str">
        <f>B337</f>
        <v>Hired Auto (Rental Expenditures)</v>
      </c>
      <c r="E337" s="316">
        <v>28800</v>
      </c>
      <c r="F337" s="829">
        <f>-(C337-E337)/C337</f>
        <v>0</v>
      </c>
    </row>
    <row r="338" spans="2:11" hidden="1" outlineLevel="1" x14ac:dyDescent="0.25">
      <c r="E338" s="15">
        <f>AVERAGE(F336:F337)</f>
        <v>0</v>
      </c>
      <c r="F338" s="830"/>
    </row>
    <row r="339" spans="2:11" hidden="1" outlineLevel="1" x14ac:dyDescent="0.25">
      <c r="D339" s="51"/>
      <c r="E339" s="15"/>
    </row>
    <row r="340" spans="2:11" hidden="1" outlineLevel="1" x14ac:dyDescent="0.25">
      <c r="B340" s="37" t="s">
        <v>335</v>
      </c>
      <c r="D340" s="51"/>
      <c r="E340" s="15"/>
    </row>
    <row r="341" spans="2:11" hidden="1" outlineLevel="1" x14ac:dyDescent="0.25">
      <c r="B341" s="191"/>
      <c r="C341" s="1195" t="s">
        <v>10</v>
      </c>
      <c r="D341" s="1195"/>
      <c r="E341" s="1195"/>
      <c r="F341" s="1195" t="s">
        <v>67</v>
      </c>
      <c r="G341" s="1195"/>
      <c r="H341" s="1195"/>
      <c r="I341" s="1195" t="s">
        <v>68</v>
      </c>
      <c r="J341" s="1195"/>
      <c r="K341" s="1176"/>
    </row>
    <row r="342" spans="2:11" hidden="1" outlineLevel="1" x14ac:dyDescent="0.25">
      <c r="B342" s="165"/>
      <c r="C342" s="1" t="s">
        <v>336</v>
      </c>
      <c r="D342" s="68" t="s">
        <v>310</v>
      </c>
      <c r="E342" s="69" t="s">
        <v>57</v>
      </c>
      <c r="F342" s="1" t="s">
        <v>336</v>
      </c>
      <c r="G342" s="1" t="s">
        <v>310</v>
      </c>
      <c r="H342" s="1" t="s">
        <v>57</v>
      </c>
      <c r="I342" s="1" t="s">
        <v>336</v>
      </c>
      <c r="J342" s="1" t="s">
        <v>310</v>
      </c>
      <c r="K342" s="39" t="s">
        <v>57</v>
      </c>
    </row>
    <row r="343" spans="2:11" ht="30" hidden="1" outlineLevel="1" x14ac:dyDescent="0.25">
      <c r="B343" s="165" t="s">
        <v>337</v>
      </c>
      <c r="C343" s="206" t="s">
        <v>1379</v>
      </c>
      <c r="D343" s="19">
        <v>1000000</v>
      </c>
      <c r="E343" s="22">
        <v>0</v>
      </c>
      <c r="F343" s="206" t="str">
        <f t="shared" ref="F343:H347" si="14">C343</f>
        <v>8 (Hired Autos); 
9 (Non-owned Autos)</v>
      </c>
      <c r="G343" s="22">
        <f t="shared" si="14"/>
        <v>1000000</v>
      </c>
      <c r="H343" s="22">
        <f t="shared" si="14"/>
        <v>0</v>
      </c>
      <c r="I343" s="192"/>
      <c r="J343" s="22"/>
      <c r="K343" s="40"/>
    </row>
    <row r="344" spans="2:11" hidden="1" outlineLevel="1" x14ac:dyDescent="0.25">
      <c r="B344" s="165" t="s">
        <v>202</v>
      </c>
      <c r="C344" s="206">
        <v>0</v>
      </c>
      <c r="D344" s="19">
        <v>0</v>
      </c>
      <c r="E344" s="22">
        <v>0</v>
      </c>
      <c r="F344" s="206">
        <f t="shared" si="14"/>
        <v>0</v>
      </c>
      <c r="G344" s="22">
        <f t="shared" si="14"/>
        <v>0</v>
      </c>
      <c r="H344" s="22">
        <f t="shared" si="14"/>
        <v>0</v>
      </c>
      <c r="I344" s="192"/>
      <c r="J344" s="22"/>
      <c r="K344" s="40"/>
    </row>
    <row r="345" spans="2:11" hidden="1" outlineLevel="1" x14ac:dyDescent="0.25">
      <c r="B345" s="165" t="s">
        <v>35</v>
      </c>
      <c r="C345" s="206">
        <v>0</v>
      </c>
      <c r="D345" s="19">
        <v>0</v>
      </c>
      <c r="E345" s="22">
        <v>0</v>
      </c>
      <c r="F345" s="206">
        <f t="shared" si="14"/>
        <v>0</v>
      </c>
      <c r="G345" s="22">
        <f t="shared" si="14"/>
        <v>0</v>
      </c>
      <c r="H345" s="22">
        <f t="shared" si="14"/>
        <v>0</v>
      </c>
      <c r="I345" s="192"/>
      <c r="J345" s="22"/>
      <c r="K345" s="40"/>
    </row>
    <row r="346" spans="2:11" hidden="1" outlineLevel="1" x14ac:dyDescent="0.25">
      <c r="B346" s="165" t="s">
        <v>33</v>
      </c>
      <c r="C346" s="206">
        <v>0</v>
      </c>
      <c r="D346" s="19">
        <v>0</v>
      </c>
      <c r="E346" s="22">
        <v>0</v>
      </c>
      <c r="F346" s="206">
        <f t="shared" si="14"/>
        <v>0</v>
      </c>
      <c r="G346" s="22">
        <f t="shared" si="14"/>
        <v>0</v>
      </c>
      <c r="H346" s="22">
        <f t="shared" si="14"/>
        <v>0</v>
      </c>
      <c r="I346" s="192"/>
      <c r="J346" s="22"/>
      <c r="K346" s="40"/>
    </row>
    <row r="347" spans="2:11" hidden="1" outlineLevel="1" x14ac:dyDescent="0.25">
      <c r="B347" s="164" t="s">
        <v>34</v>
      </c>
      <c r="C347" s="204">
        <v>0</v>
      </c>
      <c r="D347" s="74">
        <v>0</v>
      </c>
      <c r="E347" s="71">
        <v>0</v>
      </c>
      <c r="F347" s="204">
        <f t="shared" si="14"/>
        <v>0</v>
      </c>
      <c r="G347" s="71">
        <f t="shared" si="14"/>
        <v>0</v>
      </c>
      <c r="H347" s="71">
        <f t="shared" si="14"/>
        <v>0</v>
      </c>
      <c r="I347" s="193"/>
      <c r="J347" s="71"/>
      <c r="K347" s="136"/>
    </row>
    <row r="348" spans="2:11" hidden="1" outlineLevel="1" x14ac:dyDescent="0.25">
      <c r="C348" s="156"/>
      <c r="D348" s="190"/>
      <c r="E348" s="157"/>
      <c r="F348" s="156"/>
      <c r="G348" s="156"/>
      <c r="H348" s="156"/>
      <c r="I348" s="156"/>
      <c r="J348" s="156"/>
      <c r="K348" s="156"/>
    </row>
    <row r="349" spans="2:11" hidden="1" outlineLevel="1" x14ac:dyDescent="0.25">
      <c r="B349" s="37" t="s">
        <v>338</v>
      </c>
      <c r="D349" s="51"/>
      <c r="E349" s="15"/>
    </row>
    <row r="350" spans="2:11" hidden="1" outlineLevel="1" x14ac:dyDescent="0.25">
      <c r="B350" s="191"/>
      <c r="C350" s="1195" t="s">
        <v>10</v>
      </c>
      <c r="D350" s="1195"/>
      <c r="E350" s="1195"/>
      <c r="F350" s="1195" t="s">
        <v>67</v>
      </c>
      <c r="G350" s="1195"/>
      <c r="H350" s="1195"/>
      <c r="I350" s="1195" t="s">
        <v>68</v>
      </c>
      <c r="J350" s="1195"/>
      <c r="K350" s="1176"/>
    </row>
    <row r="351" spans="2:11" hidden="1" outlineLevel="1" x14ac:dyDescent="0.25">
      <c r="B351" s="165"/>
      <c r="C351" s="1" t="s">
        <v>336</v>
      </c>
      <c r="D351" s="68" t="s">
        <v>310</v>
      </c>
      <c r="E351" s="69" t="s">
        <v>57</v>
      </c>
      <c r="F351" s="1" t="s">
        <v>336</v>
      </c>
      <c r="G351" s="1" t="s">
        <v>310</v>
      </c>
      <c r="H351" s="1" t="s">
        <v>57</v>
      </c>
      <c r="I351" s="1" t="s">
        <v>336</v>
      </c>
      <c r="J351" s="1" t="s">
        <v>310</v>
      </c>
      <c r="K351" s="39" t="s">
        <v>57</v>
      </c>
    </row>
    <row r="352" spans="2:11" hidden="1" outlineLevel="1" x14ac:dyDescent="0.25">
      <c r="B352" s="165" t="s">
        <v>544</v>
      </c>
      <c r="C352" s="206">
        <v>0</v>
      </c>
      <c r="D352" s="32">
        <v>0</v>
      </c>
      <c r="E352" s="22">
        <v>0</v>
      </c>
      <c r="F352" s="206">
        <f t="shared" ref="F352:H357" si="15">C352</f>
        <v>0</v>
      </c>
      <c r="G352" s="206">
        <f t="shared" si="15"/>
        <v>0</v>
      </c>
      <c r="H352" s="22">
        <f t="shared" si="15"/>
        <v>0</v>
      </c>
      <c r="I352" s="192"/>
      <c r="J352" s="197"/>
      <c r="K352" s="198"/>
    </row>
    <row r="353" spans="2:11" hidden="1" outlineLevel="1" x14ac:dyDescent="0.25">
      <c r="B353" s="165" t="s">
        <v>545</v>
      </c>
      <c r="C353" s="206">
        <v>0</v>
      </c>
      <c r="D353" s="32">
        <v>0</v>
      </c>
      <c r="E353" s="22">
        <v>0</v>
      </c>
      <c r="F353" s="206">
        <f t="shared" si="15"/>
        <v>0</v>
      </c>
      <c r="G353" s="206">
        <f t="shared" si="15"/>
        <v>0</v>
      </c>
      <c r="H353" s="22">
        <f t="shared" si="15"/>
        <v>0</v>
      </c>
      <c r="I353" s="192"/>
      <c r="J353" s="197"/>
      <c r="K353" s="198"/>
    </row>
    <row r="354" spans="2:11" ht="30" hidden="1" outlineLevel="1" x14ac:dyDescent="0.25">
      <c r="B354" s="165" t="s">
        <v>546</v>
      </c>
      <c r="C354" s="206" t="s">
        <v>1378</v>
      </c>
      <c r="D354" s="194" t="s">
        <v>1284</v>
      </c>
      <c r="E354" s="22">
        <v>100</v>
      </c>
      <c r="F354" s="206" t="str">
        <f t="shared" si="15"/>
        <v>8 (Hired Autos)</v>
      </c>
      <c r="G354" s="205" t="str">
        <f t="shared" si="15"/>
        <v>ACV (Actual Cash Value)</v>
      </c>
      <c r="H354" s="22">
        <f t="shared" si="15"/>
        <v>100</v>
      </c>
      <c r="I354" s="192"/>
      <c r="J354" s="197"/>
      <c r="K354" s="198"/>
    </row>
    <row r="355" spans="2:11" ht="30" hidden="1" outlineLevel="1" x14ac:dyDescent="0.25">
      <c r="B355" s="165" t="s">
        <v>547</v>
      </c>
      <c r="C355" s="206" t="s">
        <v>1378</v>
      </c>
      <c r="D355" s="194" t="s">
        <v>1284</v>
      </c>
      <c r="E355" s="340">
        <v>1000</v>
      </c>
      <c r="F355" s="206" t="str">
        <f t="shared" si="15"/>
        <v>8 (Hired Autos)</v>
      </c>
      <c r="G355" s="205" t="str">
        <f t="shared" si="15"/>
        <v>ACV (Actual Cash Value)</v>
      </c>
      <c r="H355" s="22">
        <f t="shared" si="15"/>
        <v>1000</v>
      </c>
      <c r="I355" s="341"/>
      <c r="J355" s="342"/>
      <c r="K355" s="343"/>
    </row>
    <row r="356" spans="2:11" hidden="1" outlineLevel="1" x14ac:dyDescent="0.25">
      <c r="B356" s="165" t="s">
        <v>339</v>
      </c>
      <c r="C356" s="206">
        <v>0</v>
      </c>
      <c r="D356" s="32">
        <v>0</v>
      </c>
      <c r="E356" s="22">
        <v>0</v>
      </c>
      <c r="F356" s="206">
        <f t="shared" si="15"/>
        <v>0</v>
      </c>
      <c r="G356" s="206">
        <f t="shared" si="15"/>
        <v>0</v>
      </c>
      <c r="H356" s="22">
        <f t="shared" si="15"/>
        <v>0</v>
      </c>
      <c r="I356" s="192"/>
      <c r="J356" s="197"/>
      <c r="K356" s="198"/>
    </row>
    <row r="357" spans="2:11" hidden="1" outlineLevel="1" x14ac:dyDescent="0.25">
      <c r="B357" s="164" t="s">
        <v>36</v>
      </c>
      <c r="C357" s="206">
        <v>0</v>
      </c>
      <c r="D357" s="74">
        <v>0</v>
      </c>
      <c r="E357" s="71">
        <v>0</v>
      </c>
      <c r="F357" s="204">
        <f t="shared" si="15"/>
        <v>0</v>
      </c>
      <c r="G357" s="622">
        <f t="shared" si="15"/>
        <v>0</v>
      </c>
      <c r="H357" s="71">
        <f t="shared" si="15"/>
        <v>0</v>
      </c>
      <c r="I357" s="193"/>
      <c r="J357" s="71"/>
      <c r="K357" s="199"/>
    </row>
    <row r="358" spans="2:11" s="1197" customFormat="1" ht="13.5" customHeight="1" collapsed="1" x14ac:dyDescent="0.25"/>
    <row r="359" spans="2:11" x14ac:dyDescent="0.25">
      <c r="B359" s="1053" t="s">
        <v>1232</v>
      </c>
      <c r="F359" s="338" t="s">
        <v>437</v>
      </c>
      <c r="G359" s="1165" t="s">
        <v>537</v>
      </c>
      <c r="H359" s="1165"/>
    </row>
    <row r="360" spans="2:11" hidden="1" outlineLevel="1" x14ac:dyDescent="0.25">
      <c r="B360" t="s">
        <v>0</v>
      </c>
      <c r="C360" t="s">
        <v>38</v>
      </c>
    </row>
    <row r="361" spans="2:11" hidden="1" outlineLevel="1" x14ac:dyDescent="0.25">
      <c r="B361" t="s">
        <v>1679</v>
      </c>
      <c r="C361" s="72">
        <v>6080930229</v>
      </c>
    </row>
    <row r="362" spans="2:11" hidden="1" outlineLevel="1" x14ac:dyDescent="0.25">
      <c r="B362" t="s">
        <v>1680</v>
      </c>
      <c r="C362" s="72">
        <v>6080930229</v>
      </c>
    </row>
    <row r="363" spans="2:11" hidden="1" outlineLevel="1" x14ac:dyDescent="0.25">
      <c r="B363" t="s">
        <v>131</v>
      </c>
      <c r="C363" t="s">
        <v>132</v>
      </c>
      <c r="D363" t="s">
        <v>133</v>
      </c>
      <c r="E363" t="s">
        <v>134</v>
      </c>
      <c r="F363" s="210" t="s">
        <v>392</v>
      </c>
      <c r="G363" s="1166"/>
      <c r="H363" s="1166"/>
    </row>
    <row r="364" spans="2:11" ht="30" hidden="1" outlineLevel="1" x14ac:dyDescent="0.25">
      <c r="B364" s="176" t="s">
        <v>1115</v>
      </c>
      <c r="C364" s="571" t="str">
        <f>B364</f>
        <v>The Continental Insurance Company (CNA)</v>
      </c>
      <c r="D364" s="176" t="s">
        <v>1115</v>
      </c>
      <c r="E364" s="176" t="s">
        <v>1115</v>
      </c>
      <c r="G364" s="1175"/>
      <c r="H364" s="1175"/>
    </row>
    <row r="365" spans="2:11" hidden="1" outlineLevel="1" x14ac:dyDescent="0.25">
      <c r="B365" t="s">
        <v>135</v>
      </c>
      <c r="C365" t="s">
        <v>136</v>
      </c>
      <c r="D365" t="s">
        <v>135</v>
      </c>
      <c r="E365" t="s">
        <v>139</v>
      </c>
    </row>
    <row r="366" spans="2:11" hidden="1" outlineLevel="1" x14ac:dyDescent="0.25">
      <c r="B366" s="18" t="s">
        <v>1116</v>
      </c>
      <c r="C366" t="str">
        <f>B366</f>
        <v>A: XV</v>
      </c>
      <c r="D366" s="18" t="s">
        <v>1116</v>
      </c>
      <c r="E366" s="18" t="s">
        <v>1116</v>
      </c>
    </row>
    <row r="367" spans="2:11" hidden="1" outlineLevel="1" x14ac:dyDescent="0.25">
      <c r="B367" t="s">
        <v>2</v>
      </c>
      <c r="C367" t="s">
        <v>3</v>
      </c>
      <c r="D367" t="s">
        <v>140</v>
      </c>
      <c r="E367" t="s">
        <v>141</v>
      </c>
    </row>
    <row r="368" spans="2:11" hidden="1" outlineLevel="1" x14ac:dyDescent="0.25">
      <c r="B368" s="123">
        <v>50817</v>
      </c>
      <c r="C368" s="832">
        <f>B368+B368*E387</f>
        <v>45634.397234797965</v>
      </c>
      <c r="D368" s="123">
        <v>47374</v>
      </c>
      <c r="E368" s="123">
        <v>47374</v>
      </c>
      <c r="F368" s="4"/>
    </row>
    <row r="369" spans="2:11" hidden="1" outlineLevel="1" x14ac:dyDescent="0.25">
      <c r="B369" s="4" t="s">
        <v>632</v>
      </c>
      <c r="C369" s="4" t="str">
        <f>B369</f>
        <v>Blended Rate as Percentage of Exposure</v>
      </c>
      <c r="D369" s="4" t="str">
        <f>B369</f>
        <v>Blended Rate as Percentage of Exposure</v>
      </c>
      <c r="E369" s="4" t="str">
        <f>B369</f>
        <v>Blended Rate as Percentage of Exposure</v>
      </c>
      <c r="F369" s="4"/>
    </row>
    <row r="370" spans="2:11" hidden="1" outlineLevel="1" x14ac:dyDescent="0.25">
      <c r="B370" s="3">
        <f>B368/C386</f>
        <v>0.47730730937576316</v>
      </c>
      <c r="C370" s="3">
        <f>C368/E386</f>
        <v>0.47730730937576316</v>
      </c>
      <c r="D370" s="3">
        <f>D368/G386</f>
        <v>0.49550246841268514</v>
      </c>
      <c r="E370" s="3">
        <f>E368/G386</f>
        <v>0.49550246841268514</v>
      </c>
      <c r="F370" s="4"/>
    </row>
    <row r="371" spans="2:11" hidden="1" outlineLevel="1" x14ac:dyDescent="0.25">
      <c r="D371" t="s">
        <v>5</v>
      </c>
      <c r="E371" t="s">
        <v>6</v>
      </c>
    </row>
    <row r="372" spans="2:11" hidden="1" outlineLevel="1" x14ac:dyDescent="0.25">
      <c r="D372" s="290">
        <f>-(C368-D368)/C368</f>
        <v>3.8120428243007917E-2</v>
      </c>
      <c r="E372" s="290">
        <f>-(C368-E368)/C368</f>
        <v>3.8120428243007917E-2</v>
      </c>
      <c r="G372" s="290">
        <f>-(C370-D370)/C370</f>
        <v>3.8120428243007966E-2</v>
      </c>
    </row>
    <row r="373" spans="2:11" hidden="1" outlineLevel="1" x14ac:dyDescent="0.25">
      <c r="B373" s="3" t="s">
        <v>685</v>
      </c>
      <c r="C373" s="3" t="s">
        <v>686</v>
      </c>
      <c r="D373" s="3" t="s">
        <v>687</v>
      </c>
      <c r="E373" s="3" t="s">
        <v>688</v>
      </c>
    </row>
    <row r="374" spans="2:11" hidden="1" outlineLevel="1" x14ac:dyDescent="0.25">
      <c r="B374" s="178"/>
      <c r="C374" s="179">
        <f>B374+B374*G387</f>
        <v>0</v>
      </c>
      <c r="D374" s="178"/>
      <c r="E374" s="178"/>
    </row>
    <row r="375" spans="2:11" hidden="1" outlineLevel="1" x14ac:dyDescent="0.25">
      <c r="B375" s="3" t="s">
        <v>203</v>
      </c>
      <c r="C375" s="3" t="s">
        <v>204</v>
      </c>
      <c r="D375" s="3" t="s">
        <v>205</v>
      </c>
      <c r="E375" s="3" t="s">
        <v>206</v>
      </c>
    </row>
    <row r="376" spans="2:11" hidden="1" outlineLevel="1" x14ac:dyDescent="0.25">
      <c r="B376" s="178"/>
      <c r="C376" s="179">
        <f>B376+B376*G387</f>
        <v>0</v>
      </c>
      <c r="D376" s="178"/>
      <c r="E376" s="178"/>
    </row>
    <row r="377" spans="2:11" hidden="1" outlineLevel="1" x14ac:dyDescent="0.25">
      <c r="B377" s="3" t="s">
        <v>14</v>
      </c>
      <c r="C377" s="4" t="s">
        <v>15</v>
      </c>
      <c r="D377" s="4" t="s">
        <v>142</v>
      </c>
      <c r="E377" t="s">
        <v>143</v>
      </c>
    </row>
    <row r="378" spans="2:11" hidden="1" outlineLevel="1" x14ac:dyDescent="0.25">
      <c r="B378" s="4">
        <f>B368+B374+B376</f>
        <v>50817</v>
      </c>
      <c r="C378" s="4">
        <f>C368+C374+C376</f>
        <v>45634.397234797965</v>
      </c>
      <c r="D378" s="4">
        <f>D368+D374+D376</f>
        <v>47374</v>
      </c>
      <c r="E378" s="4">
        <f>E368+E374+E376</f>
        <v>47374</v>
      </c>
      <c r="F378" s="4"/>
    </row>
    <row r="379" spans="2:11" hidden="1" outlineLevel="1" x14ac:dyDescent="0.25">
      <c r="B379" s="3" t="s">
        <v>998</v>
      </c>
      <c r="C379" s="3" t="s">
        <v>999</v>
      </c>
      <c r="D379" s="3" t="s">
        <v>1000</v>
      </c>
      <c r="E379" s="3" t="s">
        <v>1001</v>
      </c>
      <c r="F379" s="4"/>
    </row>
    <row r="380" spans="2:11" hidden="1" outlineLevel="1" x14ac:dyDescent="0.25">
      <c r="B380" s="693"/>
      <c r="C380" s="157" t="s">
        <v>284</v>
      </c>
      <c r="D380" s="693"/>
      <c r="E380" s="693"/>
      <c r="F380" s="4"/>
    </row>
    <row r="381" spans="2:11" hidden="1" outlineLevel="1" x14ac:dyDescent="0.25">
      <c r="B381" s="4"/>
      <c r="C381" s="4"/>
      <c r="D381" s="4"/>
      <c r="E381" s="4"/>
      <c r="F381" s="4"/>
    </row>
    <row r="382" spans="2:11" hidden="1" outlineLevel="1" x14ac:dyDescent="0.25">
      <c r="B382" s="37" t="s">
        <v>1906</v>
      </c>
      <c r="F382" s="34"/>
      <c r="G382" s="1168"/>
      <c r="H382" s="1168"/>
      <c r="I382" s="2"/>
    </row>
    <row r="383" spans="2:11" hidden="1" outlineLevel="1" x14ac:dyDescent="0.25">
      <c r="B383" s="1169" t="s">
        <v>39</v>
      </c>
      <c r="C383" s="1170"/>
      <c r="D383" s="80" t="s">
        <v>533</v>
      </c>
      <c r="E383" s="377"/>
      <c r="F383" s="1170" t="s">
        <v>40</v>
      </c>
      <c r="G383" s="1171"/>
      <c r="H383" s="573"/>
      <c r="I383" s="1173" t="s">
        <v>9</v>
      </c>
      <c r="J383" s="1174"/>
      <c r="K383" s="608" t="s">
        <v>750</v>
      </c>
    </row>
    <row r="384" spans="2:11" hidden="1" outlineLevel="1" x14ac:dyDescent="0.25">
      <c r="B384" s="38" t="s">
        <v>323</v>
      </c>
      <c r="C384" s="13">
        <f>B463</f>
        <v>708</v>
      </c>
      <c r="D384" s="321" t="str">
        <f>B384</f>
        <v>Auto Premium</v>
      </c>
      <c r="E384" s="317">
        <v>770</v>
      </c>
      <c r="F384" s="7" t="str">
        <f>B384</f>
        <v>Auto Premium</v>
      </c>
      <c r="G384" s="13">
        <f>D463</f>
        <v>770</v>
      </c>
      <c r="H384" s="56"/>
      <c r="I384" s="1" t="s">
        <v>129</v>
      </c>
      <c r="J384" s="1" t="s">
        <v>12</v>
      </c>
      <c r="K384" s="170" t="s">
        <v>129</v>
      </c>
    </row>
    <row r="385" spans="2:13" ht="30" hidden="1" outlineLevel="1" x14ac:dyDescent="0.25">
      <c r="B385" s="38" t="s">
        <v>321</v>
      </c>
      <c r="C385" s="13">
        <f>B193</f>
        <v>105758</v>
      </c>
      <c r="D385" s="321" t="str">
        <f>B385</f>
        <v>General Liability Premium</v>
      </c>
      <c r="E385" s="317">
        <v>94838</v>
      </c>
      <c r="F385" s="7" t="str">
        <f>B385</f>
        <v>General Liability Premium</v>
      </c>
      <c r="G385" s="13">
        <f>D193</f>
        <v>94838</v>
      </c>
      <c r="H385" s="57" t="s">
        <v>10</v>
      </c>
      <c r="I385" s="22">
        <v>10000000</v>
      </c>
      <c r="J385" s="22">
        <v>10000000</v>
      </c>
      <c r="K385" s="40">
        <v>10000</v>
      </c>
    </row>
    <row r="386" spans="2:13" hidden="1" outlineLevel="1" x14ac:dyDescent="0.25">
      <c r="B386" s="323" t="s">
        <v>322</v>
      </c>
      <c r="C386" s="320">
        <f>SUM(C384:C385)</f>
        <v>106466</v>
      </c>
      <c r="D386" s="321" t="str">
        <f>B386</f>
        <v>Total</v>
      </c>
      <c r="E386" s="320">
        <f>SUM(E384:E385)</f>
        <v>95608</v>
      </c>
      <c r="F386" s="324" t="str">
        <f>B386</f>
        <v>Total</v>
      </c>
      <c r="G386" s="325">
        <f>SUM(G384:G385)</f>
        <v>95608</v>
      </c>
      <c r="H386" s="57" t="s">
        <v>67</v>
      </c>
      <c r="I386" s="22">
        <v>10000000</v>
      </c>
      <c r="J386" s="22">
        <v>10000000</v>
      </c>
      <c r="K386" s="40">
        <v>10000</v>
      </c>
    </row>
    <row r="387" spans="2:13" hidden="1" outlineLevel="1" x14ac:dyDescent="0.25">
      <c r="D387" s="322" t="s">
        <v>13</v>
      </c>
      <c r="E387" s="854">
        <f>-(C386-E386)/C386</f>
        <v>-0.10198561042962072</v>
      </c>
      <c r="F387" s="10" t="s">
        <v>13</v>
      </c>
      <c r="G387" s="855">
        <f>-(C386-G386)/C386</f>
        <v>-0.10198561042962072</v>
      </c>
      <c r="H387" s="135" t="s">
        <v>68</v>
      </c>
      <c r="I387" s="71"/>
      <c r="J387" s="71"/>
      <c r="K387" s="136"/>
    </row>
    <row r="388" spans="2:13" hidden="1" outlineLevel="1" x14ac:dyDescent="0.25">
      <c r="D388" s="51"/>
      <c r="E388" s="15"/>
      <c r="F388" s="2"/>
      <c r="G388" s="23"/>
      <c r="H388" s="23"/>
      <c r="I388" s="23"/>
    </row>
    <row r="389" spans="2:13" hidden="1" outlineLevel="1" x14ac:dyDescent="0.25">
      <c r="B389" s="120" t="s">
        <v>311</v>
      </c>
      <c r="C389" s="1205" t="s">
        <v>657</v>
      </c>
      <c r="D389" s="1206"/>
      <c r="E389" s="1206"/>
      <c r="F389" s="1207"/>
      <c r="G389" s="1204" t="s">
        <v>4</v>
      </c>
      <c r="H389" s="1204"/>
      <c r="I389" s="1204"/>
      <c r="J389" s="1204"/>
    </row>
    <row r="390" spans="2:13" hidden="1" outlineLevel="1" x14ac:dyDescent="0.25">
      <c r="B390" s="163" t="s">
        <v>59</v>
      </c>
      <c r="C390" s="167" t="s">
        <v>1</v>
      </c>
      <c r="D390" s="167" t="s">
        <v>310</v>
      </c>
      <c r="E390" s="168" t="s">
        <v>60</v>
      </c>
      <c r="F390" s="286" t="s">
        <v>328</v>
      </c>
      <c r="G390" s="163" t="s">
        <v>1</v>
      </c>
      <c r="H390" s="167" t="s">
        <v>310</v>
      </c>
      <c r="I390" s="168" t="s">
        <v>60</v>
      </c>
      <c r="J390" s="168" t="s">
        <v>328</v>
      </c>
      <c r="K390" s="23"/>
      <c r="L390" s="23"/>
      <c r="M390" s="23"/>
    </row>
    <row r="391" spans="2:13" hidden="1" outlineLevel="1" x14ac:dyDescent="0.25">
      <c r="B391" s="165" t="s">
        <v>65</v>
      </c>
      <c r="C391" s="378">
        <f>'T5CS General Liab.'!C7</f>
        <v>6080912085</v>
      </c>
      <c r="D391" s="379">
        <f>C214</f>
        <v>1000000</v>
      </c>
      <c r="E391" s="378" t="str">
        <f>B189</f>
        <v>Continental Insurance Company (CNA)</v>
      </c>
      <c r="F391" s="287" t="str">
        <f>C5</f>
        <v>7/1/2022 - 7/1/2023</v>
      </c>
      <c r="G391" s="284">
        <f>C187</f>
        <v>6080912085</v>
      </c>
      <c r="H391" s="169">
        <f>IF(G188=D188,D214,IF(G188=E188,E214,D214))</f>
        <v>1000000</v>
      </c>
      <c r="I391" s="170" t="str">
        <f>IF(G188=D188,D189,IF(G188=E188,E189,D189))</f>
        <v>Continental Insurance Company (CNA)</v>
      </c>
      <c r="J391" s="170" t="str">
        <f>C6</f>
        <v>7/1/2023 - 7/1/2024</v>
      </c>
      <c r="K391" s="23"/>
      <c r="L391" s="23"/>
      <c r="M391" s="23"/>
    </row>
    <row r="392" spans="2:13" ht="15" hidden="1" customHeight="1" outlineLevel="1" x14ac:dyDescent="0.25">
      <c r="B392" s="165" t="s">
        <v>257</v>
      </c>
      <c r="C392" s="378">
        <f>C391</f>
        <v>6080912085</v>
      </c>
      <c r="D392" s="379">
        <f>D391</f>
        <v>1000000</v>
      </c>
      <c r="E392" s="378" t="str">
        <f>E391</f>
        <v>Continental Insurance Company (CNA)</v>
      </c>
      <c r="F392" s="287" t="str">
        <f>C5</f>
        <v>7/1/2022 - 7/1/2023</v>
      </c>
      <c r="G392" s="284">
        <f>G391</f>
        <v>6080912085</v>
      </c>
      <c r="H392" s="169">
        <f>H391</f>
        <v>1000000</v>
      </c>
      <c r="I392" s="170" t="str">
        <f>I391</f>
        <v>Continental Insurance Company (CNA)</v>
      </c>
      <c r="J392" s="170" t="str">
        <f>C6</f>
        <v>7/1/2023 - 7/1/2024</v>
      </c>
      <c r="K392" s="215"/>
      <c r="L392" s="23"/>
      <c r="M392" s="23"/>
    </row>
    <row r="393" spans="2:13" hidden="1" outlineLevel="1" x14ac:dyDescent="0.25">
      <c r="B393" s="165" t="s">
        <v>312</v>
      </c>
      <c r="C393" s="284">
        <f>'Workers Comp'!C7</f>
        <v>6080910403</v>
      </c>
      <c r="D393" s="291">
        <f>C258</f>
        <v>1000000</v>
      </c>
      <c r="E393" s="284" t="str">
        <f>B232</f>
        <v>The Continental Insurance Company (CNA)</v>
      </c>
      <c r="F393" s="287" t="str">
        <f>C5</f>
        <v>7/1/2022 - 7/1/2023</v>
      </c>
      <c r="G393" s="284">
        <f>C230</f>
        <v>6080910403</v>
      </c>
      <c r="H393" s="169">
        <f>IF(G231=D231,D258,IF(G231=E231,E258,D258))</f>
        <v>1000000</v>
      </c>
      <c r="I393" s="170" t="str">
        <f>IF(G231=D231,D232,IF(G231=E231,E232,D232))</f>
        <v>American Casualty Company Of Reading, PA</v>
      </c>
      <c r="J393" s="170" t="str">
        <f>C6</f>
        <v>7/1/2023 - 7/1/2024</v>
      </c>
      <c r="K393" s="215"/>
      <c r="L393" s="23"/>
      <c r="M393" s="23"/>
    </row>
    <row r="394" spans="2:13" hidden="1" outlineLevel="1" x14ac:dyDescent="0.25">
      <c r="B394" s="165" t="s">
        <v>753</v>
      </c>
      <c r="C394" s="378"/>
      <c r="D394" s="379"/>
      <c r="E394" s="378"/>
      <c r="F394" s="287" t="str">
        <f>C6</f>
        <v>7/1/2023 - 7/1/2024</v>
      </c>
      <c r="G394" s="378"/>
      <c r="H394" s="610"/>
      <c r="I394" s="611"/>
      <c r="J394" s="170" t="str">
        <f>C5</f>
        <v>7/1/2022 - 7/1/2023</v>
      </c>
      <c r="K394" s="215"/>
      <c r="L394" s="23"/>
      <c r="M394" s="23"/>
    </row>
    <row r="395" spans="2:13" hidden="1" outlineLevel="1" x14ac:dyDescent="0.25">
      <c r="B395" s="165" t="s">
        <v>751</v>
      </c>
      <c r="C395" s="378">
        <f>'T5DC Business Auto'!C7</f>
        <v>6081081573</v>
      </c>
      <c r="D395" s="379">
        <f>D343</f>
        <v>1000000</v>
      </c>
      <c r="E395" s="378" t="str">
        <f>B316</f>
        <v>Valley Forge Insurance Company (CNA)</v>
      </c>
      <c r="F395" s="287" t="str">
        <f>C5</f>
        <v>7/1/2022 - 7/1/2023</v>
      </c>
      <c r="G395" s="284">
        <f>C314</f>
        <v>6081081573</v>
      </c>
      <c r="H395" s="169">
        <f>IF(G315=D315,G343,IF(G315=E315,J343,G343))</f>
        <v>1000000</v>
      </c>
      <c r="I395" s="170" t="str">
        <f>IF(G315=D315,D316,IF(G315=E315,E316,D316))</f>
        <v>Valley Forge Insurance Company (CNA)</v>
      </c>
      <c r="J395" s="170" t="str">
        <f>C6</f>
        <v>7/1/2023 - 7/1/2024</v>
      </c>
      <c r="K395" s="215"/>
      <c r="L395" s="23"/>
      <c r="M395" s="23"/>
    </row>
    <row r="396" spans="2:13" hidden="1" outlineLevel="1" x14ac:dyDescent="0.25">
      <c r="B396" s="165" t="s">
        <v>314</v>
      </c>
      <c r="C396" s="284" t="s">
        <v>1726</v>
      </c>
      <c r="D396" s="291">
        <v>1000000</v>
      </c>
      <c r="E396" s="284" t="s">
        <v>1115</v>
      </c>
      <c r="F396" s="287" t="s">
        <v>1772</v>
      </c>
      <c r="G396" s="284" t="str">
        <f>C819</f>
        <v>PST 73 488 5104</v>
      </c>
      <c r="H396" s="169">
        <f>IF(G820=D820,E843,IF(G820=E820,G843,E843))</f>
        <v>1000000</v>
      </c>
      <c r="I396" s="170" t="str">
        <f>IF(G820=D820,D821,IF(G820=E820,E821,D821))</f>
        <v>The Continental Insurance Company (CNA)</v>
      </c>
      <c r="J396" s="170" t="s">
        <v>1772</v>
      </c>
      <c r="K396" s="215"/>
      <c r="L396" s="23"/>
      <c r="M396" s="23"/>
    </row>
    <row r="397" spans="2:13" hidden="1" outlineLevel="1" x14ac:dyDescent="0.25">
      <c r="B397" s="165" t="s">
        <v>315</v>
      </c>
      <c r="C397" s="284" t="s">
        <v>1726</v>
      </c>
      <c r="D397" s="291">
        <v>1000000</v>
      </c>
      <c r="E397" s="284" t="s">
        <v>1115</v>
      </c>
      <c r="F397" s="287" t="str">
        <f>F396</f>
        <v>10/16/2020 - 10/16/2021</v>
      </c>
      <c r="G397" s="284" t="str">
        <f>G396</f>
        <v>PST 73 488 5104</v>
      </c>
      <c r="H397" s="169">
        <f>IF(G820=D820,E844,IF(G820=E820,G844,E844))</f>
        <v>1000000</v>
      </c>
      <c r="I397" s="170" t="str">
        <f>I396</f>
        <v>The Continental Insurance Company (CNA)</v>
      </c>
      <c r="J397" s="170" t="s">
        <v>1772</v>
      </c>
      <c r="K397" s="215"/>
      <c r="L397" s="23"/>
      <c r="M397" s="23"/>
    </row>
    <row r="398" spans="2:13" hidden="1" outlineLevel="1" x14ac:dyDescent="0.25">
      <c r="B398" s="165" t="s">
        <v>316</v>
      </c>
      <c r="C398" s="284" t="s">
        <v>1726</v>
      </c>
      <c r="D398" s="291">
        <v>1000000</v>
      </c>
      <c r="E398" s="284" t="s">
        <v>1115</v>
      </c>
      <c r="F398" s="287" t="str">
        <f>F396</f>
        <v>10/16/2020 - 10/16/2021</v>
      </c>
      <c r="G398" s="284" t="str">
        <f>G396</f>
        <v>PST 73 488 5104</v>
      </c>
      <c r="H398" s="169">
        <f>IF(G820=D820,E848,IF(G820=E820,G848,E848))</f>
        <v>1000000</v>
      </c>
      <c r="I398" s="170" t="str">
        <f>I396</f>
        <v>The Continental Insurance Company (CNA)</v>
      </c>
      <c r="J398" s="170" t="s">
        <v>1772</v>
      </c>
      <c r="K398" s="215"/>
      <c r="L398" s="23"/>
      <c r="M398" s="23"/>
    </row>
    <row r="399" spans="2:13" hidden="1" outlineLevel="1" x14ac:dyDescent="0.25">
      <c r="B399" s="165" t="s">
        <v>752</v>
      </c>
      <c r="C399" s="284" t="s">
        <v>1726</v>
      </c>
      <c r="D399" s="291">
        <v>1000000</v>
      </c>
      <c r="E399" s="284" t="s">
        <v>1115</v>
      </c>
      <c r="F399" s="287" t="str">
        <f>F396</f>
        <v>10/16/2020 - 10/16/2021</v>
      </c>
      <c r="G399" s="284" t="str">
        <f>G396</f>
        <v>PST 73 488 5104</v>
      </c>
      <c r="H399" s="169">
        <f>IF(G820=D820,E845,IF(G820=E820,G845,E845))</f>
        <v>1000000</v>
      </c>
      <c r="I399" s="170" t="str">
        <f>I396</f>
        <v>The Continental Insurance Company (CNA)</v>
      </c>
      <c r="J399" s="170" t="s">
        <v>1772</v>
      </c>
      <c r="K399" s="215"/>
      <c r="L399" s="23"/>
      <c r="M399" s="23"/>
    </row>
    <row r="400" spans="2:13" hidden="1" outlineLevel="1" x14ac:dyDescent="0.25">
      <c r="B400" s="164" t="s">
        <v>313</v>
      </c>
      <c r="C400" s="285">
        <f>Watercraft!C7</f>
        <v>0</v>
      </c>
      <c r="D400" s="292">
        <f>C776</f>
        <v>1000000</v>
      </c>
      <c r="E400" s="285" t="str">
        <f>B749</f>
        <v>Houston Specialty Insurance Company</v>
      </c>
      <c r="F400" s="288" t="str">
        <f>C5</f>
        <v>7/1/2022 - 7/1/2023</v>
      </c>
      <c r="G400" s="285" t="str">
        <f>C747</f>
        <v>TBD</v>
      </c>
      <c r="H400" s="172">
        <f>IF(G748=D748,E776,IF(G748=E748,G776,E776))</f>
        <v>1000000</v>
      </c>
      <c r="I400" s="173" t="str">
        <f>IF(G748=D748,D749,IF(G748=E748,E749,D749))</f>
        <v>Houston Specialty Insurance Company</v>
      </c>
      <c r="J400" s="173" t="str">
        <f>C6</f>
        <v>7/1/2023 - 7/1/2024</v>
      </c>
      <c r="K400" s="23"/>
      <c r="L400" s="23"/>
      <c r="M400" s="23"/>
    </row>
    <row r="401" spans="2:13" hidden="1" outlineLevel="1" x14ac:dyDescent="0.25">
      <c r="B401" s="164" t="s">
        <v>408</v>
      </c>
      <c r="C401" s="285">
        <f>Drone!C7</f>
        <v>0</v>
      </c>
      <c r="D401" s="292">
        <f>G1195</f>
        <v>0</v>
      </c>
      <c r="E401" s="285" t="str">
        <f>B1178</f>
        <v>Global Aerospace</v>
      </c>
      <c r="F401" s="288" t="str">
        <f>C6</f>
        <v>7/1/2023 - 7/1/2024</v>
      </c>
      <c r="G401" s="285" t="str">
        <f>C1176</f>
        <v>TBD</v>
      </c>
      <c r="H401" s="172">
        <f>IF(G1177=D1177,G1196,IF(G1177=E1177,G1197,G1196))</f>
        <v>0</v>
      </c>
      <c r="I401" s="173" t="str">
        <f>IF(G1177=D1177,D1178,IF(G1177=E1177,E1178,D1178))</f>
        <v>Global Aerospace</v>
      </c>
      <c r="J401" s="609" t="str">
        <f>C6</f>
        <v>7/1/2023 - 7/1/2024</v>
      </c>
      <c r="K401" s="23"/>
      <c r="L401" s="23"/>
      <c r="M401" s="23"/>
    </row>
    <row r="402" spans="2:13" s="1197" customFormat="1" ht="13.5" customHeight="1" collapsed="1" x14ac:dyDescent="0.25"/>
    <row r="403" spans="2:13" x14ac:dyDescent="0.25">
      <c r="B403" s="1053" t="s">
        <v>1661</v>
      </c>
      <c r="F403" s="338" t="s">
        <v>437</v>
      </c>
      <c r="G403" s="1165" t="s">
        <v>537</v>
      </c>
      <c r="H403" s="1165"/>
    </row>
    <row r="404" spans="2:13" hidden="1" outlineLevel="1" x14ac:dyDescent="0.25">
      <c r="B404" t="s">
        <v>0</v>
      </c>
      <c r="C404" t="s">
        <v>38</v>
      </c>
    </row>
    <row r="405" spans="2:13" hidden="1" outlineLevel="1" x14ac:dyDescent="0.25">
      <c r="B405" t="s">
        <v>1679</v>
      </c>
      <c r="C405" s="18" t="s">
        <v>1918</v>
      </c>
    </row>
    <row r="406" spans="2:13" hidden="1" outlineLevel="1" x14ac:dyDescent="0.25">
      <c r="B406" t="s">
        <v>1680</v>
      </c>
      <c r="C406" s="18" t="s">
        <v>649</v>
      </c>
    </row>
    <row r="407" spans="2:13" hidden="1" outlineLevel="1" x14ac:dyDescent="0.25">
      <c r="B407" t="s">
        <v>131</v>
      </c>
      <c r="C407" t="s">
        <v>132</v>
      </c>
      <c r="D407" t="s">
        <v>133</v>
      </c>
      <c r="E407" t="s">
        <v>134</v>
      </c>
      <c r="F407" s="210" t="s">
        <v>392</v>
      </c>
      <c r="G407" s="1166"/>
      <c r="H407" s="1166"/>
    </row>
    <row r="408" spans="2:13" hidden="1" outlineLevel="1" x14ac:dyDescent="0.25">
      <c r="B408" s="176" t="s">
        <v>1830</v>
      </c>
      <c r="C408" s="571" t="str">
        <f>B408</f>
        <v xml:space="preserve">RSUI Indemnity Company </v>
      </c>
      <c r="D408" s="176" t="s">
        <v>1830</v>
      </c>
      <c r="E408" s="176" t="s">
        <v>1830</v>
      </c>
      <c r="G408" s="1175"/>
      <c r="H408" s="1175"/>
    </row>
    <row r="409" spans="2:13" hidden="1" outlineLevel="1" x14ac:dyDescent="0.25">
      <c r="B409" t="s">
        <v>135</v>
      </c>
      <c r="C409" t="s">
        <v>136</v>
      </c>
      <c r="D409" t="s">
        <v>137</v>
      </c>
      <c r="E409" t="s">
        <v>139</v>
      </c>
    </row>
    <row r="410" spans="2:13" hidden="1" outlineLevel="1" x14ac:dyDescent="0.25">
      <c r="B410" s="18" t="s">
        <v>1454</v>
      </c>
      <c r="C410" t="str">
        <f>B410</f>
        <v>A+: XIV</v>
      </c>
      <c r="D410" s="18" t="s">
        <v>1454</v>
      </c>
      <c r="E410" s="18" t="s">
        <v>1454</v>
      </c>
    </row>
    <row r="411" spans="2:13" hidden="1" outlineLevel="1" x14ac:dyDescent="0.25">
      <c r="B411" t="s">
        <v>2</v>
      </c>
      <c r="C411" t="s">
        <v>3</v>
      </c>
      <c r="D411" t="s">
        <v>140</v>
      </c>
      <c r="E411" t="s">
        <v>141</v>
      </c>
    </row>
    <row r="412" spans="2:13" hidden="1" outlineLevel="1" x14ac:dyDescent="0.25">
      <c r="B412" s="123">
        <v>40600</v>
      </c>
      <c r="C412" s="12">
        <f>B412+B412*H421</f>
        <v>37849.231556368934</v>
      </c>
      <c r="D412" s="123">
        <v>39077.5</v>
      </c>
      <c r="E412" s="123">
        <v>39077.5</v>
      </c>
      <c r="F412" s="4"/>
    </row>
    <row r="413" spans="2:13" hidden="1" outlineLevel="1" x14ac:dyDescent="0.25">
      <c r="B413" s="4" t="s">
        <v>285</v>
      </c>
      <c r="C413" s="4" t="s">
        <v>287</v>
      </c>
      <c r="D413" s="4" t="s">
        <v>287</v>
      </c>
      <c r="E413" s="4" t="s">
        <v>287</v>
      </c>
      <c r="F413" s="4"/>
    </row>
    <row r="414" spans="2:13" hidden="1" outlineLevel="1" x14ac:dyDescent="0.25">
      <c r="B414" s="3">
        <f>B412/C429</f>
        <v>0.79894523486234925</v>
      </c>
      <c r="C414" s="3">
        <f>C412/H420</f>
        <v>0.79894523486234925</v>
      </c>
      <c r="D414" s="3">
        <f>D412/H420</f>
        <v>0.82487229281884578</v>
      </c>
      <c r="E414" s="3">
        <f>E412/H420</f>
        <v>0.82487229281884578</v>
      </c>
      <c r="F414" s="4"/>
    </row>
    <row r="415" spans="2:13" hidden="1" outlineLevel="1" x14ac:dyDescent="0.25">
      <c r="D415" t="s">
        <v>5</v>
      </c>
      <c r="E415" t="s">
        <v>6</v>
      </c>
    </row>
    <row r="416" spans="2:13" hidden="1" outlineLevel="1" x14ac:dyDescent="0.25">
      <c r="D416" s="290">
        <f>-(C412-D412)/C412</f>
        <v>3.245160847722374E-2</v>
      </c>
      <c r="E416" s="290">
        <f>-(C412-E412)/C412</f>
        <v>3.245160847722374E-2</v>
      </c>
    </row>
    <row r="417" spans="2:9" hidden="1" outlineLevel="1" x14ac:dyDescent="0.25">
      <c r="B417" s="3" t="s">
        <v>685</v>
      </c>
      <c r="C417" s="3" t="s">
        <v>686</v>
      </c>
      <c r="D417" s="3" t="s">
        <v>687</v>
      </c>
      <c r="E417" s="3" t="s">
        <v>688</v>
      </c>
    </row>
    <row r="418" spans="2:9" hidden="1" outlineLevel="1" x14ac:dyDescent="0.25">
      <c r="B418" s="178"/>
      <c r="C418" s="179">
        <f>B418+B418*E430</f>
        <v>0</v>
      </c>
      <c r="D418" s="178"/>
      <c r="E418" s="178"/>
      <c r="G418" s="1177" t="s">
        <v>40</v>
      </c>
      <c r="H418" s="1178"/>
    </row>
    <row r="419" spans="2:9" hidden="1" outlineLevel="1" x14ac:dyDescent="0.25">
      <c r="B419" s="3" t="s">
        <v>203</v>
      </c>
      <c r="C419" s="3" t="s">
        <v>204</v>
      </c>
      <c r="D419" s="3" t="s">
        <v>205</v>
      </c>
      <c r="E419" s="3" t="s">
        <v>206</v>
      </c>
      <c r="G419" s="1171"/>
      <c r="H419" s="1179"/>
    </row>
    <row r="420" spans="2:9" ht="30" hidden="1" outlineLevel="1" x14ac:dyDescent="0.25">
      <c r="B420" s="123">
        <v>1000</v>
      </c>
      <c r="C420" s="179">
        <v>1000</v>
      </c>
      <c r="D420" s="178">
        <v>1000</v>
      </c>
      <c r="E420" s="178">
        <v>1000</v>
      </c>
      <c r="G420" s="7" t="s">
        <v>1909</v>
      </c>
      <c r="H420" s="60">
        <f>D368</f>
        <v>47374</v>
      </c>
    </row>
    <row r="421" spans="2:9" hidden="1" outlineLevel="1" x14ac:dyDescent="0.25">
      <c r="B421" s="3" t="s">
        <v>14</v>
      </c>
      <c r="C421" s="4" t="s">
        <v>15</v>
      </c>
      <c r="D421" s="4" t="s">
        <v>142</v>
      </c>
      <c r="E421" t="s">
        <v>143</v>
      </c>
      <c r="G421" s="21" t="s">
        <v>13</v>
      </c>
      <c r="H421" s="61">
        <f>-(C429-H420)/C429</f>
        <v>-6.7752917330814497E-2</v>
      </c>
    </row>
    <row r="422" spans="2:9" hidden="1" outlineLevel="1" x14ac:dyDescent="0.25">
      <c r="B422" s="4">
        <f>B412+B418+B420</f>
        <v>41600</v>
      </c>
      <c r="C422" s="4">
        <f>C412+C418+C420</f>
        <v>38849.231556368934</v>
      </c>
      <c r="D422" s="4">
        <f>D412+D418+D420</f>
        <v>40077.5</v>
      </c>
      <c r="E422" s="4">
        <f>E412+E418+E420</f>
        <v>40077.5</v>
      </c>
      <c r="F422" s="4"/>
    </row>
    <row r="423" spans="2:9" hidden="1" outlineLevel="1" x14ac:dyDescent="0.25">
      <c r="B423" s="3" t="s">
        <v>998</v>
      </c>
      <c r="C423" s="3" t="s">
        <v>999</v>
      </c>
      <c r="D423" s="3" t="s">
        <v>1000</v>
      </c>
      <c r="E423" s="3" t="s">
        <v>1001</v>
      </c>
      <c r="F423" s="4"/>
    </row>
    <row r="424" spans="2:9" hidden="1" outlineLevel="1" x14ac:dyDescent="0.25">
      <c r="B424" s="693"/>
      <c r="C424" s="157" t="s">
        <v>284</v>
      </c>
      <c r="D424" s="693"/>
      <c r="E424" s="693"/>
      <c r="F424" s="4"/>
    </row>
    <row r="425" spans="2:9" hidden="1" outlineLevel="1" x14ac:dyDescent="0.25">
      <c r="B425" s="4"/>
      <c r="C425" s="4"/>
      <c r="D425" s="4"/>
      <c r="E425" s="4"/>
      <c r="F425" s="4"/>
    </row>
    <row r="426" spans="2:9" hidden="1" outlineLevel="1" x14ac:dyDescent="0.25">
      <c r="B426" s="37" t="s">
        <v>382</v>
      </c>
      <c r="F426" s="34"/>
      <c r="G426" s="1168"/>
      <c r="H426" s="1168"/>
      <c r="I426" s="2"/>
    </row>
    <row r="427" spans="2:9" hidden="1" outlineLevel="1" x14ac:dyDescent="0.25">
      <c r="B427" s="1178" t="s">
        <v>39</v>
      </c>
      <c r="C427" s="1180"/>
      <c r="D427" s="1177" t="s">
        <v>533</v>
      </c>
      <c r="E427" s="1178"/>
      <c r="F427" s="573"/>
      <c r="G427" s="1173" t="s">
        <v>9</v>
      </c>
      <c r="H427" s="1174"/>
      <c r="I427" s="376" t="s">
        <v>750</v>
      </c>
    </row>
    <row r="428" spans="2:9" hidden="1" outlineLevel="1" x14ac:dyDescent="0.25">
      <c r="B428" s="1179"/>
      <c r="C428" s="1169"/>
      <c r="D428" s="1171"/>
      <c r="E428" s="1179"/>
      <c r="F428" s="56"/>
      <c r="G428" s="1" t="s">
        <v>129</v>
      </c>
      <c r="H428" s="1" t="s">
        <v>12</v>
      </c>
      <c r="I428" s="39" t="s">
        <v>129</v>
      </c>
    </row>
    <row r="429" spans="2:9" hidden="1" outlineLevel="1" x14ac:dyDescent="0.25">
      <c r="B429" s="38" t="s">
        <v>319</v>
      </c>
      <c r="C429" s="53">
        <f>B368</f>
        <v>50817</v>
      </c>
      <c r="D429" s="7" t="s">
        <v>1968</v>
      </c>
      <c r="E429" s="60">
        <f>C378</f>
        <v>45634.397234797965</v>
      </c>
      <c r="F429" s="62" t="s">
        <v>10</v>
      </c>
      <c r="G429" s="22">
        <v>10000000</v>
      </c>
      <c r="H429" s="22">
        <v>10000000</v>
      </c>
      <c r="I429" s="40">
        <v>0</v>
      </c>
    </row>
    <row r="430" spans="2:9" hidden="1" outlineLevel="1" x14ac:dyDescent="0.25">
      <c r="B430" s="52"/>
      <c r="C430" s="54"/>
      <c r="D430" s="21" t="s">
        <v>13</v>
      </c>
      <c r="E430" s="61">
        <f>-(C429-E429)/C429</f>
        <v>-0.10198561042962069</v>
      </c>
      <c r="F430" s="62" t="s">
        <v>67</v>
      </c>
      <c r="G430" s="22">
        <v>10000000</v>
      </c>
      <c r="H430" s="22">
        <v>10000000</v>
      </c>
      <c r="I430" s="40">
        <v>0</v>
      </c>
    </row>
    <row r="431" spans="2:9" hidden="1" outlineLevel="1" x14ac:dyDescent="0.25">
      <c r="B431" s="51"/>
      <c r="C431" s="55"/>
      <c r="D431" s="51"/>
      <c r="E431" s="15"/>
      <c r="F431" s="63" t="s">
        <v>68</v>
      </c>
      <c r="G431" s="71"/>
      <c r="H431" s="71"/>
      <c r="I431" s="136"/>
    </row>
    <row r="432" spans="2:9" hidden="1" outlineLevel="1" x14ac:dyDescent="0.25">
      <c r="B432" s="120" t="s">
        <v>311</v>
      </c>
      <c r="D432" s="51"/>
      <c r="E432" s="15"/>
      <c r="F432" s="181"/>
      <c r="G432" s="182"/>
      <c r="H432" s="182"/>
      <c r="I432" s="182"/>
    </row>
    <row r="433" spans="2:11" hidden="1" outlineLevel="1" x14ac:dyDescent="0.25">
      <c r="B433" s="120"/>
      <c r="D433" s="51"/>
      <c r="E433" s="15"/>
      <c r="F433" s="2"/>
      <c r="G433" s="23"/>
      <c r="H433" s="23"/>
      <c r="I433" s="23"/>
    </row>
    <row r="434" spans="2:11" hidden="1" outlineLevel="1" x14ac:dyDescent="0.25">
      <c r="B434" s="36" t="s">
        <v>10</v>
      </c>
      <c r="D434" s="51"/>
      <c r="E434" s="15"/>
      <c r="F434" s="2"/>
      <c r="G434" s="23"/>
      <c r="H434" s="23"/>
      <c r="I434" s="23"/>
    </row>
    <row r="435" spans="2:11" hidden="1" outlineLevel="1" x14ac:dyDescent="0.25">
      <c r="B435" s="120"/>
      <c r="D435" s="1176" t="s">
        <v>310</v>
      </c>
      <c r="E435" s="1174"/>
      <c r="F435" s="2"/>
      <c r="G435" s="23"/>
      <c r="H435" s="23"/>
      <c r="I435" s="23"/>
    </row>
    <row r="436" spans="2:11" hidden="1" outlineLevel="1" x14ac:dyDescent="0.25">
      <c r="B436" s="163" t="s">
        <v>59</v>
      </c>
      <c r="C436" s="167" t="s">
        <v>1</v>
      </c>
      <c r="D436" s="167" t="str">
        <f>G428</f>
        <v>Each Occurrence</v>
      </c>
      <c r="E436" s="183" t="str">
        <f>H428</f>
        <v>Aggregate</v>
      </c>
      <c r="F436" s="183" t="str">
        <f>K383</f>
        <v>Self-Insured Retention</v>
      </c>
      <c r="G436" s="168" t="s">
        <v>60</v>
      </c>
      <c r="H436" s="168" t="s">
        <v>328</v>
      </c>
      <c r="I436" s="23"/>
    </row>
    <row r="437" spans="2:11" hidden="1" outlineLevel="1" x14ac:dyDescent="0.25">
      <c r="B437" s="164" t="s">
        <v>318</v>
      </c>
      <c r="C437" s="171">
        <f>'T5CS Umbrella Liability'!C7</f>
        <v>6080930229</v>
      </c>
      <c r="D437" s="172">
        <f>I385</f>
        <v>10000000</v>
      </c>
      <c r="E437" s="172">
        <f>J385</f>
        <v>10000000</v>
      </c>
      <c r="F437" s="172">
        <f>K385</f>
        <v>10000</v>
      </c>
      <c r="G437" s="173" t="str">
        <f>B364</f>
        <v>The Continental Insurance Company (CNA)</v>
      </c>
      <c r="H437" s="173" t="str">
        <f>C5</f>
        <v>7/1/2022 - 7/1/2023</v>
      </c>
      <c r="I437" s="23"/>
    </row>
    <row r="438" spans="2:11" hidden="1" outlineLevel="1" x14ac:dyDescent="0.25">
      <c r="B438" s="120"/>
      <c r="D438" s="51"/>
      <c r="E438" s="15"/>
      <c r="F438" s="2"/>
      <c r="G438" s="23"/>
      <c r="H438" s="23"/>
      <c r="I438" s="23"/>
    </row>
    <row r="439" spans="2:11" hidden="1" outlineLevel="1" x14ac:dyDescent="0.25">
      <c r="B439" s="36" t="s">
        <v>4</v>
      </c>
      <c r="D439" s="51"/>
      <c r="E439" s="15"/>
      <c r="F439" s="2"/>
      <c r="G439" s="23"/>
      <c r="H439" s="23"/>
      <c r="I439" s="23"/>
    </row>
    <row r="440" spans="2:11" hidden="1" outlineLevel="1" x14ac:dyDescent="0.25">
      <c r="B440" s="120"/>
      <c r="D440" s="1176" t="s">
        <v>310</v>
      </c>
      <c r="E440" s="1174"/>
      <c r="F440" s="2"/>
      <c r="G440" s="23"/>
      <c r="H440" s="23"/>
      <c r="I440" s="23"/>
    </row>
    <row r="441" spans="2:11" hidden="1" outlineLevel="1" x14ac:dyDescent="0.25">
      <c r="B441" s="163" t="s">
        <v>59</v>
      </c>
      <c r="C441" s="167" t="s">
        <v>1</v>
      </c>
      <c r="D441" s="167" t="str">
        <f>G428</f>
        <v>Each Occurrence</v>
      </c>
      <c r="E441" s="183" t="str">
        <f>H428</f>
        <v>Aggregate</v>
      </c>
      <c r="F441" s="183" t="str">
        <f>K383</f>
        <v>Self-Insured Retention</v>
      </c>
      <c r="G441" s="168" t="s">
        <v>60</v>
      </c>
      <c r="H441" s="168" t="s">
        <v>328</v>
      </c>
      <c r="I441" s="23"/>
      <c r="J441" s="23"/>
      <c r="K441" s="23"/>
    </row>
    <row r="442" spans="2:11" hidden="1" outlineLevel="1" x14ac:dyDescent="0.25">
      <c r="B442" s="164" t="str">
        <f>"Primary "&amp;B359&amp;" Policy"</f>
        <v>Primary T5CS Umbrella Policy</v>
      </c>
      <c r="C442" s="171">
        <f>C362</f>
        <v>6080930229</v>
      </c>
      <c r="D442" s="172">
        <f>IF(G363=D363,I386,IF(G363=E363,I387,I386))</f>
        <v>10000000</v>
      </c>
      <c r="E442" s="216">
        <f>IF(G363=D363,J386,IF(G363=E363,J387,J386))</f>
        <v>10000000</v>
      </c>
      <c r="F442" s="216">
        <f>IF(G363=D363,K386,IF(G363=E363,K387,K386))</f>
        <v>10000</v>
      </c>
      <c r="G442" s="173" t="str">
        <f>IF(G363=D363,D364,IF(G363=E363,E364,D364))</f>
        <v>The Continental Insurance Company (CNA)</v>
      </c>
      <c r="H442" s="173" t="str">
        <f>C6</f>
        <v>7/1/2023 - 7/1/2024</v>
      </c>
      <c r="I442" s="23"/>
      <c r="J442" s="23"/>
      <c r="K442" s="23"/>
    </row>
    <row r="443" spans="2:11" s="1197" customFormat="1" ht="13.5" customHeight="1" collapsed="1" x14ac:dyDescent="0.25"/>
    <row r="444" spans="2:11" ht="15" customHeight="1" x14ac:dyDescent="0.25">
      <c r="B444" s="1054" t="s">
        <v>1234</v>
      </c>
      <c r="F444" s="338" t="s">
        <v>437</v>
      </c>
      <c r="G444" s="1165" t="s">
        <v>537</v>
      </c>
      <c r="H444" s="1165"/>
    </row>
    <row r="445" spans="2:11" hidden="1" outlineLevel="1" x14ac:dyDescent="0.25">
      <c r="B445" s="16" t="s">
        <v>0</v>
      </c>
      <c r="C445" s="1190" t="s">
        <v>1713</v>
      </c>
      <c r="D445" s="1190"/>
      <c r="E445" s="1190"/>
      <c r="F445" s="1190"/>
      <c r="G445" s="1190"/>
      <c r="H445" s="1190"/>
    </row>
    <row r="446" spans="2:11" hidden="1" outlineLevel="1" x14ac:dyDescent="0.25">
      <c r="B446" t="s">
        <v>1679</v>
      </c>
      <c r="C446" s="72">
        <v>6080917903</v>
      </c>
      <c r="D446" s="911"/>
      <c r="E446" s="911"/>
      <c r="F446" s="911"/>
      <c r="G446" s="911"/>
      <c r="H446" s="911"/>
    </row>
    <row r="447" spans="2:11" ht="15" hidden="1" customHeight="1" outlineLevel="1" x14ac:dyDescent="0.25">
      <c r="B447" t="s">
        <v>1680</v>
      </c>
      <c r="C447" s="72">
        <v>6080917903</v>
      </c>
    </row>
    <row r="448" spans="2:11" ht="15" hidden="1" customHeight="1" outlineLevel="1" x14ac:dyDescent="0.25">
      <c r="B448" t="s">
        <v>131</v>
      </c>
      <c r="C448" t="s">
        <v>132</v>
      </c>
      <c r="D448" t="s">
        <v>133</v>
      </c>
      <c r="E448" t="s">
        <v>134</v>
      </c>
      <c r="F448" s="210" t="s">
        <v>392</v>
      </c>
      <c r="G448" s="1166"/>
      <c r="H448" s="1166"/>
    </row>
    <row r="449" spans="2:8" ht="15" hidden="1" customHeight="1" outlineLevel="1" x14ac:dyDescent="0.25">
      <c r="B449" s="176" t="s">
        <v>1465</v>
      </c>
      <c r="C449" s="571" t="str">
        <f>B449</f>
        <v>Continental Casualty Company (CNA)</v>
      </c>
      <c r="D449" s="176" t="s">
        <v>1465</v>
      </c>
      <c r="E449" s="176" t="s">
        <v>1465</v>
      </c>
      <c r="G449" s="1175"/>
      <c r="H449" s="1175"/>
    </row>
    <row r="450" spans="2:8" ht="15" hidden="1" customHeight="1" outlineLevel="1" x14ac:dyDescent="0.25">
      <c r="B450" t="s">
        <v>135</v>
      </c>
      <c r="C450" t="s">
        <v>136</v>
      </c>
      <c r="D450" t="s">
        <v>135</v>
      </c>
      <c r="E450" t="s">
        <v>139</v>
      </c>
    </row>
    <row r="451" spans="2:8" ht="15" hidden="1" customHeight="1" outlineLevel="1" x14ac:dyDescent="0.25">
      <c r="B451" s="18" t="s">
        <v>1116</v>
      </c>
      <c r="C451" t="str">
        <f>B451</f>
        <v>A: XV</v>
      </c>
      <c r="D451" s="18" t="s">
        <v>1116</v>
      </c>
      <c r="E451" s="18" t="s">
        <v>1116</v>
      </c>
    </row>
    <row r="452" spans="2:8" ht="15" hidden="1" customHeight="1" outlineLevel="1" x14ac:dyDescent="0.25">
      <c r="B452" t="s">
        <v>262</v>
      </c>
      <c r="C452" t="s">
        <v>263</v>
      </c>
      <c r="D452" t="s">
        <v>264</v>
      </c>
      <c r="E452" t="s">
        <v>265</v>
      </c>
    </row>
    <row r="453" spans="2:8" ht="15" hidden="1" customHeight="1" outlineLevel="1" x14ac:dyDescent="0.25">
      <c r="B453" s="123">
        <v>708</v>
      </c>
      <c r="C453" s="179">
        <f>B453+B453*E476</f>
        <v>708</v>
      </c>
      <c r="D453" s="123">
        <v>770</v>
      </c>
      <c r="E453" s="123">
        <v>770</v>
      </c>
    </row>
    <row r="454" spans="2:8" ht="15" hidden="1" customHeight="1" outlineLevel="1" x14ac:dyDescent="0.25">
      <c r="B454" s="4" t="s">
        <v>543</v>
      </c>
      <c r="C454" s="4" t="str">
        <f>B454</f>
        <v>Blended Rate per $100 of Exposure</v>
      </c>
      <c r="D454" s="4" t="str">
        <f>B454</f>
        <v>Blended Rate per $100 of Exposure</v>
      </c>
      <c r="E454" s="4" t="str">
        <f>B454</f>
        <v>Blended Rate per $100 of Exposure</v>
      </c>
    </row>
    <row r="455" spans="2:8" ht="15" hidden="1" customHeight="1" outlineLevel="1" x14ac:dyDescent="0.25">
      <c r="B455" s="179">
        <f>B453/C469</f>
        <v>88.5</v>
      </c>
      <c r="C455" s="179">
        <f>C453/E469</f>
        <v>88.5</v>
      </c>
      <c r="D455" s="179">
        <f>D453/E469</f>
        <v>96.25</v>
      </c>
      <c r="E455" s="289" t="e">
        <f>E453/(E475/100)</f>
        <v>#DIV/0!</v>
      </c>
    </row>
    <row r="456" spans="2:8" ht="15" hidden="1" customHeight="1" outlineLevel="1" x14ac:dyDescent="0.25">
      <c r="D456" t="s">
        <v>5</v>
      </c>
      <c r="E456" t="s">
        <v>6</v>
      </c>
    </row>
    <row r="457" spans="2:8" ht="15" hidden="1" customHeight="1" outlineLevel="1" x14ac:dyDescent="0.25">
      <c r="D457" s="3">
        <f>-(C453-D453)/C453</f>
        <v>8.7570621468926552E-2</v>
      </c>
      <c r="E457" s="3">
        <f>-(C453-E453)/C453</f>
        <v>8.7570621468926552E-2</v>
      </c>
    </row>
    <row r="458" spans="2:8" ht="15" hidden="1" customHeight="1" outlineLevel="1" x14ac:dyDescent="0.25">
      <c r="B458" s="3" t="s">
        <v>685</v>
      </c>
      <c r="C458" s="3" t="s">
        <v>686</v>
      </c>
      <c r="D458" s="3" t="s">
        <v>687</v>
      </c>
      <c r="E458" s="3" t="s">
        <v>688</v>
      </c>
      <c r="G458" s="290"/>
    </row>
    <row r="459" spans="2:8" ht="15" hidden="1" customHeight="1" outlineLevel="1" x14ac:dyDescent="0.25">
      <c r="B459" s="178"/>
      <c r="C459" s="179">
        <v>0</v>
      </c>
      <c r="D459" s="178"/>
      <c r="E459" s="186"/>
    </row>
    <row r="460" spans="2:8" ht="15" hidden="1" customHeight="1" outlineLevel="1" x14ac:dyDescent="0.25">
      <c r="B460" s="3" t="s">
        <v>203</v>
      </c>
      <c r="C460" s="3" t="s">
        <v>204</v>
      </c>
      <c r="D460" s="3" t="s">
        <v>205</v>
      </c>
      <c r="E460" s="3" t="s">
        <v>206</v>
      </c>
    </row>
    <row r="461" spans="2:8" ht="15" hidden="1" customHeight="1" outlineLevel="1" x14ac:dyDescent="0.25">
      <c r="B461" s="178"/>
      <c r="C461" s="179">
        <v>0</v>
      </c>
      <c r="D461" s="178"/>
      <c r="E461" s="186"/>
    </row>
    <row r="462" spans="2:8" ht="15" hidden="1" customHeight="1" outlineLevel="1" x14ac:dyDescent="0.25">
      <c r="B462" s="3" t="s">
        <v>14</v>
      </c>
      <c r="C462" s="4" t="s">
        <v>15</v>
      </c>
      <c r="D462" s="4" t="s">
        <v>142</v>
      </c>
      <c r="E462" t="s">
        <v>143</v>
      </c>
    </row>
    <row r="463" spans="2:8" ht="15" hidden="1" customHeight="1" outlineLevel="1" x14ac:dyDescent="0.25">
      <c r="B463" s="4">
        <f>B453+B459+B461</f>
        <v>708</v>
      </c>
      <c r="C463" s="4">
        <f>C453+C459+C461</f>
        <v>708</v>
      </c>
      <c r="D463" s="4">
        <f>D453+D459+D461</f>
        <v>770</v>
      </c>
      <c r="E463" s="4">
        <f>E453+E459+E461</f>
        <v>770</v>
      </c>
      <c r="F463" s="4"/>
    </row>
    <row r="464" spans="2:8" ht="15" hidden="1" customHeight="1" outlineLevel="1" x14ac:dyDescent="0.25">
      <c r="B464" s="3" t="s">
        <v>998</v>
      </c>
      <c r="C464" s="3" t="s">
        <v>999</v>
      </c>
      <c r="D464" s="3" t="s">
        <v>1000</v>
      </c>
      <c r="E464" s="3" t="s">
        <v>1001</v>
      </c>
      <c r="F464" s="4"/>
    </row>
    <row r="465" spans="2:8" ht="15" hidden="1" customHeight="1" outlineLevel="1" x14ac:dyDescent="0.25">
      <c r="B465" s="693"/>
      <c r="C465" s="157" t="s">
        <v>284</v>
      </c>
      <c r="D465" s="693"/>
      <c r="E465" s="693"/>
      <c r="F465" s="4"/>
      <c r="H465">
        <f>1033/75</f>
        <v>13.773333333333333</v>
      </c>
    </row>
    <row r="466" spans="2:8" ht="15" hidden="1" customHeight="1" outlineLevel="1" x14ac:dyDescent="0.25">
      <c r="B466" s="4"/>
      <c r="C466" s="4"/>
      <c r="D466" s="4"/>
      <c r="E466" s="4"/>
      <c r="F466" s="4"/>
      <c r="H466">
        <f>415/6000</f>
        <v>6.9166666666666668E-2</v>
      </c>
    </row>
    <row r="467" spans="2:8" ht="15" hidden="1" customHeight="1" outlineLevel="1" x14ac:dyDescent="0.25">
      <c r="B467" s="37" t="s">
        <v>1279</v>
      </c>
      <c r="F467" s="34"/>
    </row>
    <row r="468" spans="2:8" ht="15" hidden="1" customHeight="1" outlineLevel="1" x14ac:dyDescent="0.25">
      <c r="B468" s="1169" t="s">
        <v>39</v>
      </c>
      <c r="C468" s="1170"/>
      <c r="D468" s="1170" t="s">
        <v>40</v>
      </c>
      <c r="E468" s="1171"/>
    </row>
    <row r="469" spans="2:8" ht="15" hidden="1" customHeight="1" outlineLevel="1" x14ac:dyDescent="0.25">
      <c r="B469" s="42" t="s">
        <v>1278</v>
      </c>
      <c r="C469" s="128">
        <v>8</v>
      </c>
      <c r="D469" s="42" t="str">
        <f t="shared" ref="D469:D474" si="16">B469</f>
        <v># of Employees</v>
      </c>
      <c r="E469" s="128">
        <v>8</v>
      </c>
      <c r="F469" s="856">
        <v>0</v>
      </c>
    </row>
    <row r="470" spans="2:8" ht="15" hidden="1" customHeight="1" outlineLevel="1" x14ac:dyDescent="0.25">
      <c r="B470" s="42" t="s">
        <v>876</v>
      </c>
      <c r="C470" s="19">
        <v>9600</v>
      </c>
      <c r="D470" s="42" t="str">
        <f t="shared" si="16"/>
        <v>Hired Auto (Rental Expenditures)</v>
      </c>
      <c r="E470" s="19">
        <v>9600</v>
      </c>
      <c r="F470" s="856">
        <f>(E470-C470)/C470</f>
        <v>0</v>
      </c>
    </row>
    <row r="471" spans="2:8" ht="15" hidden="1" customHeight="1" outlineLevel="1" x14ac:dyDescent="0.25">
      <c r="B471" s="42"/>
      <c r="C471" s="19"/>
      <c r="D471" s="42">
        <f t="shared" si="16"/>
        <v>0</v>
      </c>
      <c r="E471" s="19"/>
      <c r="F471" s="857"/>
    </row>
    <row r="472" spans="2:8" ht="15" hidden="1" customHeight="1" outlineLevel="1" x14ac:dyDescent="0.25">
      <c r="B472" s="42"/>
      <c r="C472" s="19"/>
      <c r="D472" s="42">
        <f t="shared" si="16"/>
        <v>0</v>
      </c>
      <c r="E472" s="19"/>
    </row>
    <row r="473" spans="2:8" ht="15" hidden="1" customHeight="1" outlineLevel="1" x14ac:dyDescent="0.25">
      <c r="B473" s="42"/>
      <c r="C473" s="19"/>
      <c r="D473" s="42">
        <f t="shared" si="16"/>
        <v>0</v>
      </c>
      <c r="E473" s="19"/>
    </row>
    <row r="474" spans="2:8" ht="15" hidden="1" customHeight="1" outlineLevel="1" x14ac:dyDescent="0.25">
      <c r="B474" s="146"/>
      <c r="C474" s="74"/>
      <c r="D474" s="42">
        <f t="shared" si="16"/>
        <v>0</v>
      </c>
      <c r="E474" s="140"/>
    </row>
    <row r="475" spans="2:8" ht="15" hidden="1" customHeight="1" outlineLevel="1" x14ac:dyDescent="0.25">
      <c r="B475" s="41"/>
      <c r="C475" s="20"/>
      <c r="D475" s="41"/>
      <c r="E475" s="33"/>
    </row>
    <row r="476" spans="2:8" ht="15" hidden="1" customHeight="1" outlineLevel="1" x14ac:dyDescent="0.25">
      <c r="C476" s="1193" t="s">
        <v>13</v>
      </c>
      <c r="D476" s="1194"/>
      <c r="E476" s="663">
        <f>AVERAGE(F469:F470)</f>
        <v>0</v>
      </c>
    </row>
    <row r="477" spans="2:8" ht="15" hidden="1" customHeight="1" outlineLevel="1" x14ac:dyDescent="0.25">
      <c r="B477" s="37" t="s">
        <v>268</v>
      </c>
      <c r="D477" s="5"/>
      <c r="E477" s="6"/>
    </row>
    <row r="478" spans="2:8" ht="15" hidden="1" customHeight="1" outlineLevel="1" x14ac:dyDescent="0.25">
      <c r="B478" s="43"/>
      <c r="C478" s="8" t="s">
        <v>10</v>
      </c>
      <c r="D478" s="8" t="s">
        <v>67</v>
      </c>
      <c r="E478" s="9" t="s">
        <v>68</v>
      </c>
      <c r="F478" s="25"/>
    </row>
    <row r="479" spans="2:8" ht="15" hidden="1" customHeight="1" outlineLevel="1" x14ac:dyDescent="0.25">
      <c r="B479" s="44" t="s">
        <v>18</v>
      </c>
      <c r="C479" s="27">
        <v>0</v>
      </c>
      <c r="D479" s="27">
        <f>C479</f>
        <v>0</v>
      </c>
      <c r="E479" s="137"/>
      <c r="F479" s="26"/>
    </row>
    <row r="480" spans="2:8" ht="15" hidden="1" customHeight="1" outlineLevel="1" x14ac:dyDescent="0.25">
      <c r="B480" s="318" t="s">
        <v>514</v>
      </c>
      <c r="C480" s="27">
        <v>0</v>
      </c>
      <c r="D480" s="27">
        <f t="shared" ref="D480:D485" si="17">C480</f>
        <v>0</v>
      </c>
      <c r="E480" s="137"/>
      <c r="F480" s="26"/>
    </row>
    <row r="481" spans="2:6" ht="15" hidden="1" customHeight="1" outlineLevel="1" x14ac:dyDescent="0.25">
      <c r="B481" s="44" t="s">
        <v>19</v>
      </c>
      <c r="C481" s="27">
        <v>0</v>
      </c>
      <c r="D481" s="27">
        <f t="shared" si="17"/>
        <v>0</v>
      </c>
      <c r="E481" s="137"/>
      <c r="F481" s="26"/>
    </row>
    <row r="482" spans="2:6" ht="15" hidden="1" customHeight="1" outlineLevel="1" x14ac:dyDescent="0.25">
      <c r="B482" s="44" t="s">
        <v>20</v>
      </c>
      <c r="C482" s="27">
        <v>0</v>
      </c>
      <c r="D482" s="27">
        <f t="shared" si="17"/>
        <v>0</v>
      </c>
      <c r="E482" s="137"/>
      <c r="F482" s="26"/>
    </row>
    <row r="483" spans="2:6" ht="15" hidden="1" customHeight="1" outlineLevel="1" x14ac:dyDescent="0.25">
      <c r="B483" s="44" t="s">
        <v>21</v>
      </c>
      <c r="C483" s="27">
        <v>0</v>
      </c>
      <c r="D483" s="27">
        <f t="shared" si="17"/>
        <v>0</v>
      </c>
      <c r="E483" s="137"/>
      <c r="F483" s="26"/>
    </row>
    <row r="484" spans="2:6" ht="15" hidden="1" customHeight="1" outlineLevel="1" x14ac:dyDescent="0.25">
      <c r="B484" s="44" t="s">
        <v>22</v>
      </c>
      <c r="C484" s="27">
        <v>0</v>
      </c>
      <c r="D484" s="27">
        <f t="shared" si="17"/>
        <v>0</v>
      </c>
      <c r="E484" s="137"/>
      <c r="F484" s="26"/>
    </row>
    <row r="485" spans="2:6" ht="15" hidden="1" customHeight="1" outlineLevel="1" x14ac:dyDescent="0.25">
      <c r="B485" s="543" t="s">
        <v>791</v>
      </c>
      <c r="C485" s="138">
        <v>0</v>
      </c>
      <c r="D485" s="138">
        <f t="shared" si="17"/>
        <v>0</v>
      </c>
      <c r="E485" s="139"/>
      <c r="F485" s="26"/>
    </row>
    <row r="486" spans="2:6" ht="15" hidden="1" customHeight="1" outlineLevel="1" x14ac:dyDescent="0.25">
      <c r="B486" s="77"/>
      <c r="C486" s="26"/>
      <c r="D486" s="26"/>
      <c r="E486" s="26"/>
      <c r="F486" s="26"/>
    </row>
    <row r="487" spans="2:6" ht="15" hidden="1" customHeight="1" outlineLevel="1" x14ac:dyDescent="0.25">
      <c r="B487" s="147" t="s">
        <v>257</v>
      </c>
      <c r="C487" s="26"/>
      <c r="D487" s="26"/>
      <c r="E487" s="26"/>
      <c r="F487" s="26"/>
    </row>
    <row r="488" spans="2:6" ht="15" hidden="1" customHeight="1" outlineLevel="1" x14ac:dyDescent="0.25">
      <c r="B488" s="77"/>
      <c r="C488" s="8" t="s">
        <v>10</v>
      </c>
      <c r="D488" s="8" t="s">
        <v>67</v>
      </c>
      <c r="E488" s="9" t="s">
        <v>68</v>
      </c>
      <c r="F488" s="26"/>
    </row>
    <row r="489" spans="2:6" ht="15" hidden="1" customHeight="1" outlineLevel="1" x14ac:dyDescent="0.25">
      <c r="B489" s="44" t="s">
        <v>266</v>
      </c>
      <c r="C489" s="27">
        <v>0</v>
      </c>
      <c r="D489" s="27">
        <f>C489</f>
        <v>0</v>
      </c>
      <c r="E489" s="137"/>
      <c r="F489" s="26"/>
    </row>
    <row r="490" spans="2:6" ht="15" hidden="1" customHeight="1" outlineLevel="1" x14ac:dyDescent="0.25">
      <c r="B490" s="44" t="s">
        <v>199</v>
      </c>
      <c r="C490" s="27">
        <v>0</v>
      </c>
      <c r="D490" s="27">
        <f>C490</f>
        <v>0</v>
      </c>
      <c r="E490" s="137"/>
      <c r="F490" s="26"/>
    </row>
    <row r="491" spans="2:6" ht="15" hidden="1" customHeight="1" outlineLevel="1" x14ac:dyDescent="0.25">
      <c r="B491" s="543" t="s">
        <v>660</v>
      </c>
      <c r="C491" s="138">
        <v>0</v>
      </c>
      <c r="D491" s="138">
        <f>C491</f>
        <v>0</v>
      </c>
      <c r="E491" s="139"/>
      <c r="F491" s="26"/>
    </row>
    <row r="492" spans="2:6" ht="15" hidden="1" customHeight="1" outlineLevel="1" x14ac:dyDescent="0.25">
      <c r="B492" s="77"/>
      <c r="C492" s="26"/>
      <c r="D492" s="26"/>
      <c r="E492" s="26"/>
      <c r="F492" s="26"/>
    </row>
    <row r="493" spans="2:6" ht="15" hidden="1" customHeight="1" outlineLevel="1" x14ac:dyDescent="0.25">
      <c r="B493" s="147" t="s">
        <v>286</v>
      </c>
      <c r="C493" s="26"/>
      <c r="D493" s="26"/>
      <c r="E493" s="26"/>
      <c r="F493" s="26"/>
    </row>
    <row r="494" spans="2:6" ht="15" hidden="1" customHeight="1" outlineLevel="1" x14ac:dyDescent="0.25">
      <c r="B494" s="77"/>
      <c r="C494" s="8" t="s">
        <v>10</v>
      </c>
      <c r="D494" s="8" t="s">
        <v>67</v>
      </c>
      <c r="E494" s="9" t="s">
        <v>68</v>
      </c>
      <c r="F494" s="26"/>
    </row>
    <row r="495" spans="2:6" ht="30.75" hidden="1" customHeight="1" outlineLevel="1" x14ac:dyDescent="0.25">
      <c r="B495" s="318" t="s">
        <v>258</v>
      </c>
      <c r="C495" s="27">
        <v>1000000</v>
      </c>
      <c r="D495" s="27">
        <f>C495</f>
        <v>1000000</v>
      </c>
      <c r="E495" s="137"/>
      <c r="F495" s="26"/>
    </row>
    <row r="496" spans="2:6" ht="30.75" hidden="1" customHeight="1" outlineLevel="1" x14ac:dyDescent="0.25">
      <c r="B496" s="543" t="s">
        <v>758</v>
      </c>
      <c r="C496" s="138">
        <v>0</v>
      </c>
      <c r="D496" s="138">
        <f>C496</f>
        <v>0</v>
      </c>
      <c r="E496" s="139"/>
      <c r="F496" s="26"/>
    </row>
    <row r="497" spans="2:9" hidden="1" outlineLevel="1" x14ac:dyDescent="0.25">
      <c r="B497" s="318" t="s">
        <v>756</v>
      </c>
      <c r="C497" s="800" t="s">
        <v>1284</v>
      </c>
      <c r="D497" s="27" t="str">
        <f>C497</f>
        <v>ACV (Actual Cash Value)</v>
      </c>
      <c r="E497" s="137"/>
      <c r="F497" s="26"/>
    </row>
    <row r="498" spans="2:9" ht="15" hidden="1" customHeight="1" outlineLevel="1" x14ac:dyDescent="0.25">
      <c r="B498" s="543" t="s">
        <v>757</v>
      </c>
      <c r="C498" s="827" t="s">
        <v>1677</v>
      </c>
      <c r="D498" s="138" t="str">
        <f>C498</f>
        <v xml:space="preserve">Comp - $100; Coll - $1,000 </v>
      </c>
      <c r="E498" s="139"/>
      <c r="F498" s="26"/>
    </row>
    <row r="499" spans="2:9" ht="15" hidden="1" customHeight="1" outlineLevel="1" x14ac:dyDescent="0.25">
      <c r="B499" s="77"/>
      <c r="C499" s="26"/>
      <c r="D499" s="26"/>
      <c r="E499" s="26"/>
      <c r="F499" s="26"/>
    </row>
    <row r="500" spans="2:9" ht="15" hidden="1" customHeight="1" outlineLevel="1" x14ac:dyDescent="0.25">
      <c r="B500" s="623" t="s">
        <v>749</v>
      </c>
      <c r="C500" s="26"/>
      <c r="D500" s="26"/>
      <c r="E500" s="26"/>
      <c r="F500" s="26"/>
    </row>
    <row r="501" spans="2:9" ht="15" hidden="1" customHeight="1" outlineLevel="1" x14ac:dyDescent="0.25">
      <c r="B501" s="77"/>
      <c r="C501" s="8" t="s">
        <v>10</v>
      </c>
      <c r="D501" s="8" t="s">
        <v>67</v>
      </c>
      <c r="E501" s="9" t="s">
        <v>68</v>
      </c>
      <c r="F501" s="26"/>
    </row>
    <row r="502" spans="2:9" ht="15" hidden="1" customHeight="1" outlineLevel="1" x14ac:dyDescent="0.25">
      <c r="B502" s="44" t="s">
        <v>18</v>
      </c>
      <c r="C502" s="27">
        <v>0</v>
      </c>
      <c r="D502" s="27">
        <f>C502</f>
        <v>0</v>
      </c>
      <c r="E502" s="137"/>
      <c r="F502" s="26"/>
    </row>
    <row r="503" spans="2:9" ht="15" hidden="1" customHeight="1" outlineLevel="1" x14ac:dyDescent="0.25">
      <c r="B503" s="44" t="s">
        <v>20</v>
      </c>
      <c r="C503" s="27">
        <v>0</v>
      </c>
      <c r="D503" s="27">
        <f>C503</f>
        <v>0</v>
      </c>
      <c r="E503" s="137"/>
      <c r="F503" s="26"/>
    </row>
    <row r="504" spans="2:9" ht="30" hidden="1" customHeight="1" outlineLevel="1" x14ac:dyDescent="0.25">
      <c r="B504" s="318" t="s">
        <v>514</v>
      </c>
      <c r="C504" s="27">
        <v>0</v>
      </c>
      <c r="D504" s="27">
        <f>C504</f>
        <v>0</v>
      </c>
      <c r="E504" s="137"/>
      <c r="F504" s="26"/>
    </row>
    <row r="505" spans="2:9" ht="30" hidden="1" customHeight="1" outlineLevel="1" x14ac:dyDescent="0.25">
      <c r="B505" s="162" t="s">
        <v>259</v>
      </c>
      <c r="C505" s="138">
        <v>0</v>
      </c>
      <c r="D505" s="138">
        <f>C505</f>
        <v>0</v>
      </c>
      <c r="E505" s="139"/>
      <c r="F505" s="26"/>
    </row>
    <row r="506" spans="2:9" ht="15" hidden="1" customHeight="1" outlineLevel="1" x14ac:dyDescent="0.25">
      <c r="B506" s="77"/>
      <c r="C506" s="26"/>
      <c r="D506" s="26"/>
      <c r="E506" s="26"/>
      <c r="F506" s="26"/>
    </row>
    <row r="507" spans="2:9" ht="15" hidden="1" customHeight="1" outlineLevel="1" x14ac:dyDescent="0.25">
      <c r="B507" s="1185" t="s">
        <v>172</v>
      </c>
      <c r="C507" s="1185"/>
      <c r="D507" s="1185"/>
      <c r="E507" s="1186"/>
      <c r="F507" s="1192" t="s">
        <v>174</v>
      </c>
      <c r="G507" s="1185"/>
      <c r="H507" s="1185"/>
      <c r="I507" s="1185"/>
    </row>
    <row r="508" spans="2:9" ht="15" hidden="1" customHeight="1" outlineLevel="1" x14ac:dyDescent="0.25">
      <c r="B508" s="43"/>
      <c r="C508" s="8" t="s">
        <v>10</v>
      </c>
      <c r="D508" s="8" t="s">
        <v>67</v>
      </c>
      <c r="E508" s="11" t="s">
        <v>68</v>
      </c>
      <c r="F508" s="43"/>
      <c r="G508" s="8" t="s">
        <v>10</v>
      </c>
      <c r="H508" s="8" t="s">
        <v>67</v>
      </c>
      <c r="I508" s="9" t="s">
        <v>68</v>
      </c>
    </row>
    <row r="509" spans="2:9" ht="15" hidden="1" customHeight="1" outlineLevel="1" x14ac:dyDescent="0.25">
      <c r="B509" s="43" t="s">
        <v>41</v>
      </c>
      <c r="C509" s="141">
        <v>0</v>
      </c>
      <c r="D509" s="141">
        <f t="shared" ref="D509:D511" si="18">C509</f>
        <v>0</v>
      </c>
      <c r="E509" s="143"/>
      <c r="F509" s="43" t="s">
        <v>176</v>
      </c>
      <c r="G509" s="75">
        <f>C474</f>
        <v>0</v>
      </c>
      <c r="H509" s="75">
        <f>E474</f>
        <v>0</v>
      </c>
      <c r="I509" s="76">
        <f>E474</f>
        <v>0</v>
      </c>
    </row>
    <row r="510" spans="2:9" ht="45" hidden="1" outlineLevel="1" x14ac:dyDescent="0.25">
      <c r="B510" s="43" t="s">
        <v>42</v>
      </c>
      <c r="C510" s="141">
        <v>0</v>
      </c>
      <c r="D510" s="141">
        <f t="shared" si="18"/>
        <v>0</v>
      </c>
      <c r="E510" s="143"/>
      <c r="F510" s="314" t="s">
        <v>509</v>
      </c>
      <c r="G510" s="141">
        <v>0</v>
      </c>
      <c r="H510" s="141">
        <f>G510</f>
        <v>0</v>
      </c>
      <c r="I510" s="142"/>
    </row>
    <row r="511" spans="2:9" ht="45" hidden="1" outlineLevel="1" x14ac:dyDescent="0.25">
      <c r="B511" s="43" t="s">
        <v>43</v>
      </c>
      <c r="C511" s="141">
        <v>0</v>
      </c>
      <c r="D511" s="141">
        <f t="shared" si="18"/>
        <v>0</v>
      </c>
      <c r="E511" s="143"/>
      <c r="F511" s="43" t="s">
        <v>386</v>
      </c>
      <c r="G511" s="141">
        <v>0</v>
      </c>
      <c r="H511" s="141">
        <f>G511</f>
        <v>0</v>
      </c>
      <c r="I511" s="142"/>
    </row>
    <row r="512" spans="2:9" ht="45" hidden="1" outlineLevel="1" x14ac:dyDescent="0.25">
      <c r="B512" s="43" t="s">
        <v>44</v>
      </c>
      <c r="C512" s="141">
        <v>0</v>
      </c>
      <c r="D512" s="141">
        <f>C512</f>
        <v>0</v>
      </c>
      <c r="E512" s="143"/>
      <c r="F512" s="314" t="s">
        <v>510</v>
      </c>
      <c r="G512" s="141">
        <v>0</v>
      </c>
      <c r="H512" s="141">
        <f t="shared" ref="H512" si="19">G512</f>
        <v>0</v>
      </c>
      <c r="I512" s="142"/>
    </row>
    <row r="513" spans="2:9" ht="45" hidden="1" outlineLevel="1" x14ac:dyDescent="0.25">
      <c r="B513" s="43" t="s">
        <v>45</v>
      </c>
      <c r="C513" s="141">
        <v>0</v>
      </c>
      <c r="D513" s="141">
        <f t="shared" ref="D513:D525" si="20">C513</f>
        <v>0</v>
      </c>
      <c r="E513" s="143"/>
      <c r="F513" s="43" t="s">
        <v>387</v>
      </c>
      <c r="G513" s="141">
        <v>0</v>
      </c>
      <c r="H513" s="141">
        <f t="shared" ref="H513" si="21">G513</f>
        <v>0</v>
      </c>
      <c r="I513" s="142"/>
    </row>
    <row r="514" spans="2:9" ht="15" hidden="1" customHeight="1" outlineLevel="1" x14ac:dyDescent="0.25">
      <c r="B514" s="43" t="s">
        <v>46</v>
      </c>
      <c r="C514" s="141">
        <v>0</v>
      </c>
      <c r="D514" s="141">
        <f t="shared" si="20"/>
        <v>0</v>
      </c>
      <c r="E514" s="143"/>
      <c r="F514" s="43" t="s">
        <v>179</v>
      </c>
      <c r="G514" s="141">
        <v>0</v>
      </c>
      <c r="H514" s="141">
        <f t="shared" ref="H514:H524" si="22">G514</f>
        <v>0</v>
      </c>
      <c r="I514" s="142"/>
    </row>
    <row r="515" spans="2:9" ht="15" hidden="1" customHeight="1" outlineLevel="1" x14ac:dyDescent="0.25">
      <c r="B515" s="314" t="s">
        <v>47</v>
      </c>
      <c r="C515" s="141">
        <v>0</v>
      </c>
      <c r="D515" s="141">
        <f t="shared" si="20"/>
        <v>0</v>
      </c>
      <c r="E515" s="143"/>
      <c r="F515" s="43" t="s">
        <v>180</v>
      </c>
      <c r="G515" s="141">
        <v>0</v>
      </c>
      <c r="H515" s="141">
        <f t="shared" si="22"/>
        <v>0</v>
      </c>
      <c r="I515" s="142"/>
    </row>
    <row r="516" spans="2:9" ht="15" hidden="1" customHeight="1" outlineLevel="1" x14ac:dyDescent="0.25">
      <c r="B516" s="43" t="s">
        <v>48</v>
      </c>
      <c r="C516" s="141">
        <v>0</v>
      </c>
      <c r="D516" s="141">
        <f t="shared" si="20"/>
        <v>0</v>
      </c>
      <c r="E516" s="143"/>
      <c r="F516" s="43" t="s">
        <v>181</v>
      </c>
      <c r="G516" s="141">
        <v>0</v>
      </c>
      <c r="H516" s="141">
        <f t="shared" si="22"/>
        <v>0</v>
      </c>
      <c r="I516" s="142"/>
    </row>
    <row r="517" spans="2:9" ht="15" hidden="1" customHeight="1" outlineLevel="1" x14ac:dyDescent="0.25">
      <c r="B517" s="43" t="s">
        <v>49</v>
      </c>
      <c r="C517" s="141">
        <v>0</v>
      </c>
      <c r="D517" s="141">
        <f t="shared" si="20"/>
        <v>0</v>
      </c>
      <c r="E517" s="143"/>
      <c r="F517" s="44" t="s">
        <v>182</v>
      </c>
      <c r="G517" s="27">
        <v>0</v>
      </c>
      <c r="H517" s="27">
        <f t="shared" si="22"/>
        <v>0</v>
      </c>
      <c r="I517" s="137"/>
    </row>
    <row r="518" spans="2:9" ht="15" hidden="1" customHeight="1" outlineLevel="1" x14ac:dyDescent="0.25">
      <c r="B518" s="43" t="s">
        <v>50</v>
      </c>
      <c r="C518" s="141">
        <v>0</v>
      </c>
      <c r="D518" s="141">
        <f t="shared" si="20"/>
        <v>0</v>
      </c>
      <c r="E518" s="143"/>
      <c r="F518" s="44" t="s">
        <v>183</v>
      </c>
      <c r="G518" s="27">
        <v>0</v>
      </c>
      <c r="H518" s="27">
        <f t="shared" si="22"/>
        <v>0</v>
      </c>
      <c r="I518" s="137"/>
    </row>
    <row r="519" spans="2:9" ht="15" hidden="1" customHeight="1" outlineLevel="1" x14ac:dyDescent="0.25">
      <c r="B519" s="43" t="s">
        <v>51</v>
      </c>
      <c r="C519" s="141">
        <v>0</v>
      </c>
      <c r="D519" s="141">
        <f t="shared" si="20"/>
        <v>0</v>
      </c>
      <c r="E519" s="143"/>
      <c r="F519" s="44" t="s">
        <v>184</v>
      </c>
      <c r="G519" s="27">
        <v>0</v>
      </c>
      <c r="H519" s="27">
        <f t="shared" si="22"/>
        <v>0</v>
      </c>
      <c r="I519" s="137"/>
    </row>
    <row r="520" spans="2:9" ht="15" hidden="1" customHeight="1" outlineLevel="1" x14ac:dyDescent="0.25">
      <c r="B520" s="43" t="s">
        <v>52</v>
      </c>
      <c r="C520" s="141">
        <v>0</v>
      </c>
      <c r="D520" s="141">
        <f t="shared" si="20"/>
        <v>0</v>
      </c>
      <c r="E520" s="143"/>
      <c r="F520" s="44" t="s">
        <v>185</v>
      </c>
      <c r="G520" s="27">
        <v>0</v>
      </c>
      <c r="H520" s="27">
        <f t="shared" si="22"/>
        <v>0</v>
      </c>
      <c r="I520" s="137"/>
    </row>
    <row r="521" spans="2:9" ht="15" hidden="1" customHeight="1" outlineLevel="1" x14ac:dyDescent="0.25">
      <c r="B521" s="314" t="s">
        <v>512</v>
      </c>
      <c r="C521" s="141">
        <v>0</v>
      </c>
      <c r="D521" s="141">
        <f t="shared" si="20"/>
        <v>0</v>
      </c>
      <c r="E521" s="143"/>
      <c r="F521" s="44" t="s">
        <v>53</v>
      </c>
      <c r="G521" s="27">
        <v>0</v>
      </c>
      <c r="H521" s="27">
        <f t="shared" si="22"/>
        <v>0</v>
      </c>
      <c r="I521" s="137"/>
    </row>
    <row r="522" spans="2:9" ht="15" hidden="1" customHeight="1" outlineLevel="1" x14ac:dyDescent="0.25">
      <c r="B522" s="43" t="s">
        <v>53</v>
      </c>
      <c r="C522" s="141">
        <v>0</v>
      </c>
      <c r="D522" s="141">
        <f t="shared" si="20"/>
        <v>0</v>
      </c>
      <c r="E522" s="143"/>
      <c r="F522" s="44" t="s">
        <v>54</v>
      </c>
      <c r="G522" s="27">
        <v>0</v>
      </c>
      <c r="H522" s="27">
        <f t="shared" si="22"/>
        <v>0</v>
      </c>
      <c r="I522" s="137"/>
    </row>
    <row r="523" spans="2:9" ht="15" hidden="1" customHeight="1" outlineLevel="1" x14ac:dyDescent="0.25">
      <c r="B523" s="43" t="s">
        <v>54</v>
      </c>
      <c r="C523" s="141">
        <v>0</v>
      </c>
      <c r="D523" s="141">
        <f t="shared" si="20"/>
        <v>0</v>
      </c>
      <c r="E523" s="143"/>
      <c r="F523" s="44" t="s">
        <v>55</v>
      </c>
      <c r="G523" s="27">
        <v>0</v>
      </c>
      <c r="H523" s="27">
        <f t="shared" si="22"/>
        <v>0</v>
      </c>
      <c r="I523" s="137"/>
    </row>
    <row r="524" spans="2:9" ht="15" hidden="1" customHeight="1" outlineLevel="1" x14ac:dyDescent="0.25">
      <c r="B524" s="43" t="s">
        <v>55</v>
      </c>
      <c r="C524" s="141">
        <v>0</v>
      </c>
      <c r="D524" s="141">
        <f t="shared" si="20"/>
        <v>0</v>
      </c>
      <c r="E524" s="143"/>
      <c r="F524" s="44" t="s">
        <v>56</v>
      </c>
      <c r="G524" s="27">
        <v>0</v>
      </c>
      <c r="H524" s="27">
        <f t="shared" si="22"/>
        <v>0</v>
      </c>
      <c r="I524" s="137"/>
    </row>
    <row r="525" spans="2:9" ht="15" hidden="1" customHeight="1" outlineLevel="1" x14ac:dyDescent="0.25">
      <c r="B525" s="43" t="s">
        <v>56</v>
      </c>
      <c r="C525" s="141">
        <v>0</v>
      </c>
      <c r="D525" s="141">
        <f t="shared" si="20"/>
        <v>0</v>
      </c>
      <c r="E525" s="143"/>
      <c r="F525" s="144"/>
      <c r="G525" s="26"/>
      <c r="H525" s="26"/>
      <c r="I525" s="26"/>
    </row>
    <row r="526" spans="2:9" ht="15" hidden="1" customHeight="1" outlineLevel="1" x14ac:dyDescent="0.25">
      <c r="B526" s="1187" t="s">
        <v>173</v>
      </c>
      <c r="C526" s="1187"/>
      <c r="D526" s="1187"/>
      <c r="E526" s="1187"/>
      <c r="F526" s="1191" t="s">
        <v>175</v>
      </c>
      <c r="G526" s="1191"/>
      <c r="H526" s="1191"/>
      <c r="I526" s="1191"/>
    </row>
    <row r="527" spans="2:9" ht="15" hidden="1" customHeight="1" outlineLevel="1" x14ac:dyDescent="0.25">
      <c r="B527" s="543" t="s">
        <v>665</v>
      </c>
      <c r="C527" s="138">
        <v>0</v>
      </c>
      <c r="D527" s="138">
        <f t="shared" ref="D527:D533" si="23">C527</f>
        <v>0</v>
      </c>
      <c r="E527" s="145"/>
      <c r="F527" s="543" t="s">
        <v>665</v>
      </c>
      <c r="G527" s="138">
        <v>0</v>
      </c>
      <c r="H527" s="138">
        <f>G527</f>
        <v>0</v>
      </c>
      <c r="I527" s="139"/>
    </row>
    <row r="528" spans="2:9" ht="15" hidden="1" customHeight="1" outlineLevel="1" x14ac:dyDescent="0.25">
      <c r="B528" s="45" t="s">
        <v>53</v>
      </c>
      <c r="C528" s="138">
        <v>0</v>
      </c>
      <c r="D528" s="138">
        <f t="shared" si="23"/>
        <v>0</v>
      </c>
      <c r="E528" s="145"/>
      <c r="F528" s="45" t="s">
        <v>53</v>
      </c>
      <c r="G528" s="138">
        <v>0</v>
      </c>
      <c r="H528" s="138">
        <f>G528</f>
        <v>0</v>
      </c>
      <c r="I528" s="139"/>
    </row>
    <row r="529" spans="2:9" ht="15" hidden="1" customHeight="1" outlineLevel="1" x14ac:dyDescent="0.25">
      <c r="B529" s="45" t="s">
        <v>54</v>
      </c>
      <c r="C529" s="138">
        <v>0</v>
      </c>
      <c r="D529" s="138">
        <f t="shared" si="23"/>
        <v>0</v>
      </c>
      <c r="E529" s="145"/>
      <c r="F529" s="45" t="s">
        <v>54</v>
      </c>
      <c r="G529" s="138">
        <v>0</v>
      </c>
      <c r="H529" s="138">
        <f>G529</f>
        <v>0</v>
      </c>
      <c r="I529" s="139"/>
    </row>
    <row r="530" spans="2:9" ht="15" hidden="1" customHeight="1" outlineLevel="1" x14ac:dyDescent="0.25">
      <c r="B530" s="45" t="s">
        <v>55</v>
      </c>
      <c r="C530" s="138">
        <v>0</v>
      </c>
      <c r="D530" s="138">
        <f t="shared" si="23"/>
        <v>0</v>
      </c>
      <c r="E530" s="145"/>
      <c r="F530" s="45" t="s">
        <v>55</v>
      </c>
      <c r="G530" s="138">
        <v>0</v>
      </c>
      <c r="H530" s="138">
        <f>G530</f>
        <v>0</v>
      </c>
      <c r="I530" s="139"/>
    </row>
    <row r="531" spans="2:9" ht="15" hidden="1" customHeight="1" outlineLevel="1" x14ac:dyDescent="0.25">
      <c r="B531" s="45" t="s">
        <v>56</v>
      </c>
      <c r="C531" s="138">
        <v>0</v>
      </c>
      <c r="D531" s="138">
        <f t="shared" si="23"/>
        <v>0</v>
      </c>
      <c r="E531" s="145"/>
      <c r="F531" s="45" t="s">
        <v>56</v>
      </c>
      <c r="G531" s="138">
        <v>0</v>
      </c>
      <c r="H531" s="138">
        <f>G531</f>
        <v>0</v>
      </c>
      <c r="I531" s="139"/>
    </row>
    <row r="532" spans="2:9" ht="15" hidden="1" customHeight="1" outlineLevel="1" x14ac:dyDescent="0.25">
      <c r="B532" s="1187" t="s">
        <v>767</v>
      </c>
      <c r="C532" s="1187"/>
      <c r="D532" s="1187"/>
      <c r="E532" s="1187"/>
      <c r="F532" s="1229"/>
      <c r="G532" s="1229"/>
      <c r="H532" s="1229"/>
      <c r="I532" s="1229"/>
    </row>
    <row r="533" spans="2:9" ht="15" hidden="1" customHeight="1" outlineLevel="1" x14ac:dyDescent="0.25">
      <c r="B533" s="543" t="s">
        <v>665</v>
      </c>
      <c r="C533" s="160">
        <v>0</v>
      </c>
      <c r="D533" s="160">
        <f t="shared" si="23"/>
        <v>0</v>
      </c>
      <c r="E533" s="161"/>
      <c r="F533" s="144"/>
      <c r="G533" s="26"/>
      <c r="H533" s="26"/>
      <c r="I533" s="26"/>
    </row>
    <row r="534" spans="2:9" ht="15" hidden="1" customHeight="1" outlineLevel="1" x14ac:dyDescent="0.25">
      <c r="B534" s="543" t="s">
        <v>49</v>
      </c>
      <c r="C534" s="160">
        <v>0</v>
      </c>
      <c r="D534" s="160">
        <f t="shared" ref="D534:D538" si="24">C534</f>
        <v>0</v>
      </c>
      <c r="E534" s="161"/>
      <c r="F534" s="77"/>
      <c r="G534" s="26"/>
      <c r="H534" s="26"/>
      <c r="I534" s="26"/>
    </row>
    <row r="535" spans="2:9" ht="15" hidden="1" customHeight="1" outlineLevel="1" x14ac:dyDescent="0.25">
      <c r="B535" s="543" t="s">
        <v>50</v>
      </c>
      <c r="C535" s="160">
        <v>0</v>
      </c>
      <c r="D535" s="160">
        <f t="shared" si="24"/>
        <v>0</v>
      </c>
      <c r="E535" s="161"/>
      <c r="F535" s="77"/>
      <c r="G535" s="26"/>
      <c r="H535" s="26"/>
      <c r="I535" s="26"/>
    </row>
    <row r="536" spans="2:9" ht="15" hidden="1" customHeight="1" outlineLevel="1" x14ac:dyDescent="0.25">
      <c r="B536" s="543" t="s">
        <v>53</v>
      </c>
      <c r="C536" s="160">
        <v>0</v>
      </c>
      <c r="D536" s="160">
        <f t="shared" si="24"/>
        <v>0</v>
      </c>
      <c r="E536" s="161"/>
      <c r="F536" s="77"/>
      <c r="G536" s="26"/>
      <c r="H536" s="26"/>
      <c r="I536" s="26"/>
    </row>
    <row r="537" spans="2:9" ht="15" hidden="1" customHeight="1" outlineLevel="1" x14ac:dyDescent="0.25">
      <c r="B537" s="543" t="s">
        <v>54</v>
      </c>
      <c r="C537" s="160">
        <v>0</v>
      </c>
      <c r="D537" s="160">
        <f t="shared" si="24"/>
        <v>0</v>
      </c>
      <c r="E537" s="161"/>
      <c r="F537" s="77"/>
      <c r="G537" s="26"/>
      <c r="H537" s="26"/>
      <c r="I537" s="26"/>
    </row>
    <row r="538" spans="2:9" ht="15" hidden="1" customHeight="1" outlineLevel="1" x14ac:dyDescent="0.25">
      <c r="B538" s="543" t="s">
        <v>55</v>
      </c>
      <c r="C538" s="160">
        <v>0</v>
      </c>
      <c r="D538" s="160">
        <f t="shared" si="24"/>
        <v>0</v>
      </c>
      <c r="E538" s="161"/>
      <c r="F538" s="77"/>
      <c r="G538" s="26"/>
      <c r="H538" s="26"/>
      <c r="I538" s="26"/>
    </row>
    <row r="539" spans="2:9" ht="15" hidden="1" customHeight="1" outlineLevel="1" x14ac:dyDescent="0.25">
      <c r="B539" s="543" t="s">
        <v>56</v>
      </c>
      <c r="C539" s="160">
        <v>0</v>
      </c>
      <c r="D539" s="160">
        <f t="shared" ref="D539" si="25">C539</f>
        <v>0</v>
      </c>
      <c r="E539" s="161"/>
      <c r="F539" s="77"/>
      <c r="G539" s="26"/>
      <c r="H539" s="26"/>
      <c r="I539" s="26"/>
    </row>
    <row r="540" spans="2:9" s="1201" customFormat="1" ht="13.5" customHeight="1" collapsed="1" x14ac:dyDescent="0.25"/>
    <row r="541" spans="2:9" x14ac:dyDescent="0.25">
      <c r="B541" s="1052" t="s">
        <v>1947</v>
      </c>
      <c r="F541" s="338" t="s">
        <v>437</v>
      </c>
      <c r="G541" s="1165" t="s">
        <v>537</v>
      </c>
      <c r="H541" s="1165"/>
    </row>
    <row r="542" spans="2:9" ht="44.25" hidden="1" customHeight="1" outlineLevel="1" x14ac:dyDescent="0.25">
      <c r="B542" t="s">
        <v>0</v>
      </c>
      <c r="C542" s="1208" t="s">
        <v>794</v>
      </c>
      <c r="D542" s="1208"/>
      <c r="E542" s="1208"/>
      <c r="F542" s="1208"/>
    </row>
    <row r="543" spans="2:9" ht="22.5" hidden="1" customHeight="1" outlineLevel="1" x14ac:dyDescent="0.25">
      <c r="B543" t="s">
        <v>1679</v>
      </c>
      <c r="C543" s="72">
        <v>6080912085</v>
      </c>
      <c r="D543" s="174"/>
      <c r="E543" s="174"/>
      <c r="F543" s="174"/>
    </row>
    <row r="544" spans="2:9" hidden="1" outlineLevel="1" x14ac:dyDescent="0.25">
      <c r="B544" t="s">
        <v>1680</v>
      </c>
      <c r="C544" s="72">
        <v>6080912085</v>
      </c>
    </row>
    <row r="545" spans="2:8" hidden="1" outlineLevel="1" x14ac:dyDescent="0.25">
      <c r="B545" t="s">
        <v>131</v>
      </c>
      <c r="C545" t="s">
        <v>132</v>
      </c>
      <c r="D545" t="s">
        <v>133</v>
      </c>
      <c r="E545" t="s">
        <v>134</v>
      </c>
      <c r="F545" s="210" t="s">
        <v>392</v>
      </c>
      <c r="G545" s="1166"/>
      <c r="H545" s="1166"/>
    </row>
    <row r="546" spans="2:8" ht="30" hidden="1" outlineLevel="1" x14ac:dyDescent="0.25">
      <c r="B546" s="176" t="s">
        <v>1714</v>
      </c>
      <c r="C546" s="571" t="str">
        <f>B546</f>
        <v>Continental Insurance Company (CNA)</v>
      </c>
      <c r="D546" s="176" t="s">
        <v>1714</v>
      </c>
      <c r="E546" s="176" t="s">
        <v>1714</v>
      </c>
      <c r="G546" s="1175"/>
      <c r="H546" s="1175"/>
    </row>
    <row r="547" spans="2:8" hidden="1" outlineLevel="1" x14ac:dyDescent="0.25">
      <c r="B547" t="s">
        <v>135</v>
      </c>
      <c r="C547" t="s">
        <v>136</v>
      </c>
      <c r="D547" t="s">
        <v>137</v>
      </c>
      <c r="E547" t="s">
        <v>139</v>
      </c>
    </row>
    <row r="548" spans="2:8" hidden="1" outlineLevel="1" x14ac:dyDescent="0.25">
      <c r="B548" s="18" t="s">
        <v>1116</v>
      </c>
      <c r="C548" t="str">
        <f>B548</f>
        <v>A: XV</v>
      </c>
      <c r="D548" s="18" t="s">
        <v>1116</v>
      </c>
      <c r="E548" s="18" t="s">
        <v>1116</v>
      </c>
    </row>
    <row r="549" spans="2:8" hidden="1" outlineLevel="1" x14ac:dyDescent="0.25">
      <c r="B549" t="s">
        <v>2</v>
      </c>
      <c r="C549" t="s">
        <v>3</v>
      </c>
      <c r="D549" t="s">
        <v>140</v>
      </c>
      <c r="E549" t="s">
        <v>141</v>
      </c>
    </row>
    <row r="550" spans="2:8" hidden="1" outlineLevel="1" x14ac:dyDescent="0.25">
      <c r="B550" s="123">
        <v>1327</v>
      </c>
      <c r="C550" s="4">
        <f>B550+B550*E573</f>
        <v>1327</v>
      </c>
      <c r="D550" s="123">
        <v>1546</v>
      </c>
      <c r="E550" s="123">
        <v>1546</v>
      </c>
      <c r="F550" s="4"/>
    </row>
    <row r="551" spans="2:8" hidden="1" outlineLevel="1" x14ac:dyDescent="0.25">
      <c r="B551" s="4" t="s">
        <v>543</v>
      </c>
      <c r="C551" s="4" t="s">
        <v>543</v>
      </c>
      <c r="D551" s="4" t="s">
        <v>543</v>
      </c>
      <c r="E551" s="4" t="s">
        <v>543</v>
      </c>
      <c r="F551" s="4"/>
    </row>
    <row r="552" spans="2:8" hidden="1" outlineLevel="1" x14ac:dyDescent="0.25">
      <c r="B552" s="289">
        <f>B550/(C572/100)</f>
        <v>0.78211105151795557</v>
      </c>
      <c r="C552" s="289">
        <f>C550/(E572/100)</f>
        <v>0.78211105151795557</v>
      </c>
      <c r="D552" s="289">
        <f>D550/(E572/100)</f>
        <v>0.91118589724699262</v>
      </c>
      <c r="E552" s="289">
        <f>E550/(E572/100)</f>
        <v>0.91118589724699262</v>
      </c>
      <c r="F552" s="4"/>
    </row>
    <row r="553" spans="2:8" hidden="1" outlineLevel="1" x14ac:dyDescent="0.25">
      <c r="D553" t="s">
        <v>5</v>
      </c>
      <c r="E553" t="s">
        <v>6</v>
      </c>
    </row>
    <row r="554" spans="2:8" hidden="1" outlineLevel="1" x14ac:dyDescent="0.25">
      <c r="D554" s="3">
        <f>-(C550-D550)/C550</f>
        <v>0.16503391107761869</v>
      </c>
      <c r="E554" s="3">
        <f>-(C550-E550)/C550</f>
        <v>0.16503391107761869</v>
      </c>
    </row>
    <row r="555" spans="2:8" hidden="1" outlineLevel="1" x14ac:dyDescent="0.25">
      <c r="B555" s="3" t="s">
        <v>685</v>
      </c>
      <c r="C555" s="3" t="s">
        <v>686</v>
      </c>
      <c r="D555" s="3" t="s">
        <v>687</v>
      </c>
      <c r="E555" s="3" t="s">
        <v>688</v>
      </c>
    </row>
    <row r="556" spans="2:8" hidden="1" outlineLevel="1" x14ac:dyDescent="0.25">
      <c r="B556" s="178"/>
      <c r="C556" s="187">
        <f>B556+B556*E573</f>
        <v>0</v>
      </c>
      <c r="D556" s="178"/>
      <c r="E556" s="178"/>
    </row>
    <row r="557" spans="2:8" hidden="1" outlineLevel="1" x14ac:dyDescent="0.25">
      <c r="B557" s="3" t="s">
        <v>203</v>
      </c>
      <c r="C557" s="3" t="s">
        <v>204</v>
      </c>
      <c r="D557" s="3" t="s">
        <v>205</v>
      </c>
      <c r="E557" s="3" t="s">
        <v>206</v>
      </c>
    </row>
    <row r="558" spans="2:8" hidden="1" outlineLevel="1" x14ac:dyDescent="0.25">
      <c r="B558" s="178"/>
      <c r="C558" s="187">
        <f>B558+B558*E573</f>
        <v>0</v>
      </c>
      <c r="D558" s="178"/>
      <c r="E558" s="178"/>
    </row>
    <row r="559" spans="2:8" hidden="1" outlineLevel="1" x14ac:dyDescent="0.25">
      <c r="B559" s="3" t="s">
        <v>14</v>
      </c>
      <c r="C559" s="4" t="s">
        <v>15</v>
      </c>
      <c r="D559" s="4" t="s">
        <v>142</v>
      </c>
      <c r="E559" t="s">
        <v>143</v>
      </c>
    </row>
    <row r="560" spans="2:8" hidden="1" outlineLevel="1" x14ac:dyDescent="0.25">
      <c r="B560" s="4">
        <f>B550+B556+B558</f>
        <v>1327</v>
      </c>
      <c r="C560" s="4">
        <f>C550+C556+C558</f>
        <v>1327</v>
      </c>
      <c r="D560" s="4">
        <f>D550+D556+D558</f>
        <v>1546</v>
      </c>
      <c r="E560" s="4">
        <f>E550+E556+E558</f>
        <v>1546</v>
      </c>
      <c r="F560" s="4"/>
    </row>
    <row r="561" spans="2:9" hidden="1" outlineLevel="1" x14ac:dyDescent="0.25">
      <c r="B561" s="3" t="s">
        <v>998</v>
      </c>
      <c r="C561" s="3" t="s">
        <v>999</v>
      </c>
      <c r="D561" s="3" t="s">
        <v>1000</v>
      </c>
      <c r="E561" s="3" t="s">
        <v>1001</v>
      </c>
      <c r="F561" s="4"/>
    </row>
    <row r="562" spans="2:9" hidden="1" outlineLevel="1" x14ac:dyDescent="0.25">
      <c r="B562" s="693"/>
      <c r="C562" s="157" t="s">
        <v>284</v>
      </c>
      <c r="D562" s="693"/>
      <c r="E562" s="693"/>
      <c r="F562" s="4"/>
    </row>
    <row r="563" spans="2:9" hidden="1" outlineLevel="1" x14ac:dyDescent="0.25">
      <c r="B563" s="4"/>
      <c r="C563" s="4"/>
      <c r="D563" s="4"/>
      <c r="E563" s="4"/>
      <c r="F563" s="4"/>
    </row>
    <row r="564" spans="2:9" hidden="1" outlineLevel="1" x14ac:dyDescent="0.25">
      <c r="B564" s="37" t="s">
        <v>383</v>
      </c>
      <c r="F564" s="34"/>
    </row>
    <row r="565" spans="2:9" hidden="1" outlineLevel="1" x14ac:dyDescent="0.25">
      <c r="B565" s="1169" t="s">
        <v>39</v>
      </c>
      <c r="C565" s="1170"/>
      <c r="D565" s="1170" t="s">
        <v>40</v>
      </c>
      <c r="E565" s="1171"/>
    </row>
    <row r="566" spans="2:9" hidden="1" outlineLevel="1" x14ac:dyDescent="0.25">
      <c r="B566" s="42" t="s">
        <v>41</v>
      </c>
      <c r="C566" s="19"/>
      <c r="D566" s="42" t="str">
        <f>B566</f>
        <v>Building</v>
      </c>
      <c r="E566" s="24"/>
    </row>
    <row r="567" spans="2:9" hidden="1" outlineLevel="1" x14ac:dyDescent="0.25">
      <c r="B567" s="42" t="s">
        <v>324</v>
      </c>
      <c r="C567" s="19"/>
      <c r="D567" s="42" t="str">
        <f t="shared" ref="D567:D572" si="26">B567</f>
        <v>Betterments &amp; Improvements</v>
      </c>
      <c r="E567" s="24"/>
    </row>
    <row r="568" spans="2:9" hidden="1" outlineLevel="1" x14ac:dyDescent="0.25">
      <c r="B568" s="42" t="s">
        <v>42</v>
      </c>
      <c r="C568" s="19"/>
      <c r="D568" s="42" t="str">
        <f t="shared" si="26"/>
        <v>Business Personal Property</v>
      </c>
      <c r="E568" s="24"/>
    </row>
    <row r="569" spans="2:9" hidden="1" outlineLevel="1" x14ac:dyDescent="0.25">
      <c r="B569" s="42" t="s">
        <v>325</v>
      </c>
      <c r="C569" s="19"/>
      <c r="D569" s="42" t="str">
        <f t="shared" si="26"/>
        <v>Computer Software/Hardware</v>
      </c>
      <c r="E569" s="24"/>
    </row>
    <row r="570" spans="2:9" hidden="1" outlineLevel="1" x14ac:dyDescent="0.25">
      <c r="B570" s="42" t="s">
        <v>792</v>
      </c>
      <c r="C570" s="19"/>
      <c r="D570" s="42" t="str">
        <f t="shared" si="26"/>
        <v>Business Income/Extra Expense</v>
      </c>
      <c r="E570" s="24"/>
    </row>
    <row r="571" spans="2:9" hidden="1" outlineLevel="1" x14ac:dyDescent="0.25">
      <c r="B571" s="146" t="s">
        <v>327</v>
      </c>
      <c r="C571" s="1029">
        <v>169669</v>
      </c>
      <c r="D571" s="146" t="str">
        <f t="shared" si="26"/>
        <v>Scheduled Field Equipment</v>
      </c>
      <c r="E571" s="140">
        <v>169669</v>
      </c>
    </row>
    <row r="572" spans="2:9" hidden="1" outlineLevel="1" x14ac:dyDescent="0.25">
      <c r="B572" s="41" t="s">
        <v>128</v>
      </c>
      <c r="C572" s="20">
        <f>SUM(C566:C571)</f>
        <v>169669</v>
      </c>
      <c r="D572" s="41" t="str">
        <f t="shared" si="26"/>
        <v>Total Values Insured</v>
      </c>
      <c r="E572" s="33">
        <f>SUM(E566:E571)</f>
        <v>169669</v>
      </c>
    </row>
    <row r="573" spans="2:9" hidden="1" outlineLevel="1" x14ac:dyDescent="0.25">
      <c r="C573" s="1188" t="s">
        <v>13</v>
      </c>
      <c r="D573" s="1189"/>
      <c r="E573" s="15">
        <f>-(C572-E572)/C572</f>
        <v>0</v>
      </c>
    </row>
    <row r="574" spans="2:9" hidden="1" outlineLevel="1" x14ac:dyDescent="0.25">
      <c r="B574" s="1185" t="s">
        <v>172</v>
      </c>
      <c r="C574" s="1185"/>
      <c r="D574" s="1185"/>
      <c r="E574" s="1185"/>
      <c r="F574" s="1192" t="s">
        <v>174</v>
      </c>
      <c r="G574" s="1185"/>
      <c r="H574" s="1185"/>
      <c r="I574" s="1185"/>
    </row>
    <row r="575" spans="2:9" hidden="1" outlineLevel="1" x14ac:dyDescent="0.25">
      <c r="B575" s="43"/>
      <c r="C575" s="8" t="s">
        <v>10</v>
      </c>
      <c r="D575" s="8" t="s">
        <v>67</v>
      </c>
      <c r="E575" s="11" t="s">
        <v>68</v>
      </c>
      <c r="F575" s="43"/>
      <c r="G575" s="8" t="s">
        <v>10</v>
      </c>
      <c r="H575" s="8" t="s">
        <v>67</v>
      </c>
      <c r="I575" s="9" t="s">
        <v>68</v>
      </c>
    </row>
    <row r="576" spans="2:9" ht="32.25" hidden="1" customHeight="1" outlineLevel="1" x14ac:dyDescent="0.25">
      <c r="B576" s="43" t="s">
        <v>41</v>
      </c>
      <c r="C576" s="141">
        <v>0</v>
      </c>
      <c r="D576" s="141">
        <f t="shared" ref="D576:D578" si="27">C576</f>
        <v>0</v>
      </c>
      <c r="E576" s="143"/>
      <c r="F576" s="43" t="s">
        <v>176</v>
      </c>
      <c r="G576" s="75">
        <f>C571</f>
        <v>169669</v>
      </c>
      <c r="H576" s="75">
        <f>E571</f>
        <v>169669</v>
      </c>
      <c r="I576" s="76">
        <f>E571</f>
        <v>169669</v>
      </c>
    </row>
    <row r="577" spans="2:9" ht="45" hidden="1" outlineLevel="1" x14ac:dyDescent="0.25">
      <c r="B577" s="43" t="s">
        <v>42</v>
      </c>
      <c r="C577" s="141">
        <v>0</v>
      </c>
      <c r="D577" s="141">
        <f t="shared" si="27"/>
        <v>0</v>
      </c>
      <c r="E577" s="143"/>
      <c r="F577" s="314" t="s">
        <v>509</v>
      </c>
      <c r="G577" s="141">
        <v>0</v>
      </c>
      <c r="H577" s="141">
        <f>G577</f>
        <v>0</v>
      </c>
      <c r="I577" s="142"/>
    </row>
    <row r="578" spans="2:9" ht="45" hidden="1" outlineLevel="1" x14ac:dyDescent="0.25">
      <c r="B578" s="43" t="s">
        <v>43</v>
      </c>
      <c r="C578" s="141">
        <v>0</v>
      </c>
      <c r="D578" s="141">
        <f t="shared" si="27"/>
        <v>0</v>
      </c>
      <c r="E578" s="143"/>
      <c r="F578" s="43" t="s">
        <v>386</v>
      </c>
      <c r="G578" s="141">
        <v>0</v>
      </c>
      <c r="H578" s="141">
        <f>G578</f>
        <v>0</v>
      </c>
      <c r="I578" s="142"/>
    </row>
    <row r="579" spans="2:9" ht="45" hidden="1" outlineLevel="1" x14ac:dyDescent="0.25">
      <c r="B579" s="43" t="s">
        <v>44</v>
      </c>
      <c r="C579" s="141">
        <v>0</v>
      </c>
      <c r="D579" s="141">
        <f>C579</f>
        <v>0</v>
      </c>
      <c r="E579" s="143"/>
      <c r="F579" s="314" t="s">
        <v>510</v>
      </c>
      <c r="G579" s="141">
        <v>100000</v>
      </c>
      <c r="H579" s="141">
        <f t="shared" ref="H579:H591" si="28">G579</f>
        <v>100000</v>
      </c>
      <c r="I579" s="142"/>
    </row>
    <row r="580" spans="2:9" ht="45" hidden="1" outlineLevel="1" x14ac:dyDescent="0.25">
      <c r="B580" s="43" t="s">
        <v>45</v>
      </c>
      <c r="C580" s="141">
        <v>0</v>
      </c>
      <c r="D580" s="141">
        <f t="shared" ref="D580:D592" si="29">C580</f>
        <v>0</v>
      </c>
      <c r="E580" s="143"/>
      <c r="F580" s="43" t="s">
        <v>387</v>
      </c>
      <c r="G580" s="141">
        <v>50000</v>
      </c>
      <c r="H580" s="141">
        <f>G580</f>
        <v>50000</v>
      </c>
      <c r="I580" s="142"/>
    </row>
    <row r="581" spans="2:9" hidden="1" outlineLevel="1" x14ac:dyDescent="0.25">
      <c r="B581" s="43" t="s">
        <v>46</v>
      </c>
      <c r="C581" s="141">
        <v>0</v>
      </c>
      <c r="D581" s="141">
        <f t="shared" si="29"/>
        <v>0</v>
      </c>
      <c r="E581" s="143"/>
      <c r="F581" s="314" t="s">
        <v>772</v>
      </c>
      <c r="G581" s="141">
        <v>50000</v>
      </c>
      <c r="H581" s="141">
        <f t="shared" si="28"/>
        <v>50000</v>
      </c>
      <c r="I581" s="142"/>
    </row>
    <row r="582" spans="2:9" ht="30" hidden="1" outlineLevel="1" x14ac:dyDescent="0.25">
      <c r="B582" s="44" t="s">
        <v>47</v>
      </c>
      <c r="C582" s="27">
        <v>0</v>
      </c>
      <c r="D582" s="27">
        <f t="shared" si="29"/>
        <v>0</v>
      </c>
      <c r="E582" s="31"/>
      <c r="F582" s="43" t="s">
        <v>180</v>
      </c>
      <c r="G582" s="141">
        <v>0</v>
      </c>
      <c r="H582" s="141">
        <f t="shared" si="28"/>
        <v>0</v>
      </c>
      <c r="I582" s="142"/>
    </row>
    <row r="583" spans="2:9" hidden="1" outlineLevel="1" x14ac:dyDescent="0.25">
      <c r="B583" s="44" t="s">
        <v>48</v>
      </c>
      <c r="C583" s="27">
        <v>0</v>
      </c>
      <c r="D583" s="27">
        <f t="shared" si="29"/>
        <v>0</v>
      </c>
      <c r="E583" s="31"/>
      <c r="F583" s="43" t="s">
        <v>181</v>
      </c>
      <c r="G583" s="141">
        <v>50000</v>
      </c>
      <c r="H583" s="141">
        <f t="shared" si="28"/>
        <v>50000</v>
      </c>
      <c r="I583" s="142"/>
    </row>
    <row r="584" spans="2:9" hidden="1" outlineLevel="1" x14ac:dyDescent="0.25">
      <c r="B584" s="44" t="s">
        <v>49</v>
      </c>
      <c r="C584" s="27">
        <v>0</v>
      </c>
      <c r="D584" s="27">
        <f t="shared" si="29"/>
        <v>0</v>
      </c>
      <c r="E584" s="31"/>
      <c r="F584" s="44" t="s">
        <v>182</v>
      </c>
      <c r="G584" s="27">
        <v>50000</v>
      </c>
      <c r="H584" s="27">
        <f t="shared" si="28"/>
        <v>50000</v>
      </c>
      <c r="I584" s="137"/>
    </row>
    <row r="585" spans="2:9" ht="30" hidden="1" outlineLevel="1" x14ac:dyDescent="0.25">
      <c r="B585" s="44" t="s">
        <v>50</v>
      </c>
      <c r="C585" s="27">
        <v>0</v>
      </c>
      <c r="D585" s="27">
        <f t="shared" si="29"/>
        <v>0</v>
      </c>
      <c r="E585" s="31"/>
      <c r="F585" s="44" t="s">
        <v>183</v>
      </c>
      <c r="G585" s="27">
        <v>0</v>
      </c>
      <c r="H585" s="27">
        <f t="shared" si="28"/>
        <v>0</v>
      </c>
      <c r="I585" s="137"/>
    </row>
    <row r="586" spans="2:9" ht="30" hidden="1" outlineLevel="1" x14ac:dyDescent="0.25">
      <c r="B586" s="44" t="s">
        <v>51</v>
      </c>
      <c r="C586" s="27">
        <v>0</v>
      </c>
      <c r="D586" s="27">
        <f t="shared" si="29"/>
        <v>0</v>
      </c>
      <c r="E586" s="31"/>
      <c r="F586" s="44" t="s">
        <v>184</v>
      </c>
      <c r="G586" s="27">
        <v>0</v>
      </c>
      <c r="H586" s="27">
        <f t="shared" si="28"/>
        <v>0</v>
      </c>
      <c r="I586" s="137"/>
    </row>
    <row r="587" spans="2:9" ht="30" hidden="1" outlineLevel="1" x14ac:dyDescent="0.25">
      <c r="B587" s="44" t="s">
        <v>52</v>
      </c>
      <c r="C587" s="27">
        <v>0</v>
      </c>
      <c r="D587" s="27">
        <f t="shared" si="29"/>
        <v>0</v>
      </c>
      <c r="E587" s="31"/>
      <c r="F587" s="44" t="s">
        <v>185</v>
      </c>
      <c r="G587" s="27">
        <v>0</v>
      </c>
      <c r="H587" s="27">
        <f t="shared" si="28"/>
        <v>0</v>
      </c>
      <c r="I587" s="137"/>
    </row>
    <row r="588" spans="2:9" ht="30" hidden="1" outlineLevel="1" x14ac:dyDescent="0.25">
      <c r="B588" s="318" t="s">
        <v>512</v>
      </c>
      <c r="C588" s="27">
        <v>0</v>
      </c>
      <c r="D588" s="27">
        <f t="shared" si="29"/>
        <v>0</v>
      </c>
      <c r="E588" s="31"/>
      <c r="F588" s="44" t="s">
        <v>53</v>
      </c>
      <c r="G588" s="27">
        <v>0</v>
      </c>
      <c r="H588" s="27">
        <f t="shared" si="28"/>
        <v>0</v>
      </c>
      <c r="I588" s="137"/>
    </row>
    <row r="589" spans="2:9" hidden="1" outlineLevel="1" x14ac:dyDescent="0.25">
      <c r="B589" s="44" t="s">
        <v>53</v>
      </c>
      <c r="C589" s="27">
        <v>0</v>
      </c>
      <c r="D589" s="27">
        <f t="shared" si="29"/>
        <v>0</v>
      </c>
      <c r="E589" s="31"/>
      <c r="F589" s="44" t="s">
        <v>54</v>
      </c>
      <c r="G589" s="27">
        <v>0</v>
      </c>
      <c r="H589" s="27">
        <f t="shared" si="28"/>
        <v>0</v>
      </c>
      <c r="I589" s="137"/>
    </row>
    <row r="590" spans="2:9" hidden="1" outlineLevel="1" x14ac:dyDescent="0.25">
      <c r="B590" s="44" t="s">
        <v>54</v>
      </c>
      <c r="C590" s="27">
        <v>0</v>
      </c>
      <c r="D590" s="27">
        <f t="shared" si="29"/>
        <v>0</v>
      </c>
      <c r="E590" s="31"/>
      <c r="F590" s="44" t="s">
        <v>55</v>
      </c>
      <c r="G590" s="27">
        <v>0</v>
      </c>
      <c r="H590" s="27">
        <f t="shared" si="28"/>
        <v>0</v>
      </c>
      <c r="I590" s="137"/>
    </row>
    <row r="591" spans="2:9" hidden="1" outlineLevel="1" x14ac:dyDescent="0.25">
      <c r="B591" s="44" t="s">
        <v>55</v>
      </c>
      <c r="C591" s="27">
        <v>0</v>
      </c>
      <c r="D591" s="27">
        <f t="shared" si="29"/>
        <v>0</v>
      </c>
      <c r="E591" s="31"/>
      <c r="F591" s="44" t="s">
        <v>56</v>
      </c>
      <c r="G591" s="27">
        <v>0</v>
      </c>
      <c r="H591" s="27">
        <f t="shared" si="28"/>
        <v>0</v>
      </c>
      <c r="I591" s="137"/>
    </row>
    <row r="592" spans="2:9" hidden="1" outlineLevel="1" x14ac:dyDescent="0.25">
      <c r="B592" s="44" t="s">
        <v>56</v>
      </c>
      <c r="C592" s="27">
        <v>0</v>
      </c>
      <c r="D592" s="27">
        <f t="shared" si="29"/>
        <v>0</v>
      </c>
      <c r="E592" s="31"/>
      <c r="F592" s="49"/>
      <c r="G592" s="50"/>
      <c r="H592" s="50"/>
      <c r="I592" s="50"/>
    </row>
    <row r="593" spans="2:9" ht="30" hidden="1" customHeight="1" outlineLevel="1" x14ac:dyDescent="0.25">
      <c r="B593" s="1187" t="s">
        <v>173</v>
      </c>
      <c r="C593" s="1187"/>
      <c r="D593" s="1187"/>
      <c r="E593" s="1187"/>
      <c r="F593" s="1191" t="s">
        <v>175</v>
      </c>
      <c r="G593" s="1191"/>
      <c r="H593" s="1191"/>
      <c r="I593" s="208"/>
    </row>
    <row r="594" spans="2:9" hidden="1" outlineLevel="1" x14ac:dyDescent="0.25">
      <c r="B594" s="543" t="s">
        <v>665</v>
      </c>
      <c r="C594" s="138">
        <v>0</v>
      </c>
      <c r="D594" s="138">
        <f t="shared" ref="D594:D600" si="30">C594</f>
        <v>0</v>
      </c>
      <c r="E594" s="145"/>
      <c r="F594" s="543" t="s">
        <v>665</v>
      </c>
      <c r="G594" s="138">
        <v>2500</v>
      </c>
      <c r="H594" s="138">
        <f>G594</f>
        <v>2500</v>
      </c>
      <c r="I594" s="139"/>
    </row>
    <row r="595" spans="2:9" ht="15" hidden="1" customHeight="1" outlineLevel="1" x14ac:dyDescent="0.25">
      <c r="B595" s="45" t="s">
        <v>53</v>
      </c>
      <c r="C595" s="138">
        <v>0</v>
      </c>
      <c r="D595" s="138">
        <f t="shared" si="30"/>
        <v>0</v>
      </c>
      <c r="E595" s="145"/>
      <c r="F595" s="45" t="s">
        <v>53</v>
      </c>
      <c r="G595" s="138">
        <v>2500</v>
      </c>
      <c r="H595" s="138">
        <f>G595</f>
        <v>2500</v>
      </c>
      <c r="I595" s="139"/>
    </row>
    <row r="596" spans="2:9" hidden="1" outlineLevel="1" x14ac:dyDescent="0.25">
      <c r="B596" s="45" t="s">
        <v>54</v>
      </c>
      <c r="C596" s="138">
        <v>0</v>
      </c>
      <c r="D596" s="138">
        <f t="shared" si="30"/>
        <v>0</v>
      </c>
      <c r="E596" s="145"/>
      <c r="F596" s="45" t="s">
        <v>54</v>
      </c>
      <c r="G596" s="138">
        <v>2500</v>
      </c>
      <c r="H596" s="138">
        <f>G596</f>
        <v>2500</v>
      </c>
      <c r="I596" s="139"/>
    </row>
    <row r="597" spans="2:9" hidden="1" outlineLevel="1" x14ac:dyDescent="0.25">
      <c r="B597" s="45" t="s">
        <v>55</v>
      </c>
      <c r="C597" s="138">
        <v>0</v>
      </c>
      <c r="D597" s="138">
        <f t="shared" si="30"/>
        <v>0</v>
      </c>
      <c r="E597" s="145"/>
      <c r="F597" s="45" t="s">
        <v>55</v>
      </c>
      <c r="G597" s="138">
        <v>0</v>
      </c>
      <c r="H597" s="138">
        <f>G597</f>
        <v>0</v>
      </c>
      <c r="I597" s="139"/>
    </row>
    <row r="598" spans="2:9" hidden="1" outlineLevel="1" x14ac:dyDescent="0.25">
      <c r="B598" s="45" t="s">
        <v>56</v>
      </c>
      <c r="C598" s="138">
        <v>0</v>
      </c>
      <c r="D598" s="138">
        <f t="shared" si="30"/>
        <v>0</v>
      </c>
      <c r="E598" s="145"/>
      <c r="F598" s="203" t="s">
        <v>56</v>
      </c>
      <c r="G598" s="138">
        <v>0</v>
      </c>
      <c r="H598" s="138">
        <f>G598</f>
        <v>0</v>
      </c>
      <c r="I598" s="139"/>
    </row>
    <row r="599" spans="2:9" ht="30" hidden="1" customHeight="1" outlineLevel="1" x14ac:dyDescent="0.25">
      <c r="B599" s="1187" t="s">
        <v>767</v>
      </c>
      <c r="C599" s="1187"/>
      <c r="D599" s="1187"/>
      <c r="E599" s="1187"/>
      <c r="F599" s="1228"/>
      <c r="G599" s="1228"/>
      <c r="H599" s="1228"/>
      <c r="I599" s="614"/>
    </row>
    <row r="600" spans="2:9" hidden="1" outlineLevel="1" x14ac:dyDescent="0.25">
      <c r="B600" s="543" t="s">
        <v>665</v>
      </c>
      <c r="C600" s="160">
        <v>0</v>
      </c>
      <c r="D600" s="160">
        <f t="shared" si="30"/>
        <v>0</v>
      </c>
      <c r="E600" s="615"/>
      <c r="F600" s="59"/>
    </row>
    <row r="601" spans="2:9" hidden="1" outlineLevel="1" x14ac:dyDescent="0.25">
      <c r="B601" s="44" t="s">
        <v>49</v>
      </c>
      <c r="C601" s="160">
        <v>0</v>
      </c>
      <c r="D601" s="160">
        <f>C601</f>
        <v>0</v>
      </c>
      <c r="E601" s="615"/>
      <c r="F601" s="59"/>
    </row>
    <row r="602" spans="2:9" hidden="1" outlineLevel="1" x14ac:dyDescent="0.25">
      <c r="B602" s="44" t="s">
        <v>50</v>
      </c>
      <c r="C602" s="160">
        <v>0</v>
      </c>
      <c r="D602" s="160">
        <f>C602</f>
        <v>0</v>
      </c>
      <c r="E602" s="615"/>
      <c r="F602" s="59"/>
    </row>
    <row r="603" spans="2:9" hidden="1" outlineLevel="1" x14ac:dyDescent="0.25">
      <c r="B603" s="45" t="s">
        <v>53</v>
      </c>
      <c r="C603" s="160">
        <v>0</v>
      </c>
      <c r="D603" s="160">
        <f t="shared" ref="D603:D606" si="31">C603</f>
        <v>0</v>
      </c>
      <c r="E603" s="615"/>
      <c r="F603" s="59"/>
    </row>
    <row r="604" spans="2:9" hidden="1" outlineLevel="1" x14ac:dyDescent="0.25">
      <c r="B604" s="45" t="s">
        <v>54</v>
      </c>
      <c r="C604" s="160">
        <v>0</v>
      </c>
      <c r="D604" s="160">
        <f t="shared" si="31"/>
        <v>0</v>
      </c>
      <c r="E604" s="615"/>
      <c r="F604" s="59"/>
    </row>
    <row r="605" spans="2:9" hidden="1" outlineLevel="1" x14ac:dyDescent="0.25">
      <c r="B605" s="45" t="s">
        <v>55</v>
      </c>
      <c r="C605" s="160">
        <v>0</v>
      </c>
      <c r="D605" s="160">
        <f t="shared" si="31"/>
        <v>0</v>
      </c>
      <c r="E605" s="615"/>
      <c r="F605" s="59"/>
    </row>
    <row r="606" spans="2:9" hidden="1" outlineLevel="1" x14ac:dyDescent="0.25">
      <c r="B606" s="45" t="s">
        <v>56</v>
      </c>
      <c r="C606" s="160">
        <v>0</v>
      </c>
      <c r="D606" s="160">
        <f t="shared" si="31"/>
        <v>0</v>
      </c>
      <c r="E606" s="615"/>
      <c r="F606" s="59"/>
    </row>
    <row r="607" spans="2:9" s="1197" customFormat="1" ht="13.5" customHeight="1" collapsed="1" x14ac:dyDescent="0.25"/>
    <row r="608" spans="2:9" x14ac:dyDescent="0.25">
      <c r="B608" s="1052" t="s">
        <v>1781</v>
      </c>
      <c r="F608" s="338" t="s">
        <v>437</v>
      </c>
      <c r="G608" s="1165" t="s">
        <v>537</v>
      </c>
      <c r="H608" s="1165"/>
    </row>
    <row r="609" spans="2:8" hidden="1" outlineLevel="1" x14ac:dyDescent="0.25">
      <c r="B609" t="s">
        <v>0</v>
      </c>
      <c r="C609" s="1208" t="s">
        <v>38</v>
      </c>
      <c r="D609" s="1208"/>
      <c r="E609" s="1208"/>
    </row>
    <row r="610" spans="2:8" hidden="1" outlineLevel="1" x14ac:dyDescent="0.25">
      <c r="B610" t="s">
        <v>1679</v>
      </c>
      <c r="C610" s="72">
        <v>6080356277</v>
      </c>
      <c r="D610" s="174"/>
      <c r="E610" s="174"/>
    </row>
    <row r="611" spans="2:8" hidden="1" outlineLevel="1" x14ac:dyDescent="0.25">
      <c r="B611" t="s">
        <v>1680</v>
      </c>
      <c r="C611" s="72" t="s">
        <v>649</v>
      </c>
    </row>
    <row r="612" spans="2:8" hidden="1" outlineLevel="1" x14ac:dyDescent="0.25">
      <c r="B612" t="s">
        <v>131</v>
      </c>
      <c r="C612" t="s">
        <v>132</v>
      </c>
      <c r="D612" t="s">
        <v>133</v>
      </c>
      <c r="E612" t="s">
        <v>134</v>
      </c>
      <c r="F612" s="210" t="s">
        <v>392</v>
      </c>
      <c r="G612" s="1166"/>
      <c r="H612" s="1166"/>
    </row>
    <row r="613" spans="2:8" ht="30" hidden="1" outlineLevel="1" x14ac:dyDescent="0.25">
      <c r="B613" s="176" t="s">
        <v>1115</v>
      </c>
      <c r="C613" s="571" t="str">
        <f>B613</f>
        <v>The Continental Insurance Company (CNA)</v>
      </c>
      <c r="D613" s="176" t="s">
        <v>1115</v>
      </c>
      <c r="E613" s="176"/>
      <c r="G613" s="1175"/>
      <c r="H613" s="1175"/>
    </row>
    <row r="614" spans="2:8" hidden="1" outlineLevel="1" x14ac:dyDescent="0.25">
      <c r="B614" t="s">
        <v>135</v>
      </c>
      <c r="C614" t="s">
        <v>136</v>
      </c>
      <c r="D614" t="s">
        <v>137</v>
      </c>
      <c r="E614" t="s">
        <v>139</v>
      </c>
    </row>
    <row r="615" spans="2:8" hidden="1" outlineLevel="1" x14ac:dyDescent="0.25">
      <c r="B615" s="18" t="s">
        <v>1116</v>
      </c>
      <c r="C615" t="str">
        <f>B615</f>
        <v>A: XV</v>
      </c>
      <c r="D615" s="18" t="s">
        <v>1116</v>
      </c>
      <c r="E615" s="18"/>
    </row>
    <row r="616" spans="2:8" hidden="1" outlineLevel="1" x14ac:dyDescent="0.25">
      <c r="B616" t="s">
        <v>2</v>
      </c>
      <c r="C616" t="s">
        <v>3</v>
      </c>
      <c r="D616" t="s">
        <v>140</v>
      </c>
      <c r="E616" t="s">
        <v>141</v>
      </c>
    </row>
    <row r="617" spans="2:8" hidden="1" outlineLevel="1" x14ac:dyDescent="0.25">
      <c r="B617" s="123">
        <v>18500</v>
      </c>
      <c r="C617" s="4">
        <f>B617+B617*H627</f>
        <v>18500</v>
      </c>
      <c r="D617" s="123">
        <v>18500</v>
      </c>
      <c r="E617" s="123"/>
      <c r="F617" s="4"/>
    </row>
    <row r="618" spans="2:8" ht="30" hidden="1" outlineLevel="1" x14ac:dyDescent="0.25">
      <c r="B618" s="202" t="s">
        <v>285</v>
      </c>
      <c r="C618" s="202" t="str">
        <f>B618</f>
        <v>Rate as Percentage of Underlying Premium</v>
      </c>
      <c r="D618" s="202" t="str">
        <f>B618</f>
        <v>Rate as Percentage of Underlying Premium</v>
      </c>
      <c r="E618" s="202" t="str">
        <f>B618</f>
        <v>Rate as Percentage of Underlying Premium</v>
      </c>
      <c r="F618" s="4"/>
      <c r="G618" s="851"/>
    </row>
    <row r="619" spans="2:8" hidden="1" outlineLevel="1" x14ac:dyDescent="0.25">
      <c r="B619" s="1005">
        <f>B617/(C633)</f>
        <v>0.91584158415841588</v>
      </c>
      <c r="C619" s="1005">
        <f>C617/(H626)</f>
        <v>0.91584158415841588</v>
      </c>
      <c r="D619" s="1005">
        <f>D617/(E633)</f>
        <v>0.91584158415841588</v>
      </c>
      <c r="E619" s="1005">
        <f>E617/(E633)</f>
        <v>0</v>
      </c>
      <c r="F619" s="4"/>
      <c r="G619" s="851"/>
    </row>
    <row r="620" spans="2:8" hidden="1" outlineLevel="1" x14ac:dyDescent="0.25">
      <c r="D620" t="s">
        <v>5</v>
      </c>
      <c r="E620" t="s">
        <v>6</v>
      </c>
    </row>
    <row r="621" spans="2:8" hidden="1" outlineLevel="1" x14ac:dyDescent="0.25">
      <c r="D621" s="3">
        <f>-(C617-D617)/C617</f>
        <v>0</v>
      </c>
      <c r="E621" s="3">
        <f>-(C617-E617)/C617</f>
        <v>-1</v>
      </c>
      <c r="G621" s="852"/>
    </row>
    <row r="622" spans="2:8" hidden="1" outlineLevel="1" x14ac:dyDescent="0.25">
      <c r="B622" s="3" t="s">
        <v>685</v>
      </c>
      <c r="C622" s="3" t="s">
        <v>686</v>
      </c>
      <c r="D622" s="3" t="s">
        <v>687</v>
      </c>
      <c r="E622" s="3" t="s">
        <v>688</v>
      </c>
      <c r="G622" s="852"/>
    </row>
    <row r="623" spans="2:8" hidden="1" outlineLevel="1" x14ac:dyDescent="0.25">
      <c r="B623" s="178"/>
      <c r="C623" s="179">
        <f>B623</f>
        <v>0</v>
      </c>
      <c r="D623" s="178"/>
      <c r="E623" s="178"/>
    </row>
    <row r="624" spans="2:8" hidden="1" outlineLevel="1" x14ac:dyDescent="0.25">
      <c r="B624" s="3" t="s">
        <v>203</v>
      </c>
      <c r="C624" s="3" t="s">
        <v>204</v>
      </c>
      <c r="D624" s="3" t="s">
        <v>205</v>
      </c>
      <c r="E624" s="3" t="s">
        <v>206</v>
      </c>
    </row>
    <row r="625" spans="2:9" hidden="1" outlineLevel="1" x14ac:dyDescent="0.25">
      <c r="B625" s="178"/>
      <c r="C625" s="179">
        <f>B625+B625*E634</f>
        <v>0</v>
      </c>
      <c r="D625" s="178"/>
      <c r="E625" s="178"/>
      <c r="G625" s="1170" t="s">
        <v>1907</v>
      </c>
      <c r="H625" s="1171"/>
    </row>
    <row r="626" spans="2:9" hidden="1" outlineLevel="1" x14ac:dyDescent="0.25">
      <c r="B626" s="3" t="s">
        <v>14</v>
      </c>
      <c r="C626" s="4" t="s">
        <v>15</v>
      </c>
      <c r="D626" s="4" t="s">
        <v>142</v>
      </c>
      <c r="E626" t="s">
        <v>143</v>
      </c>
      <c r="G626" s="7" t="s">
        <v>1908</v>
      </c>
      <c r="H626" s="60">
        <f>E633</f>
        <v>20200</v>
      </c>
    </row>
    <row r="627" spans="2:9" hidden="1" outlineLevel="1" x14ac:dyDescent="0.25">
      <c r="B627" s="4">
        <f>B617+B623+B625</f>
        <v>18500</v>
      </c>
      <c r="C627" s="4">
        <f t="shared" ref="C627:E627" si="32">C617+C623+C625</f>
        <v>18500</v>
      </c>
      <c r="D627" s="4">
        <f t="shared" si="32"/>
        <v>18500</v>
      </c>
      <c r="E627" s="4">
        <f t="shared" si="32"/>
        <v>0</v>
      </c>
      <c r="F627" s="4"/>
      <c r="G627" s="21" t="s">
        <v>13</v>
      </c>
      <c r="H627" s="878">
        <f>-(C633-H626)/C633</f>
        <v>0</v>
      </c>
    </row>
    <row r="628" spans="2:9" hidden="1" outlineLevel="1" x14ac:dyDescent="0.25">
      <c r="B628" s="3" t="s">
        <v>998</v>
      </c>
      <c r="C628" s="3" t="s">
        <v>999</v>
      </c>
      <c r="D628" s="3" t="s">
        <v>1000</v>
      </c>
      <c r="E628" s="3" t="s">
        <v>1001</v>
      </c>
      <c r="F628" s="4"/>
    </row>
    <row r="629" spans="2:9" hidden="1" outlineLevel="1" x14ac:dyDescent="0.25">
      <c r="B629" s="693"/>
      <c r="C629" s="157" t="s">
        <v>284</v>
      </c>
      <c r="D629" s="693"/>
      <c r="E629" s="693"/>
      <c r="F629" s="4"/>
    </row>
    <row r="630" spans="2:9" hidden="1" outlineLevel="1" x14ac:dyDescent="0.25">
      <c r="B630" s="4"/>
      <c r="C630" s="4"/>
      <c r="D630" s="4"/>
      <c r="E630" s="4"/>
      <c r="F630" s="4"/>
    </row>
    <row r="631" spans="2:9" hidden="1" outlineLevel="1" x14ac:dyDescent="0.25">
      <c r="B631" s="37" t="s">
        <v>1470</v>
      </c>
      <c r="F631" s="34"/>
      <c r="G631" s="1168"/>
      <c r="H631" s="1168"/>
      <c r="I631" s="2"/>
    </row>
    <row r="632" spans="2:9" hidden="1" outlineLevel="1" x14ac:dyDescent="0.25">
      <c r="B632" s="1169" t="s">
        <v>39</v>
      </c>
      <c r="C632" s="1170"/>
      <c r="D632" s="1170" t="s">
        <v>40</v>
      </c>
      <c r="E632" s="1171"/>
      <c r="F632" s="573"/>
      <c r="G632" s="1173" t="s">
        <v>9</v>
      </c>
      <c r="H632" s="1174"/>
      <c r="I632" s="660" t="s">
        <v>23</v>
      </c>
    </row>
    <row r="633" spans="2:9" hidden="1" outlineLevel="1" x14ac:dyDescent="0.25">
      <c r="B633" s="38" t="s">
        <v>1816</v>
      </c>
      <c r="C633" s="180">
        <f>B62</f>
        <v>20200</v>
      </c>
      <c r="D633" s="7" t="str">
        <f>B633</f>
        <v>3rd Excess Policy Exp. Premium</v>
      </c>
      <c r="E633" s="60">
        <f>D62</f>
        <v>20200</v>
      </c>
      <c r="F633" s="56"/>
      <c r="G633" s="1" t="s">
        <v>129</v>
      </c>
      <c r="H633" s="1" t="s">
        <v>12</v>
      </c>
      <c r="I633" s="661"/>
    </row>
    <row r="634" spans="2:9" hidden="1" outlineLevel="1" x14ac:dyDescent="0.25">
      <c r="B634" s="52"/>
      <c r="C634" s="54"/>
      <c r="D634" s="21" t="s">
        <v>13</v>
      </c>
      <c r="E634" s="878">
        <f>-(C633-E633)/C633</f>
        <v>0</v>
      </c>
      <c r="F634" s="57" t="s">
        <v>10</v>
      </c>
      <c r="G634" s="22">
        <v>5000000</v>
      </c>
      <c r="H634" s="22">
        <v>5000000</v>
      </c>
      <c r="I634" s="662">
        <v>0</v>
      </c>
    </row>
    <row r="635" spans="2:9" hidden="1" outlineLevel="1" x14ac:dyDescent="0.25">
      <c r="B635" s="51"/>
      <c r="C635" s="55"/>
      <c r="D635" s="55"/>
      <c r="E635" s="55"/>
      <c r="F635" s="57" t="s">
        <v>67</v>
      </c>
      <c r="G635" s="22">
        <v>5000000</v>
      </c>
      <c r="H635" s="22">
        <v>5000000</v>
      </c>
      <c r="I635" s="662">
        <v>0</v>
      </c>
    </row>
    <row r="636" spans="2:9" hidden="1" outlineLevel="1" x14ac:dyDescent="0.25">
      <c r="B636" s="51"/>
      <c r="C636" s="55"/>
      <c r="D636" s="55"/>
      <c r="E636" s="55"/>
      <c r="F636" s="57" t="s">
        <v>68</v>
      </c>
      <c r="G636" s="22"/>
      <c r="H636" s="22"/>
      <c r="I636" s="662"/>
    </row>
    <row r="637" spans="2:9" hidden="1" outlineLevel="1" x14ac:dyDescent="0.25">
      <c r="B637" s="120" t="s">
        <v>311</v>
      </c>
      <c r="C637" s="55"/>
      <c r="D637" s="51"/>
      <c r="E637" s="55"/>
      <c r="F637" s="2"/>
      <c r="G637" s="23"/>
      <c r="H637" s="23"/>
      <c r="I637" s="23"/>
    </row>
    <row r="638" spans="2:9" hidden="1" outlineLevel="1" x14ac:dyDescent="0.25">
      <c r="B638" s="51"/>
      <c r="C638" s="55"/>
      <c r="D638" s="51"/>
      <c r="E638" s="55"/>
      <c r="F638" s="2"/>
      <c r="G638" s="23"/>
      <c r="H638" s="23"/>
      <c r="I638" s="23"/>
    </row>
    <row r="639" spans="2:9" hidden="1" outlineLevel="1" x14ac:dyDescent="0.25">
      <c r="B639" s="282" t="s">
        <v>10</v>
      </c>
      <c r="C639" s="55"/>
      <c r="D639" s="51"/>
      <c r="E639" s="55"/>
      <c r="F639" s="2"/>
      <c r="G639" s="23"/>
      <c r="H639" s="23"/>
      <c r="I639" s="23"/>
    </row>
    <row r="640" spans="2:9" hidden="1" outlineLevel="1" x14ac:dyDescent="0.25">
      <c r="D640" s="1205" t="s">
        <v>310</v>
      </c>
      <c r="E640" s="1230"/>
      <c r="F640" s="2"/>
      <c r="G640" s="23"/>
      <c r="H640" s="23"/>
      <c r="I640" s="23"/>
    </row>
    <row r="641" spans="2:11" hidden="1" outlineLevel="1" x14ac:dyDescent="0.25">
      <c r="B641" s="163" t="s">
        <v>59</v>
      </c>
      <c r="C641" s="167" t="s">
        <v>1</v>
      </c>
      <c r="D641" s="184" t="str">
        <f>G633</f>
        <v>Each Occurrence</v>
      </c>
      <c r="E641" s="184" t="str">
        <f>H633</f>
        <v>Aggregate</v>
      </c>
      <c r="F641" s="183" t="s">
        <v>23</v>
      </c>
      <c r="G641" s="168" t="s">
        <v>60</v>
      </c>
      <c r="H641" s="168" t="s">
        <v>328</v>
      </c>
      <c r="I641" s="23"/>
    </row>
    <row r="642" spans="2:11" hidden="1" outlineLevel="1" x14ac:dyDescent="0.25">
      <c r="B642" s="164" t="s">
        <v>1817</v>
      </c>
      <c r="C642" s="171" t="str">
        <f>C145</f>
        <v>TBD</v>
      </c>
      <c r="D642" s="172">
        <f>I170</f>
        <v>15000000</v>
      </c>
      <c r="E642" s="172">
        <f>J170</f>
        <v>15000000</v>
      </c>
      <c r="F642" s="172">
        <f>K170</f>
        <v>0</v>
      </c>
      <c r="G642" s="173" t="str">
        <f>B48</f>
        <v>Travelers Property Casualty Company of America</v>
      </c>
      <c r="H642" s="609" t="s">
        <v>1469</v>
      </c>
      <c r="I642" s="23"/>
    </row>
    <row r="643" spans="2:11" hidden="1" outlineLevel="1" x14ac:dyDescent="0.25">
      <c r="C643" s="156"/>
      <c r="D643" s="281"/>
      <c r="E643" s="281"/>
      <c r="F643" s="281"/>
      <c r="G643" s="156"/>
      <c r="H643" s="156"/>
      <c r="I643" s="23"/>
    </row>
    <row r="644" spans="2:11" hidden="1" outlineLevel="1" x14ac:dyDescent="0.25">
      <c r="B644" s="36" t="s">
        <v>4</v>
      </c>
      <c r="C644" s="55"/>
      <c r="D644" s="51"/>
      <c r="E644" s="55"/>
      <c r="F644" s="2"/>
      <c r="G644" s="23"/>
      <c r="H644" s="23"/>
      <c r="I644" s="23"/>
    </row>
    <row r="645" spans="2:11" hidden="1" outlineLevel="1" x14ac:dyDescent="0.25">
      <c r="D645" s="1205" t="s">
        <v>310</v>
      </c>
      <c r="E645" s="1230"/>
      <c r="F645" s="2"/>
      <c r="G645" s="23"/>
      <c r="H645" s="23"/>
      <c r="I645" s="23"/>
    </row>
    <row r="646" spans="2:11" hidden="1" outlineLevel="1" x14ac:dyDescent="0.25">
      <c r="B646" s="163" t="s">
        <v>59</v>
      </c>
      <c r="C646" s="167" t="s">
        <v>1</v>
      </c>
      <c r="D646" s="184" t="str">
        <f>G633</f>
        <v>Each Occurrence</v>
      </c>
      <c r="E646" s="184" t="str">
        <f>H633</f>
        <v>Aggregate</v>
      </c>
      <c r="F646" s="183" t="s">
        <v>23</v>
      </c>
      <c r="G646" s="168" t="s">
        <v>60</v>
      </c>
      <c r="H646" s="168" t="s">
        <v>328</v>
      </c>
      <c r="I646" s="23"/>
      <c r="J646" s="23"/>
      <c r="K646" s="23"/>
    </row>
    <row r="647" spans="2:11" hidden="1" outlineLevel="1" x14ac:dyDescent="0.25">
      <c r="B647" s="164" t="s">
        <v>1817</v>
      </c>
      <c r="C647" s="171" t="str">
        <f>C145</f>
        <v>TBD</v>
      </c>
      <c r="D647" s="172">
        <f>G80</f>
        <v>10000000</v>
      </c>
      <c r="E647" s="172">
        <f>H80</f>
        <v>10000000</v>
      </c>
      <c r="F647" s="172">
        <f>K171</f>
        <v>0</v>
      </c>
      <c r="G647" s="173" t="str">
        <f>D48</f>
        <v>Travelers Property Casualty Company of America</v>
      </c>
      <c r="H647" s="609" t="str">
        <f>C6</f>
        <v>7/1/2023 - 7/1/2024</v>
      </c>
      <c r="I647" s="23"/>
      <c r="J647" s="23"/>
      <c r="K647" s="23"/>
    </row>
    <row r="648" spans="2:11" s="1197" customFormat="1" ht="13.5" customHeight="1" collapsed="1" x14ac:dyDescent="0.25"/>
    <row r="649" spans="2:11" ht="15" customHeight="1" x14ac:dyDescent="0.25">
      <c r="B649" s="1052" t="s">
        <v>1235</v>
      </c>
      <c r="F649" s="338" t="s">
        <v>437</v>
      </c>
      <c r="G649" s="1165" t="s">
        <v>537</v>
      </c>
      <c r="H649" s="1165"/>
      <c r="I649" s="50"/>
    </row>
    <row r="650" spans="2:11" s="212" customFormat="1" ht="63.75" hidden="1" customHeight="1" outlineLevel="1" x14ac:dyDescent="0.25">
      <c r="B650" s="212" t="s">
        <v>0</v>
      </c>
      <c r="C650" s="1215" t="s">
        <v>793</v>
      </c>
      <c r="D650" s="1215"/>
      <c r="E650" s="1215"/>
      <c r="F650" s="1215"/>
      <c r="G650" s="1215"/>
    </row>
    <row r="651" spans="2:11" s="212" customFormat="1" ht="23.25" hidden="1" customHeight="1" outlineLevel="1" x14ac:dyDescent="0.25">
      <c r="B651" t="s">
        <v>1679</v>
      </c>
      <c r="C651" s="72">
        <v>6080911471</v>
      </c>
      <c r="D651" s="912"/>
      <c r="E651" s="912"/>
      <c r="F651" s="912"/>
      <c r="G651" s="912"/>
    </row>
    <row r="652" spans="2:11" ht="15" hidden="1" customHeight="1" outlineLevel="1" x14ac:dyDescent="0.25">
      <c r="B652" t="s">
        <v>1680</v>
      </c>
      <c r="C652" s="72">
        <v>6080911471</v>
      </c>
    </row>
    <row r="653" spans="2:11" ht="15" hidden="1" customHeight="1" outlineLevel="1" x14ac:dyDescent="0.25">
      <c r="B653" t="s">
        <v>131</v>
      </c>
      <c r="C653" t="s">
        <v>132</v>
      </c>
      <c r="D653" t="s">
        <v>133</v>
      </c>
      <c r="E653" t="s">
        <v>134</v>
      </c>
      <c r="F653" s="210" t="s">
        <v>392</v>
      </c>
      <c r="G653" s="1166"/>
      <c r="H653" s="1166"/>
    </row>
    <row r="654" spans="2:11" ht="15" hidden="1" customHeight="1" outlineLevel="1" x14ac:dyDescent="0.25">
      <c r="B654" s="176" t="s">
        <v>1281</v>
      </c>
      <c r="C654" s="571" t="str">
        <f>B654</f>
        <v>Valley Forge Insurance Company (CNA)</v>
      </c>
      <c r="D654" s="176" t="s">
        <v>1281</v>
      </c>
      <c r="E654" s="176" t="s">
        <v>1281</v>
      </c>
      <c r="G654" s="1175"/>
      <c r="H654" s="1175"/>
    </row>
    <row r="655" spans="2:11" ht="15" hidden="1" customHeight="1" outlineLevel="1" x14ac:dyDescent="0.25">
      <c r="B655" t="s">
        <v>135</v>
      </c>
      <c r="C655" t="s">
        <v>136</v>
      </c>
      <c r="D655" t="s">
        <v>137</v>
      </c>
      <c r="E655" t="s">
        <v>139</v>
      </c>
    </row>
    <row r="656" spans="2:11" ht="15" hidden="1" customHeight="1" outlineLevel="1" x14ac:dyDescent="0.25">
      <c r="B656" s="18" t="s">
        <v>1116</v>
      </c>
      <c r="C656" t="str">
        <f>B656</f>
        <v>A: XV</v>
      </c>
      <c r="D656" s="18" t="s">
        <v>1116</v>
      </c>
      <c r="E656" s="18" t="s">
        <v>1116</v>
      </c>
    </row>
    <row r="657" spans="2:9" ht="15" hidden="1" customHeight="1" outlineLevel="1" x14ac:dyDescent="0.25">
      <c r="B657" t="s">
        <v>213</v>
      </c>
      <c r="C657" t="s">
        <v>214</v>
      </c>
      <c r="D657" t="s">
        <v>215</v>
      </c>
      <c r="E657" t="s">
        <v>216</v>
      </c>
    </row>
    <row r="658" spans="2:9" ht="15" hidden="1" customHeight="1" outlineLevel="1" x14ac:dyDescent="0.25">
      <c r="B658" s="123">
        <v>19691</v>
      </c>
      <c r="C658" s="4">
        <f>B658+B658*E685</f>
        <v>24613.75</v>
      </c>
      <c r="D658" s="123">
        <v>25252</v>
      </c>
      <c r="E658" s="123">
        <v>25252</v>
      </c>
    </row>
    <row r="659" spans="2:9" ht="15" hidden="1" customHeight="1" outlineLevel="1" x14ac:dyDescent="0.25">
      <c r="B659" s="4" t="s">
        <v>633</v>
      </c>
      <c r="C659" s="4" t="str">
        <f>B659</f>
        <v>Blended GL Rate per $1,000 of Exposure</v>
      </c>
      <c r="D659" s="4" t="str">
        <f>B659</f>
        <v>Blended GL Rate per $1,000 of Exposure</v>
      </c>
      <c r="E659" s="4" t="str">
        <f>B659</f>
        <v>Blended GL Rate per $1,000 of Exposure</v>
      </c>
    </row>
    <row r="660" spans="2:9" ht="15" hidden="1" customHeight="1" outlineLevel="1" x14ac:dyDescent="0.25">
      <c r="B660" s="166">
        <f>B658/(C684/1000)</f>
        <v>0.49227500000000002</v>
      </c>
      <c r="C660" s="166">
        <f>C658/($E$684/1000)</f>
        <v>0.49227500000000002</v>
      </c>
      <c r="D660" s="166">
        <f>D658/($E$684/1000)</f>
        <v>0.50504000000000004</v>
      </c>
      <c r="E660" s="166">
        <f>E658/($E$684/1000)</f>
        <v>0.50504000000000004</v>
      </c>
      <c r="F660" s="4"/>
    </row>
    <row r="661" spans="2:9" ht="15" hidden="1" customHeight="1" outlineLevel="1" x14ac:dyDescent="0.25">
      <c r="D661" t="s">
        <v>5</v>
      </c>
      <c r="E661" t="s">
        <v>6</v>
      </c>
      <c r="F661" s="4"/>
    </row>
    <row r="662" spans="2:9" ht="15" hidden="1" customHeight="1" outlineLevel="1" x14ac:dyDescent="0.25">
      <c r="B662" s="156"/>
      <c r="C662" s="156"/>
      <c r="D662" s="3">
        <f>-(C658-D658)/C658</f>
        <v>2.593062820577929E-2</v>
      </c>
      <c r="E662" s="3">
        <f>-(C658-E658)/C658</f>
        <v>2.593062820577929E-2</v>
      </c>
      <c r="F662" s="4"/>
    </row>
    <row r="663" spans="2:9" ht="15" hidden="1" customHeight="1" outlineLevel="1" x14ac:dyDescent="0.25">
      <c r="B663" t="s">
        <v>217</v>
      </c>
      <c r="C663" t="s">
        <v>218</v>
      </c>
      <c r="D663" t="s">
        <v>219</v>
      </c>
      <c r="E663" t="s">
        <v>220</v>
      </c>
    </row>
    <row r="664" spans="2:9" ht="15" hidden="1" customHeight="1" outlineLevel="1" x14ac:dyDescent="0.25">
      <c r="B664" s="123">
        <v>2275</v>
      </c>
      <c r="C664" s="123">
        <f>B664+B664*E710</f>
        <v>3975.7196847650653</v>
      </c>
      <c r="D664" s="123">
        <f>3841+1033</f>
        <v>4874</v>
      </c>
      <c r="E664" s="123">
        <f>3841+1033</f>
        <v>4874</v>
      </c>
      <c r="G664" s="1231" t="s">
        <v>1948</v>
      </c>
      <c r="H664" s="1231"/>
      <c r="I664" s="1231"/>
    </row>
    <row r="665" spans="2:9" ht="15" hidden="1" customHeight="1" outlineLevel="1" x14ac:dyDescent="0.25">
      <c r="B665" s="4" t="s">
        <v>634</v>
      </c>
      <c r="C665" s="4" t="str">
        <f>B665</f>
        <v>Blended Property Rate per $100 of Exposure</v>
      </c>
      <c r="D665" s="4" t="str">
        <f>B665</f>
        <v>Blended Property Rate per $100 of Exposure</v>
      </c>
      <c r="E665" s="4" t="str">
        <f>B665</f>
        <v>Blended Property Rate per $100 of Exposure</v>
      </c>
    </row>
    <row r="666" spans="2:9" ht="15" hidden="1" customHeight="1" outlineLevel="1" x14ac:dyDescent="0.25">
      <c r="B666" s="166">
        <f>B664/(C709/100)</f>
        <v>0.17007196847650652</v>
      </c>
      <c r="C666" s="166">
        <f>C664/(E709/100)</f>
        <v>0.17007196847650652</v>
      </c>
      <c r="D666" s="166">
        <f>D664/(E709/100)</f>
        <v>0.20849829466874908</v>
      </c>
      <c r="E666" s="166">
        <f>E664/(E709/100)</f>
        <v>0.20849829466874908</v>
      </c>
    </row>
    <row r="667" spans="2:9" ht="15" hidden="1" customHeight="1" outlineLevel="1" x14ac:dyDescent="0.25">
      <c r="D667" t="s">
        <v>5</v>
      </c>
      <c r="E667" t="s">
        <v>6</v>
      </c>
      <c r="I667" s="1010"/>
    </row>
    <row r="668" spans="2:9" ht="15" hidden="1" customHeight="1" outlineLevel="1" x14ac:dyDescent="0.25">
      <c r="D668" s="3">
        <f>-(C664-D664)/C664</f>
        <v>0.22594156189560841</v>
      </c>
      <c r="E668" s="3">
        <f>-(C664-E664)/C664</f>
        <v>0.22594156189560841</v>
      </c>
    </row>
    <row r="669" spans="2:9" ht="15" hidden="1" customHeight="1" outlineLevel="1" x14ac:dyDescent="0.25">
      <c r="B669" s="3" t="s">
        <v>689</v>
      </c>
      <c r="C669" s="3" t="s">
        <v>686</v>
      </c>
      <c r="D669" s="3" t="s">
        <v>687</v>
      </c>
      <c r="E669" s="3" t="s">
        <v>688</v>
      </c>
    </row>
    <row r="670" spans="2:9" ht="15" hidden="1" customHeight="1" outlineLevel="1" x14ac:dyDescent="0.25">
      <c r="B670" s="178"/>
      <c r="C670" s="179">
        <f>B670+B670*E685</f>
        <v>0</v>
      </c>
      <c r="D670" s="178"/>
      <c r="E670" s="186"/>
    </row>
    <row r="671" spans="2:9" ht="15" hidden="1" customHeight="1" outlineLevel="1" x14ac:dyDescent="0.25">
      <c r="B671" s="3" t="s">
        <v>299</v>
      </c>
      <c r="C671" s="3" t="s">
        <v>300</v>
      </c>
      <c r="D671" s="3" t="s">
        <v>301</v>
      </c>
      <c r="E671" s="3" t="s">
        <v>302</v>
      </c>
    </row>
    <row r="672" spans="2:9" ht="15" hidden="1" customHeight="1" outlineLevel="1" x14ac:dyDescent="0.25">
      <c r="B672" s="178"/>
      <c r="C672" s="179">
        <f>B672+B672*E685</f>
        <v>0</v>
      </c>
      <c r="D672" s="178"/>
      <c r="E672" s="186"/>
    </row>
    <row r="673" spans="2:6" ht="15" hidden="1" customHeight="1" outlineLevel="1" x14ac:dyDescent="0.25">
      <c r="B673" s="3" t="s">
        <v>690</v>
      </c>
      <c r="C673" s="3" t="s">
        <v>686</v>
      </c>
      <c r="D673" s="3" t="s">
        <v>687</v>
      </c>
      <c r="E673" s="3" t="s">
        <v>688</v>
      </c>
    </row>
    <row r="674" spans="2:6" ht="15" hidden="1" customHeight="1" outlineLevel="1" x14ac:dyDescent="0.25">
      <c r="B674" s="178"/>
      <c r="C674" s="179">
        <f>B674+B674*E710</f>
        <v>0</v>
      </c>
      <c r="D674" s="178"/>
      <c r="E674" s="186"/>
    </row>
    <row r="675" spans="2:6" ht="15" hidden="1" customHeight="1" outlineLevel="1" x14ac:dyDescent="0.25">
      <c r="B675" s="3" t="s">
        <v>303</v>
      </c>
      <c r="C675" s="3" t="s">
        <v>304</v>
      </c>
      <c r="D675" s="3" t="s">
        <v>305</v>
      </c>
      <c r="E675" s="3" t="s">
        <v>306</v>
      </c>
    </row>
    <row r="676" spans="2:6" ht="15" hidden="1" customHeight="1" outlineLevel="1" x14ac:dyDescent="0.25">
      <c r="B676" s="178"/>
      <c r="C676" s="179">
        <f>B676+B676*E710</f>
        <v>0</v>
      </c>
      <c r="D676" s="178"/>
      <c r="E676" s="186"/>
    </row>
    <row r="677" spans="2:6" ht="15" hidden="1" customHeight="1" outlineLevel="1" x14ac:dyDescent="0.25">
      <c r="B677" s="3" t="s">
        <v>14</v>
      </c>
      <c r="C677" s="4" t="s">
        <v>15</v>
      </c>
      <c r="D677" s="4" t="s">
        <v>142</v>
      </c>
      <c r="E677" t="s">
        <v>143</v>
      </c>
    </row>
    <row r="678" spans="2:6" ht="15" hidden="1" customHeight="1" outlineLevel="1" x14ac:dyDescent="0.25">
      <c r="B678" s="4">
        <f>B658+B664+B670+B672+B674+B676</f>
        <v>21966</v>
      </c>
      <c r="C678" s="4">
        <f>C658+C664+C670+C672+C674+C676</f>
        <v>28589.469684765067</v>
      </c>
      <c r="D678" s="4">
        <f>D658+D664+D670+D672+D674+D676</f>
        <v>30126</v>
      </c>
      <c r="E678" s="4">
        <f>E658+E664+E670+E672+E674+E676</f>
        <v>30126</v>
      </c>
    </row>
    <row r="679" spans="2:6" ht="15" hidden="1" customHeight="1" outlineLevel="1" x14ac:dyDescent="0.25">
      <c r="B679" s="3" t="s">
        <v>998</v>
      </c>
      <c r="C679" s="3" t="s">
        <v>999</v>
      </c>
      <c r="D679" s="3" t="s">
        <v>1000</v>
      </c>
      <c r="E679" s="3" t="s">
        <v>1001</v>
      </c>
    </row>
    <row r="680" spans="2:6" ht="15" hidden="1" customHeight="1" outlineLevel="1" x14ac:dyDescent="0.25">
      <c r="B680" s="693"/>
      <c r="C680" s="157" t="s">
        <v>284</v>
      </c>
      <c r="D680" s="693"/>
      <c r="E680" s="693"/>
    </row>
    <row r="681" spans="2:6" ht="15" hidden="1" customHeight="1" outlineLevel="1" x14ac:dyDescent="0.25">
      <c r="B681" s="4"/>
      <c r="C681" s="4"/>
      <c r="D681" s="4"/>
      <c r="E681" s="4"/>
    </row>
    <row r="682" spans="2:6" ht="15" hidden="1" customHeight="1" outlineLevel="1" x14ac:dyDescent="0.25">
      <c r="B682" s="37" t="s">
        <v>221</v>
      </c>
    </row>
    <row r="683" spans="2:6" ht="15" hidden="1" customHeight="1" outlineLevel="1" x14ac:dyDescent="0.25">
      <c r="B683" s="1169" t="s">
        <v>39</v>
      </c>
      <c r="C683" s="1170"/>
      <c r="D683" s="1170" t="s">
        <v>40</v>
      </c>
      <c r="E683" s="1171"/>
      <c r="F683" s="4"/>
    </row>
    <row r="684" spans="2:6" ht="15" hidden="1" customHeight="1" outlineLevel="1" x14ac:dyDescent="0.25">
      <c r="B684" s="42" t="s">
        <v>1637</v>
      </c>
      <c r="C684" s="19">
        <v>40000000</v>
      </c>
      <c r="D684" s="14" t="str">
        <f>B684</f>
        <v>Sales</v>
      </c>
      <c r="E684" s="24">
        <v>50000000</v>
      </c>
      <c r="F684" s="34"/>
    </row>
    <row r="685" spans="2:6" ht="15" hidden="1" customHeight="1" outlineLevel="1" x14ac:dyDescent="0.25">
      <c r="D685" s="10" t="s">
        <v>13</v>
      </c>
      <c r="E685" s="15">
        <f>-(C684-E684)/C684</f>
        <v>0.25</v>
      </c>
    </row>
    <row r="686" spans="2:6" ht="15" hidden="1" customHeight="1" outlineLevel="1" x14ac:dyDescent="0.25">
      <c r="B686" s="37" t="s">
        <v>9</v>
      </c>
      <c r="D686" s="5"/>
      <c r="E686" s="6"/>
    </row>
    <row r="687" spans="2:6" ht="15" hidden="1" customHeight="1" outlineLevel="1" x14ac:dyDescent="0.25">
      <c r="B687" s="43"/>
      <c r="C687" s="8" t="s">
        <v>10</v>
      </c>
      <c r="D687" s="8" t="s">
        <v>67</v>
      </c>
      <c r="E687" s="9" t="s">
        <v>68</v>
      </c>
    </row>
    <row r="688" spans="2:6" ht="15" hidden="1" customHeight="1" outlineLevel="1" x14ac:dyDescent="0.25">
      <c r="B688" s="318" t="s">
        <v>129</v>
      </c>
      <c r="C688" s="27">
        <v>1000000</v>
      </c>
      <c r="D688" s="27">
        <f>C688</f>
        <v>1000000</v>
      </c>
      <c r="E688" s="137"/>
    </row>
    <row r="689" spans="2:6" ht="15" hidden="1" customHeight="1" outlineLevel="1" x14ac:dyDescent="0.25">
      <c r="B689" s="318" t="s">
        <v>513</v>
      </c>
      <c r="C689" s="27">
        <v>2000000</v>
      </c>
      <c r="D689" s="27">
        <f t="shared" ref="D689:D699" si="33">C689</f>
        <v>2000000</v>
      </c>
      <c r="E689" s="137"/>
      <c r="F689" s="25"/>
    </row>
    <row r="690" spans="2:6" ht="15" hidden="1" customHeight="1" outlineLevel="1" x14ac:dyDescent="0.25">
      <c r="B690" s="318" t="s">
        <v>774</v>
      </c>
      <c r="C690" s="27">
        <v>1000000</v>
      </c>
      <c r="D690" s="27">
        <f t="shared" si="33"/>
        <v>1000000</v>
      </c>
      <c r="E690" s="137"/>
      <c r="F690" s="26"/>
    </row>
    <row r="691" spans="2:6" ht="15" hidden="1" customHeight="1" outlineLevel="1" x14ac:dyDescent="0.25">
      <c r="B691" s="318" t="s">
        <v>775</v>
      </c>
      <c r="C691" s="27">
        <v>2000000</v>
      </c>
      <c r="D691" s="27">
        <f t="shared" si="33"/>
        <v>2000000</v>
      </c>
      <c r="E691" s="137"/>
      <c r="F691" s="26"/>
    </row>
    <row r="692" spans="2:6" ht="15" hidden="1" customHeight="1" outlineLevel="1" x14ac:dyDescent="0.25">
      <c r="B692" s="318" t="s">
        <v>776</v>
      </c>
      <c r="C692" s="27">
        <v>1000000</v>
      </c>
      <c r="D692" s="27">
        <f t="shared" si="33"/>
        <v>1000000</v>
      </c>
      <c r="E692" s="137"/>
      <c r="F692" s="26"/>
    </row>
    <row r="693" spans="2:6" ht="15" hidden="1" customHeight="1" outlineLevel="1" x14ac:dyDescent="0.25">
      <c r="B693" s="318" t="s">
        <v>202</v>
      </c>
      <c r="C693" s="27">
        <v>15000</v>
      </c>
      <c r="D693" s="27">
        <f t="shared" si="33"/>
        <v>15000</v>
      </c>
      <c r="E693" s="137"/>
      <c r="F693" s="26"/>
    </row>
    <row r="694" spans="2:6" ht="30" hidden="1" outlineLevel="1" x14ac:dyDescent="0.25">
      <c r="B694" s="543" t="s">
        <v>1392</v>
      </c>
      <c r="C694" s="138">
        <v>1000000</v>
      </c>
      <c r="D694" s="27">
        <f t="shared" si="33"/>
        <v>1000000</v>
      </c>
      <c r="E694" s="139"/>
      <c r="F694" s="26"/>
    </row>
    <row r="695" spans="2:6" ht="30" hidden="1" outlineLevel="1" x14ac:dyDescent="0.25">
      <c r="B695" s="543" t="s">
        <v>778</v>
      </c>
      <c r="C695" s="138">
        <v>1000000</v>
      </c>
      <c r="D695" s="27">
        <f t="shared" si="33"/>
        <v>1000000</v>
      </c>
      <c r="E695" s="139"/>
      <c r="F695" s="26"/>
    </row>
    <row r="696" spans="2:6" ht="15" hidden="1" customHeight="1" outlineLevel="1" x14ac:dyDescent="0.25">
      <c r="B696" s="37" t="s">
        <v>37</v>
      </c>
      <c r="D696" s="5"/>
      <c r="E696" s="6"/>
    </row>
    <row r="697" spans="2:6" ht="15" hidden="1" customHeight="1" outlineLevel="1" x14ac:dyDescent="0.25">
      <c r="B697" s="43"/>
      <c r="C697" s="8" t="s">
        <v>10</v>
      </c>
      <c r="D697" s="8" t="s">
        <v>67</v>
      </c>
      <c r="E697" s="9" t="s">
        <v>68</v>
      </c>
    </row>
    <row r="698" spans="2:6" ht="15" hidden="1" customHeight="1" outlineLevel="1" x14ac:dyDescent="0.25">
      <c r="B698" s="318" t="s">
        <v>16</v>
      </c>
      <c r="C698" s="138">
        <v>0</v>
      </c>
      <c r="D698" s="138">
        <f t="shared" si="33"/>
        <v>0</v>
      </c>
      <c r="E698" s="139"/>
      <c r="F698" s="26"/>
    </row>
    <row r="699" spans="2:6" hidden="1" outlineLevel="1" x14ac:dyDescent="0.25">
      <c r="B699" s="544" t="s">
        <v>257</v>
      </c>
      <c r="C699" s="138">
        <v>1000</v>
      </c>
      <c r="D699" s="138">
        <f t="shared" si="33"/>
        <v>1000</v>
      </c>
      <c r="E699" s="139"/>
      <c r="F699" s="26"/>
    </row>
    <row r="700" spans="2:6" ht="15" hidden="1" customHeight="1" outlineLevel="1" x14ac:dyDescent="0.25">
      <c r="B700" s="77"/>
      <c r="C700" s="26"/>
      <c r="D700" s="26"/>
      <c r="E700" s="26"/>
      <c r="F700" s="26"/>
    </row>
    <row r="701" spans="2:6" ht="15" hidden="1" customHeight="1" outlineLevel="1" x14ac:dyDescent="0.25">
      <c r="B701" s="37" t="s">
        <v>384</v>
      </c>
      <c r="F701" s="26"/>
    </row>
    <row r="702" spans="2:6" ht="15" hidden="1" customHeight="1" outlineLevel="1" x14ac:dyDescent="0.25">
      <c r="B702" s="1169" t="s">
        <v>39</v>
      </c>
      <c r="C702" s="1170"/>
      <c r="D702" s="1170" t="s">
        <v>40</v>
      </c>
      <c r="E702" s="1171"/>
      <c r="F702" s="26"/>
    </row>
    <row r="703" spans="2:6" ht="15" hidden="1" customHeight="1" outlineLevel="1" x14ac:dyDescent="0.25">
      <c r="B703" s="42" t="s">
        <v>41</v>
      </c>
      <c r="C703" s="19">
        <v>0</v>
      </c>
      <c r="D703" s="42" t="str">
        <f>B703</f>
        <v>Building</v>
      </c>
      <c r="E703" s="24">
        <v>0</v>
      </c>
      <c r="F703" s="34"/>
    </row>
    <row r="704" spans="2:6" ht="15" hidden="1" customHeight="1" outlineLevel="1" x14ac:dyDescent="0.25">
      <c r="B704" s="42" t="s">
        <v>324</v>
      </c>
      <c r="C704" s="19">
        <v>0</v>
      </c>
      <c r="D704" s="42" t="str">
        <f t="shared" ref="D704:D709" si="34">B704</f>
        <v>Betterments &amp; Improvements</v>
      </c>
      <c r="E704" s="24">
        <v>0</v>
      </c>
    </row>
    <row r="705" spans="2:9" ht="15" hidden="1" customHeight="1" outlineLevel="1" x14ac:dyDescent="0.25">
      <c r="B705" s="42" t="s">
        <v>42</v>
      </c>
      <c r="C705" s="19">
        <v>650000</v>
      </c>
      <c r="D705" s="42" t="str">
        <f t="shared" si="34"/>
        <v>Business Personal Property</v>
      </c>
      <c r="E705" s="24">
        <v>1650000</v>
      </c>
    </row>
    <row r="706" spans="2:9" ht="15" hidden="1" customHeight="1" outlineLevel="1" x14ac:dyDescent="0.25">
      <c r="B706" s="42" t="s">
        <v>325</v>
      </c>
      <c r="C706" s="19">
        <v>0</v>
      </c>
      <c r="D706" s="42" t="str">
        <f t="shared" si="34"/>
        <v>Computer Software/Hardware</v>
      </c>
      <c r="E706" s="24">
        <v>0</v>
      </c>
    </row>
    <row r="707" spans="2:9" ht="15" hidden="1" customHeight="1" outlineLevel="1" x14ac:dyDescent="0.25">
      <c r="B707" s="42" t="s">
        <v>326</v>
      </c>
      <c r="C707" s="19">
        <v>518000</v>
      </c>
      <c r="D707" s="42" t="str">
        <f t="shared" si="34"/>
        <v>Business Income/EE</v>
      </c>
      <c r="E707" s="24">
        <v>518000</v>
      </c>
    </row>
    <row r="708" spans="2:9" ht="15" hidden="1" customHeight="1" outlineLevel="1" x14ac:dyDescent="0.25">
      <c r="B708" s="146" t="s">
        <v>327</v>
      </c>
      <c r="C708" s="74">
        <v>169669</v>
      </c>
      <c r="D708" s="146" t="str">
        <f t="shared" si="34"/>
        <v>Scheduled Field Equipment</v>
      </c>
      <c r="E708" s="140">
        <v>169669</v>
      </c>
    </row>
    <row r="709" spans="2:9" ht="15" hidden="1" customHeight="1" outlineLevel="1" x14ac:dyDescent="0.25">
      <c r="B709" s="41" t="s">
        <v>128</v>
      </c>
      <c r="C709" s="20">
        <f>SUM(C703:C708)</f>
        <v>1337669</v>
      </c>
      <c r="D709" s="21" t="str">
        <f t="shared" si="34"/>
        <v>Total Values Insured</v>
      </c>
      <c r="E709" s="33">
        <f>SUM(E703:E708)</f>
        <v>2337669</v>
      </c>
    </row>
    <row r="710" spans="2:9" ht="15" hidden="1" customHeight="1" outlineLevel="1" x14ac:dyDescent="0.25">
      <c r="C710" s="1188" t="s">
        <v>13</v>
      </c>
      <c r="D710" s="1189"/>
      <c r="E710" s="15">
        <f>-(C709-E709)/C709</f>
        <v>0.74756909220442425</v>
      </c>
    </row>
    <row r="711" spans="2:9" ht="15" hidden="1" customHeight="1" outlineLevel="1" x14ac:dyDescent="0.25">
      <c r="B711" s="1185" t="s">
        <v>172</v>
      </c>
      <c r="C711" s="1185"/>
      <c r="D711" s="1185"/>
      <c r="E711" s="1185"/>
      <c r="F711" s="209" t="s">
        <v>174</v>
      </c>
      <c r="G711" s="118"/>
      <c r="H711" s="118"/>
      <c r="I711" s="118"/>
    </row>
    <row r="712" spans="2:9" ht="15" hidden="1" customHeight="1" outlineLevel="1" x14ac:dyDescent="0.25">
      <c r="B712" s="43"/>
      <c r="C712" s="8" t="s">
        <v>10</v>
      </c>
      <c r="D712" s="8" t="s">
        <v>67</v>
      </c>
      <c r="E712" s="11" t="s">
        <v>68</v>
      </c>
      <c r="F712" s="43"/>
      <c r="G712" s="8" t="s">
        <v>10</v>
      </c>
      <c r="H712" s="8" t="s">
        <v>67</v>
      </c>
      <c r="I712" s="9" t="s">
        <v>68</v>
      </c>
    </row>
    <row r="713" spans="2:9" ht="35.25" hidden="1" customHeight="1" outlineLevel="1" x14ac:dyDescent="0.25">
      <c r="B713" s="43" t="s">
        <v>41</v>
      </c>
      <c r="C713" s="75">
        <f>C703</f>
        <v>0</v>
      </c>
      <c r="D713" s="75">
        <f>E703</f>
        <v>0</v>
      </c>
      <c r="E713" s="143"/>
      <c r="F713" s="43" t="s">
        <v>176</v>
      </c>
      <c r="G713" s="75">
        <f>C708</f>
        <v>169669</v>
      </c>
      <c r="H713" s="75">
        <f>E708</f>
        <v>169669</v>
      </c>
      <c r="I713" s="76"/>
    </row>
    <row r="714" spans="2:9" ht="30" hidden="1" outlineLevel="1" x14ac:dyDescent="0.25">
      <c r="B714" s="43" t="s">
        <v>42</v>
      </c>
      <c r="C714" s="75">
        <f>C705</f>
        <v>650000</v>
      </c>
      <c r="D714" s="75">
        <f>E705</f>
        <v>1650000</v>
      </c>
      <c r="E714" s="143"/>
      <c r="F714" s="43" t="s">
        <v>177</v>
      </c>
      <c r="G714" s="141">
        <v>0</v>
      </c>
      <c r="H714" s="141">
        <f>G714</f>
        <v>0</v>
      </c>
      <c r="I714" s="142"/>
    </row>
    <row r="715" spans="2:9" ht="15" hidden="1" customHeight="1" outlineLevel="1" x14ac:dyDescent="0.25">
      <c r="B715" s="43" t="s">
        <v>43</v>
      </c>
      <c r="C715" s="75">
        <f>C707</f>
        <v>518000</v>
      </c>
      <c r="D715" s="75">
        <f>E707</f>
        <v>518000</v>
      </c>
      <c r="E715" s="143"/>
      <c r="F715" s="43" t="s">
        <v>178</v>
      </c>
      <c r="G715" s="141">
        <v>0</v>
      </c>
      <c r="H715" s="141">
        <f t="shared" ref="H715:H726" si="35">G715</f>
        <v>0</v>
      </c>
      <c r="I715" s="142"/>
    </row>
    <row r="716" spans="2:9" ht="15" hidden="1" customHeight="1" outlineLevel="1" x14ac:dyDescent="0.25">
      <c r="B716" s="43" t="s">
        <v>44</v>
      </c>
      <c r="C716" s="884" t="s">
        <v>1426</v>
      </c>
      <c r="D716" s="141">
        <v>1000000</v>
      </c>
      <c r="E716" s="143"/>
      <c r="F716" s="43" t="s">
        <v>179</v>
      </c>
      <c r="G716" s="141">
        <v>0</v>
      </c>
      <c r="H716" s="141">
        <f t="shared" si="35"/>
        <v>0</v>
      </c>
      <c r="I716" s="142"/>
    </row>
    <row r="717" spans="2:9" ht="15" hidden="1" customHeight="1" outlineLevel="1" x14ac:dyDescent="0.25">
      <c r="B717" s="43" t="s">
        <v>45</v>
      </c>
      <c r="C717" s="141">
        <v>1000000</v>
      </c>
      <c r="D717" s="141">
        <f t="shared" ref="D717:D729" si="36">C717</f>
        <v>1000000</v>
      </c>
      <c r="E717" s="143"/>
      <c r="F717" s="43" t="s">
        <v>180</v>
      </c>
      <c r="G717" s="141">
        <v>0</v>
      </c>
      <c r="H717" s="141">
        <f t="shared" si="35"/>
        <v>0</v>
      </c>
      <c r="I717" s="142"/>
    </row>
    <row r="718" spans="2:9" ht="15" hidden="1" customHeight="1" outlineLevel="1" x14ac:dyDescent="0.25">
      <c r="B718" s="43" t="s">
        <v>46</v>
      </c>
      <c r="C718" s="141">
        <v>500000</v>
      </c>
      <c r="D718" s="141">
        <f t="shared" si="36"/>
        <v>500000</v>
      </c>
      <c r="E718" s="143"/>
      <c r="F718" s="43" t="s">
        <v>181</v>
      </c>
      <c r="G718" s="141">
        <v>0</v>
      </c>
      <c r="H718" s="141">
        <f t="shared" si="35"/>
        <v>0</v>
      </c>
      <c r="I718" s="142"/>
    </row>
    <row r="719" spans="2:9" ht="15" hidden="1" customHeight="1" outlineLevel="1" x14ac:dyDescent="0.25">
      <c r="B719" s="44" t="s">
        <v>47</v>
      </c>
      <c r="C719" s="27">
        <v>25000</v>
      </c>
      <c r="D719" s="27">
        <f t="shared" si="36"/>
        <v>25000</v>
      </c>
      <c r="E719" s="31"/>
      <c r="F719" s="44" t="s">
        <v>182</v>
      </c>
      <c r="G719" s="27">
        <v>0</v>
      </c>
      <c r="H719" s="27">
        <f t="shared" si="35"/>
        <v>0</v>
      </c>
      <c r="I719" s="137"/>
    </row>
    <row r="720" spans="2:9" ht="15" hidden="1" customHeight="1" outlineLevel="1" x14ac:dyDescent="0.25">
      <c r="B720" s="44" t="s">
        <v>48</v>
      </c>
      <c r="C720" s="27">
        <v>0</v>
      </c>
      <c r="D720" s="27">
        <f t="shared" si="36"/>
        <v>0</v>
      </c>
      <c r="E720" s="31"/>
      <c r="F720" s="44" t="s">
        <v>183</v>
      </c>
      <c r="G720" s="27">
        <v>0</v>
      </c>
      <c r="H720" s="27">
        <f t="shared" si="35"/>
        <v>0</v>
      </c>
      <c r="I720" s="137"/>
    </row>
    <row r="721" spans="2:9" ht="15" hidden="1" customHeight="1" outlineLevel="1" x14ac:dyDescent="0.25">
      <c r="B721" s="44" t="s">
        <v>49</v>
      </c>
      <c r="C721" s="800" t="s">
        <v>1424</v>
      </c>
      <c r="D721" s="27" t="str">
        <f t="shared" si="36"/>
        <v>30 Days</v>
      </c>
      <c r="E721" s="31"/>
      <c r="F721" s="44" t="s">
        <v>184</v>
      </c>
      <c r="G721" s="27">
        <v>0</v>
      </c>
      <c r="H721" s="27">
        <f t="shared" si="35"/>
        <v>0</v>
      </c>
      <c r="I721" s="137"/>
    </row>
    <row r="722" spans="2:9" ht="15" hidden="1" customHeight="1" outlineLevel="1" x14ac:dyDescent="0.25">
      <c r="B722" s="44" t="s">
        <v>50</v>
      </c>
      <c r="C722" s="27">
        <v>50000</v>
      </c>
      <c r="D722" s="27">
        <f t="shared" si="36"/>
        <v>50000</v>
      </c>
      <c r="E722" s="31"/>
      <c r="F722" s="44" t="s">
        <v>185</v>
      </c>
      <c r="G722" s="27">
        <v>0</v>
      </c>
      <c r="H722" s="27">
        <f t="shared" si="35"/>
        <v>0</v>
      </c>
      <c r="I722" s="137"/>
    </row>
    <row r="723" spans="2:9" ht="15" hidden="1" customHeight="1" outlineLevel="1" x14ac:dyDescent="0.25">
      <c r="B723" s="44" t="s">
        <v>51</v>
      </c>
      <c r="C723" s="27">
        <v>500000</v>
      </c>
      <c r="D723" s="27">
        <f t="shared" si="36"/>
        <v>500000</v>
      </c>
      <c r="E723" s="31"/>
      <c r="F723" s="44" t="s">
        <v>53</v>
      </c>
      <c r="G723" s="27">
        <v>0</v>
      </c>
      <c r="H723" s="27">
        <f t="shared" si="35"/>
        <v>0</v>
      </c>
      <c r="I723" s="137"/>
    </row>
    <row r="724" spans="2:9" ht="15" hidden="1" customHeight="1" outlineLevel="1" x14ac:dyDescent="0.25">
      <c r="B724" s="44" t="s">
        <v>52</v>
      </c>
      <c r="C724" s="27">
        <v>2000000</v>
      </c>
      <c r="D724" s="27">
        <f t="shared" si="36"/>
        <v>2000000</v>
      </c>
      <c r="E724" s="31"/>
      <c r="F724" s="44" t="s">
        <v>54</v>
      </c>
      <c r="G724" s="27">
        <v>0</v>
      </c>
      <c r="H724" s="27">
        <f t="shared" si="35"/>
        <v>0</v>
      </c>
      <c r="I724" s="137"/>
    </row>
    <row r="725" spans="2:9" ht="15" hidden="1" customHeight="1" outlineLevel="1" x14ac:dyDescent="0.25">
      <c r="B725" s="318" t="s">
        <v>512</v>
      </c>
      <c r="C725" s="27">
        <v>1000000</v>
      </c>
      <c r="D725" s="27">
        <f t="shared" si="36"/>
        <v>1000000</v>
      </c>
      <c r="E725" s="31"/>
      <c r="F725" s="44" t="s">
        <v>55</v>
      </c>
      <c r="G725" s="27">
        <v>0</v>
      </c>
      <c r="H725" s="27">
        <f t="shared" si="35"/>
        <v>0</v>
      </c>
      <c r="I725" s="137"/>
    </row>
    <row r="726" spans="2:9" ht="15" hidden="1" customHeight="1" outlineLevel="1" x14ac:dyDescent="0.25">
      <c r="B726" s="44" t="s">
        <v>53</v>
      </c>
      <c r="C726" s="800" t="s">
        <v>1425</v>
      </c>
      <c r="D726" s="27" t="str">
        <f t="shared" si="36"/>
        <v>Varies by Location</v>
      </c>
      <c r="E726" s="31"/>
      <c r="F726" s="44" t="s">
        <v>56</v>
      </c>
      <c r="G726" s="27">
        <v>0</v>
      </c>
      <c r="H726" s="27">
        <f t="shared" si="35"/>
        <v>0</v>
      </c>
      <c r="I726" s="137"/>
    </row>
    <row r="727" spans="2:9" ht="15" hidden="1" customHeight="1" outlineLevel="1" x14ac:dyDescent="0.25">
      <c r="B727" s="44" t="s">
        <v>54</v>
      </c>
      <c r="C727" s="27" t="s">
        <v>1425</v>
      </c>
      <c r="D727" s="27" t="str">
        <f t="shared" si="36"/>
        <v>Varies by Location</v>
      </c>
      <c r="E727" s="31"/>
      <c r="F727" s="49"/>
      <c r="G727" s="50"/>
      <c r="H727" s="50"/>
      <c r="I727" s="50"/>
    </row>
    <row r="728" spans="2:9" ht="15" hidden="1" customHeight="1" outlineLevel="1" x14ac:dyDescent="0.25">
      <c r="B728" s="44" t="s">
        <v>55</v>
      </c>
      <c r="C728" s="800" t="s">
        <v>1426</v>
      </c>
      <c r="D728" s="27" t="str">
        <f t="shared" si="36"/>
        <v>Included</v>
      </c>
      <c r="E728" s="31"/>
      <c r="F728" s="144"/>
      <c r="G728" s="26"/>
      <c r="H728" s="26"/>
      <c r="I728" s="26"/>
    </row>
    <row r="729" spans="2:9" ht="15" hidden="1" customHeight="1" outlineLevel="1" x14ac:dyDescent="0.25">
      <c r="B729" s="44" t="s">
        <v>56</v>
      </c>
      <c r="C729" s="800" t="s">
        <v>1426</v>
      </c>
      <c r="D729" s="27" t="str">
        <f t="shared" si="36"/>
        <v>Included</v>
      </c>
      <c r="E729" s="31"/>
      <c r="F729" s="144"/>
      <c r="G729" s="26"/>
      <c r="H729" s="26"/>
      <c r="I729" s="26"/>
    </row>
    <row r="730" spans="2:9" ht="15" hidden="1" customHeight="1" outlineLevel="1" x14ac:dyDescent="0.25">
      <c r="B730" s="1187" t="s">
        <v>173</v>
      </c>
      <c r="C730" s="1187"/>
      <c r="D730" s="1187"/>
      <c r="E730" s="1187"/>
      <c r="F730" s="208" t="s">
        <v>175</v>
      </c>
      <c r="G730" s="208"/>
      <c r="H730" s="208"/>
      <c r="I730" s="208"/>
    </row>
    <row r="731" spans="2:9" ht="15" hidden="1" customHeight="1" outlineLevel="1" x14ac:dyDescent="0.25">
      <c r="B731" s="543" t="s">
        <v>665</v>
      </c>
      <c r="C731" s="138">
        <v>5000</v>
      </c>
      <c r="D731" s="138">
        <f t="shared" ref="D731:D735" si="37">C731</f>
        <v>5000</v>
      </c>
      <c r="E731" s="145"/>
      <c r="F731" s="543" t="s">
        <v>665</v>
      </c>
      <c r="G731" s="138">
        <v>0</v>
      </c>
      <c r="H731" s="138">
        <f>G731</f>
        <v>0</v>
      </c>
      <c r="I731" s="139"/>
    </row>
    <row r="732" spans="2:9" ht="15" hidden="1" customHeight="1" outlineLevel="1" x14ac:dyDescent="0.25">
      <c r="B732" s="45" t="s">
        <v>53</v>
      </c>
      <c r="C732" s="138">
        <v>25000</v>
      </c>
      <c r="D732" s="138">
        <f t="shared" si="37"/>
        <v>25000</v>
      </c>
      <c r="E732" s="145"/>
      <c r="F732" s="45" t="s">
        <v>53</v>
      </c>
      <c r="G732" s="138">
        <v>0</v>
      </c>
      <c r="H732" s="138">
        <f>G732</f>
        <v>0</v>
      </c>
      <c r="I732" s="139"/>
    </row>
    <row r="733" spans="2:9" ht="15" hidden="1" customHeight="1" outlineLevel="1" x14ac:dyDescent="0.25">
      <c r="B733" s="45" t="s">
        <v>54</v>
      </c>
      <c r="C733" s="827" t="s">
        <v>1425</v>
      </c>
      <c r="D733" s="138" t="str">
        <f t="shared" si="37"/>
        <v>Varies by Location</v>
      </c>
      <c r="E733" s="145"/>
      <c r="F733" s="45" t="s">
        <v>54</v>
      </c>
      <c r="G733" s="138">
        <v>0</v>
      </c>
      <c r="H733" s="138">
        <f>G733</f>
        <v>0</v>
      </c>
      <c r="I733" s="139"/>
    </row>
    <row r="734" spans="2:9" ht="15" hidden="1" customHeight="1" outlineLevel="1" x14ac:dyDescent="0.25">
      <c r="B734" s="45" t="s">
        <v>55</v>
      </c>
      <c r="C734" s="827">
        <v>5000</v>
      </c>
      <c r="D734" s="138">
        <f t="shared" si="37"/>
        <v>5000</v>
      </c>
      <c r="E734" s="145"/>
      <c r="F734" s="45" t="s">
        <v>55</v>
      </c>
      <c r="G734" s="138">
        <v>0</v>
      </c>
      <c r="H734" s="138">
        <f>G734</f>
        <v>0</v>
      </c>
      <c r="I734" s="139"/>
    </row>
    <row r="735" spans="2:9" ht="15" hidden="1" customHeight="1" outlineLevel="1" x14ac:dyDescent="0.25">
      <c r="B735" s="45" t="s">
        <v>56</v>
      </c>
      <c r="C735" s="827">
        <v>5000</v>
      </c>
      <c r="D735" s="138">
        <f t="shared" si="37"/>
        <v>5000</v>
      </c>
      <c r="E735" s="145"/>
      <c r="F735" s="45" t="s">
        <v>56</v>
      </c>
      <c r="G735" s="138">
        <v>0</v>
      </c>
      <c r="H735" s="138">
        <f>G735</f>
        <v>0</v>
      </c>
      <c r="I735" s="139"/>
    </row>
    <row r="736" spans="2:9" ht="30" hidden="1" customHeight="1" outlineLevel="1" x14ac:dyDescent="0.25">
      <c r="B736" s="1187" t="s">
        <v>767</v>
      </c>
      <c r="C736" s="1187"/>
      <c r="D736" s="1187"/>
      <c r="E736" s="1187"/>
      <c r="F736" s="1228"/>
      <c r="G736" s="1228"/>
      <c r="H736" s="1228"/>
      <c r="I736" s="614"/>
    </row>
    <row r="737" spans="2:8" hidden="1" outlineLevel="1" x14ac:dyDescent="0.25">
      <c r="B737" s="543" t="s">
        <v>665</v>
      </c>
      <c r="C737" s="835" t="s">
        <v>1475</v>
      </c>
      <c r="D737" s="160" t="str">
        <f t="shared" ref="D737" si="38">C737</f>
        <v>72 Hours</v>
      </c>
      <c r="E737" s="615"/>
      <c r="F737" s="59"/>
    </row>
    <row r="738" spans="2:8" hidden="1" outlineLevel="1" x14ac:dyDescent="0.25">
      <c r="B738" s="44" t="s">
        <v>49</v>
      </c>
      <c r="C738" s="160">
        <v>0</v>
      </c>
      <c r="D738" s="160">
        <f>C738</f>
        <v>0</v>
      </c>
      <c r="E738" s="615"/>
      <c r="F738" s="59"/>
    </row>
    <row r="739" spans="2:8" hidden="1" outlineLevel="1" x14ac:dyDescent="0.25">
      <c r="B739" s="44" t="s">
        <v>50</v>
      </c>
      <c r="C739" s="160">
        <v>0</v>
      </c>
      <c r="D739" s="160">
        <f>C739</f>
        <v>0</v>
      </c>
      <c r="E739" s="615"/>
      <c r="F739" s="59"/>
    </row>
    <row r="740" spans="2:8" hidden="1" outlineLevel="1" x14ac:dyDescent="0.25">
      <c r="B740" s="45" t="s">
        <v>53</v>
      </c>
      <c r="C740" s="160">
        <v>0</v>
      </c>
      <c r="D740" s="160">
        <f t="shared" ref="D740:D743" si="39">C740</f>
        <v>0</v>
      </c>
      <c r="E740" s="615"/>
      <c r="F740" s="59"/>
    </row>
    <row r="741" spans="2:8" hidden="1" outlineLevel="1" x14ac:dyDescent="0.25">
      <c r="B741" s="45" t="s">
        <v>54</v>
      </c>
      <c r="C741" s="160">
        <v>0</v>
      </c>
      <c r="D741" s="160">
        <f t="shared" si="39"/>
        <v>0</v>
      </c>
      <c r="E741" s="615"/>
      <c r="F741" s="59"/>
    </row>
    <row r="742" spans="2:8" hidden="1" outlineLevel="1" x14ac:dyDescent="0.25">
      <c r="B742" s="45" t="s">
        <v>55</v>
      </c>
      <c r="C742" s="160">
        <v>0</v>
      </c>
      <c r="D742" s="160">
        <f t="shared" si="39"/>
        <v>0</v>
      </c>
      <c r="E742" s="615"/>
      <c r="F742" s="59"/>
    </row>
    <row r="743" spans="2:8" hidden="1" outlineLevel="1" x14ac:dyDescent="0.25">
      <c r="B743" s="45" t="s">
        <v>56</v>
      </c>
      <c r="C743" s="160">
        <v>0</v>
      </c>
      <c r="D743" s="160">
        <f t="shared" si="39"/>
        <v>0</v>
      </c>
      <c r="E743" s="615"/>
      <c r="F743" s="59"/>
    </row>
    <row r="744" spans="2:8" s="1197" customFormat="1" ht="13.5" customHeight="1" collapsed="1" x14ac:dyDescent="0.25"/>
    <row r="745" spans="2:8" ht="15" hidden="1" customHeight="1" x14ac:dyDescent="0.25">
      <c r="B745" s="88" t="s">
        <v>1722</v>
      </c>
      <c r="C745" s="99"/>
      <c r="D745" s="99"/>
      <c r="E745" s="99"/>
      <c r="F745" s="338" t="s">
        <v>437</v>
      </c>
      <c r="G745" s="1165" t="s">
        <v>536</v>
      </c>
      <c r="H745" s="1165"/>
    </row>
    <row r="746" spans="2:8" ht="15" hidden="1" customHeight="1" outlineLevel="1" x14ac:dyDescent="0.25">
      <c r="B746" s="99" t="s">
        <v>0</v>
      </c>
      <c r="C746" s="99" t="s">
        <v>230</v>
      </c>
      <c r="D746" s="99"/>
      <c r="E746" s="99"/>
    </row>
    <row r="747" spans="2:8" ht="15" hidden="1" customHeight="1" outlineLevel="1" x14ac:dyDescent="0.25">
      <c r="B747" s="99" t="s">
        <v>1</v>
      </c>
      <c r="C747" s="114" t="s">
        <v>649</v>
      </c>
      <c r="D747" s="99"/>
      <c r="E747" s="99"/>
      <c r="F747" s="99"/>
      <c r="G747" s="99"/>
      <c r="H747" s="99"/>
    </row>
    <row r="748" spans="2:8" ht="15" hidden="1" customHeight="1" outlineLevel="1" x14ac:dyDescent="0.25">
      <c r="B748" s="99" t="s">
        <v>131</v>
      </c>
      <c r="C748" s="99" t="s">
        <v>132</v>
      </c>
      <c r="D748" s="99" t="s">
        <v>133</v>
      </c>
      <c r="E748" s="99" t="s">
        <v>134</v>
      </c>
      <c r="F748" s="210" t="s">
        <v>392</v>
      </c>
      <c r="G748" s="1166"/>
      <c r="H748" s="1166"/>
    </row>
    <row r="749" spans="2:8" ht="15" hidden="1" customHeight="1" outlineLevel="1" x14ac:dyDescent="0.25">
      <c r="B749" s="177" t="s">
        <v>1727</v>
      </c>
      <c r="C749" s="572" t="str">
        <f>B749</f>
        <v>Houston Specialty Insurance Company</v>
      </c>
      <c r="D749" s="177" t="s">
        <v>1727</v>
      </c>
      <c r="E749" s="177"/>
      <c r="G749" s="1175"/>
      <c r="H749" s="1175"/>
    </row>
    <row r="750" spans="2:8" ht="15" hidden="1" customHeight="1" outlineLevel="1" x14ac:dyDescent="0.25">
      <c r="B750" s="99" t="s">
        <v>135</v>
      </c>
      <c r="C750" s="99" t="s">
        <v>136</v>
      </c>
      <c r="D750" s="99" t="s">
        <v>137</v>
      </c>
      <c r="E750" s="99" t="s">
        <v>139</v>
      </c>
    </row>
    <row r="751" spans="2:8" ht="15" hidden="1" customHeight="1" outlineLevel="1" x14ac:dyDescent="0.25">
      <c r="B751" s="114" t="s">
        <v>1728</v>
      </c>
      <c r="C751" s="99" t="str">
        <f>B751</f>
        <v>A-: IX</v>
      </c>
      <c r="D751" s="114" t="s">
        <v>1728</v>
      </c>
      <c r="E751" s="114"/>
      <c r="F751" s="99"/>
      <c r="G751" s="99"/>
      <c r="H751" s="99"/>
    </row>
    <row r="752" spans="2:8" ht="15" hidden="1" customHeight="1" outlineLevel="1" x14ac:dyDescent="0.25">
      <c r="B752" s="99" t="s">
        <v>2</v>
      </c>
      <c r="C752" s="99" t="s">
        <v>3</v>
      </c>
      <c r="D752" s="99" t="s">
        <v>140</v>
      </c>
      <c r="E752" s="99" t="s">
        <v>141</v>
      </c>
      <c r="F752" s="99"/>
      <c r="G752" s="99"/>
      <c r="H752" s="99"/>
    </row>
    <row r="753" spans="2:8" ht="15" hidden="1" customHeight="1" outlineLevel="1" x14ac:dyDescent="0.25">
      <c r="B753" s="97"/>
      <c r="C753" s="96" t="e">
        <f>B753+B753*E770</f>
        <v>#DIV/0!</v>
      </c>
      <c r="D753" s="97">
        <v>8745</v>
      </c>
      <c r="E753" s="97"/>
      <c r="F753" s="99"/>
      <c r="G753" s="99"/>
      <c r="H753" s="99"/>
    </row>
    <row r="754" spans="2:8" ht="15" hidden="1" customHeight="1" outlineLevel="1" x14ac:dyDescent="0.25">
      <c r="B754" s="4" t="s">
        <v>543</v>
      </c>
      <c r="C754" s="4" t="str">
        <f>B754</f>
        <v>Blended Rate per $100 of Exposure</v>
      </c>
      <c r="D754" s="4" t="str">
        <f>B754</f>
        <v>Blended Rate per $100 of Exposure</v>
      </c>
      <c r="E754" s="4" t="str">
        <f>B754</f>
        <v>Blended Rate per $100 of Exposure</v>
      </c>
      <c r="F754" s="99"/>
      <c r="G754" s="99"/>
      <c r="H754" s="99"/>
    </row>
    <row r="755" spans="2:8" ht="15" hidden="1" customHeight="1" outlineLevel="1" x14ac:dyDescent="0.25">
      <c r="B755" s="293" t="e">
        <f>B753/(C769/100)</f>
        <v>#DIV/0!</v>
      </c>
      <c r="C755" s="293" t="e">
        <f>C753/(E769/100)</f>
        <v>#DIV/0!</v>
      </c>
      <c r="D755" s="293" t="e">
        <f>D753/(E769/100)</f>
        <v>#DIV/0!</v>
      </c>
      <c r="E755" s="293" t="e">
        <f>E753/(E769/100)</f>
        <v>#DIV/0!</v>
      </c>
      <c r="F755" s="96"/>
      <c r="G755" s="99"/>
      <c r="H755" s="99"/>
    </row>
    <row r="756" spans="2:8" ht="15" hidden="1" customHeight="1" outlineLevel="1" x14ac:dyDescent="0.25">
      <c r="D756" s="99" t="s">
        <v>5</v>
      </c>
      <c r="E756" s="99" t="s">
        <v>6</v>
      </c>
      <c r="F756" s="96"/>
      <c r="G756" s="99"/>
      <c r="H756" s="99"/>
    </row>
    <row r="757" spans="2:8" ht="15" hidden="1" customHeight="1" outlineLevel="1" x14ac:dyDescent="0.25">
      <c r="D757" s="84" t="e">
        <f>-(C753-D753)/C753</f>
        <v>#DIV/0!</v>
      </c>
      <c r="E757" s="84" t="e">
        <f>-(C753-E753)/C753</f>
        <v>#DIV/0!</v>
      </c>
      <c r="F757" s="96"/>
      <c r="G757" s="99"/>
      <c r="H757" s="99"/>
    </row>
    <row r="758" spans="2:8" ht="15" hidden="1" customHeight="1" outlineLevel="1" x14ac:dyDescent="0.25">
      <c r="B758" s="3" t="s">
        <v>685</v>
      </c>
      <c r="C758" s="3" t="s">
        <v>686</v>
      </c>
      <c r="D758" s="3" t="s">
        <v>687</v>
      </c>
      <c r="E758" s="3" t="s">
        <v>688</v>
      </c>
      <c r="F758" s="99"/>
      <c r="G758" s="99"/>
      <c r="H758" s="99"/>
    </row>
    <row r="759" spans="2:8" ht="15" hidden="1" customHeight="1" outlineLevel="1" x14ac:dyDescent="0.25">
      <c r="B759" s="188">
        <v>0</v>
      </c>
      <c r="C759" s="188">
        <f>B759</f>
        <v>0</v>
      </c>
      <c r="D759" s="188">
        <v>357.8</v>
      </c>
      <c r="E759" s="188">
        <v>0</v>
      </c>
      <c r="F759" s="99"/>
      <c r="G759" s="99"/>
      <c r="H759" s="99"/>
    </row>
    <row r="760" spans="2:8" ht="15" hidden="1" customHeight="1" outlineLevel="1" x14ac:dyDescent="0.25">
      <c r="B760" s="84" t="s">
        <v>203</v>
      </c>
      <c r="C760" s="84" t="s">
        <v>204</v>
      </c>
      <c r="D760" s="84" t="s">
        <v>205</v>
      </c>
      <c r="E760" s="84" t="s">
        <v>206</v>
      </c>
      <c r="F760" s="99"/>
      <c r="G760" s="99"/>
      <c r="H760" s="99"/>
    </row>
    <row r="761" spans="2:8" ht="15" hidden="1" customHeight="1" outlineLevel="1" x14ac:dyDescent="0.25">
      <c r="B761" s="188"/>
      <c r="C761" s="189" t="e">
        <f>B761+B761*E770</f>
        <v>#DIV/0!</v>
      </c>
      <c r="D761" s="188">
        <v>200</v>
      </c>
      <c r="E761" s="188"/>
      <c r="F761" s="99"/>
      <c r="G761" s="99"/>
      <c r="H761" s="99"/>
    </row>
    <row r="762" spans="2:8" ht="15" hidden="1" customHeight="1" outlineLevel="1" x14ac:dyDescent="0.25">
      <c r="B762" s="84" t="s">
        <v>14</v>
      </c>
      <c r="C762" s="96" t="s">
        <v>15</v>
      </c>
      <c r="D762" s="96" t="s">
        <v>142</v>
      </c>
      <c r="E762" s="99" t="s">
        <v>143</v>
      </c>
      <c r="F762" s="99"/>
      <c r="G762" s="99"/>
      <c r="H762" s="99"/>
    </row>
    <row r="763" spans="2:8" ht="15" hidden="1" customHeight="1" outlineLevel="1" x14ac:dyDescent="0.25">
      <c r="B763" s="96">
        <f>B753+(B759)+B761</f>
        <v>0</v>
      </c>
      <c r="C763" s="96" t="e">
        <f t="shared" ref="C763:E763" si="40">C753+(C759)+C761</f>
        <v>#DIV/0!</v>
      </c>
      <c r="D763" s="96">
        <f t="shared" si="40"/>
        <v>9302.7999999999993</v>
      </c>
      <c r="E763" s="96">
        <f t="shared" si="40"/>
        <v>0</v>
      </c>
      <c r="F763" s="99"/>
      <c r="G763" s="99"/>
      <c r="H763" s="99"/>
    </row>
    <row r="764" spans="2:8" ht="15" hidden="1" customHeight="1" outlineLevel="1" x14ac:dyDescent="0.25">
      <c r="B764" s="3" t="s">
        <v>998</v>
      </c>
      <c r="C764" s="3" t="s">
        <v>999</v>
      </c>
      <c r="D764" s="3" t="s">
        <v>1000</v>
      </c>
      <c r="E764" s="3" t="s">
        <v>1001</v>
      </c>
      <c r="F764" s="99"/>
      <c r="G764" s="99"/>
      <c r="H764" s="99"/>
    </row>
    <row r="765" spans="2:8" ht="15" hidden="1" customHeight="1" outlineLevel="1" x14ac:dyDescent="0.25">
      <c r="B765" s="693"/>
      <c r="C765" s="157" t="s">
        <v>284</v>
      </c>
      <c r="D765" s="693"/>
      <c r="E765" s="693"/>
      <c r="F765" s="99"/>
      <c r="G765" s="99"/>
      <c r="H765" s="99"/>
    </row>
    <row r="766" spans="2:8" ht="15" hidden="1" customHeight="1" outlineLevel="1" x14ac:dyDescent="0.25">
      <c r="B766" s="96"/>
      <c r="C766" s="96"/>
      <c r="D766" s="96"/>
      <c r="E766" s="96"/>
      <c r="F766" s="99"/>
      <c r="G766" s="99"/>
      <c r="H766" s="99"/>
    </row>
    <row r="767" spans="2:8" ht="15" hidden="1" customHeight="1" outlineLevel="1" x14ac:dyDescent="0.25">
      <c r="B767" s="117" t="s">
        <v>385</v>
      </c>
      <c r="C767" s="99"/>
      <c r="D767" s="99"/>
      <c r="E767" s="99"/>
      <c r="F767" s="99"/>
      <c r="G767" s="99"/>
      <c r="H767" s="99"/>
    </row>
    <row r="768" spans="2:8" ht="15" hidden="1" customHeight="1" outlineLevel="1" x14ac:dyDescent="0.25">
      <c r="B768" s="1214" t="s">
        <v>39</v>
      </c>
      <c r="C768" s="1225"/>
      <c r="D768" s="1213" t="s">
        <v>40</v>
      </c>
      <c r="E768" s="1214"/>
      <c r="F768" s="96"/>
      <c r="G768" s="99"/>
      <c r="H768" s="99"/>
    </row>
    <row r="769" spans="2:8" ht="15" hidden="1" customHeight="1" outlineLevel="1" x14ac:dyDescent="0.25">
      <c r="B769" s="95" t="s">
        <v>309</v>
      </c>
      <c r="C769" s="151"/>
      <c r="D769" s="111" t="str">
        <f>B769</f>
        <v>Values Insured</v>
      </c>
      <c r="E769" s="152"/>
      <c r="F769" s="94"/>
      <c r="G769" s="1212"/>
      <c r="H769" s="1212"/>
    </row>
    <row r="770" spans="2:8" ht="15" hidden="1" customHeight="1" outlineLevel="1" x14ac:dyDescent="0.25">
      <c r="B770" s="110"/>
      <c r="C770" s="115"/>
      <c r="D770" s="98" t="s">
        <v>13</v>
      </c>
      <c r="E770" s="102" t="e">
        <f>-(C769-E769)/C769</f>
        <v>#DIV/0!</v>
      </c>
      <c r="F770" s="1212"/>
      <c r="G770" s="1212"/>
      <c r="H770" s="1212"/>
    </row>
    <row r="771" spans="2:8" ht="15" hidden="1" customHeight="1" outlineLevel="1" x14ac:dyDescent="0.25">
      <c r="B771" s="101" t="s">
        <v>197</v>
      </c>
      <c r="C771" s="85"/>
      <c r="D771" s="104"/>
      <c r="E771" s="105"/>
      <c r="F771" s="100"/>
      <c r="G771" s="91"/>
      <c r="H771" s="91"/>
    </row>
    <row r="772" spans="2:8" ht="15" hidden="1" customHeight="1" outlineLevel="1" x14ac:dyDescent="0.25">
      <c r="B772" s="103"/>
      <c r="C772" s="1226" t="s">
        <v>62</v>
      </c>
      <c r="D772" s="1227"/>
      <c r="E772" s="1202" t="s">
        <v>67</v>
      </c>
      <c r="F772" s="1203"/>
      <c r="G772" s="1232" t="s">
        <v>68</v>
      </c>
      <c r="H772" s="1233"/>
    </row>
    <row r="773" spans="2:8" ht="15" hidden="1" customHeight="1" outlineLevel="1" x14ac:dyDescent="0.25">
      <c r="B773" s="106" t="s">
        <v>59</v>
      </c>
      <c r="C773" s="116" t="s">
        <v>200</v>
      </c>
      <c r="D773" s="86" t="s">
        <v>23</v>
      </c>
      <c r="E773" s="112" t="s">
        <v>200</v>
      </c>
      <c r="F773" s="89" t="s">
        <v>23</v>
      </c>
      <c r="G773" s="92" t="s">
        <v>200</v>
      </c>
      <c r="H773" s="108" t="s">
        <v>23</v>
      </c>
    </row>
    <row r="774" spans="2:8" ht="15" hidden="1" customHeight="1" outlineLevel="1" x14ac:dyDescent="0.25">
      <c r="B774" s="106" t="s">
        <v>1723</v>
      </c>
      <c r="C774" s="107">
        <v>1000000</v>
      </c>
      <c r="D774" s="107">
        <v>7500</v>
      </c>
      <c r="E774" s="83">
        <f>C774</f>
        <v>1000000</v>
      </c>
      <c r="F774" s="83">
        <f>D774</f>
        <v>7500</v>
      </c>
      <c r="G774" s="83"/>
      <c r="H774" s="93"/>
    </row>
    <row r="775" spans="2:8" ht="15" hidden="1" customHeight="1" outlineLevel="1" x14ac:dyDescent="0.25">
      <c r="B775" s="109"/>
      <c r="C775" s="113"/>
      <c r="D775" s="113"/>
      <c r="E775" s="90"/>
      <c r="F775" s="90"/>
      <c r="G775" s="90"/>
      <c r="H775" s="87"/>
    </row>
    <row r="776" spans="2:8" ht="15" hidden="1" customHeight="1" outlineLevel="1" x14ac:dyDescent="0.25">
      <c r="B776" s="109" t="s">
        <v>12</v>
      </c>
      <c r="C776" s="113">
        <v>1000000</v>
      </c>
      <c r="D776" s="113" t="s">
        <v>284</v>
      </c>
      <c r="E776" s="90">
        <f>C776</f>
        <v>1000000</v>
      </c>
      <c r="F776" s="90" t="str">
        <f>D776</f>
        <v>N/A</v>
      </c>
      <c r="G776" s="90"/>
      <c r="H776" s="87"/>
    </row>
    <row r="777" spans="2:8" s="1201" customFormat="1" ht="13.5" hidden="1" customHeight="1" collapsed="1" x14ac:dyDescent="0.25"/>
    <row r="778" spans="2:8" ht="15" customHeight="1" x14ac:dyDescent="0.25">
      <c r="B778" s="1052" t="s">
        <v>231</v>
      </c>
      <c r="F778" s="338" t="s">
        <v>437</v>
      </c>
      <c r="G778" s="1165" t="s">
        <v>537</v>
      </c>
      <c r="H778" s="1165"/>
    </row>
    <row r="779" spans="2:8" ht="15" hidden="1" customHeight="1" outlineLevel="1" x14ac:dyDescent="0.25">
      <c r="B779" t="s">
        <v>0</v>
      </c>
      <c r="C779" t="s">
        <v>256</v>
      </c>
    </row>
    <row r="780" spans="2:8" ht="15" hidden="1" customHeight="1" outlineLevel="1" x14ac:dyDescent="0.25">
      <c r="B780" t="s">
        <v>1679</v>
      </c>
      <c r="C780" s="18" t="s">
        <v>1671</v>
      </c>
    </row>
    <row r="781" spans="2:8" ht="15" hidden="1" customHeight="1" outlineLevel="1" x14ac:dyDescent="0.25">
      <c r="B781" t="s">
        <v>1680</v>
      </c>
      <c r="C781" s="18" t="s">
        <v>649</v>
      </c>
    </row>
    <row r="782" spans="2:8" ht="15" hidden="1" customHeight="1" outlineLevel="1" x14ac:dyDescent="0.25">
      <c r="B782" t="s">
        <v>131</v>
      </c>
      <c r="C782" t="s">
        <v>132</v>
      </c>
      <c r="D782" t="s">
        <v>133</v>
      </c>
      <c r="E782" t="s">
        <v>134</v>
      </c>
      <c r="F782" s="210" t="s">
        <v>392</v>
      </c>
      <c r="G782" s="1166"/>
      <c r="H782" s="1166"/>
    </row>
    <row r="783" spans="2:8" ht="15" hidden="1" customHeight="1" outlineLevel="1" x14ac:dyDescent="0.25">
      <c r="B783" s="176" t="s">
        <v>1452</v>
      </c>
      <c r="C783" s="571" t="str">
        <f>B783</f>
        <v>Zurich American Insurance Company</v>
      </c>
      <c r="D783" s="176" t="s">
        <v>1452</v>
      </c>
      <c r="E783" s="176" t="s">
        <v>1452</v>
      </c>
      <c r="G783" s="1175"/>
      <c r="H783" s="1175"/>
    </row>
    <row r="784" spans="2:8" ht="15" hidden="1" customHeight="1" outlineLevel="1" x14ac:dyDescent="0.25">
      <c r="B784" t="s">
        <v>135</v>
      </c>
      <c r="C784" t="s">
        <v>136</v>
      </c>
      <c r="D784" t="s">
        <v>137</v>
      </c>
      <c r="E784" t="s">
        <v>139</v>
      </c>
    </row>
    <row r="785" spans="2:8" ht="15" hidden="1" customHeight="1" outlineLevel="1" x14ac:dyDescent="0.25">
      <c r="B785" s="18" t="s">
        <v>1453</v>
      </c>
      <c r="C785" t="str">
        <f>B785</f>
        <v>A+: XV</v>
      </c>
      <c r="D785" s="18" t="s">
        <v>1453</v>
      </c>
      <c r="E785" s="18" t="s">
        <v>1453</v>
      </c>
    </row>
    <row r="786" spans="2:8" ht="15" hidden="1" customHeight="1" outlineLevel="1" x14ac:dyDescent="0.25">
      <c r="B786" t="s">
        <v>2</v>
      </c>
      <c r="C786" t="s">
        <v>3</v>
      </c>
      <c r="D786" t="s">
        <v>140</v>
      </c>
      <c r="E786" t="s">
        <v>141</v>
      </c>
    </row>
    <row r="787" spans="2:8" ht="15" hidden="1" customHeight="1" outlineLevel="1" x14ac:dyDescent="0.25">
      <c r="B787" s="123">
        <v>3919</v>
      </c>
      <c r="C787" s="4">
        <f>B787+B787*F804</f>
        <v>2906.8615702479337</v>
      </c>
      <c r="D787" s="123">
        <v>3173</v>
      </c>
      <c r="E787" s="123">
        <v>3173</v>
      </c>
      <c r="F787" s="4"/>
    </row>
    <row r="788" spans="2:8" ht="15" hidden="1" customHeight="1" outlineLevel="1" x14ac:dyDescent="0.25">
      <c r="D788" t="s">
        <v>5</v>
      </c>
      <c r="E788" t="s">
        <v>6</v>
      </c>
    </row>
    <row r="789" spans="2:8" ht="15" hidden="1" customHeight="1" outlineLevel="1" x14ac:dyDescent="0.25">
      <c r="D789" s="3">
        <f>-(C787-D787)/C787</f>
        <v>9.1555247238473289E-2</v>
      </c>
      <c r="E789" s="3">
        <f>-(C787-E787)/C787</f>
        <v>9.1555247238473289E-2</v>
      </c>
    </row>
    <row r="790" spans="2:8" ht="15" hidden="1" customHeight="1" outlineLevel="1" x14ac:dyDescent="0.25">
      <c r="B790" s="3" t="s">
        <v>685</v>
      </c>
      <c r="C790" s="3" t="s">
        <v>686</v>
      </c>
      <c r="D790" s="3" t="s">
        <v>687</v>
      </c>
      <c r="E790" s="3" t="s">
        <v>688</v>
      </c>
    </row>
    <row r="791" spans="2:8" ht="15" hidden="1" customHeight="1" outlineLevel="1" x14ac:dyDescent="0.25">
      <c r="B791" s="129">
        <v>0</v>
      </c>
      <c r="C791" s="3">
        <f>B791</f>
        <v>0</v>
      </c>
      <c r="D791" s="129"/>
      <c r="E791" s="129"/>
    </row>
    <row r="792" spans="2:8" ht="15" hidden="1" customHeight="1" outlineLevel="1" x14ac:dyDescent="0.25">
      <c r="B792" s="84" t="s">
        <v>203</v>
      </c>
      <c r="C792" s="84" t="s">
        <v>204</v>
      </c>
      <c r="D792" s="84" t="s">
        <v>205</v>
      </c>
      <c r="E792" s="84" t="s">
        <v>206</v>
      </c>
    </row>
    <row r="793" spans="2:8" ht="15" hidden="1" customHeight="1" outlineLevel="1" x14ac:dyDescent="0.25">
      <c r="B793" s="178"/>
      <c r="C793" s="179">
        <f>B793+B793*F804</f>
        <v>0</v>
      </c>
      <c r="D793" s="178"/>
      <c r="E793" s="178"/>
    </row>
    <row r="794" spans="2:8" ht="15" hidden="1" customHeight="1" outlineLevel="1" x14ac:dyDescent="0.25">
      <c r="B794" s="3" t="s">
        <v>14</v>
      </c>
      <c r="C794" s="4" t="s">
        <v>15</v>
      </c>
      <c r="D794" s="4" t="s">
        <v>142</v>
      </c>
      <c r="E794" t="s">
        <v>143</v>
      </c>
    </row>
    <row r="795" spans="2:8" ht="15" hidden="1" customHeight="1" outlineLevel="1" x14ac:dyDescent="0.25">
      <c r="B795" s="4">
        <f>B787+(B787*B791)+B793</f>
        <v>3919</v>
      </c>
      <c r="C795" s="4">
        <f>C787+(C787*C791)+C793</f>
        <v>2906.8615702479337</v>
      </c>
      <c r="D795" s="4">
        <f>D787+(D787*D791)+D793</f>
        <v>3173</v>
      </c>
      <c r="E795" s="4">
        <f>E787+(E787*E791)+E793</f>
        <v>3173</v>
      </c>
      <c r="F795" s="4"/>
    </row>
    <row r="796" spans="2:8" ht="15" hidden="1" customHeight="1" outlineLevel="1" x14ac:dyDescent="0.25">
      <c r="B796" s="3" t="s">
        <v>998</v>
      </c>
      <c r="C796" s="3" t="s">
        <v>999</v>
      </c>
      <c r="D796" s="3" t="s">
        <v>1000</v>
      </c>
      <c r="E796" s="3" t="s">
        <v>1001</v>
      </c>
      <c r="F796" s="4"/>
    </row>
    <row r="797" spans="2:8" ht="15" hidden="1" customHeight="1" outlineLevel="1" x14ac:dyDescent="0.25">
      <c r="B797" s="693"/>
      <c r="C797" s="157" t="s">
        <v>284</v>
      </c>
      <c r="D797" s="693"/>
      <c r="E797" s="693"/>
      <c r="F797" s="4"/>
    </row>
    <row r="798" spans="2:8" ht="15" hidden="1" customHeight="1" outlineLevel="1" x14ac:dyDescent="0.25">
      <c r="B798" s="4"/>
      <c r="C798" s="4"/>
      <c r="D798" s="4"/>
      <c r="E798" s="4"/>
      <c r="F798" s="4"/>
    </row>
    <row r="799" spans="2:8" ht="15" hidden="1" customHeight="1" outlineLevel="1" x14ac:dyDescent="0.25">
      <c r="B799" s="37" t="s">
        <v>7</v>
      </c>
      <c r="F799" s="118"/>
      <c r="G799" s="1185"/>
      <c r="H799" s="1185"/>
    </row>
    <row r="800" spans="2:8" ht="15" hidden="1" customHeight="1" outlineLevel="1" x14ac:dyDescent="0.25">
      <c r="B800" s="1169" t="s">
        <v>39</v>
      </c>
      <c r="C800" s="1170"/>
      <c r="D800" s="1170" t="s">
        <v>40</v>
      </c>
      <c r="E800" s="1170"/>
      <c r="F800" s="119" t="s">
        <v>13</v>
      </c>
      <c r="G800" s="118"/>
      <c r="H800" s="118"/>
    </row>
    <row r="801" spans="2:8" ht="30.75" hidden="1" customHeight="1" outlineLevel="1" x14ac:dyDescent="0.25">
      <c r="B801" s="38" t="s">
        <v>1962</v>
      </c>
      <c r="C801" s="32">
        <v>484</v>
      </c>
      <c r="D801" s="38" t="str">
        <f>B801</f>
        <v>Total Number of Employees to be Covered</v>
      </c>
      <c r="E801" s="32">
        <f>190+1+43</f>
        <v>234</v>
      </c>
      <c r="F801" s="122">
        <f>-(C801-E801)/C801</f>
        <v>-0.51652892561983466</v>
      </c>
      <c r="G801" s="118"/>
      <c r="H801" s="118"/>
    </row>
    <row r="802" spans="2:8" ht="15" hidden="1" customHeight="1" outlineLevel="1" x14ac:dyDescent="0.25">
      <c r="B802" s="38" t="s">
        <v>288</v>
      </c>
      <c r="C802" s="32">
        <v>15</v>
      </c>
      <c r="D802" s="38" t="str">
        <f>B802</f>
        <v># of Employees Who Travel 50+ Days</v>
      </c>
      <c r="E802" s="126">
        <v>15</v>
      </c>
      <c r="F802" s="122">
        <f>-(C802-E802)/C802</f>
        <v>0</v>
      </c>
      <c r="G802" s="118"/>
      <c r="H802" s="118"/>
    </row>
    <row r="803" spans="2:8" ht="15" hidden="1" customHeight="1" outlineLevel="1" x14ac:dyDescent="0.25">
      <c r="B803" s="38" t="s">
        <v>272</v>
      </c>
      <c r="C803" s="128"/>
      <c r="D803" s="38" t="str">
        <f>B803</f>
        <v>Total Aggregate Days</v>
      </c>
      <c r="E803" s="126"/>
      <c r="F803" s="122"/>
      <c r="G803" s="118"/>
      <c r="H803" s="118"/>
    </row>
    <row r="804" spans="2:8" ht="15" hidden="1" customHeight="1" outlineLevel="1" x14ac:dyDescent="0.25">
      <c r="B804" s="52"/>
      <c r="C804" s="121"/>
      <c r="D804" s="52"/>
      <c r="E804" s="127" t="s">
        <v>13</v>
      </c>
      <c r="F804" s="61">
        <f>F802+F801/2</f>
        <v>-0.25826446280991733</v>
      </c>
      <c r="G804" s="118"/>
      <c r="H804" s="118"/>
    </row>
    <row r="805" spans="2:8" ht="15" hidden="1" customHeight="1" outlineLevel="1" x14ac:dyDescent="0.25">
      <c r="B805" s="64" t="s">
        <v>197</v>
      </c>
      <c r="F805" s="118"/>
      <c r="G805" s="118"/>
      <c r="H805" s="118"/>
    </row>
    <row r="806" spans="2:8" ht="15" hidden="1" customHeight="1" outlineLevel="1" x14ac:dyDescent="0.25">
      <c r="B806" s="82"/>
      <c r="C806" s="81" t="s">
        <v>62</v>
      </c>
      <c r="D806" s="81" t="s">
        <v>67</v>
      </c>
      <c r="E806" s="119" t="s">
        <v>68</v>
      </c>
      <c r="F806" s="34"/>
      <c r="G806" s="2"/>
      <c r="H806" s="2"/>
    </row>
    <row r="807" spans="2:8" ht="15" hidden="1" customHeight="1" outlineLevel="1" x14ac:dyDescent="0.25">
      <c r="B807" s="106" t="s">
        <v>59</v>
      </c>
      <c r="C807" s="116" t="s">
        <v>236</v>
      </c>
      <c r="D807" s="116" t="s">
        <v>236</v>
      </c>
      <c r="E807" s="39" t="s">
        <v>236</v>
      </c>
      <c r="F807" s="34"/>
      <c r="G807" s="2"/>
      <c r="H807" s="2"/>
    </row>
    <row r="808" spans="2:8" ht="30" hidden="1" customHeight="1" outlineLevel="1" x14ac:dyDescent="0.25">
      <c r="B808" s="106" t="s">
        <v>1601</v>
      </c>
      <c r="C808" s="107" t="s">
        <v>1610</v>
      </c>
      <c r="D808" s="107" t="s">
        <v>1963</v>
      </c>
      <c r="E808" s="124"/>
      <c r="F808" s="34"/>
      <c r="G808" s="2"/>
      <c r="H808" s="2"/>
    </row>
    <row r="809" spans="2:8" ht="15" hidden="1" customHeight="1" outlineLevel="1" x14ac:dyDescent="0.25">
      <c r="B809" s="106" t="s">
        <v>1602</v>
      </c>
      <c r="C809" s="107">
        <v>50000</v>
      </c>
      <c r="D809" s="107">
        <f>C809</f>
        <v>50000</v>
      </c>
      <c r="E809" s="124"/>
      <c r="F809" s="34"/>
      <c r="G809" s="2"/>
      <c r="H809" s="2"/>
    </row>
    <row r="810" spans="2:8" ht="15" hidden="1" customHeight="1" outlineLevel="1" x14ac:dyDescent="0.25">
      <c r="B810" s="106" t="s">
        <v>1603</v>
      </c>
      <c r="C810" s="107">
        <v>25000</v>
      </c>
      <c r="D810" s="107">
        <f t="shared" ref="D810:D812" si="41">C810</f>
        <v>25000</v>
      </c>
      <c r="E810" s="124"/>
      <c r="F810" s="34"/>
      <c r="G810" s="2"/>
      <c r="H810" s="2"/>
    </row>
    <row r="811" spans="2:8" ht="15" hidden="1" customHeight="1" outlineLevel="1" x14ac:dyDescent="0.25">
      <c r="B811" s="106" t="s">
        <v>1604</v>
      </c>
      <c r="C811" s="107" t="s">
        <v>1606</v>
      </c>
      <c r="D811" s="107" t="str">
        <f t="shared" si="41"/>
        <v>10% of principal sum up to $10,000</v>
      </c>
      <c r="E811" s="124"/>
      <c r="F811" s="34"/>
      <c r="G811" s="2"/>
      <c r="H811" s="2"/>
    </row>
    <row r="812" spans="2:8" ht="15" hidden="1" customHeight="1" outlineLevel="1" x14ac:dyDescent="0.25">
      <c r="B812" s="106" t="s">
        <v>1605</v>
      </c>
      <c r="C812" s="107" t="s">
        <v>1606</v>
      </c>
      <c r="D812" s="107" t="str">
        <f t="shared" si="41"/>
        <v>10% of principal sum up to $10,000</v>
      </c>
      <c r="E812" s="124"/>
      <c r="F812" s="34"/>
      <c r="G812" s="2"/>
      <c r="H812" s="2"/>
    </row>
    <row r="813" spans="2:8" ht="15" hidden="1" customHeight="1" outlineLevel="1" x14ac:dyDescent="0.25">
      <c r="B813" s="106" t="s">
        <v>1607</v>
      </c>
      <c r="C813" s="107" t="s">
        <v>1608</v>
      </c>
      <c r="D813" s="107" t="str">
        <f>C813</f>
        <v>Unlimited</v>
      </c>
      <c r="E813" s="124"/>
      <c r="F813" s="34"/>
      <c r="G813" s="2"/>
      <c r="H813" s="2"/>
    </row>
    <row r="814" spans="2:8" ht="15" hidden="1" customHeight="1" outlineLevel="1" x14ac:dyDescent="0.25">
      <c r="B814" s="109" t="s">
        <v>1609</v>
      </c>
      <c r="C814" s="150">
        <v>10000000</v>
      </c>
      <c r="D814" s="113">
        <f>C814</f>
        <v>10000000</v>
      </c>
      <c r="E814" s="125"/>
      <c r="F814" s="34"/>
      <c r="G814" s="2"/>
      <c r="H814" s="2"/>
    </row>
    <row r="815" spans="2:8" s="1201" customFormat="1" ht="13.5" customHeight="1" collapsed="1" x14ac:dyDescent="0.25"/>
    <row r="816" spans="2:8" x14ac:dyDescent="0.25">
      <c r="B816" s="1101" t="s">
        <v>1724</v>
      </c>
      <c r="C816" s="1043" t="s">
        <v>1945</v>
      </c>
      <c r="F816" s="338" t="s">
        <v>437</v>
      </c>
      <c r="G816" s="1165" t="s">
        <v>540</v>
      </c>
      <c r="H816" s="1165"/>
    </row>
    <row r="817" spans="2:8" ht="15" hidden="1" customHeight="1" outlineLevel="1" x14ac:dyDescent="0.25">
      <c r="B817" t="s">
        <v>0</v>
      </c>
      <c r="C817" t="s">
        <v>244</v>
      </c>
    </row>
    <row r="818" spans="2:8" ht="15" hidden="1" customHeight="1" outlineLevel="1" x14ac:dyDescent="0.25">
      <c r="B818" t="s">
        <v>1679</v>
      </c>
      <c r="C818" s="18" t="s">
        <v>1726</v>
      </c>
    </row>
    <row r="819" spans="2:8" ht="15" hidden="1" customHeight="1" outlineLevel="1" x14ac:dyDescent="0.25">
      <c r="B819" t="s">
        <v>1680</v>
      </c>
      <c r="C819" s="18" t="s">
        <v>2012</v>
      </c>
    </row>
    <row r="820" spans="2:8" ht="15" hidden="1" customHeight="1" outlineLevel="1" x14ac:dyDescent="0.25">
      <c r="B820" t="s">
        <v>131</v>
      </c>
      <c r="C820" t="s">
        <v>132</v>
      </c>
      <c r="D820" t="s">
        <v>133</v>
      </c>
      <c r="E820" t="s">
        <v>134</v>
      </c>
      <c r="F820" s="210" t="s">
        <v>392</v>
      </c>
      <c r="G820" s="1166"/>
      <c r="H820" s="1166"/>
    </row>
    <row r="821" spans="2:8" ht="15" hidden="1" customHeight="1" outlineLevel="1" x14ac:dyDescent="0.25">
      <c r="B821" s="176" t="s">
        <v>1115</v>
      </c>
      <c r="C821" s="571" t="str">
        <f>B821</f>
        <v>The Continental Insurance Company (CNA)</v>
      </c>
      <c r="D821" s="176" t="s">
        <v>1115</v>
      </c>
      <c r="E821" s="176"/>
      <c r="G821" s="1175"/>
      <c r="H821" s="1175"/>
    </row>
    <row r="822" spans="2:8" ht="15" hidden="1" customHeight="1" outlineLevel="1" x14ac:dyDescent="0.25">
      <c r="B822" t="s">
        <v>135</v>
      </c>
      <c r="C822" t="s">
        <v>136</v>
      </c>
      <c r="D822" t="s">
        <v>137</v>
      </c>
      <c r="E822" t="s">
        <v>139</v>
      </c>
    </row>
    <row r="823" spans="2:8" ht="15" hidden="1" customHeight="1" outlineLevel="1" x14ac:dyDescent="0.25">
      <c r="B823" s="18" t="s">
        <v>1116</v>
      </c>
      <c r="C823" t="str">
        <f>B823</f>
        <v>A: XV</v>
      </c>
      <c r="D823" s="18" t="s">
        <v>1116</v>
      </c>
      <c r="E823" s="18"/>
    </row>
    <row r="824" spans="2:8" ht="15" hidden="1" customHeight="1" outlineLevel="1" x14ac:dyDescent="0.25">
      <c r="B824" t="s">
        <v>2</v>
      </c>
      <c r="C824" t="s">
        <v>3</v>
      </c>
      <c r="D824" t="s">
        <v>140</v>
      </c>
      <c r="E824" t="s">
        <v>141</v>
      </c>
    </row>
    <row r="825" spans="2:8" ht="15" hidden="1" customHeight="1" outlineLevel="1" x14ac:dyDescent="0.25">
      <c r="B825" s="123">
        <v>2500</v>
      </c>
      <c r="C825" s="4" t="e">
        <f>B825+B825*F838</f>
        <v>#DIV/0!</v>
      </c>
      <c r="D825" s="123">
        <v>4276</v>
      </c>
      <c r="E825" s="123"/>
      <c r="F825" s="4"/>
    </row>
    <row r="826" spans="2:8" ht="15" hidden="1" customHeight="1" outlineLevel="1" x14ac:dyDescent="0.25">
      <c r="D826" t="s">
        <v>5</v>
      </c>
      <c r="E826" t="s">
        <v>6</v>
      </c>
    </row>
    <row r="827" spans="2:8" ht="15" hidden="1" customHeight="1" outlineLevel="1" x14ac:dyDescent="0.25">
      <c r="D827" s="3" t="e">
        <f>-(C825-D825)/C825</f>
        <v>#DIV/0!</v>
      </c>
      <c r="E827" s="3" t="e">
        <f>-(C825-E825)/C825</f>
        <v>#DIV/0!</v>
      </c>
    </row>
    <row r="828" spans="2:8" ht="15" hidden="1" customHeight="1" outlineLevel="1" x14ac:dyDescent="0.25">
      <c r="B828" s="3" t="s">
        <v>998</v>
      </c>
      <c r="C828" s="3" t="s">
        <v>999</v>
      </c>
      <c r="D828" s="3" t="s">
        <v>1000</v>
      </c>
      <c r="E828" s="3" t="s">
        <v>1001</v>
      </c>
    </row>
    <row r="829" spans="2:8" ht="15" hidden="1" customHeight="1" outlineLevel="1" x14ac:dyDescent="0.25">
      <c r="B829" s="693"/>
      <c r="C829" s="157" t="s">
        <v>284</v>
      </c>
      <c r="D829" s="693"/>
      <c r="E829" s="693"/>
    </row>
    <row r="830" spans="2:8" ht="15" hidden="1" customHeight="1" outlineLevel="1" x14ac:dyDescent="0.25">
      <c r="D830" s="3"/>
      <c r="E830" s="3"/>
    </row>
    <row r="831" spans="2:8" ht="15" hidden="1" customHeight="1" outlineLevel="1" x14ac:dyDescent="0.25">
      <c r="B831" s="37" t="s">
        <v>7</v>
      </c>
      <c r="F831" s="118"/>
      <c r="G831" s="1185"/>
      <c r="H831" s="1185"/>
    </row>
    <row r="832" spans="2:8" ht="15" hidden="1" customHeight="1" outlineLevel="1" x14ac:dyDescent="0.25">
      <c r="B832" s="1179" t="s">
        <v>39</v>
      </c>
      <c r="C832" s="1169"/>
      <c r="D832" s="1170" t="s">
        <v>40</v>
      </c>
      <c r="E832" s="1170"/>
      <c r="F832" s="119" t="s">
        <v>13</v>
      </c>
      <c r="G832" s="120"/>
      <c r="H832" s="120"/>
    </row>
    <row r="833" spans="2:9" ht="15" hidden="1" customHeight="1" outlineLevel="1" x14ac:dyDescent="0.25">
      <c r="B833" s="38" t="s">
        <v>308</v>
      </c>
      <c r="C833" s="915"/>
      <c r="D833" s="38" t="str">
        <f>B833</f>
        <v>Property Values</v>
      </c>
      <c r="E833" s="19"/>
      <c r="F833" s="122" t="e">
        <f>-(C833-E833)/C833</f>
        <v>#DIV/0!</v>
      </c>
      <c r="G833" s="2"/>
      <c r="H833" s="2"/>
    </row>
    <row r="834" spans="2:9" ht="15" hidden="1" customHeight="1" outlineLevel="1" x14ac:dyDescent="0.25">
      <c r="B834" s="38" t="s">
        <v>795</v>
      </c>
      <c r="C834" s="1030"/>
      <c r="D834" s="38" t="str">
        <f>B834</f>
        <v>Number of Auto Rentals</v>
      </c>
      <c r="E834" s="126"/>
      <c r="F834" s="122" t="e">
        <f>-(C834-E834)/C834</f>
        <v>#DIV/0!</v>
      </c>
      <c r="G834" s="2"/>
      <c r="H834" s="2"/>
    </row>
    <row r="835" spans="2:9" ht="15" hidden="1" customHeight="1" outlineLevel="1" x14ac:dyDescent="0.25">
      <c r="B835" s="38" t="s">
        <v>245</v>
      </c>
      <c r="C835" s="915"/>
      <c r="D835" s="38" t="str">
        <f>B835</f>
        <v>Foreign Revenues</v>
      </c>
      <c r="E835" s="74"/>
      <c r="F835" s="122" t="e">
        <f>-(C835-E835)/C835</f>
        <v>#DIV/0!</v>
      </c>
      <c r="G835" s="2"/>
      <c r="H835" s="2"/>
    </row>
    <row r="836" spans="2:9" ht="15" hidden="1" customHeight="1" outlineLevel="1" x14ac:dyDescent="0.25">
      <c r="B836" s="38" t="s">
        <v>246</v>
      </c>
      <c r="C836" s="1030"/>
      <c r="D836" s="38" t="str">
        <f>B836</f>
        <v>Number of Trips</v>
      </c>
      <c r="E836" s="126"/>
      <c r="F836" s="122" t="e">
        <f>-(C836-E836)/C836</f>
        <v>#DIV/0!</v>
      </c>
      <c r="G836" s="2"/>
      <c r="H836" s="2"/>
    </row>
    <row r="837" spans="2:9" ht="15" hidden="1" customHeight="1" outlineLevel="1" x14ac:dyDescent="0.25">
      <c r="B837" s="38" t="s">
        <v>247</v>
      </c>
      <c r="C837" s="915"/>
      <c r="D837" s="38" t="str">
        <f>B837</f>
        <v>Foreign Payroll</v>
      </c>
      <c r="E837" s="74"/>
      <c r="F837" s="122" t="e">
        <f>-(C837-E837)/C837</f>
        <v>#DIV/0!</v>
      </c>
      <c r="G837" s="2"/>
      <c r="H837" s="2"/>
    </row>
    <row r="838" spans="2:9" ht="15" hidden="1" customHeight="1" outlineLevel="1" x14ac:dyDescent="0.25">
      <c r="B838" s="52"/>
      <c r="C838" s="121"/>
      <c r="D838" s="52"/>
      <c r="E838" s="127" t="s">
        <v>13</v>
      </c>
      <c r="F838" s="61" t="e">
        <f t="array" ref="F838">SUM(IFERROR(F833:F837,0)) /(SUM(--NOT(ISERROR(F833:F837))))</f>
        <v>#DIV/0!</v>
      </c>
      <c r="G838" s="23"/>
      <c r="H838" s="23"/>
      <c r="I838" s="663"/>
    </row>
    <row r="839" spans="2:9" ht="15" hidden="1" customHeight="1" outlineLevel="1" x14ac:dyDescent="0.25">
      <c r="B839" s="64" t="s">
        <v>197</v>
      </c>
      <c r="C839" s="55"/>
      <c r="D839" s="51"/>
      <c r="E839" s="15"/>
      <c r="F839" s="2"/>
      <c r="G839" s="23"/>
      <c r="H839" s="23"/>
    </row>
    <row r="840" spans="2:9" ht="15" hidden="1" customHeight="1" outlineLevel="1" x14ac:dyDescent="0.25">
      <c r="B840" s="65"/>
      <c r="C840" s="1198" t="s">
        <v>62</v>
      </c>
      <c r="D840" s="1198"/>
      <c r="E840" s="1183" t="s">
        <v>67</v>
      </c>
      <c r="F840" s="1184"/>
      <c r="G840" s="1199" t="s">
        <v>68</v>
      </c>
      <c r="H840" s="1200"/>
    </row>
    <row r="841" spans="2:9" ht="15" hidden="1" customHeight="1" outlineLevel="1" x14ac:dyDescent="0.25">
      <c r="B841" s="66" t="s">
        <v>59</v>
      </c>
      <c r="C841" s="53" t="s">
        <v>200</v>
      </c>
      <c r="D841" s="68" t="s">
        <v>23</v>
      </c>
      <c r="E841" s="69" t="s">
        <v>200</v>
      </c>
      <c r="F841" s="1" t="s">
        <v>23</v>
      </c>
      <c r="G841" s="70" t="s">
        <v>200</v>
      </c>
      <c r="H841" s="67" t="s">
        <v>23</v>
      </c>
    </row>
    <row r="842" spans="2:9" ht="15" hidden="1" customHeight="1" outlineLevel="1" x14ac:dyDescent="0.25">
      <c r="B842" s="66" t="s">
        <v>189</v>
      </c>
      <c r="C842" s="19">
        <v>0</v>
      </c>
      <c r="D842" s="19">
        <v>0</v>
      </c>
      <c r="E842" s="19">
        <f t="shared" ref="E842:E851" si="42">C842</f>
        <v>0</v>
      </c>
      <c r="F842" s="19">
        <f t="shared" ref="F842:F851" si="43">D842</f>
        <v>0</v>
      </c>
      <c r="G842" s="19"/>
      <c r="H842" s="24"/>
    </row>
    <row r="843" spans="2:9" ht="15" hidden="1" customHeight="1" outlineLevel="1" x14ac:dyDescent="0.25">
      <c r="B843" s="66" t="s">
        <v>16</v>
      </c>
      <c r="C843" s="19">
        <v>1000000</v>
      </c>
      <c r="D843" s="19">
        <v>0</v>
      </c>
      <c r="E843" s="19">
        <f t="shared" si="42"/>
        <v>1000000</v>
      </c>
      <c r="F843" s="19">
        <f t="shared" si="43"/>
        <v>0</v>
      </c>
      <c r="G843" s="19"/>
      <c r="H843" s="24"/>
    </row>
    <row r="844" spans="2:9" ht="15" hidden="1" customHeight="1" outlineLevel="1" x14ac:dyDescent="0.25">
      <c r="B844" s="66" t="s">
        <v>257</v>
      </c>
      <c r="C844" s="19">
        <v>1000000</v>
      </c>
      <c r="D844" s="19">
        <v>1000</v>
      </c>
      <c r="E844" s="19">
        <f t="shared" si="42"/>
        <v>1000000</v>
      </c>
      <c r="F844" s="19">
        <f t="shared" si="43"/>
        <v>1000</v>
      </c>
      <c r="G844" s="19"/>
      <c r="H844" s="24"/>
    </row>
    <row r="845" spans="2:9" ht="15" hidden="1" customHeight="1" outlineLevel="1" x14ac:dyDescent="0.25">
      <c r="B845" s="66" t="s">
        <v>237</v>
      </c>
      <c r="C845" s="19">
        <v>1000000</v>
      </c>
      <c r="D845" s="19">
        <v>0</v>
      </c>
      <c r="E845" s="19">
        <f t="shared" si="42"/>
        <v>1000000</v>
      </c>
      <c r="F845" s="19">
        <f t="shared" si="43"/>
        <v>0</v>
      </c>
      <c r="G845" s="19"/>
      <c r="H845" s="24"/>
    </row>
    <row r="846" spans="2:9" ht="15" hidden="1" customHeight="1" outlineLevel="1" x14ac:dyDescent="0.25">
      <c r="B846" s="315" t="s">
        <v>511</v>
      </c>
      <c r="C846" s="316">
        <v>25000</v>
      </c>
      <c r="D846" s="316">
        <v>0</v>
      </c>
      <c r="E846" s="316">
        <f t="shared" si="42"/>
        <v>25000</v>
      </c>
      <c r="F846" s="316">
        <f t="shared" si="43"/>
        <v>0</v>
      </c>
      <c r="G846" s="316"/>
      <c r="H846" s="317"/>
    </row>
    <row r="847" spans="2:9" ht="15" hidden="1" customHeight="1" outlineLevel="1" x14ac:dyDescent="0.25">
      <c r="B847" s="66" t="s">
        <v>238</v>
      </c>
      <c r="C847" s="53" t="s">
        <v>796</v>
      </c>
      <c r="D847" s="19">
        <v>0</v>
      </c>
      <c r="E847" s="53" t="str">
        <f t="shared" si="42"/>
        <v>Statutory Limits</v>
      </c>
      <c r="F847" s="19">
        <f t="shared" si="43"/>
        <v>0</v>
      </c>
      <c r="G847" s="53"/>
      <c r="H847" s="24"/>
    </row>
    <row r="848" spans="2:9" ht="15" hidden="1" customHeight="1" outlineLevel="1" x14ac:dyDescent="0.25">
      <c r="B848" s="66" t="s">
        <v>239</v>
      </c>
      <c r="C848" s="19">
        <v>1000000</v>
      </c>
      <c r="D848" s="19">
        <v>0</v>
      </c>
      <c r="E848" s="19">
        <f t="shared" si="42"/>
        <v>1000000</v>
      </c>
      <c r="F848" s="19">
        <f t="shared" si="43"/>
        <v>0</v>
      </c>
      <c r="G848" s="19"/>
      <c r="H848" s="24"/>
    </row>
    <row r="849" spans="2:8" ht="15" hidden="1" customHeight="1" outlineLevel="1" x14ac:dyDescent="0.25">
      <c r="B849" s="66" t="s">
        <v>241</v>
      </c>
      <c r="C849" s="19">
        <v>1000000</v>
      </c>
      <c r="D849" s="19">
        <v>0</v>
      </c>
      <c r="E849" s="19">
        <f t="shared" si="42"/>
        <v>1000000</v>
      </c>
      <c r="F849" s="19">
        <f t="shared" si="43"/>
        <v>0</v>
      </c>
      <c r="G849" s="19"/>
      <c r="H849" s="24"/>
    </row>
    <row r="850" spans="2:8" ht="30" hidden="1" outlineLevel="1" x14ac:dyDescent="0.25">
      <c r="B850" s="66" t="s">
        <v>648</v>
      </c>
      <c r="C850" s="19">
        <v>100000</v>
      </c>
      <c r="D850" s="19">
        <v>0</v>
      </c>
      <c r="E850" s="19">
        <f t="shared" si="42"/>
        <v>100000</v>
      </c>
      <c r="F850" s="19">
        <f t="shared" si="43"/>
        <v>0</v>
      </c>
      <c r="G850" s="19"/>
      <c r="H850" s="24"/>
    </row>
    <row r="851" spans="2:8" ht="15" hidden="1" customHeight="1" outlineLevel="1" x14ac:dyDescent="0.25">
      <c r="B851" s="66" t="s">
        <v>240</v>
      </c>
      <c r="C851" s="19">
        <v>250000</v>
      </c>
      <c r="D851" s="19">
        <v>0</v>
      </c>
      <c r="E851" s="19">
        <f t="shared" si="42"/>
        <v>250000</v>
      </c>
      <c r="F851" s="19">
        <f t="shared" si="43"/>
        <v>0</v>
      </c>
      <c r="G851" s="19"/>
      <c r="H851" s="24"/>
    </row>
    <row r="852" spans="2:8" s="1197" customFormat="1" ht="13.5" customHeight="1" collapsed="1" x14ac:dyDescent="0.25"/>
    <row r="853" spans="2:8" ht="14.25" customHeight="1" x14ac:dyDescent="0.25">
      <c r="B853" s="1052" t="s">
        <v>1435</v>
      </c>
      <c r="F853" s="338" t="s">
        <v>437</v>
      </c>
      <c r="G853" s="1165" t="s">
        <v>537</v>
      </c>
      <c r="H853" s="1165"/>
    </row>
    <row r="854" spans="2:8" ht="93" hidden="1" customHeight="1" outlineLevel="1" x14ac:dyDescent="0.25">
      <c r="B854" t="s">
        <v>0</v>
      </c>
      <c r="C854" s="1208" t="s">
        <v>798</v>
      </c>
      <c r="D854" s="1208"/>
      <c r="E854" s="1208"/>
      <c r="F854" s="1208"/>
    </row>
    <row r="855" spans="2:8" ht="21" hidden="1" customHeight="1" outlineLevel="1" x14ac:dyDescent="0.25">
      <c r="B855" t="s">
        <v>1679</v>
      </c>
      <c r="C855" s="72" t="s">
        <v>1930</v>
      </c>
      <c r="D855" s="174"/>
      <c r="E855" s="174"/>
      <c r="F855" s="174"/>
    </row>
    <row r="856" spans="2:8" ht="15" hidden="1" customHeight="1" outlineLevel="1" x14ac:dyDescent="0.25">
      <c r="B856" t="s">
        <v>1680</v>
      </c>
      <c r="C856" s="72" t="s">
        <v>649</v>
      </c>
    </row>
    <row r="857" spans="2:8" ht="15" hidden="1" customHeight="1" outlineLevel="1" x14ac:dyDescent="0.25">
      <c r="B857" t="s">
        <v>131</v>
      </c>
      <c r="C857" t="s">
        <v>132</v>
      </c>
      <c r="D857" t="s">
        <v>133</v>
      </c>
      <c r="E857" t="s">
        <v>134</v>
      </c>
      <c r="F857" s="210" t="s">
        <v>392</v>
      </c>
      <c r="G857" s="1166"/>
      <c r="H857" s="1166"/>
    </row>
    <row r="858" spans="2:8" ht="15" hidden="1" customHeight="1" outlineLevel="1" x14ac:dyDescent="0.25">
      <c r="B858" s="176" t="s">
        <v>1829</v>
      </c>
      <c r="C858" s="571" t="str">
        <f>B858</f>
        <v>Westchester Surplus Lines Insurance Company (Chubb)</v>
      </c>
      <c r="D858" s="176" t="s">
        <v>1829</v>
      </c>
      <c r="E858" s="176"/>
      <c r="G858" s="1175"/>
      <c r="H858" s="1175"/>
    </row>
    <row r="859" spans="2:8" ht="15" hidden="1" customHeight="1" outlineLevel="1" x14ac:dyDescent="0.25">
      <c r="B859" t="s">
        <v>135</v>
      </c>
      <c r="C859" t="s">
        <v>136</v>
      </c>
      <c r="D859" t="s">
        <v>137</v>
      </c>
      <c r="E859" t="s">
        <v>139</v>
      </c>
    </row>
    <row r="860" spans="2:8" ht="15" hidden="1" customHeight="1" outlineLevel="1" x14ac:dyDescent="0.25">
      <c r="B860" s="18" t="s">
        <v>1280</v>
      </c>
      <c r="C860" t="str">
        <f>B860</f>
        <v>A++: XV</v>
      </c>
      <c r="D860" s="18" t="s">
        <v>1280</v>
      </c>
      <c r="E860" s="18"/>
    </row>
    <row r="861" spans="2:8" ht="15" hidden="1" customHeight="1" outlineLevel="1" x14ac:dyDescent="0.25">
      <c r="B861" t="s">
        <v>343</v>
      </c>
      <c r="C861" t="s">
        <v>3</v>
      </c>
      <c r="D861" t="s">
        <v>343</v>
      </c>
      <c r="E861" t="s">
        <v>141</v>
      </c>
    </row>
    <row r="862" spans="2:8" ht="15" hidden="1" customHeight="1" outlineLevel="1" x14ac:dyDescent="0.25">
      <c r="B862" s="123">
        <v>57505</v>
      </c>
      <c r="C862" s="4">
        <f>B862+B862*E880</f>
        <v>81647.781336536689</v>
      </c>
      <c r="D862" s="123">
        <v>60380</v>
      </c>
      <c r="E862" s="123"/>
    </row>
    <row r="863" spans="2:8" ht="15" hidden="1" customHeight="1" outlineLevel="1" x14ac:dyDescent="0.25">
      <c r="D863" t="s">
        <v>5</v>
      </c>
      <c r="E863" t="s">
        <v>6</v>
      </c>
    </row>
    <row r="864" spans="2:8" ht="15" hidden="1" customHeight="1" outlineLevel="1" x14ac:dyDescent="0.25">
      <c r="D864" s="3">
        <f>-(C862-D862)/C862</f>
        <v>-0.26048204848181877</v>
      </c>
      <c r="E864" s="3">
        <f>-(C862-E862)/C862</f>
        <v>-1</v>
      </c>
    </row>
    <row r="865" spans="2:7" ht="15" hidden="1" customHeight="1" outlineLevel="1" x14ac:dyDescent="0.25">
      <c r="B865" s="3" t="s">
        <v>1890</v>
      </c>
      <c r="C865" s="3" t="s">
        <v>686</v>
      </c>
      <c r="D865" s="3" t="s">
        <v>1890</v>
      </c>
      <c r="E865" s="3" t="s">
        <v>688</v>
      </c>
    </row>
    <row r="866" spans="2:7" ht="15" hidden="1" customHeight="1" outlineLevel="1" x14ac:dyDescent="0.25">
      <c r="B866" s="178">
        <v>0</v>
      </c>
      <c r="C866" s="179">
        <f>B866+B866*E880</f>
        <v>0</v>
      </c>
      <c r="D866" s="178"/>
      <c r="E866" s="178"/>
    </row>
    <row r="867" spans="2:7" ht="15" hidden="1" customHeight="1" outlineLevel="1" x14ac:dyDescent="0.25">
      <c r="B867" s="3" t="s">
        <v>1889</v>
      </c>
      <c r="C867" s="3" t="s">
        <v>782</v>
      </c>
      <c r="D867" s="3" t="s">
        <v>1889</v>
      </c>
      <c r="E867" s="3" t="s">
        <v>1889</v>
      </c>
    </row>
    <row r="868" spans="2:7" ht="15" hidden="1" customHeight="1" outlineLevel="1" x14ac:dyDescent="0.25">
      <c r="B868" s="129">
        <v>0.04</v>
      </c>
      <c r="C868" s="129">
        <v>0.04</v>
      </c>
      <c r="D868" s="129">
        <v>0.04</v>
      </c>
      <c r="E868" s="178"/>
    </row>
    <row r="869" spans="2:7" ht="15" hidden="1" customHeight="1" outlineLevel="1" x14ac:dyDescent="0.25">
      <c r="B869" s="3" t="s">
        <v>14</v>
      </c>
      <c r="C869" s="4" t="s">
        <v>15</v>
      </c>
      <c r="D869" s="4" t="s">
        <v>142</v>
      </c>
      <c r="E869" t="s">
        <v>143</v>
      </c>
      <c r="G869" s="129"/>
    </row>
    <row r="870" spans="2:7" ht="15" hidden="1" customHeight="1" outlineLevel="1" x14ac:dyDescent="0.25">
      <c r="B870" s="4">
        <f>B862+B866+(B862*B868)</f>
        <v>59805.2</v>
      </c>
      <c r="C870" s="4">
        <f>C862+C866+(C862*C868)</f>
        <v>84913.692589998158</v>
      </c>
      <c r="D870" s="4">
        <f>D862+D866+(D862*D868)</f>
        <v>62795.199999999997</v>
      </c>
      <c r="E870" s="4">
        <f>E862+E866+E868</f>
        <v>0</v>
      </c>
    </row>
    <row r="871" spans="2:7" ht="15" hidden="1" customHeight="1" outlineLevel="1" x14ac:dyDescent="0.25">
      <c r="B871" s="3" t="s">
        <v>998</v>
      </c>
      <c r="C871" s="3" t="s">
        <v>999</v>
      </c>
      <c r="D871" s="3" t="s">
        <v>1000</v>
      </c>
      <c r="E871" s="3" t="s">
        <v>1001</v>
      </c>
    </row>
    <row r="872" spans="2:7" ht="15" hidden="1" customHeight="1" outlineLevel="1" x14ac:dyDescent="0.25">
      <c r="B872" s="693"/>
      <c r="C872" s="157" t="s">
        <v>284</v>
      </c>
      <c r="D872" s="693"/>
      <c r="E872" s="693"/>
    </row>
    <row r="873" spans="2:7" ht="15" hidden="1" customHeight="1" outlineLevel="1" x14ac:dyDescent="0.25">
      <c r="B873" s="4"/>
      <c r="C873" s="4"/>
      <c r="D873" s="4"/>
      <c r="E873" s="4"/>
    </row>
    <row r="874" spans="2:7" ht="15" hidden="1" customHeight="1" outlineLevel="1" x14ac:dyDescent="0.25">
      <c r="B874" s="37" t="s">
        <v>7</v>
      </c>
    </row>
    <row r="875" spans="2:7" ht="15" hidden="1" customHeight="1" outlineLevel="1" x14ac:dyDescent="0.25">
      <c r="B875" s="78"/>
      <c r="C875" s="78" t="s">
        <v>207</v>
      </c>
      <c r="D875" s="79" t="s">
        <v>208</v>
      </c>
      <c r="E875" s="80" t="s">
        <v>13</v>
      </c>
    </row>
    <row r="876" spans="2:7" ht="15" hidden="1" customHeight="1" outlineLevel="1" x14ac:dyDescent="0.25">
      <c r="B876" s="38" t="s">
        <v>249</v>
      </c>
      <c r="C876" s="32">
        <v>510</v>
      </c>
      <c r="D876" s="158">
        <v>242</v>
      </c>
      <c r="E876" s="159">
        <f>D876/C876-1</f>
        <v>-0.52549019607843139</v>
      </c>
    </row>
    <row r="877" spans="2:7" ht="15" hidden="1" customHeight="1" outlineLevel="1" x14ac:dyDescent="0.25">
      <c r="B877" s="38" t="s">
        <v>342</v>
      </c>
      <c r="C877" s="19">
        <v>123628629</v>
      </c>
      <c r="D877" s="24">
        <v>215229199</v>
      </c>
      <c r="E877" s="159">
        <f>D877/C877-1</f>
        <v>0.74093331569664178</v>
      </c>
    </row>
    <row r="878" spans="2:7" ht="15" hidden="1" customHeight="1" outlineLevel="1" x14ac:dyDescent="0.25">
      <c r="B878" s="38" t="s">
        <v>248</v>
      </c>
      <c r="C878" s="19">
        <v>33217884</v>
      </c>
      <c r="D878" s="24">
        <v>87114339</v>
      </c>
      <c r="E878" s="159">
        <f>D878/C878-1</f>
        <v>1.6225131919901941</v>
      </c>
    </row>
    <row r="879" spans="2:7" ht="15" hidden="1" customHeight="1" outlineLevel="1" x14ac:dyDescent="0.25">
      <c r="B879" s="38" t="s">
        <v>250</v>
      </c>
      <c r="C879" s="19">
        <v>12940975</v>
      </c>
      <c r="D879" s="24">
        <v>10888478</v>
      </c>
      <c r="E879" s="159">
        <f>D879/C879-1</f>
        <v>-0.15860451009294119</v>
      </c>
    </row>
    <row r="880" spans="2:7" ht="15" hidden="1" customHeight="1" outlineLevel="1" x14ac:dyDescent="0.25">
      <c r="D880" s="10" t="s">
        <v>209</v>
      </c>
      <c r="E880" s="153">
        <f>AVERAGE(E876:E879)</f>
        <v>0.41983795037886584</v>
      </c>
    </row>
    <row r="881" spans="2:8" ht="15" hidden="1" customHeight="1" outlineLevel="1" x14ac:dyDescent="0.25">
      <c r="D881" s="51"/>
      <c r="E881" s="73"/>
    </row>
    <row r="882" spans="2:8" ht="15" hidden="1" customHeight="1" outlineLevel="1" x14ac:dyDescent="0.25">
      <c r="B882" s="64" t="s">
        <v>197</v>
      </c>
      <c r="C882" s="55"/>
      <c r="D882" s="51"/>
      <c r="E882" s="15"/>
      <c r="F882" s="2"/>
      <c r="G882" s="23"/>
      <c r="H882" s="23"/>
    </row>
    <row r="883" spans="2:8" ht="15" hidden="1" customHeight="1" outlineLevel="1" x14ac:dyDescent="0.25">
      <c r="B883" s="65"/>
      <c r="C883" s="1198" t="s">
        <v>62</v>
      </c>
      <c r="D883" s="1198"/>
      <c r="E883" s="1183" t="s">
        <v>67</v>
      </c>
      <c r="F883" s="1184"/>
      <c r="G883" s="1199" t="s">
        <v>68</v>
      </c>
      <c r="H883" s="1200"/>
    </row>
    <row r="884" spans="2:8" ht="15" hidden="1" customHeight="1" outlineLevel="1" x14ac:dyDescent="0.25">
      <c r="B884" s="66" t="s">
        <v>59</v>
      </c>
      <c r="C884" s="53" t="s">
        <v>200</v>
      </c>
      <c r="D884" s="68" t="s">
        <v>23</v>
      </c>
      <c r="E884" s="69" t="s">
        <v>200</v>
      </c>
      <c r="F884" s="1" t="s">
        <v>23</v>
      </c>
      <c r="G884" s="70" t="s">
        <v>200</v>
      </c>
      <c r="H884" s="67" t="s">
        <v>23</v>
      </c>
    </row>
    <row r="885" spans="2:8" ht="15" hidden="1" customHeight="1" outlineLevel="1" x14ac:dyDescent="0.25">
      <c r="B885" s="66" t="s">
        <v>800</v>
      </c>
      <c r="C885" s="1216">
        <v>5000000</v>
      </c>
      <c r="D885" s="635"/>
      <c r="E885" s="1219">
        <f>C885</f>
        <v>5000000</v>
      </c>
      <c r="F885" s="635"/>
      <c r="G885" s="1222"/>
      <c r="H885" s="635"/>
    </row>
    <row r="886" spans="2:8" ht="15" hidden="1" customHeight="1" outlineLevel="1" x14ac:dyDescent="0.25">
      <c r="B886" s="634" t="s">
        <v>812</v>
      </c>
      <c r="C886" s="1217"/>
      <c r="D886" s="631">
        <v>0</v>
      </c>
      <c r="E886" s="1220"/>
      <c r="F886" s="19">
        <f t="shared" ref="F886" si="44">D886</f>
        <v>0</v>
      </c>
      <c r="G886" s="1223"/>
      <c r="H886" s="631"/>
    </row>
    <row r="887" spans="2:8" ht="15" hidden="1" customHeight="1" outlineLevel="1" x14ac:dyDescent="0.25">
      <c r="B887" s="634" t="s">
        <v>813</v>
      </c>
      <c r="C887" s="1217"/>
      <c r="D887" s="631">
        <v>25000</v>
      </c>
      <c r="E887" s="1220"/>
      <c r="F887" s="19">
        <v>35000</v>
      </c>
      <c r="G887" s="1223"/>
      <c r="H887" s="631"/>
    </row>
    <row r="888" spans="2:8" ht="15" hidden="1" customHeight="1" outlineLevel="1" x14ac:dyDescent="0.25">
      <c r="B888" s="634" t="s">
        <v>814</v>
      </c>
      <c r="C888" s="1218"/>
      <c r="D888" s="631">
        <v>25000</v>
      </c>
      <c r="E888" s="1221"/>
      <c r="F888" s="19">
        <v>35000</v>
      </c>
      <c r="G888" s="1224"/>
      <c r="H888" s="631"/>
    </row>
    <row r="889" spans="2:8" ht="15" hidden="1" customHeight="1" outlineLevel="1" x14ac:dyDescent="0.25">
      <c r="B889" s="632" t="s">
        <v>802</v>
      </c>
      <c r="C889" s="340">
        <v>1000000</v>
      </c>
      <c r="D889" s="631">
        <v>0</v>
      </c>
      <c r="E889" s="19">
        <f t="shared" ref="E889:E900" si="45">C889</f>
        <v>1000000</v>
      </c>
      <c r="F889" s="19">
        <f t="shared" ref="F889:F900" si="46">D889</f>
        <v>0</v>
      </c>
      <c r="G889" s="340"/>
      <c r="H889" s="631"/>
    </row>
    <row r="890" spans="2:8" ht="15" hidden="1" customHeight="1" outlineLevel="1" x14ac:dyDescent="0.25">
      <c r="B890" s="632" t="s">
        <v>803</v>
      </c>
      <c r="C890" s="340">
        <v>500000</v>
      </c>
      <c r="D890" s="631">
        <v>0</v>
      </c>
      <c r="E890" s="19">
        <f t="shared" si="45"/>
        <v>500000</v>
      </c>
      <c r="F890" s="19">
        <f t="shared" si="46"/>
        <v>0</v>
      </c>
      <c r="G890" s="340"/>
      <c r="H890" s="631"/>
    </row>
    <row r="891" spans="2:8" ht="15" hidden="1" customHeight="1" outlineLevel="1" x14ac:dyDescent="0.25">
      <c r="B891" s="66" t="s">
        <v>210</v>
      </c>
      <c r="C891" s="22">
        <v>5000000</v>
      </c>
      <c r="D891" s="40">
        <v>50000</v>
      </c>
      <c r="E891" s="19">
        <f t="shared" si="45"/>
        <v>5000000</v>
      </c>
      <c r="F891" s="19">
        <f t="shared" si="46"/>
        <v>50000</v>
      </c>
      <c r="G891" s="22"/>
      <c r="H891" s="40"/>
    </row>
    <row r="892" spans="2:8" ht="15" hidden="1" customHeight="1" outlineLevel="1" x14ac:dyDescent="0.25">
      <c r="B892" s="632" t="s">
        <v>804</v>
      </c>
      <c r="C892" s="340">
        <v>0</v>
      </c>
      <c r="D892" s="631">
        <v>0</v>
      </c>
      <c r="E892" s="19">
        <f t="shared" si="45"/>
        <v>0</v>
      </c>
      <c r="F892" s="19">
        <f t="shared" si="46"/>
        <v>0</v>
      </c>
      <c r="G892" s="340"/>
      <c r="H892" s="631"/>
    </row>
    <row r="893" spans="2:8" ht="15" hidden="1" customHeight="1" outlineLevel="1" x14ac:dyDescent="0.25">
      <c r="B893" s="632" t="s">
        <v>805</v>
      </c>
      <c r="C893" s="340">
        <v>250000</v>
      </c>
      <c r="D893" s="631">
        <v>0</v>
      </c>
      <c r="E893" s="19">
        <f t="shared" si="45"/>
        <v>250000</v>
      </c>
      <c r="F893" s="19">
        <f t="shared" si="46"/>
        <v>0</v>
      </c>
      <c r="G893" s="340"/>
      <c r="H893" s="631"/>
    </row>
    <row r="894" spans="2:8" ht="15" hidden="1" customHeight="1" outlineLevel="1" x14ac:dyDescent="0.25">
      <c r="B894" s="66" t="s">
        <v>211</v>
      </c>
      <c r="C894" s="22">
        <v>5000000</v>
      </c>
      <c r="D894" s="40">
        <v>0</v>
      </c>
      <c r="E894" s="19">
        <f t="shared" si="45"/>
        <v>5000000</v>
      </c>
      <c r="F894" s="19">
        <f t="shared" si="46"/>
        <v>0</v>
      </c>
      <c r="G894" s="22"/>
      <c r="H894" s="40"/>
    </row>
    <row r="895" spans="2:8" ht="15" hidden="1" customHeight="1" outlineLevel="1" x14ac:dyDescent="0.25">
      <c r="B895" s="633" t="s">
        <v>806</v>
      </c>
      <c r="C895" s="22">
        <v>250000</v>
      </c>
      <c r="D895" s="40">
        <v>0</v>
      </c>
      <c r="E895" s="19">
        <f t="shared" si="45"/>
        <v>250000</v>
      </c>
      <c r="F895" s="19">
        <f t="shared" si="46"/>
        <v>0</v>
      </c>
      <c r="G895" s="22"/>
      <c r="H895" s="40"/>
    </row>
    <row r="896" spans="2:8" ht="15" hidden="1" customHeight="1" outlineLevel="1" x14ac:dyDescent="0.25">
      <c r="B896" s="633" t="s">
        <v>807</v>
      </c>
      <c r="C896" s="22">
        <v>250000</v>
      </c>
      <c r="D896" s="40">
        <v>0</v>
      </c>
      <c r="E896" s="19">
        <f t="shared" si="45"/>
        <v>250000</v>
      </c>
      <c r="F896" s="19">
        <f t="shared" si="46"/>
        <v>0</v>
      </c>
      <c r="G896" s="22"/>
      <c r="H896" s="40"/>
    </row>
    <row r="897" spans="2:8" ht="15" hidden="1" customHeight="1" outlineLevel="1" x14ac:dyDescent="0.25">
      <c r="B897" s="633" t="s">
        <v>808</v>
      </c>
      <c r="C897" s="22">
        <v>5000000</v>
      </c>
      <c r="D897" s="40">
        <v>0</v>
      </c>
      <c r="E897" s="19">
        <f t="shared" si="45"/>
        <v>5000000</v>
      </c>
      <c r="F897" s="19">
        <f t="shared" si="46"/>
        <v>0</v>
      </c>
      <c r="G897" s="22"/>
      <c r="H897" s="40"/>
    </row>
    <row r="898" spans="2:8" ht="15" hidden="1" customHeight="1" outlineLevel="1" x14ac:dyDescent="0.25">
      <c r="B898" s="633" t="s">
        <v>809</v>
      </c>
      <c r="C898" s="22">
        <v>500000</v>
      </c>
      <c r="D898" s="40">
        <v>0</v>
      </c>
      <c r="E898" s="19">
        <f t="shared" si="45"/>
        <v>500000</v>
      </c>
      <c r="F898" s="19">
        <f t="shared" si="46"/>
        <v>0</v>
      </c>
      <c r="G898" s="22"/>
      <c r="H898" s="40"/>
    </row>
    <row r="899" spans="2:8" ht="30" hidden="1" outlineLevel="1" x14ac:dyDescent="0.25">
      <c r="B899" s="633" t="s">
        <v>844</v>
      </c>
      <c r="C899" s="22">
        <v>500000</v>
      </c>
      <c r="D899" s="40">
        <v>0</v>
      </c>
      <c r="E899" s="19">
        <f t="shared" si="45"/>
        <v>500000</v>
      </c>
      <c r="F899" s="19">
        <f t="shared" si="46"/>
        <v>0</v>
      </c>
      <c r="G899" s="22"/>
      <c r="H899" s="40"/>
    </row>
    <row r="900" spans="2:8" ht="15" hidden="1" customHeight="1" outlineLevel="1" x14ac:dyDescent="0.25">
      <c r="B900" s="66" t="s">
        <v>810</v>
      </c>
      <c r="C900" s="22">
        <v>15000000</v>
      </c>
      <c r="D900" s="40" t="s">
        <v>284</v>
      </c>
      <c r="E900" s="19">
        <f t="shared" si="45"/>
        <v>15000000</v>
      </c>
      <c r="F900" s="19" t="str">
        <f t="shared" si="46"/>
        <v>N/A</v>
      </c>
      <c r="G900" s="22"/>
      <c r="H900" s="40"/>
    </row>
    <row r="901" spans="2:8" ht="15" hidden="1" customHeight="1" outlineLevel="1" x14ac:dyDescent="0.25">
      <c r="B901" s="1196" t="s">
        <v>212</v>
      </c>
      <c r="C901" s="1196"/>
      <c r="D901" s="1196"/>
      <c r="E901" s="1196"/>
      <c r="F901" s="1196"/>
      <c r="G901" s="1196"/>
      <c r="H901" s="1196"/>
    </row>
    <row r="902" spans="2:8" ht="15" hidden="1" customHeight="1" outlineLevel="1" x14ac:dyDescent="0.25">
      <c r="B902" s="66" t="s">
        <v>291</v>
      </c>
      <c r="C902" s="19">
        <v>0</v>
      </c>
      <c r="D902" s="19">
        <v>0</v>
      </c>
      <c r="E902" s="19">
        <f t="shared" ref="E902:E909" si="47">C902</f>
        <v>0</v>
      </c>
      <c r="F902" s="19">
        <f t="shared" ref="F902:F909" si="48">D902</f>
        <v>0</v>
      </c>
      <c r="G902" s="22"/>
      <c r="H902" s="40"/>
    </row>
    <row r="903" spans="2:8" ht="15" hidden="1" customHeight="1" outlineLevel="1" x14ac:dyDescent="0.25">
      <c r="B903" s="66" t="s">
        <v>292</v>
      </c>
      <c r="C903" s="19">
        <v>0</v>
      </c>
      <c r="D903" s="19">
        <v>0</v>
      </c>
      <c r="E903" s="19">
        <f t="shared" si="47"/>
        <v>0</v>
      </c>
      <c r="F903" s="19">
        <f t="shared" si="48"/>
        <v>0</v>
      </c>
      <c r="G903" s="22"/>
      <c r="H903" s="40"/>
    </row>
    <row r="904" spans="2:8" ht="15" hidden="1" customHeight="1" outlineLevel="1" x14ac:dyDescent="0.25">
      <c r="B904" s="66" t="s">
        <v>293</v>
      </c>
      <c r="C904" s="19">
        <v>0</v>
      </c>
      <c r="D904" s="19">
        <v>0</v>
      </c>
      <c r="E904" s="19">
        <f t="shared" si="47"/>
        <v>0</v>
      </c>
      <c r="F904" s="19">
        <f t="shared" si="48"/>
        <v>0</v>
      </c>
      <c r="G904" s="22"/>
      <c r="H904" s="40"/>
    </row>
    <row r="905" spans="2:8" ht="15" hidden="1" customHeight="1" outlineLevel="1" x14ac:dyDescent="0.25">
      <c r="B905" s="66" t="s">
        <v>801</v>
      </c>
      <c r="C905" s="19">
        <v>0</v>
      </c>
      <c r="D905" s="19">
        <v>0</v>
      </c>
      <c r="E905" s="19">
        <f t="shared" si="47"/>
        <v>0</v>
      </c>
      <c r="F905" s="19">
        <f t="shared" si="48"/>
        <v>0</v>
      </c>
      <c r="G905" s="22"/>
      <c r="H905" s="40"/>
    </row>
    <row r="906" spans="2:8" ht="15" hidden="1" customHeight="1" outlineLevel="1" x14ac:dyDescent="0.25">
      <c r="B906" s="66" t="s">
        <v>294</v>
      </c>
      <c r="C906" s="19">
        <v>0</v>
      </c>
      <c r="D906" s="19">
        <v>0</v>
      </c>
      <c r="E906" s="19">
        <f t="shared" si="47"/>
        <v>0</v>
      </c>
      <c r="F906" s="19">
        <f t="shared" si="48"/>
        <v>0</v>
      </c>
      <c r="G906" s="22"/>
      <c r="H906" s="40"/>
    </row>
    <row r="907" spans="2:8" ht="15" hidden="1" customHeight="1" outlineLevel="1" x14ac:dyDescent="0.25">
      <c r="B907" s="66" t="s">
        <v>295</v>
      </c>
      <c r="C907" s="19">
        <v>0</v>
      </c>
      <c r="D907" s="19">
        <v>0</v>
      </c>
      <c r="E907" s="19">
        <f t="shared" si="47"/>
        <v>0</v>
      </c>
      <c r="F907" s="19">
        <f t="shared" si="48"/>
        <v>0</v>
      </c>
      <c r="G907" s="22"/>
      <c r="H907" s="40"/>
    </row>
    <row r="908" spans="2:8" ht="15" hidden="1" customHeight="1" outlineLevel="1" x14ac:dyDescent="0.25">
      <c r="B908" s="66" t="s">
        <v>655</v>
      </c>
      <c r="C908" s="19">
        <v>0</v>
      </c>
      <c r="D908" s="19">
        <v>0</v>
      </c>
      <c r="E908" s="19">
        <f t="shared" si="47"/>
        <v>0</v>
      </c>
      <c r="F908" s="19">
        <f t="shared" si="48"/>
        <v>0</v>
      </c>
      <c r="G908" s="22"/>
      <c r="H908" s="40"/>
    </row>
    <row r="909" spans="2:8" ht="15" hidden="1" customHeight="1" outlineLevel="1" x14ac:dyDescent="0.25">
      <c r="B909" s="66" t="s">
        <v>296</v>
      </c>
      <c r="C909" s="74">
        <v>0</v>
      </c>
      <c r="D909" s="74">
        <v>0</v>
      </c>
      <c r="E909" s="74">
        <f t="shared" si="47"/>
        <v>0</v>
      </c>
      <c r="F909" s="19">
        <f t="shared" si="48"/>
        <v>0</v>
      </c>
      <c r="G909" s="71"/>
      <c r="H909" s="136"/>
    </row>
    <row r="910" spans="2:8" ht="15" hidden="1" customHeight="1" outlineLevel="1" x14ac:dyDescent="0.25">
      <c r="B910" s="66" t="s">
        <v>274</v>
      </c>
      <c r="C910" s="74">
        <v>0</v>
      </c>
      <c r="D910" s="74">
        <v>0</v>
      </c>
      <c r="E910" s="74">
        <f t="shared" ref="E910:E911" si="49">C910</f>
        <v>0</v>
      </c>
      <c r="F910" s="19">
        <f t="shared" ref="F910:F911" si="50">D910</f>
        <v>0</v>
      </c>
      <c r="G910" s="71"/>
      <c r="H910" s="136"/>
    </row>
    <row r="911" spans="2:8" ht="15" hidden="1" customHeight="1" outlineLevel="1" x14ac:dyDescent="0.25">
      <c r="B911" s="66" t="s">
        <v>811</v>
      </c>
      <c r="C911" s="74">
        <v>0</v>
      </c>
      <c r="D911" s="74">
        <v>0</v>
      </c>
      <c r="E911" s="74">
        <f t="shared" si="49"/>
        <v>0</v>
      </c>
      <c r="F911" s="19">
        <f t="shared" si="50"/>
        <v>0</v>
      </c>
      <c r="G911" s="71"/>
      <c r="H911" s="136"/>
    </row>
    <row r="912" spans="2:8" s="1197" customFormat="1" ht="13.5" customHeight="1" collapsed="1" x14ac:dyDescent="0.25"/>
    <row r="913" spans="2:8" ht="15" customHeight="1" x14ac:dyDescent="0.25">
      <c r="B913" s="1052" t="s">
        <v>289</v>
      </c>
      <c r="F913" s="338" t="s">
        <v>437</v>
      </c>
      <c r="G913" s="1165" t="s">
        <v>537</v>
      </c>
      <c r="H913" s="1165"/>
    </row>
    <row r="914" spans="2:8" ht="15" hidden="1" customHeight="1" outlineLevel="1" x14ac:dyDescent="0.25">
      <c r="B914" t="s">
        <v>0</v>
      </c>
      <c r="C914" t="s">
        <v>797</v>
      </c>
    </row>
    <row r="915" spans="2:8" ht="15" hidden="1" customHeight="1" outlineLevel="1" x14ac:dyDescent="0.25">
      <c r="B915" t="s">
        <v>1679</v>
      </c>
      <c r="C915" s="72" t="s">
        <v>1437</v>
      </c>
    </row>
    <row r="916" spans="2:8" ht="15" hidden="1" customHeight="1" outlineLevel="1" x14ac:dyDescent="0.25">
      <c r="B916" t="s">
        <v>1680</v>
      </c>
      <c r="C916" s="72" t="s">
        <v>649</v>
      </c>
    </row>
    <row r="917" spans="2:8" ht="15" hidden="1" customHeight="1" outlineLevel="1" x14ac:dyDescent="0.25">
      <c r="B917" t="s">
        <v>131</v>
      </c>
      <c r="C917" t="s">
        <v>132</v>
      </c>
      <c r="D917" t="s">
        <v>133</v>
      </c>
      <c r="E917" t="s">
        <v>134</v>
      </c>
      <c r="F917" s="210" t="s">
        <v>392</v>
      </c>
      <c r="G917" s="1166"/>
      <c r="H917" s="1166"/>
    </row>
    <row r="918" spans="2:8" ht="15" hidden="1" customHeight="1" outlineLevel="1" x14ac:dyDescent="0.25">
      <c r="B918" s="176" t="s">
        <v>1436</v>
      </c>
      <c r="C918" s="571" t="str">
        <f>B918</f>
        <v>Federal Insurance Company (Chubb)</v>
      </c>
      <c r="D918" s="176" t="str">
        <f>B918</f>
        <v>Federal Insurance Company (Chubb)</v>
      </c>
      <c r="E918" s="176"/>
      <c r="G918" s="1175"/>
      <c r="H918" s="1175"/>
    </row>
    <row r="919" spans="2:8" ht="15" hidden="1" customHeight="1" outlineLevel="1" x14ac:dyDescent="0.25">
      <c r="B919" t="s">
        <v>135</v>
      </c>
      <c r="C919" t="s">
        <v>136</v>
      </c>
      <c r="D919" t="s">
        <v>135</v>
      </c>
      <c r="E919" t="s">
        <v>137</v>
      </c>
    </row>
    <row r="920" spans="2:8" ht="15" hidden="1" customHeight="1" outlineLevel="1" x14ac:dyDescent="0.25">
      <c r="B920" s="18" t="s">
        <v>1280</v>
      </c>
      <c r="C920" t="str">
        <f>B920</f>
        <v>A++: XV</v>
      </c>
      <c r="D920" s="18" t="str">
        <f>B920</f>
        <v>A++: XV</v>
      </c>
      <c r="E920" s="18"/>
    </row>
    <row r="921" spans="2:8" ht="15" hidden="1" customHeight="1" outlineLevel="1" x14ac:dyDescent="0.25">
      <c r="B921" t="s">
        <v>2</v>
      </c>
      <c r="C921" t="s">
        <v>3</v>
      </c>
      <c r="D921" t="s">
        <v>140</v>
      </c>
      <c r="E921" t="s">
        <v>141</v>
      </c>
    </row>
    <row r="922" spans="2:8" ht="15" hidden="1" customHeight="1" outlineLevel="1" x14ac:dyDescent="0.25">
      <c r="B922" s="123">
        <v>13476</v>
      </c>
      <c r="C922" s="4">
        <f>B922+B922*E939</f>
        <v>21706.361502521919</v>
      </c>
      <c r="D922" s="123">
        <v>13473</v>
      </c>
      <c r="E922" s="123"/>
    </row>
    <row r="923" spans="2:8" ht="15" hidden="1" customHeight="1" outlineLevel="1" x14ac:dyDescent="0.25">
      <c r="D923" t="s">
        <v>5</v>
      </c>
      <c r="E923" t="s">
        <v>6</v>
      </c>
    </row>
    <row r="924" spans="2:8" ht="15" hidden="1" customHeight="1" outlineLevel="1" x14ac:dyDescent="0.25">
      <c r="D924" s="3">
        <f>-(C922-D922)/C922</f>
        <v>-0.37930638451614007</v>
      </c>
      <c r="E924" s="3">
        <f>-(C922-E922)/C922</f>
        <v>-1</v>
      </c>
    </row>
    <row r="925" spans="2:8" ht="15" hidden="1" customHeight="1" outlineLevel="1" x14ac:dyDescent="0.25">
      <c r="B925" s="3" t="s">
        <v>685</v>
      </c>
      <c r="C925" s="3" t="s">
        <v>686</v>
      </c>
      <c r="D925" s="3" t="s">
        <v>687</v>
      </c>
      <c r="E925" s="3" t="s">
        <v>688</v>
      </c>
    </row>
    <row r="926" spans="2:8" ht="15" hidden="1" customHeight="1" outlineLevel="1" x14ac:dyDescent="0.25">
      <c r="B926" s="178">
        <v>0</v>
      </c>
      <c r="C926" s="179">
        <f>B926+B926*E939</f>
        <v>0</v>
      </c>
      <c r="D926" s="178">
        <v>0</v>
      </c>
      <c r="E926" s="178"/>
    </row>
    <row r="927" spans="2:8" ht="15" hidden="1" customHeight="1" outlineLevel="1" x14ac:dyDescent="0.25">
      <c r="B927" s="3" t="s">
        <v>203</v>
      </c>
      <c r="C927" s="3" t="s">
        <v>204</v>
      </c>
      <c r="D927" s="3" t="s">
        <v>205</v>
      </c>
      <c r="E927" s="3" t="s">
        <v>206</v>
      </c>
    </row>
    <row r="928" spans="2:8" ht="15" hidden="1" customHeight="1" outlineLevel="1" x14ac:dyDescent="0.25">
      <c r="B928" s="178">
        <v>0</v>
      </c>
      <c r="C928" s="179">
        <f>B928+B928*E939</f>
        <v>0</v>
      </c>
      <c r="D928" s="178">
        <v>0</v>
      </c>
      <c r="E928" s="178"/>
    </row>
    <row r="929" spans="2:8" ht="15" hidden="1" customHeight="1" outlineLevel="1" x14ac:dyDescent="0.25">
      <c r="B929" s="3" t="s">
        <v>14</v>
      </c>
      <c r="C929" s="4" t="s">
        <v>15</v>
      </c>
      <c r="D929" s="4" t="s">
        <v>142</v>
      </c>
      <c r="E929" t="s">
        <v>143</v>
      </c>
    </row>
    <row r="930" spans="2:8" ht="15" hidden="1" customHeight="1" outlineLevel="1" x14ac:dyDescent="0.25">
      <c r="B930" s="4">
        <f>B922+B926+B928</f>
        <v>13476</v>
      </c>
      <c r="C930" s="4">
        <f>C922+C926+C928</f>
        <v>21706.361502521919</v>
      </c>
      <c r="D930" s="4">
        <f>D922+D926+D928</f>
        <v>13473</v>
      </c>
      <c r="E930" s="4">
        <f>E922+E926+E928</f>
        <v>0</v>
      </c>
    </row>
    <row r="931" spans="2:8" ht="15" hidden="1" customHeight="1" outlineLevel="1" x14ac:dyDescent="0.25">
      <c r="B931" s="3" t="s">
        <v>998</v>
      </c>
      <c r="C931" s="3" t="s">
        <v>999</v>
      </c>
      <c r="D931" s="3" t="s">
        <v>1000</v>
      </c>
      <c r="E931" s="3" t="s">
        <v>1001</v>
      </c>
    </row>
    <row r="932" spans="2:8" ht="15" hidden="1" customHeight="1" outlineLevel="1" x14ac:dyDescent="0.25">
      <c r="B932" s="693"/>
      <c r="C932" s="157" t="s">
        <v>284</v>
      </c>
      <c r="D932" s="693"/>
      <c r="E932" s="693"/>
    </row>
    <row r="933" spans="2:8" ht="15" hidden="1" customHeight="1" outlineLevel="1" x14ac:dyDescent="0.25">
      <c r="B933" s="4"/>
      <c r="C933" s="4"/>
      <c r="D933" s="4"/>
      <c r="E933" s="4"/>
    </row>
    <row r="934" spans="2:8" ht="15" hidden="1" customHeight="1" outlineLevel="1" x14ac:dyDescent="0.25">
      <c r="B934" s="37" t="s">
        <v>7</v>
      </c>
    </row>
    <row r="935" spans="2:8" ht="15" hidden="1" customHeight="1" outlineLevel="1" x14ac:dyDescent="0.25">
      <c r="B935" s="78"/>
      <c r="C935" s="78" t="s">
        <v>207</v>
      </c>
      <c r="D935" s="79" t="s">
        <v>208</v>
      </c>
      <c r="E935" s="80" t="s">
        <v>13</v>
      </c>
    </row>
    <row r="936" spans="2:8" ht="15" hidden="1" customHeight="1" outlineLevel="1" x14ac:dyDescent="0.25">
      <c r="B936" s="38" t="s">
        <v>290</v>
      </c>
      <c r="C936" s="19">
        <v>123628629</v>
      </c>
      <c r="D936" s="24">
        <v>215229199</v>
      </c>
      <c r="E936" s="159">
        <f>-(C936-D936)/C936</f>
        <v>0.74093331569664178</v>
      </c>
    </row>
    <row r="937" spans="2:8" ht="15" hidden="1" customHeight="1" outlineLevel="1" x14ac:dyDescent="0.25">
      <c r="B937" s="38" t="s">
        <v>248</v>
      </c>
      <c r="C937" s="19">
        <v>33290619</v>
      </c>
      <c r="D937" s="24">
        <v>87114339</v>
      </c>
      <c r="E937" s="159">
        <f>-(C937-D937)/C937</f>
        <v>1.6167833947455288</v>
      </c>
    </row>
    <row r="938" spans="2:8" ht="15" hidden="1" customHeight="1" outlineLevel="1" x14ac:dyDescent="0.25">
      <c r="B938" s="38" t="s">
        <v>249</v>
      </c>
      <c r="C938" s="32">
        <v>510</v>
      </c>
      <c r="D938" s="158">
        <v>242</v>
      </c>
      <c r="E938" s="159">
        <f>-(C938-D938)/C938</f>
        <v>-0.52549019607843139</v>
      </c>
    </row>
    <row r="939" spans="2:8" ht="15" hidden="1" customHeight="1" outlineLevel="1" x14ac:dyDescent="0.25">
      <c r="D939" s="10" t="s">
        <v>209</v>
      </c>
      <c r="E939" s="153">
        <f>AVERAGE(E936:E938)</f>
        <v>0.61074217145457987</v>
      </c>
    </row>
    <row r="940" spans="2:8" ht="15" hidden="1" customHeight="1" outlineLevel="1" x14ac:dyDescent="0.25">
      <c r="D940" s="51"/>
      <c r="E940" s="73"/>
    </row>
    <row r="941" spans="2:8" ht="15" hidden="1" customHeight="1" outlineLevel="1" x14ac:dyDescent="0.25">
      <c r="B941" s="64" t="s">
        <v>197</v>
      </c>
      <c r="C941" s="55"/>
      <c r="D941" s="51"/>
      <c r="E941" s="15"/>
      <c r="F941" s="2"/>
      <c r="G941" s="23"/>
      <c r="H941" s="23"/>
    </row>
    <row r="942" spans="2:8" ht="15" hidden="1" customHeight="1" outlineLevel="1" x14ac:dyDescent="0.25">
      <c r="B942" s="65"/>
      <c r="C942" s="1198" t="s">
        <v>62</v>
      </c>
      <c r="D942" s="1198"/>
      <c r="E942" s="1183" t="s">
        <v>67</v>
      </c>
      <c r="F942" s="1184"/>
      <c r="G942" s="1199" t="s">
        <v>68</v>
      </c>
      <c r="H942" s="1200"/>
    </row>
    <row r="943" spans="2:8" ht="15" hidden="1" customHeight="1" outlineLevel="1" x14ac:dyDescent="0.25">
      <c r="B943" s="66" t="s">
        <v>59</v>
      </c>
      <c r="C943" s="53" t="s">
        <v>200</v>
      </c>
      <c r="D943" s="68" t="s">
        <v>23</v>
      </c>
      <c r="E943" s="69" t="s">
        <v>200</v>
      </c>
      <c r="F943" s="1" t="s">
        <v>23</v>
      </c>
      <c r="G943" s="70" t="s">
        <v>200</v>
      </c>
      <c r="H943" s="67" t="s">
        <v>23</v>
      </c>
    </row>
    <row r="944" spans="2:8" ht="15" hidden="1" customHeight="1" outlineLevel="1" x14ac:dyDescent="0.25">
      <c r="B944" s="66" t="s">
        <v>291</v>
      </c>
      <c r="C944" s="19">
        <v>5000000</v>
      </c>
      <c r="D944" s="19">
        <v>10000</v>
      </c>
      <c r="E944" s="19">
        <f>C944</f>
        <v>5000000</v>
      </c>
      <c r="F944" s="19">
        <f>D944</f>
        <v>10000</v>
      </c>
      <c r="G944" s="22"/>
      <c r="H944" s="40"/>
    </row>
    <row r="945" spans="2:8" ht="15" hidden="1" customHeight="1" outlineLevel="1" x14ac:dyDescent="0.25">
      <c r="B945" s="66" t="s">
        <v>292</v>
      </c>
      <c r="C945" s="19">
        <v>5000000</v>
      </c>
      <c r="D945" s="19">
        <v>10000</v>
      </c>
      <c r="E945" s="19">
        <f t="shared" ref="E945:E951" si="51">C945</f>
        <v>5000000</v>
      </c>
      <c r="F945" s="19">
        <f t="shared" ref="F945:F951" si="52">D945</f>
        <v>10000</v>
      </c>
      <c r="G945" s="22"/>
      <c r="H945" s="40"/>
    </row>
    <row r="946" spans="2:8" ht="15" hidden="1" customHeight="1" outlineLevel="1" x14ac:dyDescent="0.25">
      <c r="B946" s="66" t="s">
        <v>293</v>
      </c>
      <c r="C946" s="19">
        <v>5000000</v>
      </c>
      <c r="D946" s="19">
        <v>10000</v>
      </c>
      <c r="E946" s="19">
        <f t="shared" si="51"/>
        <v>5000000</v>
      </c>
      <c r="F946" s="19">
        <f t="shared" si="52"/>
        <v>10000</v>
      </c>
      <c r="G946" s="22"/>
      <c r="H946" s="40"/>
    </row>
    <row r="947" spans="2:8" ht="15" hidden="1" customHeight="1" outlineLevel="1" x14ac:dyDescent="0.25">
      <c r="B947" s="66" t="s">
        <v>801</v>
      </c>
      <c r="C947" s="19">
        <v>5000000</v>
      </c>
      <c r="D947" s="19">
        <v>10000</v>
      </c>
      <c r="E947" s="19">
        <f t="shared" si="51"/>
        <v>5000000</v>
      </c>
      <c r="F947" s="19">
        <f t="shared" si="52"/>
        <v>10000</v>
      </c>
      <c r="G947" s="22"/>
      <c r="H947" s="40"/>
    </row>
    <row r="948" spans="2:8" ht="15" hidden="1" customHeight="1" outlineLevel="1" x14ac:dyDescent="0.25">
      <c r="B948" s="66" t="s">
        <v>2110</v>
      </c>
      <c r="C948" s="19">
        <v>5000000</v>
      </c>
      <c r="D948" s="19">
        <v>10000</v>
      </c>
      <c r="E948" s="19">
        <f t="shared" si="51"/>
        <v>5000000</v>
      </c>
      <c r="F948" s="19">
        <f t="shared" si="52"/>
        <v>10000</v>
      </c>
      <c r="G948" s="22"/>
      <c r="H948" s="40"/>
    </row>
    <row r="949" spans="2:8" ht="15" hidden="1" customHeight="1" outlineLevel="1" x14ac:dyDescent="0.25">
      <c r="B949" s="66" t="s">
        <v>295</v>
      </c>
      <c r="C949" s="19">
        <v>5000000</v>
      </c>
      <c r="D949" s="19">
        <v>10000</v>
      </c>
      <c r="E949" s="19">
        <f t="shared" si="51"/>
        <v>5000000</v>
      </c>
      <c r="F949" s="19">
        <f t="shared" si="52"/>
        <v>10000</v>
      </c>
      <c r="G949" s="22"/>
      <c r="H949" s="40"/>
    </row>
    <row r="950" spans="2:8" ht="15" hidden="1" customHeight="1" outlineLevel="1" x14ac:dyDescent="0.25">
      <c r="B950" s="66" t="s">
        <v>655</v>
      </c>
      <c r="C950" s="19">
        <v>5000000</v>
      </c>
      <c r="D950" s="19">
        <v>10000</v>
      </c>
      <c r="E950" s="19">
        <f t="shared" si="51"/>
        <v>5000000</v>
      </c>
      <c r="F950" s="19">
        <f t="shared" si="52"/>
        <v>10000</v>
      </c>
      <c r="G950" s="22"/>
      <c r="H950" s="40"/>
    </row>
    <row r="951" spans="2:8" ht="15" hidden="1" customHeight="1" outlineLevel="1" x14ac:dyDescent="0.25">
      <c r="B951" s="66" t="s">
        <v>296</v>
      </c>
      <c r="C951" s="19">
        <v>5000000</v>
      </c>
      <c r="D951" s="19">
        <v>10000</v>
      </c>
      <c r="E951" s="19">
        <f t="shared" si="51"/>
        <v>5000000</v>
      </c>
      <c r="F951" s="19">
        <f t="shared" si="52"/>
        <v>10000</v>
      </c>
      <c r="G951" s="22"/>
      <c r="H951" s="40"/>
    </row>
    <row r="952" spans="2:8" ht="15" hidden="1" customHeight="1" outlineLevel="1" x14ac:dyDescent="0.25">
      <c r="B952" s="66" t="s">
        <v>274</v>
      </c>
      <c r="C952" s="19">
        <v>250000</v>
      </c>
      <c r="D952" s="19">
        <v>10000</v>
      </c>
      <c r="E952" s="19">
        <v>250000</v>
      </c>
      <c r="F952" s="19">
        <f t="shared" ref="F952" si="53">D952</f>
        <v>10000</v>
      </c>
      <c r="G952" s="22"/>
      <c r="H952" s="40"/>
    </row>
    <row r="953" spans="2:8" ht="15" hidden="1" customHeight="1" outlineLevel="1" x14ac:dyDescent="0.25">
      <c r="B953" s="66"/>
      <c r="C953" s="19"/>
      <c r="D953" s="19"/>
      <c r="E953" s="19"/>
      <c r="F953" s="19"/>
      <c r="G953" s="22"/>
      <c r="H953" s="40"/>
    </row>
    <row r="954" spans="2:8" s="1197" customFormat="1" ht="13.5" customHeight="1" collapsed="1" x14ac:dyDescent="0.25"/>
    <row r="955" spans="2:8" x14ac:dyDescent="0.25">
      <c r="B955" s="1052" t="s">
        <v>1236</v>
      </c>
      <c r="F955" s="338" t="s">
        <v>437</v>
      </c>
      <c r="G955" s="1165" t="s">
        <v>537</v>
      </c>
      <c r="H955" s="1165"/>
    </row>
    <row r="956" spans="2:8" hidden="1" outlineLevel="1" x14ac:dyDescent="0.25">
      <c r="B956" t="s">
        <v>0</v>
      </c>
      <c r="C956" t="s">
        <v>201</v>
      </c>
    </row>
    <row r="957" spans="2:8" hidden="1" outlineLevel="1" x14ac:dyDescent="0.25">
      <c r="B957" t="s">
        <v>1679</v>
      </c>
      <c r="C957" s="18" t="s">
        <v>1916</v>
      </c>
    </row>
    <row r="958" spans="2:8" hidden="1" outlineLevel="1" x14ac:dyDescent="0.25">
      <c r="B958" t="s">
        <v>1680</v>
      </c>
      <c r="C958" s="18" t="s">
        <v>649</v>
      </c>
    </row>
    <row r="959" spans="2:8" hidden="1" outlineLevel="1" x14ac:dyDescent="0.25">
      <c r="B959" t="s">
        <v>131</v>
      </c>
      <c r="C959" t="s">
        <v>132</v>
      </c>
      <c r="D959" t="s">
        <v>133</v>
      </c>
      <c r="E959" t="s">
        <v>134</v>
      </c>
      <c r="F959" s="210" t="s">
        <v>392</v>
      </c>
      <c r="G959" s="1166"/>
      <c r="H959" s="1166"/>
    </row>
    <row r="960" spans="2:8" hidden="1" outlineLevel="1" x14ac:dyDescent="0.25">
      <c r="B960" s="176" t="s">
        <v>1824</v>
      </c>
      <c r="C960" s="571" t="str">
        <f>B960</f>
        <v>Beazley</v>
      </c>
      <c r="D960" s="176" t="s">
        <v>1824</v>
      </c>
      <c r="E960" s="176" t="s">
        <v>1824</v>
      </c>
      <c r="G960" s="1175"/>
      <c r="H960" s="1175"/>
    </row>
    <row r="961" spans="2:6" hidden="1" outlineLevel="1" x14ac:dyDescent="0.25">
      <c r="B961" t="s">
        <v>135</v>
      </c>
      <c r="C961" t="s">
        <v>136</v>
      </c>
      <c r="D961" t="s">
        <v>137</v>
      </c>
      <c r="E961" t="s">
        <v>139</v>
      </c>
    </row>
    <row r="962" spans="2:6" hidden="1" outlineLevel="1" x14ac:dyDescent="0.25">
      <c r="B962" s="18" t="s">
        <v>1116</v>
      </c>
      <c r="C962" t="str">
        <f>B962</f>
        <v>A: XV</v>
      </c>
      <c r="D962" s="18" t="s">
        <v>1116</v>
      </c>
      <c r="E962" s="18" t="s">
        <v>1116</v>
      </c>
    </row>
    <row r="963" spans="2:6" hidden="1" outlineLevel="1" x14ac:dyDescent="0.25">
      <c r="B963" t="s">
        <v>2</v>
      </c>
      <c r="C963" t="s">
        <v>3</v>
      </c>
      <c r="D963" t="s">
        <v>140</v>
      </c>
      <c r="E963" t="s">
        <v>141</v>
      </c>
    </row>
    <row r="964" spans="2:6" hidden="1" outlineLevel="1" x14ac:dyDescent="0.25">
      <c r="B964" s="123">
        <v>129500</v>
      </c>
      <c r="C964" s="4">
        <f>B964+B964*E983</f>
        <v>253786.0091228669</v>
      </c>
      <c r="D964" s="123">
        <v>165000</v>
      </c>
      <c r="E964" s="123">
        <v>165000</v>
      </c>
      <c r="F964" s="4"/>
    </row>
    <row r="965" spans="2:6" hidden="1" outlineLevel="1" x14ac:dyDescent="0.25">
      <c r="B965" s="4" t="s">
        <v>543</v>
      </c>
      <c r="C965" s="4" t="str">
        <f>B965</f>
        <v>Blended Rate per $100 of Exposure</v>
      </c>
      <c r="D965" s="4" t="str">
        <f>B965</f>
        <v>Blended Rate per $100 of Exposure</v>
      </c>
      <c r="E965" s="4" t="str">
        <f>B965</f>
        <v>Blended Rate per $100 of Exposure</v>
      </c>
      <c r="F965" s="4"/>
    </row>
    <row r="966" spans="2:6" hidden="1" outlineLevel="1" x14ac:dyDescent="0.25">
      <c r="B966" s="289">
        <f>B964/(C982/100)</f>
        <v>8.8395904436860073E-2</v>
      </c>
      <c r="C966" s="289">
        <f>C964/(E982/100)</f>
        <v>8.8395904436860059E-2</v>
      </c>
      <c r="D966" s="289">
        <f>D964/(E982/100)</f>
        <v>5.7470954693253529E-2</v>
      </c>
      <c r="E966" s="289">
        <f>E964/(E982/100)</f>
        <v>5.7470954693253529E-2</v>
      </c>
      <c r="F966" s="4"/>
    </row>
    <row r="967" spans="2:6" hidden="1" outlineLevel="1" x14ac:dyDescent="0.25">
      <c r="D967" t="s">
        <v>5</v>
      </c>
      <c r="E967" t="s">
        <v>6</v>
      </c>
    </row>
    <row r="968" spans="2:6" hidden="1" outlineLevel="1" x14ac:dyDescent="0.25">
      <c r="D968" s="3">
        <f>-(C964-D964)/C964</f>
        <v>-0.34984595655894651</v>
      </c>
      <c r="E968" s="3">
        <f>-(C964-E964)/C964</f>
        <v>-0.34984595655894651</v>
      </c>
    </row>
    <row r="969" spans="2:6" hidden="1" outlineLevel="1" x14ac:dyDescent="0.25">
      <c r="B969" s="3" t="s">
        <v>781</v>
      </c>
      <c r="C969" s="3" t="s">
        <v>782</v>
      </c>
      <c r="D969" s="3" t="s">
        <v>783</v>
      </c>
      <c r="E969" s="3" t="s">
        <v>784</v>
      </c>
    </row>
    <row r="970" spans="2:6" hidden="1" outlineLevel="1" x14ac:dyDescent="0.25">
      <c r="B970" s="129">
        <v>0.04</v>
      </c>
      <c r="C970" s="3">
        <f>B970</f>
        <v>0.04</v>
      </c>
      <c r="D970" s="129">
        <v>0.04</v>
      </c>
      <c r="E970" s="129">
        <v>0.04</v>
      </c>
    </row>
    <row r="971" spans="2:6" hidden="1" outlineLevel="1" x14ac:dyDescent="0.25">
      <c r="B971" s="3" t="s">
        <v>785</v>
      </c>
      <c r="C971" s="3" t="s">
        <v>786</v>
      </c>
      <c r="D971" s="3" t="s">
        <v>787</v>
      </c>
      <c r="E971" s="3" t="s">
        <v>788</v>
      </c>
    </row>
    <row r="972" spans="2:6" hidden="1" outlineLevel="1" x14ac:dyDescent="0.25">
      <c r="B972" s="178"/>
      <c r="C972" s="179">
        <f>B972</f>
        <v>0</v>
      </c>
      <c r="D972" s="178"/>
      <c r="E972" s="178"/>
    </row>
    <row r="973" spans="2:6" hidden="1" outlineLevel="1" x14ac:dyDescent="0.25">
      <c r="B973" s="3" t="s">
        <v>203</v>
      </c>
      <c r="C973" s="3" t="s">
        <v>204</v>
      </c>
      <c r="D973" s="3" t="s">
        <v>205</v>
      </c>
      <c r="E973" s="3" t="s">
        <v>206</v>
      </c>
    </row>
    <row r="974" spans="2:6" hidden="1" outlineLevel="1" x14ac:dyDescent="0.25">
      <c r="B974" s="178"/>
      <c r="C974" s="179">
        <f>B974+B974*E983</f>
        <v>0</v>
      </c>
      <c r="D974" s="178"/>
      <c r="E974" s="178"/>
    </row>
    <row r="975" spans="2:6" hidden="1" outlineLevel="1" x14ac:dyDescent="0.25">
      <c r="B975" s="3" t="s">
        <v>14</v>
      </c>
      <c r="C975" s="4" t="s">
        <v>15</v>
      </c>
      <c r="D975" s="4" t="s">
        <v>142</v>
      </c>
      <c r="E975" t="s">
        <v>143</v>
      </c>
    </row>
    <row r="976" spans="2:6" hidden="1" outlineLevel="1" x14ac:dyDescent="0.25">
      <c r="B976" s="4">
        <f>B964+(B964*B970)+B972+B974</f>
        <v>134680</v>
      </c>
      <c r="C976" s="4">
        <f t="shared" ref="C976:E976" si="54">C964+(C964*C970)+C972+C974</f>
        <v>263937.44948778156</v>
      </c>
      <c r="D976" s="4">
        <f t="shared" si="54"/>
        <v>171600</v>
      </c>
      <c r="E976" s="4">
        <f t="shared" si="54"/>
        <v>171600</v>
      </c>
      <c r="F976" s="4"/>
    </row>
    <row r="977" spans="2:9" hidden="1" outlineLevel="1" x14ac:dyDescent="0.25">
      <c r="B977" s="3" t="s">
        <v>998</v>
      </c>
      <c r="C977" s="3" t="s">
        <v>999</v>
      </c>
      <c r="D977" s="3" t="s">
        <v>1000</v>
      </c>
      <c r="E977" s="3" t="s">
        <v>1001</v>
      </c>
      <c r="F977" s="4"/>
    </row>
    <row r="978" spans="2:9" hidden="1" outlineLevel="1" x14ac:dyDescent="0.25">
      <c r="B978" s="693"/>
      <c r="C978" s="157" t="s">
        <v>284</v>
      </c>
      <c r="D978" s="693"/>
      <c r="E978" s="693"/>
      <c r="F978" s="4"/>
    </row>
    <row r="979" spans="2:9" hidden="1" outlineLevel="1" x14ac:dyDescent="0.25">
      <c r="B979" s="4"/>
      <c r="C979" s="4"/>
      <c r="D979" s="4"/>
      <c r="E979" s="4"/>
      <c r="F979" s="4"/>
    </row>
    <row r="980" spans="2:9" hidden="1" outlineLevel="1" x14ac:dyDescent="0.25">
      <c r="B980" s="37" t="s">
        <v>1472</v>
      </c>
      <c r="F980" s="34"/>
      <c r="G980" s="1168"/>
      <c r="H980" s="1168"/>
      <c r="I980" s="2"/>
    </row>
    <row r="981" spans="2:9" hidden="1" outlineLevel="1" x14ac:dyDescent="0.25">
      <c r="B981" s="1179" t="s">
        <v>39</v>
      </c>
      <c r="C981" s="1169"/>
      <c r="D981" s="1171" t="s">
        <v>40</v>
      </c>
      <c r="E981" s="1179"/>
      <c r="F981" s="1168"/>
      <c r="G981" s="1168"/>
      <c r="H981" s="1168"/>
      <c r="I981" s="2"/>
    </row>
    <row r="982" spans="2:9" hidden="1" outlineLevel="1" x14ac:dyDescent="0.25">
      <c r="B982" s="38" t="s">
        <v>1427</v>
      </c>
      <c r="C982" s="19">
        <v>146500000</v>
      </c>
      <c r="D982" s="7" t="str">
        <f>B982</f>
        <v>Current 12 Months Revenue</v>
      </c>
      <c r="E982" s="24">
        <v>287101547</v>
      </c>
      <c r="F982" s="34"/>
      <c r="G982" s="2"/>
      <c r="H982" s="2"/>
      <c r="I982" s="2"/>
    </row>
    <row r="983" spans="2:9" hidden="1" outlineLevel="1" x14ac:dyDescent="0.25">
      <c r="B983" s="52"/>
      <c r="C983" s="54"/>
      <c r="D983" s="21" t="s">
        <v>13</v>
      </c>
      <c r="E983" s="61">
        <f>-(C982-E982)/C982</f>
        <v>0.95973752218430031</v>
      </c>
      <c r="F983" s="2"/>
      <c r="G983" s="23"/>
      <c r="H983" s="23"/>
      <c r="I983" s="23"/>
    </row>
    <row r="984" spans="2:9" hidden="1" outlineLevel="1" x14ac:dyDescent="0.25">
      <c r="B984" s="64" t="s">
        <v>197</v>
      </c>
      <c r="C984" s="55"/>
      <c r="D984" s="51"/>
      <c r="E984" s="15"/>
      <c r="F984" s="2"/>
      <c r="G984" s="23"/>
      <c r="H984" s="23"/>
      <c r="I984" s="23"/>
    </row>
    <row r="985" spans="2:9" hidden="1" outlineLevel="1" x14ac:dyDescent="0.25">
      <c r="B985" s="65"/>
      <c r="C985" s="1209" t="s">
        <v>62</v>
      </c>
      <c r="D985" s="1210"/>
      <c r="E985" s="1183" t="s">
        <v>67</v>
      </c>
      <c r="F985" s="1184"/>
      <c r="G985" s="1200" t="s">
        <v>68</v>
      </c>
      <c r="H985" s="1204"/>
      <c r="I985" s="23"/>
    </row>
    <row r="986" spans="2:9" hidden="1" outlineLevel="1" x14ac:dyDescent="0.25">
      <c r="B986" s="66" t="s">
        <v>59</v>
      </c>
      <c r="C986" s="53" t="s">
        <v>200</v>
      </c>
      <c r="D986" s="68" t="s">
        <v>23</v>
      </c>
      <c r="E986" s="69" t="s">
        <v>200</v>
      </c>
      <c r="F986" s="1" t="s">
        <v>23</v>
      </c>
      <c r="G986" s="70" t="s">
        <v>200</v>
      </c>
      <c r="H986" s="67" t="s">
        <v>23</v>
      </c>
      <c r="I986" s="23"/>
    </row>
    <row r="987" spans="2:9" hidden="1" outlineLevel="1" x14ac:dyDescent="0.25">
      <c r="B987" s="315"/>
      <c r="C987" s="628"/>
      <c r="D987" s="639"/>
      <c r="E987" s="640"/>
      <c r="F987" s="641"/>
      <c r="G987" s="642"/>
      <c r="H987" s="643"/>
      <c r="I987" s="23"/>
    </row>
    <row r="988" spans="2:9" hidden="1" outlineLevel="1" x14ac:dyDescent="0.25">
      <c r="B988" s="633" t="s">
        <v>1841</v>
      </c>
      <c r="C988" s="19">
        <v>5000000</v>
      </c>
      <c r="D988" s="19">
        <v>200000</v>
      </c>
      <c r="E988" s="19">
        <f t="shared" ref="E988:F991" si="55">C988</f>
        <v>5000000</v>
      </c>
      <c r="F988" s="19">
        <f t="shared" si="55"/>
        <v>200000</v>
      </c>
      <c r="G988" s="148"/>
      <c r="H988" s="149"/>
      <c r="I988" s="23"/>
    </row>
    <row r="989" spans="2:9" hidden="1" outlineLevel="1" x14ac:dyDescent="0.25">
      <c r="B989" s="633" t="s">
        <v>198</v>
      </c>
      <c r="C989" s="19">
        <v>5000000</v>
      </c>
      <c r="D989" s="19">
        <v>200000</v>
      </c>
      <c r="E989" s="19">
        <f t="shared" si="55"/>
        <v>5000000</v>
      </c>
      <c r="F989" s="19">
        <f t="shared" si="55"/>
        <v>200000</v>
      </c>
      <c r="G989" s="148"/>
      <c r="H989" s="149"/>
      <c r="I989" s="23"/>
    </row>
    <row r="990" spans="2:9" hidden="1" outlineLevel="1" x14ac:dyDescent="0.25">
      <c r="B990" s="633" t="s">
        <v>1842</v>
      </c>
      <c r="C990" s="19">
        <v>5000000</v>
      </c>
      <c r="D990" s="19">
        <v>200000</v>
      </c>
      <c r="E990" s="19">
        <f t="shared" si="55"/>
        <v>5000000</v>
      </c>
      <c r="F990" s="19">
        <f t="shared" si="55"/>
        <v>200000</v>
      </c>
      <c r="G990" s="148"/>
      <c r="H990" s="149"/>
      <c r="I990" s="23"/>
    </row>
    <row r="991" spans="2:9" hidden="1" outlineLevel="1" x14ac:dyDescent="0.25">
      <c r="B991" s="633" t="s">
        <v>1843</v>
      </c>
      <c r="C991" s="19">
        <v>5000000</v>
      </c>
      <c r="D991" s="19">
        <v>200000</v>
      </c>
      <c r="E991" s="19">
        <f t="shared" si="55"/>
        <v>5000000</v>
      </c>
      <c r="F991" s="19">
        <f t="shared" si="55"/>
        <v>200000</v>
      </c>
      <c r="G991" s="148"/>
      <c r="H991" s="149"/>
      <c r="I991" s="23"/>
    </row>
    <row r="992" spans="2:9" hidden="1" outlineLevel="1" x14ac:dyDescent="0.25">
      <c r="B992" s="315"/>
      <c r="C992" s="646"/>
      <c r="D992" s="646"/>
      <c r="E992" s="646"/>
      <c r="F992" s="646"/>
      <c r="G992" s="647"/>
      <c r="H992" s="648"/>
      <c r="I992" s="23"/>
    </row>
    <row r="993" spans="2:9" ht="30" hidden="1" outlineLevel="1" x14ac:dyDescent="0.25">
      <c r="B993" s="633" t="s">
        <v>1428</v>
      </c>
      <c r="C993" s="19">
        <v>5000000</v>
      </c>
      <c r="D993" s="19">
        <v>200000</v>
      </c>
      <c r="E993" s="19">
        <f t="shared" ref="E993:F998" si="56">C993</f>
        <v>5000000</v>
      </c>
      <c r="F993" s="19">
        <f t="shared" si="56"/>
        <v>200000</v>
      </c>
      <c r="G993" s="148"/>
      <c r="H993" s="149"/>
      <c r="I993" s="23"/>
    </row>
    <row r="994" spans="2:9" hidden="1" outlineLevel="1" x14ac:dyDescent="0.25">
      <c r="B994" s="632" t="s">
        <v>1844</v>
      </c>
      <c r="C994" s="316">
        <v>5000000</v>
      </c>
      <c r="D994" s="316">
        <v>200000</v>
      </c>
      <c r="E994" s="19">
        <f t="shared" si="56"/>
        <v>5000000</v>
      </c>
      <c r="F994" s="19">
        <f t="shared" si="56"/>
        <v>200000</v>
      </c>
      <c r="G994" s="644"/>
      <c r="H994" s="645"/>
      <c r="I994" s="23"/>
    </row>
    <row r="995" spans="2:9" hidden="1" outlineLevel="1" x14ac:dyDescent="0.25">
      <c r="B995" s="633" t="s">
        <v>1429</v>
      </c>
      <c r="C995" s="19">
        <v>5000000</v>
      </c>
      <c r="D995" s="19">
        <v>200000</v>
      </c>
      <c r="E995" s="19">
        <f t="shared" si="56"/>
        <v>5000000</v>
      </c>
      <c r="F995" s="19">
        <f t="shared" si="56"/>
        <v>200000</v>
      </c>
      <c r="G995" s="148"/>
      <c r="H995" s="149"/>
      <c r="I995" s="23"/>
    </row>
    <row r="996" spans="2:9" ht="30" hidden="1" outlineLevel="1" x14ac:dyDescent="0.25">
      <c r="B996" s="632" t="s">
        <v>1430</v>
      </c>
      <c r="C996" s="316">
        <v>5000000</v>
      </c>
      <c r="D996" s="316" t="s">
        <v>1431</v>
      </c>
      <c r="E996" s="19">
        <f t="shared" si="56"/>
        <v>5000000</v>
      </c>
      <c r="F996" s="19" t="str">
        <f t="shared" si="56"/>
        <v>12 Hour Waiting Period</v>
      </c>
      <c r="G996" s="644"/>
      <c r="H996" s="645"/>
      <c r="I996" s="23"/>
    </row>
    <row r="997" spans="2:9" hidden="1" outlineLevel="1" x14ac:dyDescent="0.25">
      <c r="B997" s="633" t="s">
        <v>1432</v>
      </c>
      <c r="C997" s="19">
        <v>1000000</v>
      </c>
      <c r="D997" s="19">
        <v>200000</v>
      </c>
      <c r="E997" s="19">
        <f t="shared" si="56"/>
        <v>1000000</v>
      </c>
      <c r="F997" s="19">
        <f t="shared" si="56"/>
        <v>200000</v>
      </c>
      <c r="G997" s="148"/>
      <c r="H997" s="149"/>
      <c r="I997" s="23"/>
    </row>
    <row r="998" spans="2:9" hidden="1" outlineLevel="1" x14ac:dyDescent="0.25">
      <c r="B998" s="633" t="s">
        <v>1845</v>
      </c>
      <c r="C998" s="19">
        <v>250000</v>
      </c>
      <c r="D998" s="19">
        <v>200000</v>
      </c>
      <c r="E998" s="19">
        <f t="shared" si="56"/>
        <v>250000</v>
      </c>
      <c r="F998" s="19">
        <f t="shared" si="56"/>
        <v>200000</v>
      </c>
      <c r="G998" s="148"/>
      <c r="H998" s="149"/>
      <c r="I998" s="23"/>
    </row>
    <row r="999" spans="2:9" s="1197" customFormat="1" ht="13.5" customHeight="1" collapsed="1" x14ac:dyDescent="0.25"/>
    <row r="1000" spans="2:9" ht="15" customHeight="1" x14ac:dyDescent="0.25">
      <c r="B1000" s="1101" t="s">
        <v>1725</v>
      </c>
      <c r="C1000" s="1043" t="s">
        <v>1946</v>
      </c>
      <c r="F1000" s="338" t="s">
        <v>437</v>
      </c>
      <c r="G1000" s="1165" t="s">
        <v>540</v>
      </c>
      <c r="H1000" s="1165"/>
    </row>
    <row r="1001" spans="2:9" ht="15" hidden="1" customHeight="1" outlineLevel="1" x14ac:dyDescent="0.25">
      <c r="B1001" t="s">
        <v>0</v>
      </c>
      <c r="C1001" t="s">
        <v>297</v>
      </c>
    </row>
    <row r="1002" spans="2:9" ht="15" hidden="1" customHeight="1" outlineLevel="1" x14ac:dyDescent="0.25">
      <c r="B1002" t="s">
        <v>1679</v>
      </c>
      <c r="C1002" s="72" t="s">
        <v>1921</v>
      </c>
    </row>
    <row r="1003" spans="2:9" ht="15" hidden="1" customHeight="1" outlineLevel="1" x14ac:dyDescent="0.25">
      <c r="B1003" t="s">
        <v>1680</v>
      </c>
      <c r="C1003" s="72" t="s">
        <v>649</v>
      </c>
    </row>
    <row r="1004" spans="2:9" ht="15" hidden="1" customHeight="1" outlineLevel="1" x14ac:dyDescent="0.25">
      <c r="B1004" t="s">
        <v>131</v>
      </c>
      <c r="C1004" t="s">
        <v>132</v>
      </c>
      <c r="D1004" t="s">
        <v>133</v>
      </c>
      <c r="E1004" t="s">
        <v>134</v>
      </c>
      <c r="F1004" s="210" t="s">
        <v>392</v>
      </c>
      <c r="G1004" s="1166"/>
      <c r="H1004" s="1166"/>
    </row>
    <row r="1005" spans="2:9" ht="15" hidden="1" customHeight="1" outlineLevel="1" x14ac:dyDescent="0.25">
      <c r="B1005" s="176" t="s">
        <v>1115</v>
      </c>
      <c r="C1005" s="571" t="str">
        <f>B1005</f>
        <v>The Continental Insurance Company (CNA)</v>
      </c>
      <c r="D1005" s="176" t="s">
        <v>1115</v>
      </c>
      <c r="E1005" s="176"/>
      <c r="G1005" s="1175"/>
      <c r="H1005" s="1175"/>
    </row>
    <row r="1006" spans="2:9" ht="15" hidden="1" customHeight="1" outlineLevel="1" x14ac:dyDescent="0.25">
      <c r="B1006" t="s">
        <v>135</v>
      </c>
      <c r="C1006" t="s">
        <v>136</v>
      </c>
      <c r="D1006" t="s">
        <v>137</v>
      </c>
      <c r="E1006" t="s">
        <v>139</v>
      </c>
    </row>
    <row r="1007" spans="2:9" ht="15" hidden="1" customHeight="1" outlineLevel="1" x14ac:dyDescent="0.25">
      <c r="B1007" s="18" t="s">
        <v>1116</v>
      </c>
      <c r="C1007" t="str">
        <f>B1007</f>
        <v>A: XV</v>
      </c>
      <c r="D1007" s="18" t="s">
        <v>1116</v>
      </c>
      <c r="E1007" s="18"/>
    </row>
    <row r="1008" spans="2:9" ht="15" hidden="1" customHeight="1" outlineLevel="1" x14ac:dyDescent="0.25">
      <c r="B1008" t="s">
        <v>2</v>
      </c>
      <c r="C1008" t="s">
        <v>3</v>
      </c>
      <c r="D1008" t="s">
        <v>140</v>
      </c>
      <c r="E1008" t="s">
        <v>141</v>
      </c>
    </row>
    <row r="1009" spans="2:5" ht="15" hidden="1" customHeight="1" outlineLevel="1" x14ac:dyDescent="0.25">
      <c r="B1009" s="123">
        <v>2500</v>
      </c>
      <c r="C1009" s="4" t="e">
        <f>B1009+B1009*E1023</f>
        <v>#DIV/0!</v>
      </c>
      <c r="D1009" s="123">
        <v>2500</v>
      </c>
      <c r="E1009" s="123"/>
    </row>
    <row r="1010" spans="2:5" ht="15" hidden="1" customHeight="1" outlineLevel="1" x14ac:dyDescent="0.25">
      <c r="D1010" t="s">
        <v>5</v>
      </c>
      <c r="E1010" t="s">
        <v>6</v>
      </c>
    </row>
    <row r="1011" spans="2:5" ht="15" hidden="1" customHeight="1" outlineLevel="1" x14ac:dyDescent="0.25">
      <c r="D1011" s="3" t="e">
        <f>-(C1009-D1009)/C1009</f>
        <v>#DIV/0!</v>
      </c>
      <c r="E1011" s="3" t="e">
        <f>-(C1009-E1009)/C1009</f>
        <v>#DIV/0!</v>
      </c>
    </row>
    <row r="1012" spans="2:5" ht="15" hidden="1" customHeight="1" outlineLevel="1" x14ac:dyDescent="0.25">
      <c r="B1012" s="3" t="s">
        <v>685</v>
      </c>
      <c r="C1012" s="3" t="s">
        <v>686</v>
      </c>
      <c r="D1012" s="3" t="s">
        <v>687</v>
      </c>
      <c r="E1012" s="3" t="s">
        <v>688</v>
      </c>
    </row>
    <row r="1013" spans="2:5" ht="15" hidden="1" customHeight="1" outlineLevel="1" x14ac:dyDescent="0.25">
      <c r="B1013" s="1031"/>
      <c r="C1013" s="179" t="e">
        <f>B1013+B1013*E1023</f>
        <v>#DIV/0!</v>
      </c>
      <c r="D1013" s="178"/>
      <c r="E1013" s="178"/>
    </row>
    <row r="1014" spans="2:5" ht="15" hidden="1" customHeight="1" outlineLevel="1" x14ac:dyDescent="0.25">
      <c r="B1014" s="3" t="s">
        <v>203</v>
      </c>
      <c r="C1014" s="3" t="s">
        <v>204</v>
      </c>
      <c r="D1014" s="3" t="s">
        <v>205</v>
      </c>
      <c r="E1014" s="3" t="s">
        <v>206</v>
      </c>
    </row>
    <row r="1015" spans="2:5" ht="15" hidden="1" customHeight="1" outlineLevel="1" x14ac:dyDescent="0.25">
      <c r="B1015" s="178">
        <v>0</v>
      </c>
      <c r="C1015" s="179" t="e">
        <f>B1015+B1015*E1023</f>
        <v>#DIV/0!</v>
      </c>
      <c r="D1015" s="178"/>
      <c r="E1015" s="178"/>
    </row>
    <row r="1016" spans="2:5" ht="15" hidden="1" customHeight="1" outlineLevel="1" x14ac:dyDescent="0.25">
      <c r="B1016" s="3" t="s">
        <v>14</v>
      </c>
      <c r="C1016" s="4" t="s">
        <v>15</v>
      </c>
      <c r="D1016" s="4" t="s">
        <v>142</v>
      </c>
      <c r="E1016" t="s">
        <v>143</v>
      </c>
    </row>
    <row r="1017" spans="2:5" ht="15" hidden="1" customHeight="1" outlineLevel="1" x14ac:dyDescent="0.25">
      <c r="B1017" s="4">
        <f>B1009+B1013+B1015</f>
        <v>2500</v>
      </c>
      <c r="C1017" s="4" t="e">
        <f>C1009+C1013+C1015</f>
        <v>#DIV/0!</v>
      </c>
      <c r="D1017" s="4">
        <f>D1009+D1013+D1015</f>
        <v>2500</v>
      </c>
      <c r="E1017" s="4">
        <f>E1009+E1013+E1015</f>
        <v>0</v>
      </c>
    </row>
    <row r="1018" spans="2:5" ht="15" hidden="1" customHeight="1" outlineLevel="1" x14ac:dyDescent="0.25">
      <c r="B1018" s="3" t="s">
        <v>998</v>
      </c>
      <c r="C1018" s="3" t="s">
        <v>999</v>
      </c>
      <c r="D1018" s="3" t="s">
        <v>1000</v>
      </c>
      <c r="E1018" s="3" t="s">
        <v>1001</v>
      </c>
    </row>
    <row r="1019" spans="2:5" ht="15" hidden="1" customHeight="1" outlineLevel="1" x14ac:dyDescent="0.25">
      <c r="B1019" s="693"/>
      <c r="C1019" s="157" t="s">
        <v>284</v>
      </c>
      <c r="D1019" s="693"/>
      <c r="E1019" s="693"/>
    </row>
    <row r="1020" spans="2:5" ht="15" hidden="1" customHeight="1" outlineLevel="1" x14ac:dyDescent="0.25">
      <c r="B1020" s="4"/>
      <c r="C1020" s="4"/>
      <c r="D1020" s="4"/>
      <c r="E1020" s="4"/>
    </row>
    <row r="1021" spans="2:5" ht="15" hidden="1" customHeight="1" outlineLevel="1" x14ac:dyDescent="0.25">
      <c r="B1021" s="37" t="s">
        <v>7</v>
      </c>
    </row>
    <row r="1022" spans="2:5" ht="15" hidden="1" customHeight="1" outlineLevel="1" x14ac:dyDescent="0.25">
      <c r="B1022" s="78"/>
      <c r="C1022" s="78" t="s">
        <v>207</v>
      </c>
      <c r="D1022" s="79" t="s">
        <v>208</v>
      </c>
      <c r="E1022" s="80" t="s">
        <v>13</v>
      </c>
    </row>
    <row r="1023" spans="2:5" ht="15" hidden="1" customHeight="1" outlineLevel="1" x14ac:dyDescent="0.25">
      <c r="B1023" s="38" t="s">
        <v>308</v>
      </c>
      <c r="C1023" s="1030"/>
      <c r="D1023" s="158"/>
      <c r="E1023" s="159" t="e">
        <f>-(C1023-D1023)/C1023</f>
        <v>#DIV/0!</v>
      </c>
    </row>
    <row r="1024" spans="2:5" ht="15" hidden="1" customHeight="1" outlineLevel="1" x14ac:dyDescent="0.25">
      <c r="B1024" s="620" t="s">
        <v>795</v>
      </c>
      <c r="C1024" s="1032"/>
      <c r="D1024" s="953"/>
      <c r="E1024" s="159" t="e">
        <f t="shared" ref="E1024:E1027" si="57">-(C1024-D1024)/C1024</f>
        <v>#DIV/0!</v>
      </c>
    </row>
    <row r="1025" spans="2:8" ht="15" hidden="1" customHeight="1" outlineLevel="1" x14ac:dyDescent="0.25">
      <c r="B1025" s="620" t="s">
        <v>245</v>
      </c>
      <c r="C1025" s="1032"/>
      <c r="D1025" s="953"/>
      <c r="E1025" s="159" t="e">
        <f t="shared" si="57"/>
        <v>#DIV/0!</v>
      </c>
    </row>
    <row r="1026" spans="2:8" ht="15" hidden="1" customHeight="1" outlineLevel="1" x14ac:dyDescent="0.25">
      <c r="B1026" s="620" t="s">
        <v>246</v>
      </c>
      <c r="C1026" s="1032"/>
      <c r="D1026" s="953"/>
      <c r="E1026" s="159" t="e">
        <f t="shared" si="57"/>
        <v>#DIV/0!</v>
      </c>
    </row>
    <row r="1027" spans="2:8" ht="15" hidden="1" customHeight="1" outlineLevel="1" x14ac:dyDescent="0.25">
      <c r="B1027" s="620" t="s">
        <v>247</v>
      </c>
      <c r="C1027" s="1033"/>
      <c r="D1027" s="316"/>
      <c r="E1027" s="159" t="e">
        <f t="shared" si="57"/>
        <v>#DIV/0!</v>
      </c>
    </row>
    <row r="1028" spans="2:8" ht="15" hidden="1" customHeight="1" outlineLevel="1" x14ac:dyDescent="0.25">
      <c r="D1028" s="51" t="s">
        <v>13</v>
      </c>
      <c r="E1028" s="73" t="e">
        <f>AVERAGE(E1023:E1027)</f>
        <v>#DIV/0!</v>
      </c>
    </row>
    <row r="1029" spans="2:8" ht="15" hidden="1" customHeight="1" outlineLevel="1" x14ac:dyDescent="0.25">
      <c r="B1029" s="64" t="s">
        <v>197</v>
      </c>
      <c r="C1029" s="55"/>
      <c r="D1029" s="51"/>
      <c r="E1029" s="15"/>
      <c r="F1029" s="2"/>
      <c r="G1029" s="23"/>
      <c r="H1029" s="23"/>
    </row>
    <row r="1030" spans="2:8" ht="15" hidden="1" customHeight="1" outlineLevel="1" x14ac:dyDescent="0.25">
      <c r="B1030" s="65"/>
      <c r="C1030" s="1198" t="s">
        <v>62</v>
      </c>
      <c r="D1030" s="1198"/>
      <c r="E1030" s="1183" t="s">
        <v>67</v>
      </c>
      <c r="F1030" s="1184"/>
      <c r="G1030" s="1199" t="s">
        <v>68</v>
      </c>
      <c r="H1030" s="1200"/>
    </row>
    <row r="1031" spans="2:8" ht="15" hidden="1" customHeight="1" outlineLevel="1" x14ac:dyDescent="0.25">
      <c r="B1031" s="66" t="s">
        <v>59</v>
      </c>
      <c r="C1031" s="53" t="s">
        <v>200</v>
      </c>
      <c r="D1031" s="68" t="s">
        <v>23</v>
      </c>
      <c r="E1031" s="69" t="s">
        <v>200</v>
      </c>
      <c r="F1031" s="1" t="s">
        <v>23</v>
      </c>
      <c r="G1031" s="70" t="s">
        <v>200</v>
      </c>
      <c r="H1031" s="67" t="s">
        <v>23</v>
      </c>
    </row>
    <row r="1032" spans="2:8" ht="15" hidden="1" customHeight="1" outlineLevel="1" x14ac:dyDescent="0.25">
      <c r="B1032" s="66" t="s">
        <v>189</v>
      </c>
      <c r="C1032" s="19">
        <v>0</v>
      </c>
      <c r="D1032" s="19">
        <v>0</v>
      </c>
      <c r="E1032" s="19">
        <f t="shared" ref="E1032:F1041" si="58">C1032</f>
        <v>0</v>
      </c>
      <c r="F1032" s="19">
        <f t="shared" si="58"/>
        <v>0</v>
      </c>
      <c r="G1032" s="22">
        <f>E1032</f>
        <v>0</v>
      </c>
      <c r="H1032" s="40"/>
    </row>
    <row r="1033" spans="2:8" ht="15" hidden="1" customHeight="1" outlineLevel="1" x14ac:dyDescent="0.25">
      <c r="B1033" s="66" t="s">
        <v>16</v>
      </c>
      <c r="C1033" s="19">
        <v>1000000</v>
      </c>
      <c r="D1033" s="19">
        <v>0</v>
      </c>
      <c r="E1033" s="19">
        <f t="shared" si="58"/>
        <v>1000000</v>
      </c>
      <c r="F1033" s="19">
        <f t="shared" si="58"/>
        <v>0</v>
      </c>
      <c r="G1033" s="22"/>
      <c r="H1033" s="40"/>
    </row>
    <row r="1034" spans="2:8" ht="15" hidden="1" customHeight="1" outlineLevel="1" x14ac:dyDescent="0.25">
      <c r="B1034" s="66" t="s">
        <v>257</v>
      </c>
      <c r="C1034" s="19">
        <v>1000000</v>
      </c>
      <c r="D1034" s="19">
        <v>1000</v>
      </c>
      <c r="E1034" s="19">
        <f t="shared" si="58"/>
        <v>1000000</v>
      </c>
      <c r="F1034" s="19">
        <f t="shared" si="58"/>
        <v>1000</v>
      </c>
      <c r="G1034" s="22"/>
      <c r="H1034" s="40"/>
    </row>
    <row r="1035" spans="2:8" ht="15" hidden="1" customHeight="1" outlineLevel="1" x14ac:dyDescent="0.25">
      <c r="B1035" s="66" t="s">
        <v>237</v>
      </c>
      <c r="C1035" s="19">
        <v>1000000</v>
      </c>
      <c r="D1035" s="19">
        <v>0</v>
      </c>
      <c r="E1035" s="19">
        <f t="shared" si="58"/>
        <v>1000000</v>
      </c>
      <c r="F1035" s="19">
        <f t="shared" si="58"/>
        <v>0</v>
      </c>
      <c r="G1035" s="22"/>
      <c r="H1035" s="40"/>
    </row>
    <row r="1036" spans="2:8" ht="15" hidden="1" customHeight="1" outlineLevel="1" x14ac:dyDescent="0.25">
      <c r="B1036" s="315" t="s">
        <v>511</v>
      </c>
      <c r="C1036" s="316">
        <v>25000</v>
      </c>
      <c r="D1036" s="316">
        <v>0</v>
      </c>
      <c r="E1036" s="19">
        <f t="shared" ref="E1036:E1040" si="59">C1036</f>
        <v>25000</v>
      </c>
      <c r="F1036" s="19">
        <f t="shared" ref="F1036:F1040" si="60">D1036</f>
        <v>0</v>
      </c>
      <c r="G1036" s="340"/>
      <c r="H1036" s="631"/>
    </row>
    <row r="1037" spans="2:8" ht="15" hidden="1" customHeight="1" outlineLevel="1" x14ac:dyDescent="0.25">
      <c r="B1037" s="315" t="s">
        <v>238</v>
      </c>
      <c r="C1037" s="316" t="s">
        <v>796</v>
      </c>
      <c r="D1037" s="316">
        <v>0</v>
      </c>
      <c r="E1037" s="19" t="str">
        <f t="shared" si="59"/>
        <v>Statutory Limits</v>
      </c>
      <c r="F1037" s="19">
        <f t="shared" si="60"/>
        <v>0</v>
      </c>
      <c r="G1037" s="340"/>
      <c r="H1037" s="631"/>
    </row>
    <row r="1038" spans="2:8" ht="15" hidden="1" customHeight="1" outlineLevel="1" x14ac:dyDescent="0.25">
      <c r="B1038" s="315" t="s">
        <v>239</v>
      </c>
      <c r="C1038" s="316">
        <v>1000000</v>
      </c>
      <c r="D1038" s="316">
        <v>0</v>
      </c>
      <c r="E1038" s="19">
        <f t="shared" si="59"/>
        <v>1000000</v>
      </c>
      <c r="F1038" s="19">
        <f t="shared" si="60"/>
        <v>0</v>
      </c>
      <c r="G1038" s="340"/>
      <c r="H1038" s="631"/>
    </row>
    <row r="1039" spans="2:8" ht="15" hidden="1" customHeight="1" outlineLevel="1" x14ac:dyDescent="0.25">
      <c r="B1039" s="315" t="s">
        <v>241</v>
      </c>
      <c r="C1039" s="316">
        <v>1000000</v>
      </c>
      <c r="D1039" s="316">
        <v>0</v>
      </c>
      <c r="E1039" s="19">
        <f t="shared" si="59"/>
        <v>1000000</v>
      </c>
      <c r="F1039" s="19">
        <f t="shared" si="60"/>
        <v>0</v>
      </c>
      <c r="G1039" s="340"/>
      <c r="H1039" s="631"/>
    </row>
    <row r="1040" spans="2:8" ht="15" hidden="1" customHeight="1" outlineLevel="1" x14ac:dyDescent="0.25">
      <c r="B1040" s="315" t="s">
        <v>648</v>
      </c>
      <c r="C1040" s="316">
        <v>100000</v>
      </c>
      <c r="D1040" s="316">
        <v>0</v>
      </c>
      <c r="E1040" s="19">
        <f t="shared" si="59"/>
        <v>100000</v>
      </c>
      <c r="F1040" s="19">
        <f t="shared" si="60"/>
        <v>0</v>
      </c>
      <c r="G1040" s="340"/>
      <c r="H1040" s="631"/>
    </row>
    <row r="1041" spans="2:8" ht="15" hidden="1" customHeight="1" outlineLevel="1" x14ac:dyDescent="0.25">
      <c r="B1041" s="66" t="s">
        <v>240</v>
      </c>
      <c r="C1041" s="19">
        <v>250000</v>
      </c>
      <c r="D1041" s="19">
        <v>0</v>
      </c>
      <c r="E1041" s="19">
        <f t="shared" si="58"/>
        <v>250000</v>
      </c>
      <c r="F1041" s="19">
        <f t="shared" si="58"/>
        <v>0</v>
      </c>
      <c r="G1041" s="22"/>
      <c r="H1041" s="40"/>
    </row>
    <row r="1042" spans="2:8" s="1197" customFormat="1" ht="13.5" customHeight="1" collapsed="1" x14ac:dyDescent="0.25"/>
    <row r="1043" spans="2:8" x14ac:dyDescent="0.25">
      <c r="B1043" s="1052" t="s">
        <v>2024</v>
      </c>
      <c r="F1043" s="338" t="s">
        <v>437</v>
      </c>
      <c r="G1043" s="1165" t="s">
        <v>537</v>
      </c>
      <c r="H1043" s="1165"/>
    </row>
    <row r="1044" spans="2:8" hidden="1" outlineLevel="1" x14ac:dyDescent="0.25">
      <c r="B1044" t="s">
        <v>0</v>
      </c>
      <c r="C1044" t="s">
        <v>201</v>
      </c>
    </row>
    <row r="1045" spans="2:8" hidden="1" outlineLevel="1" x14ac:dyDescent="0.25">
      <c r="B1045" t="s">
        <v>1679</v>
      </c>
      <c r="C1045" s="18" t="s">
        <v>1917</v>
      </c>
    </row>
    <row r="1046" spans="2:8" hidden="1" outlineLevel="1" x14ac:dyDescent="0.25">
      <c r="B1046" t="s">
        <v>1680</v>
      </c>
      <c r="C1046" s="18" t="s">
        <v>649</v>
      </c>
    </row>
    <row r="1047" spans="2:8" hidden="1" outlineLevel="1" x14ac:dyDescent="0.25">
      <c r="B1047" t="s">
        <v>131</v>
      </c>
      <c r="C1047" t="s">
        <v>132</v>
      </c>
      <c r="D1047" t="s">
        <v>133</v>
      </c>
      <c r="E1047" t="s">
        <v>134</v>
      </c>
      <c r="F1047" s="210" t="s">
        <v>392</v>
      </c>
      <c r="G1047" s="1166"/>
      <c r="H1047" s="1166"/>
    </row>
    <row r="1048" spans="2:8" ht="30" hidden="1" outlineLevel="1" x14ac:dyDescent="0.25">
      <c r="B1048" s="176" t="s">
        <v>1648</v>
      </c>
      <c r="C1048" s="571" t="str">
        <f>B1048</f>
        <v>Indian Harbor Insurance Company (AXA XL)</v>
      </c>
      <c r="D1048" s="176" t="s">
        <v>1648</v>
      </c>
      <c r="E1048" s="176" t="s">
        <v>1648</v>
      </c>
      <c r="G1048" s="1175"/>
      <c r="H1048" s="1175"/>
    </row>
    <row r="1049" spans="2:8" hidden="1" outlineLevel="1" x14ac:dyDescent="0.25">
      <c r="B1049" t="s">
        <v>135</v>
      </c>
      <c r="C1049" t="s">
        <v>136</v>
      </c>
      <c r="D1049" t="s">
        <v>137</v>
      </c>
      <c r="E1049" t="s">
        <v>139</v>
      </c>
    </row>
    <row r="1050" spans="2:8" hidden="1" outlineLevel="1" x14ac:dyDescent="0.25">
      <c r="B1050" s="18" t="s">
        <v>1116</v>
      </c>
      <c r="C1050" t="str">
        <f>B1050</f>
        <v>A: XV</v>
      </c>
      <c r="D1050" s="18" t="s">
        <v>1116</v>
      </c>
      <c r="E1050" s="18" t="s">
        <v>1116</v>
      </c>
    </row>
    <row r="1051" spans="2:8" hidden="1" outlineLevel="1" x14ac:dyDescent="0.25">
      <c r="B1051" t="s">
        <v>2</v>
      </c>
      <c r="C1051" t="s">
        <v>3</v>
      </c>
      <c r="D1051" t="s">
        <v>140</v>
      </c>
      <c r="E1051" t="s">
        <v>141</v>
      </c>
    </row>
    <row r="1052" spans="2:8" hidden="1" outlineLevel="1" x14ac:dyDescent="0.25">
      <c r="B1052" s="123">
        <v>116550</v>
      </c>
      <c r="C1052" s="4">
        <f>B1052+B1052*E1070</f>
        <v>148500</v>
      </c>
      <c r="D1052" s="123">
        <v>132000</v>
      </c>
      <c r="E1052" s="123">
        <v>132000</v>
      </c>
    </row>
    <row r="1053" spans="2:8" ht="30" hidden="1" outlineLevel="1" x14ac:dyDescent="0.25">
      <c r="B1053" s="202" t="s">
        <v>1598</v>
      </c>
      <c r="C1053" s="202" t="s">
        <v>285</v>
      </c>
      <c r="D1053" s="202" t="s">
        <v>285</v>
      </c>
      <c r="E1053" s="202" t="s">
        <v>285</v>
      </c>
      <c r="G1053" s="852"/>
    </row>
    <row r="1054" spans="2:8" hidden="1" outlineLevel="1" x14ac:dyDescent="0.25">
      <c r="B1054" s="3">
        <f>B1052/(C1069)</f>
        <v>0.9</v>
      </c>
      <c r="C1054" s="952">
        <f>C1052/E1069</f>
        <v>0.9</v>
      </c>
      <c r="D1054" s="3">
        <f>D1052/(E1069)</f>
        <v>0.8</v>
      </c>
      <c r="E1054" s="3">
        <f>E1052/(E1069)</f>
        <v>0.8</v>
      </c>
    </row>
    <row r="1055" spans="2:8" hidden="1" outlineLevel="1" x14ac:dyDescent="0.25">
      <c r="B1055" s="3"/>
      <c r="D1055" s="3"/>
      <c r="E1055" s="3"/>
    </row>
    <row r="1056" spans="2:8" hidden="1" outlineLevel="1" x14ac:dyDescent="0.25">
      <c r="B1056" s="3"/>
      <c r="D1056" t="s">
        <v>5</v>
      </c>
      <c r="E1056" t="s">
        <v>6</v>
      </c>
      <c r="G1056" s="3"/>
    </row>
    <row r="1057" spans="2:9" hidden="1" outlineLevel="1" x14ac:dyDescent="0.25">
      <c r="B1057" s="3"/>
      <c r="D1057" s="3">
        <f>-(C1052-D1052)/C1052</f>
        <v>-0.1111111111111111</v>
      </c>
      <c r="E1057" s="3">
        <f>-(C1052-E1052)/C1052</f>
        <v>-0.1111111111111111</v>
      </c>
    </row>
    <row r="1058" spans="2:9" hidden="1" outlineLevel="1" x14ac:dyDescent="0.25">
      <c r="B1058" s="3" t="s">
        <v>685</v>
      </c>
      <c r="C1058" s="3" t="s">
        <v>686</v>
      </c>
      <c r="D1058" s="3" t="s">
        <v>687</v>
      </c>
      <c r="E1058" s="3" t="s">
        <v>688</v>
      </c>
    </row>
    <row r="1059" spans="2:9" hidden="1" outlineLevel="1" x14ac:dyDescent="0.25">
      <c r="B1059" s="129">
        <v>0.04</v>
      </c>
      <c r="C1059" s="3">
        <f>B1059</f>
        <v>0.04</v>
      </c>
      <c r="D1059" s="129">
        <v>0.04</v>
      </c>
      <c r="E1059" s="129">
        <v>0.04</v>
      </c>
    </row>
    <row r="1060" spans="2:9" hidden="1" outlineLevel="1" x14ac:dyDescent="0.25">
      <c r="B1060" s="3" t="s">
        <v>203</v>
      </c>
      <c r="C1060" s="3" t="s">
        <v>204</v>
      </c>
      <c r="D1060" s="3" t="s">
        <v>205</v>
      </c>
      <c r="E1060" s="3" t="s">
        <v>206</v>
      </c>
      <c r="G1060" s="1170" t="s">
        <v>2020</v>
      </c>
      <c r="H1060" s="1171"/>
    </row>
    <row r="1061" spans="2:9" hidden="1" outlineLevel="1" x14ac:dyDescent="0.25">
      <c r="B1061" s="178">
        <v>0</v>
      </c>
      <c r="C1061" s="179">
        <v>0</v>
      </c>
      <c r="D1061" s="178"/>
      <c r="E1061" s="178"/>
      <c r="G1061" s="7">
        <f>E1061</f>
        <v>0</v>
      </c>
      <c r="H1061" s="1034">
        <f>C964</f>
        <v>253786.0091228669</v>
      </c>
    </row>
    <row r="1062" spans="2:9" hidden="1" outlineLevel="1" x14ac:dyDescent="0.25">
      <c r="B1062" s="3" t="s">
        <v>14</v>
      </c>
      <c r="C1062" s="4" t="s">
        <v>15</v>
      </c>
      <c r="D1062" s="4" t="s">
        <v>142</v>
      </c>
      <c r="E1062" t="s">
        <v>143</v>
      </c>
      <c r="G1062" s="41" t="s">
        <v>13</v>
      </c>
      <c r="H1062" s="133"/>
    </row>
    <row r="1063" spans="2:9" hidden="1" outlineLevel="1" x14ac:dyDescent="0.25">
      <c r="B1063" s="4">
        <f>B1052+(B1052*B1059)+B1061</f>
        <v>121212</v>
      </c>
      <c r="C1063" s="4">
        <f>C1052+(C1052*C1059)+C1061</f>
        <v>154440</v>
      </c>
      <c r="D1063" s="4">
        <f>D1052+(D1052*D1059)+D1061</f>
        <v>137280</v>
      </c>
      <c r="E1063" s="4">
        <f>E1052+(E1052*E1059)+E1061</f>
        <v>137280</v>
      </c>
    </row>
    <row r="1064" spans="2:9" hidden="1" outlineLevel="1" x14ac:dyDescent="0.25">
      <c r="B1064" s="3" t="s">
        <v>998</v>
      </c>
      <c r="C1064" s="3" t="s">
        <v>999</v>
      </c>
      <c r="D1064" s="3" t="s">
        <v>1000</v>
      </c>
      <c r="E1064" s="3" t="s">
        <v>1001</v>
      </c>
    </row>
    <row r="1065" spans="2:9" hidden="1" outlineLevel="1" x14ac:dyDescent="0.25">
      <c r="B1065" s="693"/>
      <c r="C1065" s="157" t="s">
        <v>284</v>
      </c>
      <c r="D1065" s="693"/>
      <c r="E1065" s="693"/>
    </row>
    <row r="1066" spans="2:9" hidden="1" outlineLevel="1" x14ac:dyDescent="0.25">
      <c r="B1066" s="4"/>
      <c r="C1066" s="4"/>
      <c r="D1066" s="4"/>
      <c r="E1066" s="4"/>
    </row>
    <row r="1067" spans="2:9" hidden="1" outlineLevel="1" x14ac:dyDescent="0.25">
      <c r="B1067" s="37" t="s">
        <v>7</v>
      </c>
      <c r="F1067" s="34"/>
      <c r="G1067" s="1168"/>
      <c r="H1067" s="1168"/>
      <c r="I1067" s="2"/>
    </row>
    <row r="1068" spans="2:9" hidden="1" outlineLevel="1" x14ac:dyDescent="0.25">
      <c r="B1068" s="1169" t="s">
        <v>39</v>
      </c>
      <c r="C1068" s="1170"/>
      <c r="D1068" s="1170" t="s">
        <v>40</v>
      </c>
      <c r="E1068" s="1171"/>
      <c r="F1068" s="573"/>
      <c r="G1068" s="1173" t="s">
        <v>9</v>
      </c>
      <c r="H1068" s="1174"/>
      <c r="I1068" s="131" t="s">
        <v>23</v>
      </c>
    </row>
    <row r="1069" spans="2:9" hidden="1" outlineLevel="1" x14ac:dyDescent="0.25">
      <c r="B1069" s="38" t="s">
        <v>1461</v>
      </c>
      <c r="C1069" s="53">
        <f>B964</f>
        <v>129500</v>
      </c>
      <c r="D1069" s="7" t="str">
        <f>B1069</f>
        <v>Underlying Policy Premium</v>
      </c>
      <c r="E1069" s="1034">
        <f>D964</f>
        <v>165000</v>
      </c>
      <c r="F1069" s="132"/>
      <c r="G1069" s="1" t="s">
        <v>129</v>
      </c>
      <c r="H1069" s="1" t="s">
        <v>12</v>
      </c>
      <c r="I1069" s="39" t="s">
        <v>129</v>
      </c>
    </row>
    <row r="1070" spans="2:9" hidden="1" outlineLevel="1" x14ac:dyDescent="0.25">
      <c r="B1070" s="51"/>
      <c r="C1070" s="55"/>
      <c r="D1070" s="41" t="s">
        <v>13</v>
      </c>
      <c r="E1070" s="133">
        <f>-(C1069-E1069)/C1069</f>
        <v>0.27413127413127414</v>
      </c>
      <c r="F1070" s="29" t="s">
        <v>10</v>
      </c>
      <c r="G1070" s="22">
        <v>5000000</v>
      </c>
      <c r="H1070" s="22">
        <v>5000000</v>
      </c>
      <c r="I1070" s="40">
        <v>0</v>
      </c>
    </row>
    <row r="1071" spans="2:9" hidden="1" outlineLevel="1" x14ac:dyDescent="0.25">
      <c r="B1071" s="1169"/>
      <c r="C1071" s="1170"/>
      <c r="D1071" s="51"/>
      <c r="E1071" s="134"/>
      <c r="F1071" s="29" t="s">
        <v>67</v>
      </c>
      <c r="G1071" s="22">
        <v>5000000</v>
      </c>
      <c r="H1071" s="22">
        <v>5000000</v>
      </c>
      <c r="I1071" s="40">
        <v>0</v>
      </c>
    </row>
    <row r="1072" spans="2:9" hidden="1" outlineLevel="1" x14ac:dyDescent="0.25">
      <c r="B1072" s="38"/>
      <c r="C1072" s="19"/>
      <c r="D1072" s="51"/>
      <c r="E1072" s="134"/>
      <c r="F1072" s="135" t="s">
        <v>68</v>
      </c>
      <c r="G1072" s="71"/>
      <c r="H1072" s="71"/>
      <c r="I1072" s="136"/>
    </row>
    <row r="1073" spans="2:8" s="1197" customFormat="1" ht="13.5" customHeight="1" collapsed="1" x14ac:dyDescent="0.25"/>
    <row r="1074" spans="2:8" hidden="1" x14ac:dyDescent="0.25">
      <c r="B1074" s="36" t="s">
        <v>1658</v>
      </c>
      <c r="F1074" s="338" t="s">
        <v>437</v>
      </c>
      <c r="G1074" s="1165"/>
      <c r="H1074" s="1165"/>
    </row>
    <row r="1075" spans="2:8" hidden="1" outlineLevel="1" x14ac:dyDescent="0.25">
      <c r="B1075" t="s">
        <v>0</v>
      </c>
      <c r="C1075" t="s">
        <v>271</v>
      </c>
    </row>
    <row r="1076" spans="2:8" hidden="1" outlineLevel="1" x14ac:dyDescent="0.25">
      <c r="B1076" t="s">
        <v>1679</v>
      </c>
      <c r="C1076" s="18" t="s">
        <v>1673</v>
      </c>
    </row>
    <row r="1077" spans="2:8" hidden="1" outlineLevel="1" x14ac:dyDescent="0.25">
      <c r="B1077" t="s">
        <v>1680</v>
      </c>
      <c r="C1077" s="18" t="s">
        <v>649</v>
      </c>
    </row>
    <row r="1078" spans="2:8" hidden="1" outlineLevel="1" x14ac:dyDescent="0.25">
      <c r="B1078" t="s">
        <v>131</v>
      </c>
      <c r="C1078" t="s">
        <v>132</v>
      </c>
      <c r="D1078" t="s">
        <v>133</v>
      </c>
      <c r="E1078" t="s">
        <v>134</v>
      </c>
      <c r="F1078" s="210" t="s">
        <v>392</v>
      </c>
      <c r="G1078" s="1166"/>
      <c r="H1078" s="1166"/>
    </row>
    <row r="1079" spans="2:8" ht="30" hidden="1" outlineLevel="1" x14ac:dyDescent="0.25">
      <c r="B1079" s="176" t="s">
        <v>1648</v>
      </c>
      <c r="C1079" s="571" t="str">
        <f>B1079</f>
        <v>Indian Harbor Insurance Company (AXA XL)</v>
      </c>
      <c r="D1079" s="176"/>
      <c r="E1079" s="176"/>
      <c r="G1079" s="1175"/>
      <c r="H1079" s="1175"/>
    </row>
    <row r="1080" spans="2:8" hidden="1" outlineLevel="1" x14ac:dyDescent="0.25">
      <c r="B1080" t="s">
        <v>135</v>
      </c>
      <c r="C1080" t="s">
        <v>136</v>
      </c>
      <c r="D1080" t="s">
        <v>135</v>
      </c>
      <c r="E1080" t="s">
        <v>139</v>
      </c>
    </row>
    <row r="1081" spans="2:8" hidden="1" outlineLevel="1" x14ac:dyDescent="0.25">
      <c r="B1081" s="18" t="s">
        <v>1453</v>
      </c>
      <c r="C1081" t="str">
        <f>B1081</f>
        <v>A+: XV</v>
      </c>
      <c r="D1081" s="18" t="str">
        <f>B1081</f>
        <v>A+: XV</v>
      </c>
      <c r="E1081" s="18"/>
    </row>
    <row r="1082" spans="2:8" hidden="1" outlineLevel="1" x14ac:dyDescent="0.25">
      <c r="B1082" t="s">
        <v>2</v>
      </c>
      <c r="C1082" t="s">
        <v>3</v>
      </c>
      <c r="D1082" t="s">
        <v>140</v>
      </c>
      <c r="E1082" t="s">
        <v>141</v>
      </c>
    </row>
    <row r="1083" spans="2:8" hidden="1" outlineLevel="1" x14ac:dyDescent="0.25">
      <c r="B1083" s="123"/>
      <c r="C1083" s="4">
        <f>B1083+B1083*E1098</f>
        <v>0</v>
      </c>
      <c r="D1083" s="123"/>
      <c r="E1083" s="123"/>
    </row>
    <row r="1084" spans="2:8" hidden="1" outlineLevel="1" x14ac:dyDescent="0.25">
      <c r="D1084" t="s">
        <v>5</v>
      </c>
      <c r="E1084" t="s">
        <v>6</v>
      </c>
    </row>
    <row r="1085" spans="2:8" hidden="1" outlineLevel="1" x14ac:dyDescent="0.25">
      <c r="D1085" s="3" t="e">
        <f>-(C1083-D1083)/C1083</f>
        <v>#DIV/0!</v>
      </c>
      <c r="E1085" s="3" t="e">
        <f>-(C1083-E1083)/C1083</f>
        <v>#DIV/0!</v>
      </c>
    </row>
    <row r="1086" spans="2:8" hidden="1" outlineLevel="1" x14ac:dyDescent="0.25">
      <c r="B1086" s="3" t="s">
        <v>685</v>
      </c>
      <c r="C1086" s="3" t="s">
        <v>686</v>
      </c>
      <c r="D1086" s="3" t="s">
        <v>687</v>
      </c>
      <c r="E1086" s="3" t="s">
        <v>688</v>
      </c>
    </row>
    <row r="1087" spans="2:8" hidden="1" outlineLevel="1" x14ac:dyDescent="0.25">
      <c r="B1087" s="129">
        <v>0.04</v>
      </c>
      <c r="C1087" s="3">
        <f>B1087</f>
        <v>0.04</v>
      </c>
      <c r="D1087" s="129">
        <v>0.04</v>
      </c>
      <c r="E1087" s="129">
        <v>0</v>
      </c>
    </row>
    <row r="1088" spans="2:8" hidden="1" outlineLevel="1" x14ac:dyDescent="0.25">
      <c r="B1088" s="3" t="s">
        <v>203</v>
      </c>
      <c r="C1088" s="3" t="s">
        <v>204</v>
      </c>
      <c r="D1088" s="3" t="s">
        <v>205</v>
      </c>
      <c r="E1088" s="3" t="s">
        <v>206</v>
      </c>
    </row>
    <row r="1089" spans="2:9" hidden="1" outlineLevel="1" x14ac:dyDescent="0.25">
      <c r="B1089" s="178"/>
      <c r="C1089" s="179">
        <f>B1089+B1089*E1098</f>
        <v>0</v>
      </c>
      <c r="D1089" s="178"/>
      <c r="E1089" s="178"/>
    </row>
    <row r="1090" spans="2:9" hidden="1" outlineLevel="1" x14ac:dyDescent="0.25">
      <c r="B1090" s="3" t="s">
        <v>14</v>
      </c>
      <c r="C1090" s="4" t="s">
        <v>15</v>
      </c>
      <c r="D1090" s="4" t="s">
        <v>142</v>
      </c>
      <c r="E1090" t="s">
        <v>143</v>
      </c>
    </row>
    <row r="1091" spans="2:9" hidden="1" outlineLevel="1" x14ac:dyDescent="0.25">
      <c r="B1091" s="4">
        <f>B1083+(B1083*B1087)+B1089</f>
        <v>0</v>
      </c>
      <c r="C1091" s="4">
        <f>C1083+(C1083*C1087)+C1089</f>
        <v>0</v>
      </c>
      <c r="D1091" s="4">
        <f>D1083+(D1083*D1087)+D1089</f>
        <v>0</v>
      </c>
      <c r="E1091" s="4">
        <f>E1083+(E1083*E1087)+E1089</f>
        <v>0</v>
      </c>
    </row>
    <row r="1092" spans="2:9" hidden="1" outlineLevel="1" x14ac:dyDescent="0.25">
      <c r="B1092" s="3" t="s">
        <v>998</v>
      </c>
      <c r="C1092" s="3" t="s">
        <v>999</v>
      </c>
      <c r="D1092" s="3" t="s">
        <v>1000</v>
      </c>
      <c r="E1092" s="3" t="s">
        <v>1001</v>
      </c>
    </row>
    <row r="1093" spans="2:9" hidden="1" outlineLevel="1" x14ac:dyDescent="0.25">
      <c r="B1093" s="693">
        <v>0.15</v>
      </c>
      <c r="C1093" s="157" t="s">
        <v>284</v>
      </c>
      <c r="D1093" s="693"/>
      <c r="E1093" s="693"/>
    </row>
    <row r="1094" spans="2:9" hidden="1" outlineLevel="1" x14ac:dyDescent="0.25">
      <c r="B1094" s="4"/>
      <c r="C1094" s="4"/>
      <c r="D1094" s="4"/>
      <c r="E1094" s="4"/>
    </row>
    <row r="1095" spans="2:9" hidden="1" outlineLevel="1" x14ac:dyDescent="0.25">
      <c r="B1095" s="37" t="s">
        <v>7</v>
      </c>
      <c r="F1095" s="34"/>
      <c r="G1095" s="1168"/>
      <c r="H1095" s="1168"/>
      <c r="I1095" s="2"/>
    </row>
    <row r="1096" spans="2:9" hidden="1" outlineLevel="1" x14ac:dyDescent="0.25">
      <c r="B1096" s="1169" t="s">
        <v>39</v>
      </c>
      <c r="C1096" s="1170"/>
      <c r="D1096" s="1170" t="s">
        <v>40</v>
      </c>
      <c r="E1096" s="1171"/>
      <c r="F1096" s="573"/>
      <c r="G1096" s="1173" t="s">
        <v>9</v>
      </c>
      <c r="H1096" s="1174"/>
      <c r="I1096" s="131" t="s">
        <v>23</v>
      </c>
    </row>
    <row r="1097" spans="2:9" hidden="1" outlineLevel="1" x14ac:dyDescent="0.25">
      <c r="B1097" s="38" t="s">
        <v>1461</v>
      </c>
      <c r="C1097" s="19">
        <f>B1052</f>
        <v>116550</v>
      </c>
      <c r="D1097" s="7" t="str">
        <f>B1097</f>
        <v>Underlying Policy Premium</v>
      </c>
      <c r="E1097" s="130">
        <f>D1052</f>
        <v>132000</v>
      </c>
      <c r="F1097" s="132"/>
      <c r="G1097" s="1" t="s">
        <v>129</v>
      </c>
      <c r="H1097" s="1" t="s">
        <v>12</v>
      </c>
      <c r="I1097" s="39" t="s">
        <v>11</v>
      </c>
    </row>
    <row r="1098" spans="2:9" hidden="1" outlineLevel="1" x14ac:dyDescent="0.25">
      <c r="B1098" s="51"/>
      <c r="C1098" s="55"/>
      <c r="D1098" s="41" t="s">
        <v>13</v>
      </c>
      <c r="E1098" s="133">
        <f>-(C1097-E1097)/C1097</f>
        <v>0.13256113256113256</v>
      </c>
      <c r="F1098" s="29" t="s">
        <v>10</v>
      </c>
      <c r="G1098" s="22">
        <v>5000000</v>
      </c>
      <c r="H1098" s="22">
        <v>5000000</v>
      </c>
      <c r="I1098" s="40">
        <v>0</v>
      </c>
    </row>
    <row r="1099" spans="2:9" hidden="1" outlineLevel="1" x14ac:dyDescent="0.25">
      <c r="B1099" s="51"/>
      <c r="C1099" s="55"/>
      <c r="D1099" s="51"/>
      <c r="E1099" s="134"/>
      <c r="F1099" s="29" t="s">
        <v>67</v>
      </c>
      <c r="G1099" s="22">
        <v>5000000</v>
      </c>
      <c r="H1099" s="22">
        <v>5000000</v>
      </c>
      <c r="I1099" s="40">
        <v>0</v>
      </c>
    </row>
    <row r="1100" spans="2:9" hidden="1" outlineLevel="1" x14ac:dyDescent="0.25">
      <c r="B1100" s="51"/>
      <c r="C1100" s="55"/>
      <c r="D1100" s="51"/>
      <c r="E1100" s="134"/>
      <c r="F1100" s="135" t="s">
        <v>68</v>
      </c>
      <c r="G1100" s="71"/>
      <c r="H1100" s="71"/>
      <c r="I1100" s="136"/>
    </row>
    <row r="1101" spans="2:9" s="1129" customFormat="1" ht="13.5" hidden="1" customHeight="1" collapsed="1" x14ac:dyDescent="0.25"/>
    <row r="1102" spans="2:9" ht="15" customHeight="1" x14ac:dyDescent="0.25">
      <c r="B1102" s="1052" t="s">
        <v>1897</v>
      </c>
      <c r="F1102" s="338" t="s">
        <v>437</v>
      </c>
      <c r="G1102" s="1165" t="s">
        <v>537</v>
      </c>
      <c r="H1102" s="1165"/>
    </row>
    <row r="1103" spans="2:9" ht="15" hidden="1" customHeight="1" outlineLevel="1" x14ac:dyDescent="0.25">
      <c r="B1103" t="s">
        <v>0</v>
      </c>
      <c r="C1103" t="s">
        <v>414</v>
      </c>
    </row>
    <row r="1104" spans="2:9" ht="15" hidden="1" customHeight="1" outlineLevel="1" x14ac:dyDescent="0.25">
      <c r="B1104" t="s">
        <v>1679</v>
      </c>
      <c r="C1104" s="1107" t="s">
        <v>2117</v>
      </c>
    </row>
    <row r="1105" spans="2:8" ht="15" hidden="1" customHeight="1" outlineLevel="1" x14ac:dyDescent="0.25">
      <c r="B1105" t="s">
        <v>1680</v>
      </c>
      <c r="C1105" s="72" t="s">
        <v>649</v>
      </c>
    </row>
    <row r="1106" spans="2:8" ht="15" hidden="1" customHeight="1" outlineLevel="1" x14ac:dyDescent="0.25">
      <c r="B1106" t="s">
        <v>131</v>
      </c>
      <c r="C1106" t="s">
        <v>132</v>
      </c>
      <c r="D1106" t="s">
        <v>133</v>
      </c>
      <c r="E1106" t="s">
        <v>134</v>
      </c>
      <c r="F1106" s="210" t="s">
        <v>392</v>
      </c>
      <c r="G1106" s="1166" t="s">
        <v>133</v>
      </c>
      <c r="H1106" s="1166"/>
    </row>
    <row r="1107" spans="2:8" ht="15" hidden="1" customHeight="1" outlineLevel="1" x14ac:dyDescent="0.25">
      <c r="B1107" s="176" t="s">
        <v>1912</v>
      </c>
      <c r="C1107" s="571" t="str">
        <f>B1107</f>
        <v>Great American Insurance Company</v>
      </c>
      <c r="D1107" s="176" t="s">
        <v>1912</v>
      </c>
      <c r="E1107" s="176"/>
      <c r="G1107" s="1175"/>
      <c r="H1107" s="1175"/>
    </row>
    <row r="1108" spans="2:8" ht="15" hidden="1" customHeight="1" outlineLevel="1" x14ac:dyDescent="0.25">
      <c r="B1108" t="s">
        <v>135</v>
      </c>
      <c r="C1108" t="s">
        <v>136</v>
      </c>
      <c r="D1108" t="s">
        <v>137</v>
      </c>
      <c r="E1108" t="s">
        <v>139</v>
      </c>
    </row>
    <row r="1109" spans="2:8" ht="15" hidden="1" customHeight="1" outlineLevel="1" x14ac:dyDescent="0.25">
      <c r="B1109" s="18" t="s">
        <v>1453</v>
      </c>
      <c r="C1109" t="str">
        <f>B1109</f>
        <v>A+: XV</v>
      </c>
      <c r="D1109" s="18" t="s">
        <v>1453</v>
      </c>
      <c r="E1109" s="18"/>
    </row>
    <row r="1110" spans="2:8" ht="15" hidden="1" customHeight="1" outlineLevel="1" x14ac:dyDescent="0.25">
      <c r="B1110" t="s">
        <v>2</v>
      </c>
      <c r="C1110" t="s">
        <v>3</v>
      </c>
      <c r="D1110" t="s">
        <v>140</v>
      </c>
      <c r="E1110" t="s">
        <v>141</v>
      </c>
    </row>
    <row r="1111" spans="2:8" ht="15" hidden="1" customHeight="1" outlineLevel="1" x14ac:dyDescent="0.25">
      <c r="B1111" s="123">
        <v>6500</v>
      </c>
      <c r="C1111" s="4">
        <f>B1111+B1111*E1128</f>
        <v>6498.5529830810328</v>
      </c>
      <c r="D1111" s="123">
        <v>6500</v>
      </c>
      <c r="E1111" s="123"/>
    </row>
    <row r="1112" spans="2:8" ht="15" hidden="1" customHeight="1" outlineLevel="1" x14ac:dyDescent="0.25">
      <c r="D1112" t="s">
        <v>5</v>
      </c>
      <c r="E1112" t="s">
        <v>6</v>
      </c>
    </row>
    <row r="1113" spans="2:8" ht="15" hidden="1" customHeight="1" outlineLevel="1" x14ac:dyDescent="0.25">
      <c r="D1113" s="156">
        <f>-(C1111-D1111)/C1111</f>
        <v>2.2266755733691334E-4</v>
      </c>
      <c r="E1113" s="3">
        <f>-(C1111-E1111)/C1111</f>
        <v>-1</v>
      </c>
    </row>
    <row r="1114" spans="2:8" ht="15" hidden="1" customHeight="1" outlineLevel="1" x14ac:dyDescent="0.25">
      <c r="B1114" s="3" t="s">
        <v>685</v>
      </c>
      <c r="C1114" s="3" t="s">
        <v>686</v>
      </c>
      <c r="D1114" s="3" t="s">
        <v>687</v>
      </c>
      <c r="E1114" s="3" t="s">
        <v>688</v>
      </c>
    </row>
    <row r="1115" spans="2:8" ht="15" hidden="1" customHeight="1" outlineLevel="1" x14ac:dyDescent="0.25">
      <c r="B1115" s="178"/>
      <c r="C1115" s="179">
        <f>B1115+B1115*E1128</f>
        <v>0</v>
      </c>
      <c r="D1115" s="178"/>
      <c r="E1115" s="178"/>
    </row>
    <row r="1116" spans="2:8" ht="15" hidden="1" customHeight="1" outlineLevel="1" x14ac:dyDescent="0.25">
      <c r="B1116" s="3" t="s">
        <v>203</v>
      </c>
      <c r="C1116" s="3" t="s">
        <v>204</v>
      </c>
      <c r="D1116" s="3" t="s">
        <v>205</v>
      </c>
      <c r="E1116" s="3" t="s">
        <v>206</v>
      </c>
    </row>
    <row r="1117" spans="2:8" ht="15" hidden="1" customHeight="1" outlineLevel="1" x14ac:dyDescent="0.25">
      <c r="B1117" s="178"/>
      <c r="C1117" s="179">
        <f>B1117+B1117*E1128</f>
        <v>0</v>
      </c>
      <c r="D1117" s="178"/>
      <c r="E1117" s="178"/>
    </row>
    <row r="1118" spans="2:8" ht="15" hidden="1" customHeight="1" outlineLevel="1" x14ac:dyDescent="0.25">
      <c r="B1118" s="3" t="s">
        <v>14</v>
      </c>
      <c r="C1118" s="4" t="s">
        <v>15</v>
      </c>
      <c r="D1118" s="4" t="s">
        <v>142</v>
      </c>
      <c r="E1118" t="s">
        <v>143</v>
      </c>
    </row>
    <row r="1119" spans="2:8" ht="15" hidden="1" customHeight="1" outlineLevel="1" x14ac:dyDescent="0.25">
      <c r="B1119" s="4">
        <f>B1111+B1115+B1117</f>
        <v>6500</v>
      </c>
      <c r="C1119" s="4">
        <f>C1111+C1115+C1117</f>
        <v>6498.5529830810328</v>
      </c>
      <c r="D1119" s="4">
        <f>D1111+D1115+D1117</f>
        <v>6500</v>
      </c>
      <c r="E1119" s="4">
        <f>E1111+E1115+E1117</f>
        <v>0</v>
      </c>
    </row>
    <row r="1120" spans="2:8" ht="15" hidden="1" customHeight="1" outlineLevel="1" x14ac:dyDescent="0.25">
      <c r="B1120" s="3" t="s">
        <v>998</v>
      </c>
      <c r="C1120" s="3" t="s">
        <v>999</v>
      </c>
      <c r="D1120" s="3" t="s">
        <v>1000</v>
      </c>
      <c r="E1120" s="3" t="s">
        <v>1001</v>
      </c>
    </row>
    <row r="1121" spans="2:11" ht="15" hidden="1" customHeight="1" outlineLevel="1" x14ac:dyDescent="0.25">
      <c r="B1121" s="693"/>
      <c r="C1121" s="157" t="s">
        <v>284</v>
      </c>
      <c r="D1121" s="693"/>
      <c r="E1121" s="693"/>
    </row>
    <row r="1122" spans="2:11" ht="15" hidden="1" customHeight="1" outlineLevel="1" x14ac:dyDescent="0.25">
      <c r="B1122" s="4"/>
      <c r="C1122" s="4"/>
      <c r="D1122" s="4"/>
      <c r="E1122" s="4"/>
    </row>
    <row r="1123" spans="2:11" ht="15" hidden="1" customHeight="1" outlineLevel="1" x14ac:dyDescent="0.25">
      <c r="B1123" s="37" t="s">
        <v>7</v>
      </c>
    </row>
    <row r="1124" spans="2:11" ht="15" hidden="1" customHeight="1" outlineLevel="1" x14ac:dyDescent="0.25">
      <c r="B1124" s="78"/>
      <c r="C1124" s="78" t="s">
        <v>207</v>
      </c>
      <c r="D1124" s="79" t="s">
        <v>208</v>
      </c>
      <c r="E1124" s="80" t="s">
        <v>13</v>
      </c>
    </row>
    <row r="1125" spans="2:11" ht="15" hidden="1" customHeight="1" outlineLevel="1" x14ac:dyDescent="0.25">
      <c r="B1125" s="38" t="s">
        <v>1915</v>
      </c>
      <c r="C1125" s="19">
        <v>13476</v>
      </c>
      <c r="D1125" s="24">
        <f>D930</f>
        <v>13473</v>
      </c>
      <c r="E1125" s="159">
        <f>-(C1125-D1125)/C1125</f>
        <v>-2.2261798753339269E-4</v>
      </c>
    </row>
    <row r="1126" spans="2:11" ht="15" hidden="1" customHeight="1" outlineLevel="1" x14ac:dyDescent="0.25">
      <c r="B1126" s="38" t="s">
        <v>693</v>
      </c>
      <c r="C1126" s="19"/>
      <c r="D1126" s="24"/>
      <c r="E1126" s="159"/>
    </row>
    <row r="1127" spans="2:11" ht="15" hidden="1" customHeight="1" outlineLevel="1" x14ac:dyDescent="0.25">
      <c r="B1127" s="38" t="s">
        <v>249</v>
      </c>
      <c r="C1127" s="154"/>
      <c r="D1127" s="155"/>
      <c r="E1127" s="159"/>
    </row>
    <row r="1128" spans="2:11" ht="15" hidden="1" customHeight="1" outlineLevel="1" x14ac:dyDescent="0.25">
      <c r="D1128" s="10" t="s">
        <v>209</v>
      </c>
      <c r="E1128" s="153">
        <f>AVERAGE(E1125:E1127)</f>
        <v>-2.2261798753339269E-4</v>
      </c>
    </row>
    <row r="1129" spans="2:11" ht="15" hidden="1" customHeight="1" outlineLevel="1" x14ac:dyDescent="0.25">
      <c r="D1129" s="51"/>
      <c r="E1129" s="73"/>
    </row>
    <row r="1130" spans="2:11" ht="15" hidden="1" customHeight="1" outlineLevel="1" x14ac:dyDescent="0.25">
      <c r="B1130" s="64" t="s">
        <v>197</v>
      </c>
      <c r="C1130" s="55"/>
      <c r="D1130" s="51"/>
      <c r="E1130" s="15"/>
      <c r="F1130" s="2"/>
      <c r="G1130" s="23"/>
      <c r="H1130" s="23"/>
    </row>
    <row r="1131" spans="2:11" ht="15" hidden="1" customHeight="1" outlineLevel="1" x14ac:dyDescent="0.25">
      <c r="B1131" s="65"/>
      <c r="C1131" s="1209" t="s">
        <v>62</v>
      </c>
      <c r="D1131" s="1250"/>
      <c r="E1131" s="1250"/>
      <c r="F1131" s="1183" t="s">
        <v>67</v>
      </c>
      <c r="G1131" s="1251"/>
      <c r="H1131" s="1251"/>
      <c r="I1131" s="1199" t="s">
        <v>68</v>
      </c>
      <c r="J1131" s="1200"/>
    </row>
    <row r="1132" spans="2:11" ht="15" hidden="1" customHeight="1" outlineLevel="1" x14ac:dyDescent="0.25">
      <c r="B1132" s="1242" t="s">
        <v>59</v>
      </c>
      <c r="C1132" s="1244" t="s">
        <v>200</v>
      </c>
      <c r="D1132" s="730" t="s">
        <v>23</v>
      </c>
      <c r="E1132" s="730" t="s">
        <v>661</v>
      </c>
      <c r="F1132" s="1246" t="s">
        <v>200</v>
      </c>
      <c r="G1132" s="730" t="s">
        <v>23</v>
      </c>
      <c r="H1132" s="730" t="s">
        <v>661</v>
      </c>
      <c r="I1132" s="1248" t="s">
        <v>200</v>
      </c>
      <c r="J1132" s="732" t="s">
        <v>23</v>
      </c>
      <c r="K1132" s="732" t="s">
        <v>661</v>
      </c>
    </row>
    <row r="1133" spans="2:11" ht="15" hidden="1" customHeight="1" outlineLevel="1" x14ac:dyDescent="0.25">
      <c r="B1133" s="1243"/>
      <c r="C1133" s="1245"/>
      <c r="D1133" s="731" t="s">
        <v>129</v>
      </c>
      <c r="E1133" s="731"/>
      <c r="F1133" s="1247"/>
      <c r="G1133" s="731" t="s">
        <v>129</v>
      </c>
      <c r="H1133" s="731"/>
      <c r="I1133" s="1249"/>
      <c r="J1133" s="733" t="s">
        <v>129</v>
      </c>
      <c r="K1133" s="733"/>
    </row>
    <row r="1134" spans="2:11" ht="15" hidden="1" customHeight="1" outlineLevel="1" x14ac:dyDescent="0.25">
      <c r="B1134" s="66" t="s">
        <v>1913</v>
      </c>
      <c r="C1134" s="317">
        <v>5000000</v>
      </c>
      <c r="D1134" s="1219">
        <v>0</v>
      </c>
      <c r="E1134" s="1219" t="s">
        <v>284</v>
      </c>
      <c r="F1134" s="728">
        <f>C1134</f>
        <v>5000000</v>
      </c>
      <c r="G1134" s="1219">
        <f>D1134</f>
        <v>0</v>
      </c>
      <c r="H1134" s="1219" t="str">
        <f>E1134</f>
        <v>N/A</v>
      </c>
      <c r="I1134" s="729"/>
      <c r="J1134" s="1239"/>
      <c r="K1134" s="1236"/>
    </row>
    <row r="1135" spans="2:11" ht="15" hidden="1" customHeight="1" outlineLevel="1" x14ac:dyDescent="0.25">
      <c r="B1135" s="66" t="s">
        <v>12</v>
      </c>
      <c r="C1135" s="317">
        <v>5000000</v>
      </c>
      <c r="D1135" s="1220"/>
      <c r="E1135" s="1220"/>
      <c r="F1135" s="728">
        <f>C1135</f>
        <v>5000000</v>
      </c>
      <c r="G1135" s="1220"/>
      <c r="H1135" s="1220"/>
      <c r="I1135" s="729"/>
      <c r="J1135" s="1240"/>
      <c r="K1135" s="1237"/>
    </row>
    <row r="1136" spans="2:11" ht="15" hidden="1" customHeight="1" outlineLevel="1" x14ac:dyDescent="0.25">
      <c r="B1136" s="66" t="s">
        <v>1084</v>
      </c>
      <c r="C1136" s="317">
        <v>0</v>
      </c>
      <c r="D1136" s="1220"/>
      <c r="E1136" s="1220"/>
      <c r="F1136" s="728">
        <f>C1136</f>
        <v>0</v>
      </c>
      <c r="G1136" s="1220"/>
      <c r="H1136" s="1220"/>
      <c r="I1136" s="729"/>
      <c r="J1136" s="1240"/>
      <c r="K1136" s="1237"/>
    </row>
    <row r="1137" spans="2:11" ht="15" hidden="1" customHeight="1" outlineLevel="1" x14ac:dyDescent="0.25">
      <c r="B1137" s="66" t="s">
        <v>1085</v>
      </c>
      <c r="C1137" s="317">
        <v>0</v>
      </c>
      <c r="D1137" s="1220"/>
      <c r="E1137" s="1220"/>
      <c r="F1137" s="728">
        <f>C1137</f>
        <v>0</v>
      </c>
      <c r="G1137" s="1220"/>
      <c r="H1137" s="1220"/>
      <c r="I1137" s="729"/>
      <c r="J1137" s="1240"/>
      <c r="K1137" s="1237"/>
    </row>
    <row r="1138" spans="2:11" ht="15" hidden="1" customHeight="1" outlineLevel="1" x14ac:dyDescent="0.25">
      <c r="B1138" s="66" t="s">
        <v>1086</v>
      </c>
      <c r="C1138" s="317">
        <v>0</v>
      </c>
      <c r="D1138" s="1220"/>
      <c r="E1138" s="1220"/>
      <c r="F1138" s="728">
        <f>C1138</f>
        <v>0</v>
      </c>
      <c r="G1138" s="1220"/>
      <c r="H1138" s="1220"/>
      <c r="I1138" s="729"/>
      <c r="J1138" s="1240"/>
      <c r="K1138" s="1237"/>
    </row>
    <row r="1139" spans="2:11" ht="15" hidden="1" customHeight="1" outlineLevel="1" x14ac:dyDescent="0.25">
      <c r="B1139" s="726" t="s">
        <v>1087</v>
      </c>
      <c r="C1139" s="726"/>
      <c r="D1139" s="1220"/>
      <c r="E1139" s="1220"/>
      <c r="F1139" s="726"/>
      <c r="G1139" s="1220"/>
      <c r="H1139" s="1220"/>
      <c r="I1139" s="726"/>
      <c r="J1139" s="1240"/>
      <c r="K1139" s="1237"/>
    </row>
    <row r="1140" spans="2:11" ht="15" hidden="1" customHeight="1" outlineLevel="1" x14ac:dyDescent="0.25">
      <c r="B1140" s="727" t="s">
        <v>1088</v>
      </c>
      <c r="C1140" s="317">
        <v>0</v>
      </c>
      <c r="D1140" s="1220"/>
      <c r="E1140" s="1220"/>
      <c r="F1140" s="728">
        <f>C1140</f>
        <v>0</v>
      </c>
      <c r="G1140" s="1220"/>
      <c r="H1140" s="1220"/>
      <c r="I1140" s="729"/>
      <c r="J1140" s="1240"/>
      <c r="K1140" s="1237"/>
    </row>
    <row r="1141" spans="2:11" ht="15" hidden="1" customHeight="1" outlineLevel="1" x14ac:dyDescent="0.25">
      <c r="B1141" s="727" t="s">
        <v>1089</v>
      </c>
      <c r="C1141" s="317">
        <v>0</v>
      </c>
      <c r="D1141" s="1221"/>
      <c r="E1141" s="1221"/>
      <c r="F1141" s="728">
        <f>C1141</f>
        <v>0</v>
      </c>
      <c r="G1141" s="1221"/>
      <c r="H1141" s="1221"/>
      <c r="I1141" s="729"/>
      <c r="J1141" s="1241"/>
      <c r="K1141" s="1238"/>
    </row>
    <row r="1142" spans="2:11" ht="15" hidden="1" customHeight="1" outlineLevel="1" x14ac:dyDescent="0.25">
      <c r="B1142" s="66" t="s">
        <v>1061</v>
      </c>
      <c r="C1142" s="316"/>
      <c r="D1142" s="74"/>
      <c r="E1142" s="316" t="s">
        <v>1092</v>
      </c>
      <c r="F1142" s="735"/>
      <c r="G1142" s="735"/>
      <c r="H1142" s="316" t="str">
        <f>E1142</f>
        <v>ZZZ Hours</v>
      </c>
      <c r="I1142" s="736"/>
      <c r="J1142" s="736"/>
      <c r="K1142" s="317"/>
    </row>
    <row r="1143" spans="2:11" ht="30" hidden="1" outlineLevel="1" x14ac:dyDescent="0.25">
      <c r="B1143" s="66" t="s">
        <v>1091</v>
      </c>
      <c r="C1143" s="316"/>
      <c r="D1143" s="724"/>
      <c r="E1143" s="724" t="s">
        <v>1092</v>
      </c>
      <c r="F1143" s="735"/>
      <c r="G1143" s="735"/>
      <c r="H1143" s="724" t="str">
        <f>E1143</f>
        <v>ZZZ Hours</v>
      </c>
      <c r="I1143" s="736"/>
      <c r="J1143" s="736"/>
      <c r="K1143" s="737"/>
    </row>
    <row r="1144" spans="2:11" s="1197" customFormat="1" ht="13.5" customHeight="1" collapsed="1" x14ac:dyDescent="0.25"/>
    <row r="1145" spans="2:11" x14ac:dyDescent="0.25">
      <c r="B1145" s="1106" t="s">
        <v>1663</v>
      </c>
      <c r="F1145" s="338" t="s">
        <v>437</v>
      </c>
      <c r="G1145" s="1165" t="s">
        <v>537</v>
      </c>
      <c r="H1145" s="1165"/>
    </row>
    <row r="1146" spans="2:11" hidden="1" outlineLevel="1" x14ac:dyDescent="0.25">
      <c r="B1146" t="s">
        <v>0</v>
      </c>
      <c r="C1146" t="s">
        <v>395</v>
      </c>
    </row>
    <row r="1147" spans="2:11" hidden="1" outlineLevel="1" x14ac:dyDescent="0.25">
      <c r="B1147" t="s">
        <v>1679</v>
      </c>
      <c r="C1147" s="18" t="s">
        <v>2091</v>
      </c>
    </row>
    <row r="1148" spans="2:11" hidden="1" outlineLevel="1" x14ac:dyDescent="0.25">
      <c r="B1148" t="s">
        <v>1680</v>
      </c>
      <c r="C1148" s="18" t="s">
        <v>649</v>
      </c>
    </row>
    <row r="1149" spans="2:11" hidden="1" outlineLevel="1" x14ac:dyDescent="0.25">
      <c r="B1149" t="s">
        <v>131</v>
      </c>
      <c r="C1149" t="s">
        <v>132</v>
      </c>
      <c r="D1149" t="s">
        <v>133</v>
      </c>
      <c r="E1149" t="s">
        <v>134</v>
      </c>
      <c r="F1149" s="210" t="s">
        <v>392</v>
      </c>
      <c r="G1149" s="1166"/>
      <c r="H1149" s="1166"/>
    </row>
    <row r="1150" spans="2:11" hidden="1" outlineLevel="1" x14ac:dyDescent="0.25">
      <c r="B1150" s="176" t="s">
        <v>2089</v>
      </c>
      <c r="C1150" s="571" t="str">
        <f>B1150</f>
        <v>Texas Insurance Company (Applied)</v>
      </c>
      <c r="D1150" s="176" t="s">
        <v>1238</v>
      </c>
      <c r="E1150" s="176"/>
      <c r="G1150" s="1175"/>
      <c r="H1150" s="1175"/>
    </row>
    <row r="1151" spans="2:11" hidden="1" outlineLevel="1" x14ac:dyDescent="0.25">
      <c r="B1151" t="s">
        <v>135</v>
      </c>
      <c r="C1151" t="s">
        <v>136</v>
      </c>
      <c r="D1151" t="s">
        <v>135</v>
      </c>
      <c r="E1151" t="s">
        <v>139</v>
      </c>
    </row>
    <row r="1152" spans="2:11" hidden="1" outlineLevel="1" x14ac:dyDescent="0.25">
      <c r="B1152" s="18" t="s">
        <v>2090</v>
      </c>
      <c r="C1152" t="str">
        <f>B1152</f>
        <v>A-:XI</v>
      </c>
      <c r="D1152" s="18" t="s">
        <v>2078</v>
      </c>
      <c r="E1152" s="18"/>
    </row>
    <row r="1153" spans="2:9" hidden="1" outlineLevel="1" x14ac:dyDescent="0.25">
      <c r="B1153" t="s">
        <v>2</v>
      </c>
      <c r="C1153" t="s">
        <v>3</v>
      </c>
      <c r="D1153" t="s">
        <v>140</v>
      </c>
      <c r="E1153" t="s">
        <v>141</v>
      </c>
    </row>
    <row r="1154" spans="2:9" hidden="1" outlineLevel="1" x14ac:dyDescent="0.25">
      <c r="B1154" s="123">
        <v>100000</v>
      </c>
      <c r="C1154" s="4">
        <f>B1154+B1154*E1170</f>
        <v>100953.74344301382</v>
      </c>
      <c r="D1154" s="123">
        <v>84680</v>
      </c>
      <c r="E1154" s="123"/>
    </row>
    <row r="1155" spans="2:9" ht="30" hidden="1" outlineLevel="1" x14ac:dyDescent="0.25">
      <c r="B1155" s="202" t="s">
        <v>1598</v>
      </c>
      <c r="C1155" s="202" t="s">
        <v>285</v>
      </c>
      <c r="D1155" s="202" t="s">
        <v>285</v>
      </c>
      <c r="E1155" s="202" t="s">
        <v>285</v>
      </c>
    </row>
    <row r="1156" spans="2:9" hidden="1" outlineLevel="1" x14ac:dyDescent="0.25">
      <c r="B1156" s="3">
        <f>B1154/(C1169)</f>
        <v>0.9537434430138293</v>
      </c>
      <c r="C1156" s="1102">
        <f>C1154/E1169</f>
        <v>0.95374344301382918</v>
      </c>
      <c r="D1156" s="3">
        <f>D1154/E1169</f>
        <v>0.8</v>
      </c>
      <c r="E1156" s="3">
        <f>-(C1154-E1154)/C1154</f>
        <v>-1</v>
      </c>
    </row>
    <row r="1157" spans="2:9" hidden="1" outlineLevel="1" x14ac:dyDescent="0.25">
      <c r="B1157" s="3"/>
      <c r="D1157" s="3"/>
      <c r="E1157" s="3"/>
    </row>
    <row r="1158" spans="2:9" hidden="1" outlineLevel="1" x14ac:dyDescent="0.25">
      <c r="B1158" s="3" t="s">
        <v>685</v>
      </c>
      <c r="C1158" s="3" t="s">
        <v>686</v>
      </c>
      <c r="D1158" s="3" t="s">
        <v>687</v>
      </c>
      <c r="E1158" s="3" t="s">
        <v>688</v>
      </c>
    </row>
    <row r="1159" spans="2:9" hidden="1" outlineLevel="1" x14ac:dyDescent="0.25">
      <c r="B1159" s="129">
        <v>0.04</v>
      </c>
      <c r="C1159" s="129">
        <v>0.04</v>
      </c>
      <c r="D1159" s="129">
        <v>0.04</v>
      </c>
      <c r="E1159" s="178"/>
    </row>
    <row r="1160" spans="2:9" hidden="1" outlineLevel="1" x14ac:dyDescent="0.25">
      <c r="B1160" s="3" t="s">
        <v>203</v>
      </c>
      <c r="C1160" s="3" t="s">
        <v>204</v>
      </c>
      <c r="D1160" s="3" t="s">
        <v>205</v>
      </c>
      <c r="E1160" s="3" t="s">
        <v>206</v>
      </c>
      <c r="G1160" s="1170" t="s">
        <v>2020</v>
      </c>
      <c r="H1160" s="1171"/>
    </row>
    <row r="1161" spans="2:9" hidden="1" outlineLevel="1" x14ac:dyDescent="0.25">
      <c r="B1161" s="178">
        <v>500</v>
      </c>
      <c r="C1161" s="179">
        <v>500</v>
      </c>
      <c r="D1161" s="178"/>
      <c r="E1161" s="178"/>
      <c r="G1161" s="7">
        <f>E1161</f>
        <v>0</v>
      </c>
      <c r="H1161" s="1034">
        <f>E1169</f>
        <v>105850</v>
      </c>
    </row>
    <row r="1162" spans="2:9" hidden="1" outlineLevel="1" x14ac:dyDescent="0.25">
      <c r="B1162" s="3" t="s">
        <v>14</v>
      </c>
      <c r="C1162" s="4" t="s">
        <v>15</v>
      </c>
      <c r="D1162" s="4" t="s">
        <v>142</v>
      </c>
      <c r="E1162" t="s">
        <v>143</v>
      </c>
      <c r="G1162" s="41" t="s">
        <v>13</v>
      </c>
      <c r="H1162" s="133">
        <f>-(C1169-H1161)/C1169</f>
        <v>9.5374344301382922E-3</v>
      </c>
    </row>
    <row r="1163" spans="2:9" hidden="1" outlineLevel="1" x14ac:dyDescent="0.25">
      <c r="B1163" s="4">
        <f>B1154+(B1154*B1159)+B1161+ (B1161*B1159)</f>
        <v>104520</v>
      </c>
      <c r="C1163" s="4">
        <f>C1154+(C1154*C1159)+C1161+ (C1161*C1159)</f>
        <v>105511.89318073438</v>
      </c>
      <c r="D1163" s="4">
        <f>D1154+(D1154*D1159)+D1161+ (D1161*D1159)</f>
        <v>88067.199999999997</v>
      </c>
      <c r="E1163" s="4">
        <f>E1154+(E1154*E1159)+E1161</f>
        <v>0</v>
      </c>
    </row>
    <row r="1164" spans="2:9" hidden="1" outlineLevel="1" x14ac:dyDescent="0.25">
      <c r="B1164" s="3" t="s">
        <v>998</v>
      </c>
      <c r="C1164" s="3" t="s">
        <v>999</v>
      </c>
      <c r="D1164" s="3" t="s">
        <v>1000</v>
      </c>
      <c r="E1164" s="3" t="s">
        <v>1001</v>
      </c>
    </row>
    <row r="1165" spans="2:9" hidden="1" outlineLevel="1" x14ac:dyDescent="0.25">
      <c r="B1165" s="693"/>
      <c r="C1165" s="157" t="s">
        <v>284</v>
      </c>
      <c r="D1165" s="693"/>
      <c r="E1165" s="693"/>
    </row>
    <row r="1166" spans="2:9" hidden="1" outlineLevel="1" x14ac:dyDescent="0.25">
      <c r="B1166" s="4"/>
      <c r="C1166" s="4"/>
      <c r="D1166" s="4"/>
      <c r="E1166" s="4"/>
    </row>
    <row r="1167" spans="2:9" hidden="1" outlineLevel="1" x14ac:dyDescent="0.25">
      <c r="B1167" s="37" t="s">
        <v>7</v>
      </c>
      <c r="F1167" s="34"/>
      <c r="I1167" s="2"/>
    </row>
    <row r="1168" spans="2:9" hidden="1" outlineLevel="1" x14ac:dyDescent="0.25">
      <c r="B1168" s="1169" t="s">
        <v>39</v>
      </c>
      <c r="C1168" s="1170"/>
      <c r="D1168" s="1170" t="s">
        <v>40</v>
      </c>
      <c r="E1168" s="1171"/>
      <c r="F1168" s="573"/>
      <c r="G1168" s="1173" t="s">
        <v>9</v>
      </c>
      <c r="H1168" s="1174"/>
      <c r="I1168" s="131" t="s">
        <v>23</v>
      </c>
    </row>
    <row r="1169" spans="2:10" ht="30" hidden="1" outlineLevel="1" x14ac:dyDescent="0.25">
      <c r="B1169" s="38" t="s">
        <v>2088</v>
      </c>
      <c r="C1169" s="19">
        <f>B1249</f>
        <v>104850</v>
      </c>
      <c r="D1169" s="7" t="str">
        <f>B1169</f>
        <v>Underlying Policy Premium - 2nd Excess Tech Errors &amp; Omissions</v>
      </c>
      <c r="E1169" s="130">
        <f>D1249</f>
        <v>105850</v>
      </c>
      <c r="F1169" s="132"/>
      <c r="G1169" s="1" t="s">
        <v>11</v>
      </c>
      <c r="H1169" s="1" t="s">
        <v>12</v>
      </c>
      <c r="I1169" s="739" t="s">
        <v>11</v>
      </c>
      <c r="J1169" s="739" t="s">
        <v>1664</v>
      </c>
    </row>
    <row r="1170" spans="2:10" hidden="1" outlineLevel="1" x14ac:dyDescent="0.25">
      <c r="B1170" s="51"/>
      <c r="C1170" s="55"/>
      <c r="D1170" s="41" t="s">
        <v>13</v>
      </c>
      <c r="E1170" s="133">
        <f>-(C1169-E1169)/C1169</f>
        <v>9.5374344301382922E-3</v>
      </c>
      <c r="F1170" s="29" t="s">
        <v>10</v>
      </c>
      <c r="G1170" s="22">
        <v>5000000</v>
      </c>
      <c r="H1170" s="22">
        <v>5000000</v>
      </c>
      <c r="I1170" s="40">
        <v>0</v>
      </c>
      <c r="J1170" s="40"/>
    </row>
    <row r="1171" spans="2:10" hidden="1" outlineLevel="1" x14ac:dyDescent="0.25">
      <c r="B1171" s="51"/>
      <c r="C1171" s="55"/>
      <c r="D1171" s="51"/>
      <c r="E1171" s="134"/>
      <c r="F1171" s="29" t="s">
        <v>67</v>
      </c>
      <c r="G1171" s="22">
        <v>5000000</v>
      </c>
      <c r="H1171" s="22">
        <v>5000000</v>
      </c>
      <c r="I1171" s="40">
        <v>0</v>
      </c>
      <c r="J1171" s="40"/>
    </row>
    <row r="1172" spans="2:10" hidden="1" outlineLevel="1" x14ac:dyDescent="0.25">
      <c r="B1172" s="51"/>
      <c r="C1172" s="55"/>
      <c r="D1172" s="51"/>
      <c r="E1172" s="134"/>
      <c r="F1172" s="135" t="s">
        <v>68</v>
      </c>
      <c r="G1172" s="71"/>
      <c r="H1172" s="71"/>
      <c r="I1172" s="136"/>
      <c r="J1172" s="136"/>
    </row>
    <row r="1173" spans="2:10" s="1197" customFormat="1" ht="13.5" customHeight="1" collapsed="1" x14ac:dyDescent="0.25"/>
    <row r="1174" spans="2:10" hidden="1" x14ac:dyDescent="0.25">
      <c r="B1174" s="36" t="s">
        <v>408</v>
      </c>
      <c r="F1174" s="338" t="s">
        <v>437</v>
      </c>
      <c r="G1174" s="1165"/>
      <c r="H1174" s="1165"/>
    </row>
    <row r="1175" spans="2:10" hidden="1" outlineLevel="1" x14ac:dyDescent="0.25">
      <c r="B1175" t="s">
        <v>0</v>
      </c>
      <c r="C1175" t="s">
        <v>413</v>
      </c>
    </row>
    <row r="1176" spans="2:10" hidden="1" outlineLevel="1" x14ac:dyDescent="0.25">
      <c r="B1176" t="s">
        <v>1</v>
      </c>
      <c r="C1176" s="18" t="s">
        <v>649</v>
      </c>
    </row>
    <row r="1177" spans="2:10" hidden="1" outlineLevel="1" x14ac:dyDescent="0.25">
      <c r="B1177" t="s">
        <v>131</v>
      </c>
      <c r="C1177" t="s">
        <v>132</v>
      </c>
      <c r="D1177" t="s">
        <v>133</v>
      </c>
      <c r="E1177" t="s">
        <v>134</v>
      </c>
      <c r="F1177" s="210" t="s">
        <v>392</v>
      </c>
      <c r="G1177" s="1166"/>
      <c r="H1177" s="1166"/>
    </row>
    <row r="1178" spans="2:10" hidden="1" outlineLevel="1" x14ac:dyDescent="0.25">
      <c r="B1178" s="176" t="s">
        <v>1056</v>
      </c>
      <c r="C1178" s="571" t="str">
        <f>B1178</f>
        <v>Global Aerospace</v>
      </c>
      <c r="D1178" s="176" t="s">
        <v>1056</v>
      </c>
      <c r="E1178" s="176"/>
      <c r="G1178" s="1175"/>
      <c r="H1178" s="1175"/>
    </row>
    <row r="1179" spans="2:10" hidden="1" outlineLevel="1" x14ac:dyDescent="0.25">
      <c r="B1179" t="s">
        <v>135</v>
      </c>
      <c r="C1179" t="s">
        <v>136</v>
      </c>
      <c r="D1179" t="s">
        <v>137</v>
      </c>
      <c r="E1179" t="s">
        <v>139</v>
      </c>
    </row>
    <row r="1180" spans="2:10" hidden="1" outlineLevel="1" x14ac:dyDescent="0.25">
      <c r="B1180" s="18"/>
      <c r="C1180">
        <f>B1180</f>
        <v>0</v>
      </c>
      <c r="D1180" s="18"/>
      <c r="E1180" s="18"/>
    </row>
    <row r="1181" spans="2:10" hidden="1" outlineLevel="1" x14ac:dyDescent="0.25">
      <c r="B1181" t="s">
        <v>2</v>
      </c>
      <c r="C1181" t="s">
        <v>3</v>
      </c>
      <c r="D1181" t="s">
        <v>140</v>
      </c>
      <c r="E1181" t="s">
        <v>141</v>
      </c>
    </row>
    <row r="1182" spans="2:10" hidden="1" outlineLevel="1" x14ac:dyDescent="0.25">
      <c r="B1182" s="123"/>
      <c r="C1182" s="4" t="e">
        <f>B1182+B1182*E1195</f>
        <v>#DIV/0!</v>
      </c>
      <c r="D1182" s="123"/>
      <c r="E1182" s="123"/>
    </row>
    <row r="1183" spans="2:10" hidden="1" outlineLevel="1" x14ac:dyDescent="0.25">
      <c r="D1183" t="s">
        <v>5</v>
      </c>
      <c r="E1183" t="s">
        <v>6</v>
      </c>
    </row>
    <row r="1184" spans="2:10" hidden="1" outlineLevel="1" x14ac:dyDescent="0.25">
      <c r="D1184" s="157" t="e">
        <f>-(C1182-D1182)/C1182</f>
        <v>#DIV/0!</v>
      </c>
      <c r="E1184" s="157" t="e">
        <f>-(C1182-E1182)/C1182</f>
        <v>#DIV/0!</v>
      </c>
    </row>
    <row r="1185" spans="2:10" hidden="1" outlineLevel="1" x14ac:dyDescent="0.25">
      <c r="B1185" s="3" t="s">
        <v>685</v>
      </c>
      <c r="C1185" s="3" t="s">
        <v>686</v>
      </c>
      <c r="D1185" s="3" t="s">
        <v>687</v>
      </c>
      <c r="E1185" s="3" t="s">
        <v>688</v>
      </c>
    </row>
    <row r="1186" spans="2:10" hidden="1" outlineLevel="1" x14ac:dyDescent="0.25">
      <c r="B1186" s="178"/>
      <c r="C1186" s="179" t="e">
        <f>B1186+B1186*E1195</f>
        <v>#DIV/0!</v>
      </c>
      <c r="D1186" s="178"/>
      <c r="E1186" s="178"/>
    </row>
    <row r="1187" spans="2:10" hidden="1" outlineLevel="1" x14ac:dyDescent="0.25">
      <c r="B1187" s="3" t="s">
        <v>14</v>
      </c>
      <c r="C1187" s="4" t="s">
        <v>15</v>
      </c>
      <c r="D1187" s="4" t="s">
        <v>142</v>
      </c>
      <c r="E1187" t="s">
        <v>143</v>
      </c>
    </row>
    <row r="1188" spans="2:10" hidden="1" outlineLevel="1" x14ac:dyDescent="0.25">
      <c r="B1188" s="4">
        <f>B1182+B1186</f>
        <v>0</v>
      </c>
      <c r="C1188" s="4" t="e">
        <f>C1182+C1186</f>
        <v>#DIV/0!</v>
      </c>
      <c r="D1188" s="4">
        <f>D1182+D1186</f>
        <v>0</v>
      </c>
      <c r="E1188" s="4">
        <f>E1182+E1186</f>
        <v>0</v>
      </c>
    </row>
    <row r="1189" spans="2:10" hidden="1" outlineLevel="1" x14ac:dyDescent="0.25">
      <c r="B1189" s="3" t="s">
        <v>998</v>
      </c>
      <c r="C1189" s="3" t="s">
        <v>999</v>
      </c>
      <c r="D1189" s="3" t="s">
        <v>1000</v>
      </c>
      <c r="E1189" s="3" t="s">
        <v>1001</v>
      </c>
    </row>
    <row r="1190" spans="2:10" hidden="1" outlineLevel="1" x14ac:dyDescent="0.25">
      <c r="B1190" s="693"/>
      <c r="C1190" s="157" t="s">
        <v>284</v>
      </c>
      <c r="D1190" s="693"/>
      <c r="E1190" s="693"/>
    </row>
    <row r="1191" spans="2:10" hidden="1" outlineLevel="1" x14ac:dyDescent="0.25">
      <c r="B1191" s="4"/>
      <c r="C1191" s="4"/>
      <c r="D1191" s="4"/>
      <c r="E1191" s="4"/>
    </row>
    <row r="1192" spans="2:10" hidden="1" outlineLevel="1" x14ac:dyDescent="0.25">
      <c r="B1192" s="37" t="s">
        <v>7</v>
      </c>
      <c r="F1192" s="34"/>
      <c r="G1192" s="1168"/>
      <c r="H1192" s="1168"/>
      <c r="I1192" s="2"/>
    </row>
    <row r="1193" spans="2:10" hidden="1" outlineLevel="1" x14ac:dyDescent="0.25">
      <c r="B1193" s="1169" t="s">
        <v>39</v>
      </c>
      <c r="C1193" s="1170"/>
      <c r="D1193" s="1170" t="s">
        <v>40</v>
      </c>
      <c r="E1193" s="1171"/>
      <c r="F1193" s="573"/>
      <c r="G1193" s="1173" t="s">
        <v>9</v>
      </c>
      <c r="H1193" s="1174"/>
      <c r="I1193" s="1211" t="s">
        <v>23</v>
      </c>
      <c r="J1193" s="1168"/>
    </row>
    <row r="1194" spans="2:10" hidden="1" outlineLevel="1" x14ac:dyDescent="0.25">
      <c r="B1194" s="38" t="s">
        <v>409</v>
      </c>
      <c r="C1194" s="32"/>
      <c r="D1194" s="7" t="str">
        <f>B1194</f>
        <v>Number of Drones</v>
      </c>
      <c r="E1194" s="230"/>
      <c r="F1194" s="132"/>
      <c r="G1194" s="1" t="s">
        <v>410</v>
      </c>
      <c r="H1194" s="235" t="s">
        <v>411</v>
      </c>
      <c r="I1194" s="39" t="s">
        <v>410</v>
      </c>
      <c r="J1194" s="39" t="s">
        <v>411</v>
      </c>
    </row>
    <row r="1195" spans="2:10" hidden="1" outlineLevel="1" x14ac:dyDescent="0.25">
      <c r="B1195" s="51"/>
      <c r="C1195" s="55"/>
      <c r="D1195" s="41" t="s">
        <v>13</v>
      </c>
      <c r="E1195" s="133" t="e">
        <f>-(C1194-E1194)/C1194</f>
        <v>#DIV/0!</v>
      </c>
      <c r="F1195" s="29" t="s">
        <v>10</v>
      </c>
      <c r="G1195" s="22"/>
      <c r="H1195" s="22"/>
      <c r="I1195" s="40"/>
      <c r="J1195" s="40"/>
    </row>
    <row r="1196" spans="2:10" hidden="1" outlineLevel="1" x14ac:dyDescent="0.25">
      <c r="B1196" s="51"/>
      <c r="C1196" s="55"/>
      <c r="D1196" s="51"/>
      <c r="E1196" s="134"/>
      <c r="F1196" s="29" t="s">
        <v>67</v>
      </c>
      <c r="G1196" s="22"/>
      <c r="H1196" s="22"/>
      <c r="I1196" s="40"/>
      <c r="J1196" s="40"/>
    </row>
    <row r="1197" spans="2:10" hidden="1" outlineLevel="1" x14ac:dyDescent="0.25">
      <c r="B1197" s="51"/>
      <c r="C1197" s="55"/>
      <c r="D1197" s="51"/>
      <c r="E1197" s="134"/>
      <c r="F1197" s="135" t="s">
        <v>68</v>
      </c>
      <c r="G1197" s="71"/>
      <c r="H1197" s="71"/>
      <c r="I1197" s="136"/>
      <c r="J1197" s="136"/>
    </row>
    <row r="1198" spans="2:10" s="234" customFormat="1" hidden="1" collapsed="1" x14ac:dyDescent="0.25"/>
    <row r="1199" spans="2:10" x14ac:dyDescent="0.25">
      <c r="B1199" s="1053" t="s">
        <v>2010</v>
      </c>
      <c r="F1199" s="338" t="s">
        <v>437</v>
      </c>
      <c r="G1199" s="1165" t="s">
        <v>537</v>
      </c>
      <c r="H1199" s="1165"/>
    </row>
    <row r="1200" spans="2:10" hidden="1" outlineLevel="1" x14ac:dyDescent="0.25">
      <c r="B1200" t="s">
        <v>0</v>
      </c>
      <c r="C1200" t="s">
        <v>38</v>
      </c>
    </row>
    <row r="1201" spans="2:8" hidden="1" outlineLevel="1" x14ac:dyDescent="0.25">
      <c r="B1201" t="s">
        <v>1679</v>
      </c>
      <c r="C1201" s="18" t="s">
        <v>1987</v>
      </c>
      <c r="D1201" t="s">
        <v>1990</v>
      </c>
    </row>
    <row r="1202" spans="2:8" hidden="1" outlineLevel="1" x14ac:dyDescent="0.25">
      <c r="B1202" t="s">
        <v>1680</v>
      </c>
      <c r="C1202" s="18" t="s">
        <v>649</v>
      </c>
    </row>
    <row r="1203" spans="2:8" hidden="1" outlineLevel="1" x14ac:dyDescent="0.25">
      <c r="B1203" t="s">
        <v>131</v>
      </c>
      <c r="C1203" t="s">
        <v>132</v>
      </c>
      <c r="D1203" t="s">
        <v>133</v>
      </c>
      <c r="E1203" t="s">
        <v>134</v>
      </c>
      <c r="F1203" s="210" t="s">
        <v>392</v>
      </c>
      <c r="G1203" s="1166"/>
      <c r="H1203" s="1166"/>
    </row>
    <row r="1204" spans="2:8" ht="30" hidden="1" outlineLevel="1" x14ac:dyDescent="0.25">
      <c r="B1204" s="176" t="s">
        <v>1782</v>
      </c>
      <c r="C1204" s="571" t="str">
        <f>B1204</f>
        <v>Travelers Property Casualty Company of America</v>
      </c>
      <c r="D1204" s="176" t="s">
        <v>1782</v>
      </c>
      <c r="E1204" s="176" t="s">
        <v>1782</v>
      </c>
      <c r="G1204" s="1175"/>
      <c r="H1204" s="1175"/>
    </row>
    <row r="1205" spans="2:8" hidden="1" outlineLevel="1" x14ac:dyDescent="0.25">
      <c r="B1205" t="s">
        <v>135</v>
      </c>
      <c r="C1205" t="s">
        <v>136</v>
      </c>
      <c r="D1205" t="s">
        <v>137</v>
      </c>
      <c r="E1205" t="s">
        <v>139</v>
      </c>
    </row>
    <row r="1206" spans="2:8" hidden="1" outlineLevel="1" x14ac:dyDescent="0.25">
      <c r="B1206" s="18" t="s">
        <v>1988</v>
      </c>
      <c r="C1206" t="str">
        <f>B1206</f>
        <v>A++:XV</v>
      </c>
      <c r="D1206" s="18" t="s">
        <v>1988</v>
      </c>
      <c r="E1206" s="18" t="s">
        <v>1988</v>
      </c>
    </row>
    <row r="1207" spans="2:8" hidden="1" outlineLevel="1" x14ac:dyDescent="0.25">
      <c r="B1207" t="s">
        <v>2</v>
      </c>
      <c r="C1207" t="s">
        <v>3</v>
      </c>
      <c r="D1207" t="s">
        <v>140</v>
      </c>
      <c r="E1207" t="s">
        <v>141</v>
      </c>
    </row>
    <row r="1208" spans="2:8" hidden="1" outlineLevel="1" x14ac:dyDescent="0.25">
      <c r="B1208" s="123">
        <v>37013.050000000003</v>
      </c>
      <c r="C1208" s="12">
        <f>B1208+B1208*E1226</f>
        <v>42669.452647594284</v>
      </c>
      <c r="D1208" s="123">
        <v>27775</v>
      </c>
      <c r="E1208" s="123">
        <v>27775</v>
      </c>
      <c r="F1208" s="4"/>
      <c r="G1208" s="1048" t="s">
        <v>1989</v>
      </c>
    </row>
    <row r="1209" spans="2:8" hidden="1" outlineLevel="1" x14ac:dyDescent="0.25">
      <c r="B1209" s="4" t="s">
        <v>285</v>
      </c>
      <c r="C1209" s="4" t="s">
        <v>287</v>
      </c>
      <c r="D1209" s="4" t="s">
        <v>287</v>
      </c>
      <c r="E1209" s="4" t="s">
        <v>287</v>
      </c>
      <c r="F1209" s="4"/>
    </row>
    <row r="1210" spans="2:8" hidden="1" outlineLevel="1" x14ac:dyDescent="0.25">
      <c r="B1210" s="3">
        <f>B1208/C1225</f>
        <v>1.9252561768530561</v>
      </c>
      <c r="C1210" s="3">
        <f>C1208/E1225</f>
        <v>1.9252561768530563</v>
      </c>
      <c r="D1210" s="3">
        <f>D1208/E1225</f>
        <v>1.2532148174886071</v>
      </c>
      <c r="E1210" s="3">
        <f>E1208/H1216</f>
        <v>1.2532148174886071</v>
      </c>
      <c r="F1210" s="4">
        <v>25250</v>
      </c>
      <c r="G1210">
        <f>25250/249</f>
        <v>101.40562248995984</v>
      </c>
      <c r="H1210">
        <f>116*G1210</f>
        <v>11763.052208835341</v>
      </c>
    </row>
    <row r="1211" spans="2:8" hidden="1" outlineLevel="1" x14ac:dyDescent="0.25">
      <c r="D1211" t="s">
        <v>5</v>
      </c>
      <c r="E1211" t="s">
        <v>6</v>
      </c>
      <c r="H1211">
        <f>25250+H1210</f>
        <v>37013.052208835339</v>
      </c>
    </row>
    <row r="1212" spans="2:8" hidden="1" outlineLevel="1" x14ac:dyDescent="0.25">
      <c r="D1212" s="290">
        <f>-(C1208-D1208)/C1208</f>
        <v>-0.34906594116889939</v>
      </c>
      <c r="E1212" s="290">
        <f>-(C1208-E1208)/C1208</f>
        <v>-0.34906594116889939</v>
      </c>
    </row>
    <row r="1213" spans="2:8" hidden="1" outlineLevel="1" x14ac:dyDescent="0.25">
      <c r="B1213" s="3" t="s">
        <v>685</v>
      </c>
      <c r="C1213" s="3" t="s">
        <v>686</v>
      </c>
      <c r="D1213" s="3" t="s">
        <v>687</v>
      </c>
      <c r="E1213" s="3" t="s">
        <v>688</v>
      </c>
    </row>
    <row r="1214" spans="2:8" hidden="1" outlineLevel="1" x14ac:dyDescent="0.25">
      <c r="B1214" s="178"/>
      <c r="C1214" s="179">
        <f>B1214+B1214*E1226</f>
        <v>0</v>
      </c>
      <c r="D1214" s="178"/>
      <c r="E1214" s="178"/>
      <c r="G1214" s="1177" t="s">
        <v>40</v>
      </c>
      <c r="H1214" s="1178"/>
    </row>
    <row r="1215" spans="2:8" hidden="1" outlineLevel="1" x14ac:dyDescent="0.25">
      <c r="B1215" s="3" t="s">
        <v>203</v>
      </c>
      <c r="C1215" s="3" t="s">
        <v>204</v>
      </c>
      <c r="D1215" s="3" t="s">
        <v>205</v>
      </c>
      <c r="E1215" s="3" t="s">
        <v>206</v>
      </c>
      <c r="G1215" s="1171"/>
      <c r="H1215" s="1179"/>
    </row>
    <row r="1216" spans="2:8" ht="30" hidden="1" outlineLevel="1" x14ac:dyDescent="0.25">
      <c r="B1216" s="178"/>
      <c r="C1216" s="179">
        <f>B1216+B1216*E1226</f>
        <v>0</v>
      </c>
      <c r="D1216" s="178"/>
      <c r="E1216" s="178"/>
      <c r="G1216" s="7" t="s">
        <v>1909</v>
      </c>
      <c r="H1216" s="60">
        <f>D115</f>
        <v>22163</v>
      </c>
    </row>
    <row r="1217" spans="2:9" hidden="1" outlineLevel="1" x14ac:dyDescent="0.25">
      <c r="B1217" s="3" t="s">
        <v>14</v>
      </c>
      <c r="C1217" s="4" t="s">
        <v>15</v>
      </c>
      <c r="D1217" s="4" t="s">
        <v>142</v>
      </c>
      <c r="E1217" t="s">
        <v>143</v>
      </c>
      <c r="G1217" s="21" t="s">
        <v>13</v>
      </c>
      <c r="H1217" s="61">
        <f>-(E1225-H1216)/E1225</f>
        <v>0</v>
      </c>
    </row>
    <row r="1218" spans="2:9" hidden="1" outlineLevel="1" x14ac:dyDescent="0.25">
      <c r="B1218" s="4">
        <f>B1208+B1214+B1216</f>
        <v>37013.050000000003</v>
      </c>
      <c r="C1218" s="4">
        <f>C1208+C1214+C1216</f>
        <v>42669.452647594284</v>
      </c>
      <c r="D1218" s="4">
        <f>D1208+D1214+D1216</f>
        <v>27775</v>
      </c>
      <c r="E1218" s="4">
        <f>E1208+E1214+E1216</f>
        <v>27775</v>
      </c>
      <c r="F1218" s="4"/>
    </row>
    <row r="1219" spans="2:9" hidden="1" outlineLevel="1" x14ac:dyDescent="0.25">
      <c r="B1219" s="3" t="s">
        <v>998</v>
      </c>
      <c r="C1219" s="3" t="s">
        <v>999</v>
      </c>
      <c r="D1219" s="3" t="s">
        <v>1000</v>
      </c>
      <c r="E1219" s="3" t="s">
        <v>1001</v>
      </c>
      <c r="F1219" s="4"/>
    </row>
    <row r="1220" spans="2:9" hidden="1" outlineLevel="1" x14ac:dyDescent="0.25">
      <c r="B1220" s="693"/>
      <c r="C1220" s="157" t="s">
        <v>284</v>
      </c>
      <c r="D1220" s="693"/>
      <c r="E1220" s="693"/>
      <c r="F1220" s="4"/>
    </row>
    <row r="1221" spans="2:9" hidden="1" outlineLevel="1" x14ac:dyDescent="0.25">
      <c r="B1221" s="4"/>
      <c r="C1221" s="4"/>
      <c r="D1221" s="4"/>
      <c r="E1221" s="4"/>
      <c r="F1221" s="4"/>
    </row>
    <row r="1222" spans="2:9" hidden="1" outlineLevel="1" x14ac:dyDescent="0.25">
      <c r="B1222" s="37" t="s">
        <v>382</v>
      </c>
      <c r="F1222" s="34"/>
      <c r="G1222" s="1168"/>
      <c r="H1222" s="1168"/>
      <c r="I1222" s="2"/>
    </row>
    <row r="1223" spans="2:9" hidden="1" outlineLevel="1" x14ac:dyDescent="0.25">
      <c r="B1223" s="1178" t="s">
        <v>39</v>
      </c>
      <c r="C1223" s="1180"/>
      <c r="D1223" s="1177" t="s">
        <v>40</v>
      </c>
      <c r="E1223" s="1178"/>
      <c r="F1223" s="573"/>
      <c r="G1223" s="1173" t="s">
        <v>9</v>
      </c>
      <c r="H1223" s="1174"/>
      <c r="I1223" s="376" t="s">
        <v>750</v>
      </c>
    </row>
    <row r="1224" spans="2:9" hidden="1" outlineLevel="1" x14ac:dyDescent="0.25">
      <c r="B1224" s="1179"/>
      <c r="C1224" s="1169"/>
      <c r="D1224" s="1171"/>
      <c r="E1224" s="1179"/>
      <c r="F1224" s="56"/>
      <c r="G1224" s="1" t="s">
        <v>129</v>
      </c>
      <c r="H1224" s="1" t="s">
        <v>12</v>
      </c>
      <c r="I1224" s="39" t="s">
        <v>129</v>
      </c>
    </row>
    <row r="1225" spans="2:9" hidden="1" outlineLevel="1" x14ac:dyDescent="0.25">
      <c r="B1225" s="38" t="s">
        <v>319</v>
      </c>
      <c r="C1225" s="53">
        <f>B103</f>
        <v>19225</v>
      </c>
      <c r="D1225" s="7" t="str">
        <f>B1225</f>
        <v>Primary Policy Exp. Premium</v>
      </c>
      <c r="E1225" s="60">
        <f>D115</f>
        <v>22163</v>
      </c>
      <c r="F1225" s="62" t="s">
        <v>10</v>
      </c>
      <c r="G1225" s="22">
        <v>25000000</v>
      </c>
      <c r="H1225" s="22">
        <v>25000000</v>
      </c>
      <c r="I1225" s="40">
        <v>0</v>
      </c>
    </row>
    <row r="1226" spans="2:9" hidden="1" outlineLevel="1" x14ac:dyDescent="0.25">
      <c r="B1226" s="52"/>
      <c r="C1226" s="54"/>
      <c r="D1226" s="21" t="s">
        <v>13</v>
      </c>
      <c r="E1226" s="61">
        <f>-(C1225-E1225)/C1225</f>
        <v>0.15282184655396619</v>
      </c>
      <c r="F1226" s="62" t="s">
        <v>67</v>
      </c>
      <c r="G1226" s="22">
        <v>25000000</v>
      </c>
      <c r="H1226" s="22">
        <v>25000000</v>
      </c>
      <c r="I1226" s="40">
        <v>0</v>
      </c>
    </row>
    <row r="1227" spans="2:9" hidden="1" outlineLevel="1" x14ac:dyDescent="0.25">
      <c r="B1227" s="51"/>
      <c r="C1227" s="55"/>
      <c r="D1227" s="51"/>
      <c r="E1227" s="15"/>
      <c r="F1227" s="63" t="s">
        <v>68</v>
      </c>
      <c r="G1227" s="71"/>
      <c r="H1227" s="71"/>
      <c r="I1227" s="136"/>
    </row>
    <row r="1228" spans="2:9" hidden="1" outlineLevel="1" x14ac:dyDescent="0.25">
      <c r="B1228" s="120" t="s">
        <v>311</v>
      </c>
      <c r="D1228" s="51"/>
      <c r="E1228" s="15"/>
      <c r="F1228" s="181"/>
      <c r="G1228" s="182"/>
      <c r="H1228" s="182"/>
      <c r="I1228" s="182"/>
    </row>
    <row r="1229" spans="2:9" hidden="1" outlineLevel="1" x14ac:dyDescent="0.25">
      <c r="B1229" s="120"/>
      <c r="D1229" s="51"/>
      <c r="E1229" s="15"/>
      <c r="F1229" s="2"/>
      <c r="G1229" s="23"/>
      <c r="H1229" s="23"/>
      <c r="I1229" s="23"/>
    </row>
    <row r="1230" spans="2:9" hidden="1" outlineLevel="1" x14ac:dyDescent="0.25">
      <c r="B1230" s="36" t="s">
        <v>10</v>
      </c>
      <c r="D1230" s="51"/>
      <c r="E1230" s="15"/>
      <c r="F1230" s="2"/>
      <c r="G1230" s="23"/>
      <c r="H1230" s="23"/>
      <c r="I1230" s="23"/>
    </row>
    <row r="1231" spans="2:9" hidden="1" outlineLevel="1" x14ac:dyDescent="0.25">
      <c r="B1231" s="120"/>
      <c r="D1231" s="1176" t="s">
        <v>310</v>
      </c>
      <c r="E1231" s="1174"/>
      <c r="F1231" s="2"/>
      <c r="G1231" s="23"/>
      <c r="H1231" s="23"/>
      <c r="I1231" s="23"/>
    </row>
    <row r="1232" spans="2:9" hidden="1" outlineLevel="1" x14ac:dyDescent="0.25">
      <c r="B1232" s="163" t="s">
        <v>59</v>
      </c>
      <c r="C1232" s="167" t="s">
        <v>1</v>
      </c>
      <c r="D1232" s="167" t="str">
        <f>G1224</f>
        <v>Each Occurrence</v>
      </c>
      <c r="E1232" s="183" t="str">
        <f>H1224</f>
        <v>Aggregate</v>
      </c>
      <c r="F1232" s="183" t="s">
        <v>1991</v>
      </c>
      <c r="G1232" s="168" t="s">
        <v>60</v>
      </c>
      <c r="H1232" s="168" t="s">
        <v>328</v>
      </c>
      <c r="I1232" s="23"/>
    </row>
    <row r="1233" spans="2:11" hidden="1" outlineLevel="1" x14ac:dyDescent="0.25">
      <c r="B1233" s="164" t="s">
        <v>318</v>
      </c>
      <c r="C1233" s="171">
        <f>C96</f>
        <v>6080920557</v>
      </c>
      <c r="D1233" s="172">
        <f>I122</f>
        <v>25000000</v>
      </c>
      <c r="E1233" s="172">
        <f>J122</f>
        <v>25000000</v>
      </c>
      <c r="F1233" s="172">
        <f>K122</f>
        <v>10000</v>
      </c>
      <c r="G1233" s="173" t="str">
        <f>B1160</f>
        <v>Policy Fee - Expiring</v>
      </c>
      <c r="H1233" s="609" t="str">
        <f>C5</f>
        <v>7/1/2022 - 7/1/2023</v>
      </c>
      <c r="I1233" s="23"/>
    </row>
    <row r="1234" spans="2:11" hidden="1" outlineLevel="1" x14ac:dyDescent="0.25">
      <c r="B1234" s="120"/>
      <c r="D1234" s="51"/>
      <c r="E1234" s="15"/>
      <c r="F1234" s="2"/>
      <c r="G1234" s="23"/>
      <c r="H1234" s="23"/>
      <c r="I1234" s="23"/>
    </row>
    <row r="1235" spans="2:11" hidden="1" outlineLevel="1" x14ac:dyDescent="0.25">
      <c r="B1235" s="36" t="s">
        <v>4</v>
      </c>
      <c r="D1235" s="51"/>
      <c r="E1235" s="15"/>
      <c r="F1235" s="2"/>
      <c r="G1235" s="23"/>
      <c r="H1235" s="23"/>
      <c r="I1235" s="23"/>
    </row>
    <row r="1236" spans="2:11" hidden="1" outlineLevel="1" x14ac:dyDescent="0.25">
      <c r="B1236" s="120"/>
      <c r="D1236" s="1176" t="s">
        <v>310</v>
      </c>
      <c r="E1236" s="1174"/>
      <c r="F1236" s="2"/>
      <c r="G1236" s="23"/>
      <c r="H1236" s="23"/>
      <c r="I1236" s="23"/>
    </row>
    <row r="1237" spans="2:11" hidden="1" outlineLevel="1" x14ac:dyDescent="0.25">
      <c r="B1237" s="163" t="s">
        <v>59</v>
      </c>
      <c r="C1237" s="167" t="s">
        <v>1</v>
      </c>
      <c r="D1237" s="167" t="str">
        <f>G1224</f>
        <v>Each Occurrence</v>
      </c>
      <c r="E1237" s="183" t="str">
        <f>H1224</f>
        <v>Aggregate</v>
      </c>
      <c r="F1237" s="183" t="s">
        <v>1991</v>
      </c>
      <c r="G1237" s="168" t="s">
        <v>60</v>
      </c>
      <c r="H1237" s="168" t="s">
        <v>328</v>
      </c>
      <c r="I1237" s="23"/>
      <c r="J1237" s="23"/>
      <c r="K1237" s="23"/>
    </row>
    <row r="1238" spans="2:11" hidden="1" outlineLevel="1" x14ac:dyDescent="0.25">
      <c r="B1238" s="164" t="str">
        <f>"Primary "&amp;B1154&amp;" Policy"</f>
        <v>Primary 100000 Policy</v>
      </c>
      <c r="C1238" s="171">
        <f>C97</f>
        <v>6080920557</v>
      </c>
      <c r="D1238" s="172">
        <f>I123</f>
        <v>25000000</v>
      </c>
      <c r="E1238" s="216">
        <f>J123</f>
        <v>25000000</v>
      </c>
      <c r="F1238" s="216">
        <f>K123</f>
        <v>10000</v>
      </c>
      <c r="G1238" s="173" t="str">
        <f>IF(G1159=D1159,D1160,IF(G1159=E1159,E1160,D1160))</f>
        <v>Policy Fee - Option II</v>
      </c>
      <c r="H1238" s="609" t="str">
        <f>C6</f>
        <v>7/1/2023 - 7/1/2024</v>
      </c>
      <c r="I1238" s="23"/>
      <c r="J1238" s="23"/>
      <c r="K1238" s="23"/>
    </row>
    <row r="1239" spans="2:11" s="1077" customFormat="1" collapsed="1" x14ac:dyDescent="0.25"/>
    <row r="1240" spans="2:11" x14ac:dyDescent="0.25">
      <c r="B1240" s="1052" t="s">
        <v>1658</v>
      </c>
      <c r="F1240" s="338" t="s">
        <v>437</v>
      </c>
      <c r="G1240" s="1165" t="s">
        <v>537</v>
      </c>
      <c r="H1240" s="1165"/>
    </row>
    <row r="1241" spans="2:11" hidden="1" outlineLevel="1" x14ac:dyDescent="0.25">
      <c r="B1241" t="s">
        <v>0</v>
      </c>
      <c r="C1241" t="s">
        <v>201</v>
      </c>
    </row>
    <row r="1242" spans="2:11" hidden="1" outlineLevel="1" x14ac:dyDescent="0.25">
      <c r="B1242" t="s">
        <v>1679</v>
      </c>
      <c r="C1242" s="18" t="s">
        <v>2076</v>
      </c>
    </row>
    <row r="1243" spans="2:11" hidden="1" outlineLevel="1" x14ac:dyDescent="0.25">
      <c r="B1243" t="s">
        <v>1680</v>
      </c>
      <c r="C1243" s="18" t="s">
        <v>649</v>
      </c>
    </row>
    <row r="1244" spans="2:11" hidden="1" outlineLevel="1" x14ac:dyDescent="0.25">
      <c r="B1244" t="s">
        <v>131</v>
      </c>
      <c r="C1244" t="s">
        <v>132</v>
      </c>
      <c r="D1244" t="s">
        <v>133</v>
      </c>
      <c r="E1244" t="s">
        <v>134</v>
      </c>
      <c r="F1244" s="210" t="s">
        <v>392</v>
      </c>
      <c r="G1244" s="1166"/>
      <c r="H1244" s="1166"/>
    </row>
    <row r="1245" spans="2:11" ht="30" hidden="1" outlineLevel="1" x14ac:dyDescent="0.25">
      <c r="B1245" s="176" t="s">
        <v>2077</v>
      </c>
      <c r="C1245" s="571" t="str">
        <f>B1245</f>
        <v>Liberty Surplus Insurance Corporation (Ironshore)</v>
      </c>
      <c r="D1245" s="176" t="s">
        <v>2077</v>
      </c>
      <c r="E1245" s="176"/>
      <c r="G1245" s="1175"/>
      <c r="H1245" s="1175"/>
    </row>
    <row r="1246" spans="2:11" hidden="1" outlineLevel="1" x14ac:dyDescent="0.25">
      <c r="B1246" t="s">
        <v>135</v>
      </c>
      <c r="C1246" t="s">
        <v>136</v>
      </c>
      <c r="D1246" t="s">
        <v>137</v>
      </c>
      <c r="E1246" t="s">
        <v>139</v>
      </c>
    </row>
    <row r="1247" spans="2:11" hidden="1" outlineLevel="1" x14ac:dyDescent="0.25">
      <c r="B1247" s="18" t="s">
        <v>2078</v>
      </c>
      <c r="C1247" t="str">
        <f>B1247</f>
        <v>A:XV</v>
      </c>
      <c r="D1247" s="18" t="s">
        <v>2078</v>
      </c>
      <c r="E1247" s="18"/>
    </row>
    <row r="1248" spans="2:11" hidden="1" outlineLevel="1" x14ac:dyDescent="0.25">
      <c r="B1248" t="s">
        <v>2</v>
      </c>
      <c r="C1248" t="s">
        <v>3</v>
      </c>
      <c r="D1248" t="s">
        <v>140</v>
      </c>
      <c r="E1248" t="s">
        <v>141</v>
      </c>
    </row>
    <row r="1249" spans="2:9" hidden="1" outlineLevel="1" x14ac:dyDescent="0.25">
      <c r="B1249" s="123">
        <v>104850</v>
      </c>
      <c r="C1249" s="4">
        <f>B1249+B1249*E1267</f>
        <v>118749.03474903475</v>
      </c>
      <c r="D1249" s="123">
        <v>105850</v>
      </c>
      <c r="E1249" s="123"/>
    </row>
    <row r="1250" spans="2:9" ht="30" hidden="1" outlineLevel="1" x14ac:dyDescent="0.25">
      <c r="B1250" s="202" t="s">
        <v>1598</v>
      </c>
      <c r="C1250" s="202" t="s">
        <v>285</v>
      </c>
      <c r="D1250" s="202" t="s">
        <v>285</v>
      </c>
      <c r="E1250" s="202" t="s">
        <v>285</v>
      </c>
      <c r="G1250" s="852"/>
    </row>
    <row r="1251" spans="2:9" hidden="1" outlineLevel="1" x14ac:dyDescent="0.25">
      <c r="B1251" s="1120">
        <f>B1249/(C1266)</f>
        <v>0.89961389961389959</v>
      </c>
      <c r="C1251" s="1120">
        <f>C1249/E1266</f>
        <v>0.89961389961389959</v>
      </c>
      <c r="D1251" s="1120">
        <f>D1249/(E1266)</f>
        <v>0.80189393939393938</v>
      </c>
      <c r="E1251" s="3">
        <f>E1249/(E1266)</f>
        <v>0</v>
      </c>
    </row>
    <row r="1252" spans="2:9" hidden="1" outlineLevel="1" x14ac:dyDescent="0.25">
      <c r="B1252" s="3"/>
      <c r="D1252" s="3"/>
      <c r="E1252" s="3"/>
    </row>
    <row r="1253" spans="2:9" hidden="1" outlineLevel="1" x14ac:dyDescent="0.25">
      <c r="B1253" s="3"/>
      <c r="D1253" t="s">
        <v>5</v>
      </c>
      <c r="E1253" t="s">
        <v>6</v>
      </c>
      <c r="G1253" s="3"/>
    </row>
    <row r="1254" spans="2:9" hidden="1" outlineLevel="1" x14ac:dyDescent="0.25">
      <c r="B1254" s="3"/>
      <c r="D1254" s="3">
        <f>-(C1249-D1249)/C1249</f>
        <v>-0.10862433346338925</v>
      </c>
      <c r="E1254" s="3">
        <f>-(C1249-E1249)/C1249</f>
        <v>-1</v>
      </c>
    </row>
    <row r="1255" spans="2:9" hidden="1" outlineLevel="1" x14ac:dyDescent="0.25">
      <c r="B1255" s="3" t="s">
        <v>685</v>
      </c>
      <c r="C1255" s="3" t="s">
        <v>686</v>
      </c>
      <c r="D1255" s="3" t="s">
        <v>687</v>
      </c>
      <c r="E1255" s="3" t="s">
        <v>688</v>
      </c>
    </row>
    <row r="1256" spans="2:9" hidden="1" outlineLevel="1" x14ac:dyDescent="0.25">
      <c r="B1256" s="129">
        <v>0.04</v>
      </c>
      <c r="C1256" s="3">
        <f>B1256</f>
        <v>0.04</v>
      </c>
      <c r="D1256" s="129">
        <v>0.04</v>
      </c>
      <c r="E1256" s="129">
        <v>0.04</v>
      </c>
    </row>
    <row r="1257" spans="2:9" hidden="1" outlineLevel="1" x14ac:dyDescent="0.25">
      <c r="B1257" s="3" t="s">
        <v>203</v>
      </c>
      <c r="C1257" s="3" t="s">
        <v>204</v>
      </c>
      <c r="D1257" s="3" t="s">
        <v>205</v>
      </c>
      <c r="E1257" s="3" t="s">
        <v>206</v>
      </c>
      <c r="G1257" s="1170" t="s">
        <v>2020</v>
      </c>
      <c r="H1257" s="1171"/>
    </row>
    <row r="1258" spans="2:9" hidden="1" outlineLevel="1" x14ac:dyDescent="0.25">
      <c r="B1258" s="178">
        <v>0</v>
      </c>
      <c r="C1258" s="179">
        <v>0</v>
      </c>
      <c r="D1258" s="178"/>
      <c r="E1258" s="178"/>
      <c r="G1258" s="7">
        <f>E1258</f>
        <v>0</v>
      </c>
      <c r="H1258" s="1034">
        <f>C1052</f>
        <v>148500</v>
      </c>
    </row>
    <row r="1259" spans="2:9" hidden="1" outlineLevel="1" x14ac:dyDescent="0.25">
      <c r="B1259" s="3" t="s">
        <v>14</v>
      </c>
      <c r="C1259" s="4" t="s">
        <v>15</v>
      </c>
      <c r="D1259" s="4" t="s">
        <v>142</v>
      </c>
      <c r="E1259" t="s">
        <v>143</v>
      </c>
      <c r="G1259" s="41" t="s">
        <v>13</v>
      </c>
      <c r="H1259" s="133">
        <f>-(C1266-H1258)/C1266</f>
        <v>0.27413127413127414</v>
      </c>
    </row>
    <row r="1260" spans="2:9" hidden="1" outlineLevel="1" x14ac:dyDescent="0.25">
      <c r="B1260" s="4">
        <f>B1249+(B1249*B1256)+B1258</f>
        <v>109044</v>
      </c>
      <c r="C1260" s="4">
        <f>C1249+(C1249*C1256)+C1258</f>
        <v>123498.99613899614</v>
      </c>
      <c r="D1260" s="4">
        <f>D1249+(D1249*D1256)+D1258</f>
        <v>110084</v>
      </c>
      <c r="E1260" s="4">
        <f>E1249+(E1249*E1256)+E1258</f>
        <v>0</v>
      </c>
    </row>
    <row r="1261" spans="2:9" hidden="1" outlineLevel="1" x14ac:dyDescent="0.25">
      <c r="B1261" s="3" t="s">
        <v>998</v>
      </c>
      <c r="C1261" s="3" t="s">
        <v>999</v>
      </c>
      <c r="D1261" s="3" t="s">
        <v>1000</v>
      </c>
      <c r="E1261" s="3" t="s">
        <v>1001</v>
      </c>
    </row>
    <row r="1262" spans="2:9" hidden="1" outlineLevel="1" x14ac:dyDescent="0.25">
      <c r="B1262" s="693"/>
      <c r="C1262" s="157" t="s">
        <v>284</v>
      </c>
      <c r="D1262" s="693"/>
      <c r="E1262" s="693"/>
    </row>
    <row r="1263" spans="2:9" hidden="1" outlineLevel="1" x14ac:dyDescent="0.25">
      <c r="B1263" s="4"/>
      <c r="C1263" s="4"/>
      <c r="D1263" s="4"/>
      <c r="E1263" s="4"/>
    </row>
    <row r="1264" spans="2:9" hidden="1" outlineLevel="1" x14ac:dyDescent="0.25">
      <c r="B1264" s="37" t="s">
        <v>7</v>
      </c>
      <c r="F1264" s="34"/>
      <c r="G1264" s="1168"/>
      <c r="H1264" s="1168"/>
      <c r="I1264" s="2"/>
    </row>
    <row r="1265" spans="2:9" hidden="1" outlineLevel="1" x14ac:dyDescent="0.25">
      <c r="B1265" s="1169" t="s">
        <v>39</v>
      </c>
      <c r="C1265" s="1170"/>
      <c r="D1265" s="1170" t="s">
        <v>40</v>
      </c>
      <c r="E1265" s="1171"/>
      <c r="F1265" s="573"/>
      <c r="G1265" s="1173" t="s">
        <v>9</v>
      </c>
      <c r="H1265" s="1174"/>
      <c r="I1265" s="131" t="s">
        <v>23</v>
      </c>
    </row>
    <row r="1266" spans="2:9" ht="30" hidden="1" outlineLevel="1" x14ac:dyDescent="0.25">
      <c r="B1266" s="38" t="s">
        <v>2075</v>
      </c>
      <c r="C1266" s="53">
        <f>B1052</f>
        <v>116550</v>
      </c>
      <c r="D1266" s="7" t="str">
        <f>B1266</f>
        <v>Underlying Policy Premium - 1st Excess Tech Errors &amp; Omissions</v>
      </c>
      <c r="E1266" s="1034">
        <f>D1052</f>
        <v>132000</v>
      </c>
      <c r="F1266" s="132"/>
      <c r="G1266" s="1" t="s">
        <v>129</v>
      </c>
      <c r="H1266" s="1" t="s">
        <v>12</v>
      </c>
      <c r="I1266" s="39" t="s">
        <v>129</v>
      </c>
    </row>
    <row r="1267" spans="2:9" hidden="1" outlineLevel="1" x14ac:dyDescent="0.25">
      <c r="B1267" s="51"/>
      <c r="C1267" s="55"/>
      <c r="D1267" s="41" t="s">
        <v>13</v>
      </c>
      <c r="E1267" s="133">
        <f>-(C1266-E1266)/C1266</f>
        <v>0.13256113256113256</v>
      </c>
      <c r="F1267" s="29" t="s">
        <v>10</v>
      </c>
      <c r="G1267" s="22">
        <v>5000000</v>
      </c>
      <c r="H1267" s="22">
        <v>5000000</v>
      </c>
      <c r="I1267" s="40">
        <v>0</v>
      </c>
    </row>
    <row r="1268" spans="2:9" hidden="1" outlineLevel="1" x14ac:dyDescent="0.25">
      <c r="B1268" s="1169"/>
      <c r="C1268" s="1170"/>
      <c r="D1268" s="51"/>
      <c r="E1268" s="134"/>
      <c r="F1268" s="29" t="s">
        <v>67</v>
      </c>
      <c r="G1268" s="22">
        <v>5000000</v>
      </c>
      <c r="H1268" s="22">
        <v>5000000</v>
      </c>
      <c r="I1268" s="40">
        <v>0</v>
      </c>
    </row>
    <row r="1269" spans="2:9" hidden="1" outlineLevel="1" x14ac:dyDescent="0.25">
      <c r="B1269" s="38"/>
      <c r="C1269" s="19"/>
      <c r="D1269" s="51"/>
      <c r="E1269" s="134"/>
      <c r="F1269" s="135" t="s">
        <v>68</v>
      </c>
      <c r="G1269" s="71"/>
      <c r="H1269" s="71"/>
      <c r="I1269" s="136"/>
    </row>
    <row r="1270" spans="2:9" s="1077" customFormat="1" collapsed="1" x14ac:dyDescent="0.25"/>
    <row r="1271" spans="2:9" x14ac:dyDescent="0.25">
      <c r="B1271" s="1106" t="s">
        <v>1983</v>
      </c>
      <c r="F1271" s="338" t="s">
        <v>437</v>
      </c>
      <c r="G1271" s="1165" t="s">
        <v>537</v>
      </c>
      <c r="H1271" s="1165"/>
    </row>
    <row r="1272" spans="2:9" hidden="1" outlineLevel="1" x14ac:dyDescent="0.25">
      <c r="B1272" t="s">
        <v>0</v>
      </c>
      <c r="C1272" t="s">
        <v>201</v>
      </c>
    </row>
    <row r="1273" spans="2:9" hidden="1" outlineLevel="1" x14ac:dyDescent="0.25">
      <c r="B1273" t="s">
        <v>1679</v>
      </c>
      <c r="C1273" s="18" t="s">
        <v>2095</v>
      </c>
    </row>
    <row r="1274" spans="2:9" hidden="1" outlineLevel="1" x14ac:dyDescent="0.25">
      <c r="B1274" t="s">
        <v>1680</v>
      </c>
      <c r="C1274" s="18" t="s">
        <v>649</v>
      </c>
    </row>
    <row r="1275" spans="2:9" hidden="1" outlineLevel="1" x14ac:dyDescent="0.25">
      <c r="B1275" t="s">
        <v>131</v>
      </c>
      <c r="C1275" t="s">
        <v>132</v>
      </c>
      <c r="D1275" t="s">
        <v>133</v>
      </c>
      <c r="E1275" t="s">
        <v>134</v>
      </c>
      <c r="F1275" s="210" t="s">
        <v>392</v>
      </c>
      <c r="G1275" s="1166"/>
      <c r="H1275" s="1166"/>
    </row>
    <row r="1276" spans="2:9" hidden="1" outlineLevel="1" x14ac:dyDescent="0.25">
      <c r="B1276" s="176" t="s">
        <v>2096</v>
      </c>
      <c r="C1276" s="571" t="str">
        <f>B1276</f>
        <v>Scottsdale Indemnity Company</v>
      </c>
      <c r="D1276" s="176" t="s">
        <v>2119</v>
      </c>
      <c r="E1276" s="176"/>
      <c r="G1276" s="1175"/>
      <c r="H1276" s="1175"/>
    </row>
    <row r="1277" spans="2:9" hidden="1" outlineLevel="1" x14ac:dyDescent="0.25">
      <c r="B1277" t="s">
        <v>135</v>
      </c>
      <c r="C1277" t="s">
        <v>136</v>
      </c>
      <c r="D1277" t="s">
        <v>137</v>
      </c>
      <c r="E1277" t="s">
        <v>139</v>
      </c>
    </row>
    <row r="1278" spans="2:9" hidden="1" outlineLevel="1" x14ac:dyDescent="0.25">
      <c r="B1278" s="18" t="s">
        <v>2097</v>
      </c>
      <c r="C1278" t="str">
        <f>B1278</f>
        <v>A+:XV</v>
      </c>
      <c r="D1278" s="18" t="s">
        <v>2097</v>
      </c>
      <c r="E1278" s="18"/>
    </row>
    <row r="1279" spans="2:9" hidden="1" outlineLevel="1" x14ac:dyDescent="0.25">
      <c r="B1279" t="s">
        <v>2</v>
      </c>
      <c r="C1279" t="s">
        <v>3</v>
      </c>
      <c r="D1279" t="s">
        <v>140</v>
      </c>
      <c r="E1279" t="s">
        <v>141</v>
      </c>
    </row>
    <row r="1280" spans="2:9" hidden="1" outlineLevel="1" x14ac:dyDescent="0.25">
      <c r="B1280" s="123">
        <v>85000</v>
      </c>
      <c r="C1280" s="4">
        <f>B1280+B1280*E1298</f>
        <v>71978</v>
      </c>
      <c r="D1280" s="123">
        <v>68000</v>
      </c>
      <c r="E1280" s="123"/>
    </row>
    <row r="1281" spans="2:9" ht="30" hidden="1" outlineLevel="1" x14ac:dyDescent="0.25">
      <c r="B1281" s="202" t="s">
        <v>1598</v>
      </c>
      <c r="C1281" s="202" t="s">
        <v>285</v>
      </c>
      <c r="D1281" s="202" t="s">
        <v>285</v>
      </c>
      <c r="E1281" s="202" t="s">
        <v>285</v>
      </c>
      <c r="G1281" s="852"/>
    </row>
    <row r="1282" spans="2:9" hidden="1" outlineLevel="1" x14ac:dyDescent="0.25">
      <c r="B1282" s="3">
        <f>B1280/(C1297)</f>
        <v>0.85</v>
      </c>
      <c r="C1282" s="952">
        <f>C1280/E1297</f>
        <v>0.85</v>
      </c>
      <c r="D1282" s="3">
        <f>D1280/(E1297)</f>
        <v>0.80302314596126589</v>
      </c>
      <c r="E1282" s="3">
        <f>E1280/(E1297)</f>
        <v>0</v>
      </c>
    </row>
    <row r="1283" spans="2:9" hidden="1" outlineLevel="1" x14ac:dyDescent="0.25">
      <c r="B1283" s="3"/>
      <c r="D1283" s="3"/>
      <c r="E1283" s="3"/>
    </row>
    <row r="1284" spans="2:9" hidden="1" outlineLevel="1" x14ac:dyDescent="0.25">
      <c r="B1284" s="3"/>
      <c r="D1284" t="s">
        <v>5</v>
      </c>
      <c r="E1284" t="s">
        <v>6</v>
      </c>
      <c r="G1284" s="3"/>
    </row>
    <row r="1285" spans="2:9" hidden="1" outlineLevel="1" x14ac:dyDescent="0.25">
      <c r="B1285" s="3"/>
      <c r="D1285" s="3">
        <f>-(C1280-D1280)/C1280</f>
        <v>-5.5266887104393009E-2</v>
      </c>
      <c r="E1285" s="3">
        <f>-(C1280-E1280)/C1280</f>
        <v>-1</v>
      </c>
    </row>
    <row r="1286" spans="2:9" hidden="1" outlineLevel="1" x14ac:dyDescent="0.25">
      <c r="B1286" s="3" t="s">
        <v>685</v>
      </c>
      <c r="C1286" s="3" t="s">
        <v>686</v>
      </c>
      <c r="D1286" s="3" t="s">
        <v>687</v>
      </c>
      <c r="E1286" s="3" t="s">
        <v>688</v>
      </c>
    </row>
    <row r="1287" spans="2:9" hidden="1" outlineLevel="1" x14ac:dyDescent="0.25">
      <c r="B1287" s="129">
        <v>0</v>
      </c>
      <c r="C1287" s="3">
        <v>0.04</v>
      </c>
      <c r="D1287" s="129">
        <v>0.04</v>
      </c>
      <c r="E1287" s="129">
        <v>0.04</v>
      </c>
    </row>
    <row r="1288" spans="2:9" hidden="1" outlineLevel="1" x14ac:dyDescent="0.25">
      <c r="B1288" s="3" t="s">
        <v>203</v>
      </c>
      <c r="C1288" s="3" t="s">
        <v>204</v>
      </c>
      <c r="D1288" s="3" t="s">
        <v>205</v>
      </c>
      <c r="E1288" s="3" t="s">
        <v>206</v>
      </c>
      <c r="G1288" s="1170" t="s">
        <v>2020</v>
      </c>
      <c r="H1288" s="1171"/>
    </row>
    <row r="1289" spans="2:9" hidden="1" outlineLevel="1" x14ac:dyDescent="0.25">
      <c r="B1289" s="178">
        <v>0</v>
      </c>
      <c r="C1289" s="179">
        <v>0</v>
      </c>
      <c r="D1289" s="178"/>
      <c r="E1289" s="178"/>
      <c r="G1289" s="7">
        <f>E1289</f>
        <v>0</v>
      </c>
      <c r="H1289" s="1034">
        <f>E1297</f>
        <v>84680</v>
      </c>
    </row>
    <row r="1290" spans="2:9" hidden="1" outlineLevel="1" x14ac:dyDescent="0.25">
      <c r="B1290" s="3" t="s">
        <v>14</v>
      </c>
      <c r="C1290" s="4" t="s">
        <v>15</v>
      </c>
      <c r="D1290" s="4" t="s">
        <v>142</v>
      </c>
      <c r="E1290" t="s">
        <v>143</v>
      </c>
      <c r="G1290" s="41" t="s">
        <v>13</v>
      </c>
      <c r="H1290" s="133"/>
    </row>
    <row r="1291" spans="2:9" hidden="1" outlineLevel="1" x14ac:dyDescent="0.25">
      <c r="B1291" s="4">
        <f>B1280+(B1280*B1287)+B1289</f>
        <v>85000</v>
      </c>
      <c r="C1291" s="4">
        <f>C1280+(C1280*C1287)+C1289</f>
        <v>74857.119999999995</v>
      </c>
      <c r="D1291" s="4">
        <f>D1280+(D1280*D1287)+D1289</f>
        <v>70720</v>
      </c>
      <c r="E1291" s="4">
        <f>E1280+(E1280*E1287)+E1289</f>
        <v>0</v>
      </c>
    </row>
    <row r="1292" spans="2:9" hidden="1" outlineLevel="1" x14ac:dyDescent="0.25">
      <c r="B1292" s="3" t="s">
        <v>998</v>
      </c>
      <c r="C1292" s="3" t="s">
        <v>999</v>
      </c>
      <c r="D1292" s="3" t="s">
        <v>1000</v>
      </c>
      <c r="E1292" s="3" t="s">
        <v>1001</v>
      </c>
    </row>
    <row r="1293" spans="2:9" hidden="1" outlineLevel="1" x14ac:dyDescent="0.25">
      <c r="B1293" s="693"/>
      <c r="C1293" s="157" t="s">
        <v>284</v>
      </c>
      <c r="D1293" s="693"/>
      <c r="E1293" s="693"/>
    </row>
    <row r="1294" spans="2:9" hidden="1" outlineLevel="1" x14ac:dyDescent="0.25">
      <c r="B1294" s="4"/>
      <c r="C1294" s="4"/>
      <c r="D1294" s="4"/>
      <c r="E1294" s="4"/>
    </row>
    <row r="1295" spans="2:9" hidden="1" outlineLevel="1" x14ac:dyDescent="0.25">
      <c r="B1295" s="37" t="s">
        <v>7</v>
      </c>
      <c r="F1295" s="34"/>
      <c r="G1295" s="1168"/>
      <c r="H1295" s="1168"/>
      <c r="I1295" s="2"/>
    </row>
    <row r="1296" spans="2:9" hidden="1" outlineLevel="1" x14ac:dyDescent="0.25">
      <c r="B1296" s="1169" t="s">
        <v>39</v>
      </c>
      <c r="C1296" s="1170"/>
      <c r="D1296" s="1170" t="s">
        <v>40</v>
      </c>
      <c r="E1296" s="1171"/>
      <c r="F1296" s="573"/>
      <c r="G1296" s="1173" t="s">
        <v>9</v>
      </c>
      <c r="H1296" s="1174"/>
      <c r="I1296" s="131" t="s">
        <v>23</v>
      </c>
    </row>
    <row r="1297" spans="2:9" ht="30" hidden="1" outlineLevel="1" x14ac:dyDescent="0.25">
      <c r="B1297" s="38" t="s">
        <v>2094</v>
      </c>
      <c r="C1297" s="53">
        <f>B1154</f>
        <v>100000</v>
      </c>
      <c r="D1297" s="7" t="str">
        <f>B1297</f>
        <v>Underlying Policy Premium - 3rd Excess Tech Errors &amp; Omissions</v>
      </c>
      <c r="E1297" s="1034">
        <f>D1154</f>
        <v>84680</v>
      </c>
      <c r="F1297" s="132"/>
      <c r="G1297" s="1" t="s">
        <v>11</v>
      </c>
      <c r="H1297" s="1" t="s">
        <v>12</v>
      </c>
      <c r="I1297" s="39" t="s">
        <v>11</v>
      </c>
    </row>
    <row r="1298" spans="2:9" hidden="1" outlineLevel="1" x14ac:dyDescent="0.25">
      <c r="B1298" s="51"/>
      <c r="C1298" s="55"/>
      <c r="D1298" s="41" t="s">
        <v>13</v>
      </c>
      <c r="E1298" s="133">
        <f>-(C1297-E1297)/C1297</f>
        <v>-0.1532</v>
      </c>
      <c r="F1298" s="29" t="s">
        <v>10</v>
      </c>
      <c r="G1298" s="22">
        <v>5000000</v>
      </c>
      <c r="H1298" s="22">
        <v>5000000</v>
      </c>
      <c r="I1298" s="40">
        <v>0</v>
      </c>
    </row>
    <row r="1299" spans="2:9" hidden="1" outlineLevel="1" x14ac:dyDescent="0.25">
      <c r="B1299" s="1169"/>
      <c r="C1299" s="1170"/>
      <c r="D1299" s="51"/>
      <c r="E1299" s="134"/>
      <c r="F1299" s="29" t="s">
        <v>67</v>
      </c>
      <c r="G1299" s="22">
        <v>5000000</v>
      </c>
      <c r="H1299" s="22">
        <v>5000000</v>
      </c>
      <c r="I1299" s="40">
        <v>0</v>
      </c>
    </row>
    <row r="1300" spans="2:9" hidden="1" outlineLevel="1" x14ac:dyDescent="0.25">
      <c r="B1300" s="38"/>
      <c r="C1300" s="19"/>
      <c r="D1300" s="51"/>
      <c r="E1300" s="134"/>
      <c r="F1300" s="135" t="s">
        <v>68</v>
      </c>
      <c r="G1300" s="71"/>
      <c r="H1300" s="71"/>
      <c r="I1300" s="136"/>
    </row>
    <row r="1301" spans="2:9" s="1077" customFormat="1" collapsed="1" x14ac:dyDescent="0.25"/>
    <row r="1302" spans="2:9" x14ac:dyDescent="0.25">
      <c r="B1302" s="1052" t="s">
        <v>2025</v>
      </c>
      <c r="F1302" s="338" t="s">
        <v>437</v>
      </c>
      <c r="G1302" s="1165" t="s">
        <v>537</v>
      </c>
      <c r="H1302" s="1165"/>
    </row>
    <row r="1303" spans="2:9" outlineLevel="1" x14ac:dyDescent="0.25">
      <c r="B1303" t="s">
        <v>0</v>
      </c>
      <c r="C1303" t="s">
        <v>395</v>
      </c>
    </row>
    <row r="1304" spans="2:9" outlineLevel="1" x14ac:dyDescent="0.25">
      <c r="B1304" t="s">
        <v>1679</v>
      </c>
      <c r="C1304" s="72" t="s">
        <v>284</v>
      </c>
    </row>
    <row r="1305" spans="2:9" outlineLevel="1" x14ac:dyDescent="0.25">
      <c r="B1305" t="s">
        <v>1680</v>
      </c>
      <c r="C1305" s="18" t="s">
        <v>649</v>
      </c>
    </row>
    <row r="1306" spans="2:9" outlineLevel="1" x14ac:dyDescent="0.25">
      <c r="B1306" t="s">
        <v>131</v>
      </c>
      <c r="C1306" t="s">
        <v>132</v>
      </c>
      <c r="D1306" t="s">
        <v>133</v>
      </c>
      <c r="E1306" t="s">
        <v>134</v>
      </c>
      <c r="F1306" s="210" t="s">
        <v>392</v>
      </c>
      <c r="G1306" s="1166"/>
      <c r="H1306" s="1166"/>
    </row>
    <row r="1307" spans="2:9" outlineLevel="1" x14ac:dyDescent="0.25">
      <c r="B1307" s="176" t="s">
        <v>284</v>
      </c>
      <c r="C1307" s="176" t="str">
        <f>B1307</f>
        <v>N/A</v>
      </c>
      <c r="D1307" s="176" t="s">
        <v>1436</v>
      </c>
      <c r="E1307" s="176"/>
      <c r="G1307" s="1167"/>
      <c r="H1307" s="1167"/>
    </row>
    <row r="1308" spans="2:9" outlineLevel="1" x14ac:dyDescent="0.25">
      <c r="B1308" t="s">
        <v>135</v>
      </c>
      <c r="C1308" t="s">
        <v>136</v>
      </c>
      <c r="D1308" t="s">
        <v>137</v>
      </c>
      <c r="E1308" t="s">
        <v>139</v>
      </c>
    </row>
    <row r="1309" spans="2:9" outlineLevel="1" x14ac:dyDescent="0.25">
      <c r="B1309" s="18" t="s">
        <v>284</v>
      </c>
      <c r="C1309" s="18" t="str">
        <f>B1309</f>
        <v>N/A</v>
      </c>
      <c r="D1309" s="18" t="s">
        <v>1280</v>
      </c>
      <c r="E1309" s="18"/>
    </row>
    <row r="1310" spans="2:9" outlineLevel="1" x14ac:dyDescent="0.25">
      <c r="B1310" t="s">
        <v>2</v>
      </c>
      <c r="C1310" t="s">
        <v>3</v>
      </c>
      <c r="D1310" t="s">
        <v>140</v>
      </c>
      <c r="E1310" t="s">
        <v>141</v>
      </c>
    </row>
    <row r="1311" spans="2:9" outlineLevel="1" x14ac:dyDescent="0.25">
      <c r="B1311" s="123" t="s">
        <v>284</v>
      </c>
      <c r="C1311" s="123" t="e">
        <f>B1311+B1311*E1323</f>
        <v>#VALUE!</v>
      </c>
      <c r="D1311" s="123">
        <v>1497</v>
      </c>
      <c r="E1311" s="123"/>
      <c r="F1311" s="1078"/>
    </row>
    <row r="1312" spans="2:9" outlineLevel="1" x14ac:dyDescent="0.25">
      <c r="D1312" t="s">
        <v>5</v>
      </c>
      <c r="E1312" t="s">
        <v>6</v>
      </c>
    </row>
    <row r="1313" spans="2:9" outlineLevel="1" x14ac:dyDescent="0.25">
      <c r="D1313" s="3" t="e">
        <f>-(C1311-D1311)/C1311</f>
        <v>#VALUE!</v>
      </c>
      <c r="E1313" s="3" t="e">
        <f>-(C1311-E1311)/C1311</f>
        <v>#VALUE!</v>
      </c>
    </row>
    <row r="1314" spans="2:9" outlineLevel="1" x14ac:dyDescent="0.25">
      <c r="B1314" s="3" t="s">
        <v>2026</v>
      </c>
      <c r="C1314" s="3" t="s">
        <v>2027</v>
      </c>
      <c r="D1314" s="3" t="s">
        <v>2028</v>
      </c>
      <c r="E1314" s="3" t="s">
        <v>2029</v>
      </c>
    </row>
    <row r="1315" spans="2:9" outlineLevel="1" x14ac:dyDescent="0.25">
      <c r="B1315" s="178"/>
      <c r="C1315" s="179" t="e">
        <f>B1315+B1315*E1323</f>
        <v>#VALUE!</v>
      </c>
      <c r="D1315" s="178">
        <v>0</v>
      </c>
      <c r="E1315" s="178"/>
    </row>
    <row r="1316" spans="2:9" outlineLevel="1" x14ac:dyDescent="0.25">
      <c r="B1316" s="3" t="s">
        <v>203</v>
      </c>
      <c r="C1316" s="3" t="s">
        <v>204</v>
      </c>
      <c r="D1316" s="3" t="s">
        <v>205</v>
      </c>
      <c r="E1316" s="3" t="s">
        <v>206</v>
      </c>
    </row>
    <row r="1317" spans="2:9" outlineLevel="1" x14ac:dyDescent="0.25">
      <c r="B1317" s="178">
        <v>0</v>
      </c>
      <c r="C1317" s="179" t="e">
        <f>B1317+B1317*E1323</f>
        <v>#VALUE!</v>
      </c>
      <c r="D1317" s="178">
        <v>0</v>
      </c>
      <c r="E1317" s="178">
        <v>0</v>
      </c>
    </row>
    <row r="1318" spans="2:9" outlineLevel="1" x14ac:dyDescent="0.25">
      <c r="B1318" s="3" t="s">
        <v>14</v>
      </c>
      <c r="C1318" s="4" t="s">
        <v>15</v>
      </c>
      <c r="D1318" s="4" t="s">
        <v>142</v>
      </c>
      <c r="E1318" t="s">
        <v>143</v>
      </c>
    </row>
    <row r="1319" spans="2:9" outlineLevel="1" x14ac:dyDescent="0.25">
      <c r="B1319" s="4" t="s">
        <v>284</v>
      </c>
      <c r="C1319" s="4" t="s">
        <v>284</v>
      </c>
      <c r="D1319" s="4">
        <f>D1311+D1315+D1317</f>
        <v>1497</v>
      </c>
      <c r="E1319" s="4">
        <f>E1311+E1315+E1317</f>
        <v>0</v>
      </c>
    </row>
    <row r="1320" spans="2:9" outlineLevel="1" x14ac:dyDescent="0.25">
      <c r="B1320" s="37" t="s">
        <v>7</v>
      </c>
      <c r="F1320" s="34"/>
      <c r="G1320" s="1168"/>
      <c r="H1320" s="1168"/>
      <c r="I1320" s="2"/>
    </row>
    <row r="1321" spans="2:9" outlineLevel="1" x14ac:dyDescent="0.25">
      <c r="B1321" s="1169" t="s">
        <v>39</v>
      </c>
      <c r="C1321" s="1170"/>
      <c r="D1321" s="1170" t="s">
        <v>40</v>
      </c>
      <c r="E1321" s="1171"/>
      <c r="F1321" s="1172" t="s">
        <v>9</v>
      </c>
      <c r="G1321" s="1173"/>
      <c r="H1321" s="1174"/>
      <c r="I1321" s="131" t="s">
        <v>23</v>
      </c>
    </row>
    <row r="1322" spans="2:9" outlineLevel="1" x14ac:dyDescent="0.25">
      <c r="B1322" s="1079" t="s">
        <v>2030</v>
      </c>
      <c r="C1322" s="1080" t="s">
        <v>284</v>
      </c>
      <c r="D1322" s="621" t="str">
        <f>B1322</f>
        <v>Number of Lawyers</v>
      </c>
      <c r="E1322" s="1105">
        <v>1</v>
      </c>
      <c r="F1322" s="1081"/>
      <c r="G1322" s="641" t="s">
        <v>129</v>
      </c>
      <c r="H1322" s="641" t="s">
        <v>12</v>
      </c>
      <c r="I1322" s="1082" t="s">
        <v>11</v>
      </c>
    </row>
    <row r="1323" spans="2:9" ht="30" outlineLevel="1" x14ac:dyDescent="0.25">
      <c r="B1323" s="51"/>
      <c r="C1323" s="55"/>
      <c r="D1323" s="41" t="s">
        <v>13</v>
      </c>
      <c r="E1323" s="133" t="e">
        <f>-(C1322-E1322)/C1322</f>
        <v>#VALUE!</v>
      </c>
      <c r="F1323" s="1083" t="s">
        <v>10</v>
      </c>
      <c r="G1323" s="340">
        <v>1000000</v>
      </c>
      <c r="H1323" s="340">
        <v>1000000</v>
      </c>
      <c r="I1323" s="1084" t="s">
        <v>2109</v>
      </c>
    </row>
    <row r="1324" spans="2:9" ht="30" outlineLevel="1" x14ac:dyDescent="0.25">
      <c r="B1324" s="51"/>
      <c r="C1324" s="55"/>
      <c r="D1324" s="51"/>
      <c r="E1324" s="134"/>
      <c r="F1324" s="1083" t="s">
        <v>67</v>
      </c>
      <c r="G1324" s="340">
        <v>1000000</v>
      </c>
      <c r="H1324" s="340">
        <v>1000000</v>
      </c>
      <c r="I1324" s="1084" t="s">
        <v>2109</v>
      </c>
    </row>
    <row r="1325" spans="2:9" outlineLevel="1" x14ac:dyDescent="0.25">
      <c r="B1325" s="51"/>
      <c r="C1325" s="55"/>
      <c r="D1325" s="51"/>
      <c r="E1325" s="134"/>
      <c r="F1325" s="135" t="s">
        <v>68</v>
      </c>
      <c r="G1325" s="71"/>
      <c r="H1325" s="71"/>
      <c r="I1325" s="136"/>
    </row>
    <row r="1000131" spans="27:27" x14ac:dyDescent="0.25">
      <c r="AA1000131" s="339" t="s">
        <v>534</v>
      </c>
    </row>
    <row r="1000132" spans="27:27" x14ac:dyDescent="0.25">
      <c r="AA1000132" s="339" t="s">
        <v>535</v>
      </c>
    </row>
    <row r="1000133" spans="27:27" x14ac:dyDescent="0.25">
      <c r="AA1000133" s="339" t="s">
        <v>536</v>
      </c>
    </row>
    <row r="1000134" spans="27:27" x14ac:dyDescent="0.25">
      <c r="AA1000134" s="339" t="s">
        <v>537</v>
      </c>
    </row>
    <row r="1000135" spans="27:27" x14ac:dyDescent="0.25">
      <c r="AA1000135" s="339" t="s">
        <v>538</v>
      </c>
    </row>
    <row r="1000136" spans="27:27" x14ac:dyDescent="0.25">
      <c r="AA1000136" s="339" t="s">
        <v>985</v>
      </c>
    </row>
    <row r="1000137" spans="27:27" x14ac:dyDescent="0.25">
      <c r="AA1000137" s="339" t="s">
        <v>539</v>
      </c>
    </row>
    <row r="1000138" spans="27:27" ht="15.75" x14ac:dyDescent="0.25">
      <c r="AA1000138" s="688" t="s">
        <v>984</v>
      </c>
    </row>
    <row r="1000139" spans="27:27" x14ac:dyDescent="0.25">
      <c r="AA1000139" s="339" t="s">
        <v>540</v>
      </c>
    </row>
  </sheetData>
  <mergeCells count="313">
    <mergeCell ref="K1134:K1141"/>
    <mergeCell ref="D1134:D1141"/>
    <mergeCell ref="G1134:G1141"/>
    <mergeCell ref="J1134:J1141"/>
    <mergeCell ref="B981:C981"/>
    <mergeCell ref="B1132:B1133"/>
    <mergeCell ref="C1132:C1133"/>
    <mergeCell ref="F1132:F1133"/>
    <mergeCell ref="I1132:I1133"/>
    <mergeCell ref="E1134:E1141"/>
    <mergeCell ref="C1131:E1131"/>
    <mergeCell ref="H1134:H1141"/>
    <mergeCell ref="F1131:H1131"/>
    <mergeCell ref="G1096:H1096"/>
    <mergeCell ref="E1030:F1030"/>
    <mergeCell ref="G1030:H1030"/>
    <mergeCell ref="G1004:H1004"/>
    <mergeCell ref="G1000:H1000"/>
    <mergeCell ref="B1071:C1071"/>
    <mergeCell ref="C1030:D1030"/>
    <mergeCell ref="D981:E981"/>
    <mergeCell ref="G1107:H1107"/>
    <mergeCell ref="G1102:H1102"/>
    <mergeCell ref="E985:F985"/>
    <mergeCell ref="G1047:H1047"/>
    <mergeCell ref="G1048:H1048"/>
    <mergeCell ref="G1043:H1043"/>
    <mergeCell ref="G1067:H1067"/>
    <mergeCell ref="A1101:XFD1101"/>
    <mergeCell ref="G1106:H1106"/>
    <mergeCell ref="G1078:H1078"/>
    <mergeCell ref="B1068:C1068"/>
    <mergeCell ref="I1131:J1131"/>
    <mergeCell ref="D1068:E1068"/>
    <mergeCell ref="G1095:H1095"/>
    <mergeCell ref="B1096:C1096"/>
    <mergeCell ref="D1096:E1096"/>
    <mergeCell ref="A1073:XFD1073"/>
    <mergeCell ref="G1079:H1079"/>
    <mergeCell ref="G1074:H1074"/>
    <mergeCell ref="G1068:H1068"/>
    <mergeCell ref="G1060:H1060"/>
    <mergeCell ref="G959:H959"/>
    <mergeCell ref="G985:H985"/>
    <mergeCell ref="G913:H913"/>
    <mergeCell ref="G960:H960"/>
    <mergeCell ref="G955:H955"/>
    <mergeCell ref="C44:F44"/>
    <mergeCell ref="D120:E120"/>
    <mergeCell ref="B168:C168"/>
    <mergeCell ref="F168:G168"/>
    <mergeCell ref="D180:E180"/>
    <mergeCell ref="D67:E67"/>
    <mergeCell ref="G71:H71"/>
    <mergeCell ref="D176:E176"/>
    <mergeCell ref="D168:E168"/>
    <mergeCell ref="C127:F127"/>
    <mergeCell ref="G127:J127"/>
    <mergeCell ref="G76:H76"/>
    <mergeCell ref="B77:C77"/>
    <mergeCell ref="D77:E77"/>
    <mergeCell ref="G77:H77"/>
    <mergeCell ref="D85:E85"/>
    <mergeCell ref="D90:E90"/>
    <mergeCell ref="F67:G67"/>
    <mergeCell ref="G184:H184"/>
    <mergeCell ref="G448:H448"/>
    <mergeCell ref="A443:XFD443"/>
    <mergeCell ref="A540:XFD540"/>
    <mergeCell ref="D427:E428"/>
    <mergeCell ref="D440:E440"/>
    <mergeCell ref="A954:XFD954"/>
    <mergeCell ref="A999:XFD999"/>
    <mergeCell ref="A1042:XFD1042"/>
    <mergeCell ref="E883:F883"/>
    <mergeCell ref="B730:E730"/>
    <mergeCell ref="D832:E832"/>
    <mergeCell ref="G918:H918"/>
    <mergeCell ref="G772:H772"/>
    <mergeCell ref="A815:XFD815"/>
    <mergeCell ref="D800:E800"/>
    <mergeCell ref="G748:H748"/>
    <mergeCell ref="G782:H782"/>
    <mergeCell ref="G820:H820"/>
    <mergeCell ref="C840:D840"/>
    <mergeCell ref="C942:D942"/>
    <mergeCell ref="G980:H980"/>
    <mergeCell ref="G853:H853"/>
    <mergeCell ref="C985:D985"/>
    <mergeCell ref="G1005:H1005"/>
    <mergeCell ref="B574:E574"/>
    <mergeCell ref="G546:H546"/>
    <mergeCell ref="G541:H541"/>
    <mergeCell ref="B599:E599"/>
    <mergeCell ref="F599:H599"/>
    <mergeCell ref="B736:E736"/>
    <mergeCell ref="F736:H736"/>
    <mergeCell ref="B532:E532"/>
    <mergeCell ref="F532:I532"/>
    <mergeCell ref="C542:F542"/>
    <mergeCell ref="D640:E640"/>
    <mergeCell ref="D645:E645"/>
    <mergeCell ref="A648:XFD648"/>
    <mergeCell ref="G545:H545"/>
    <mergeCell ref="G664:I664"/>
    <mergeCell ref="A912:XFD912"/>
    <mergeCell ref="B702:C702"/>
    <mergeCell ref="F593:H593"/>
    <mergeCell ref="G769:H769"/>
    <mergeCell ref="F770:H770"/>
    <mergeCell ref="D683:E683"/>
    <mergeCell ref="D768:E768"/>
    <mergeCell ref="B565:C565"/>
    <mergeCell ref="D565:E565"/>
    <mergeCell ref="B800:C800"/>
    <mergeCell ref="C650:G650"/>
    <mergeCell ref="C854:F854"/>
    <mergeCell ref="C885:C888"/>
    <mergeCell ref="E885:E888"/>
    <mergeCell ref="G885:G888"/>
    <mergeCell ref="G608:H608"/>
    <mergeCell ref="C609:E609"/>
    <mergeCell ref="G612:H612"/>
    <mergeCell ref="G613:H613"/>
    <mergeCell ref="G631:H631"/>
    <mergeCell ref="G654:H654"/>
    <mergeCell ref="B768:C768"/>
    <mergeCell ref="C772:D772"/>
    <mergeCell ref="F574:I574"/>
    <mergeCell ref="G1192:H1192"/>
    <mergeCell ref="B1193:C1193"/>
    <mergeCell ref="D1193:E1193"/>
    <mergeCell ref="A1144:XFD1144"/>
    <mergeCell ref="G1149:H1149"/>
    <mergeCell ref="B1168:C1168"/>
    <mergeCell ref="D1168:E1168"/>
    <mergeCell ref="I1193:J1193"/>
    <mergeCell ref="G1174:H1174"/>
    <mergeCell ref="G1178:H1178"/>
    <mergeCell ref="A1173:XFD1173"/>
    <mergeCell ref="G1177:H1177"/>
    <mergeCell ref="G1168:H1168"/>
    <mergeCell ref="G1193:H1193"/>
    <mergeCell ref="G1150:H1150"/>
    <mergeCell ref="G1145:H1145"/>
    <mergeCell ref="G8:H8"/>
    <mergeCell ref="G13:H13"/>
    <mergeCell ref="G99:H99"/>
    <mergeCell ref="G94:H94"/>
    <mergeCell ref="C9:E9"/>
    <mergeCell ref="C95:E95"/>
    <mergeCell ref="C143:E143"/>
    <mergeCell ref="C71:D71"/>
    <mergeCell ref="G311:H311"/>
    <mergeCell ref="G147:H147"/>
    <mergeCell ref="G142:H142"/>
    <mergeCell ref="G48:H48"/>
    <mergeCell ref="G43:H43"/>
    <mergeCell ref="G189:H189"/>
    <mergeCell ref="F120:G120"/>
    <mergeCell ref="G146:H146"/>
    <mergeCell ref="G167:H167"/>
    <mergeCell ref="A42:XFD42"/>
    <mergeCell ref="A141:XFD141"/>
    <mergeCell ref="G12:H12"/>
    <mergeCell ref="G47:H47"/>
    <mergeCell ref="B67:C67"/>
    <mergeCell ref="G269:H269"/>
    <mergeCell ref="H201:I201"/>
    <mergeCell ref="D435:E435"/>
    <mergeCell ref="B208:C208"/>
    <mergeCell ref="B34:C34"/>
    <mergeCell ref="D34:E34"/>
    <mergeCell ref="B120:C120"/>
    <mergeCell ref="G316:H316"/>
    <mergeCell ref="B335:C335"/>
    <mergeCell ref="G364:H364"/>
    <mergeCell ref="G359:H359"/>
    <mergeCell ref="B427:C428"/>
    <mergeCell ref="G389:J389"/>
    <mergeCell ref="C389:F389"/>
    <mergeCell ref="G207:H207"/>
    <mergeCell ref="G119:H119"/>
    <mergeCell ref="G426:H426"/>
    <mergeCell ref="G382:H382"/>
    <mergeCell ref="G98:H98"/>
    <mergeCell ref="G188:H188"/>
    <mergeCell ref="G231:H231"/>
    <mergeCell ref="G315:H315"/>
    <mergeCell ref="G363:H363"/>
    <mergeCell ref="G407:H407"/>
    <mergeCell ref="A358:XFD358"/>
    <mergeCell ref="A402:XFD402"/>
    <mergeCell ref="B383:C383"/>
    <mergeCell ref="I341:K341"/>
    <mergeCell ref="G653:H653"/>
    <mergeCell ref="B832:C832"/>
    <mergeCell ref="D208:E208"/>
    <mergeCell ref="F250:G250"/>
    <mergeCell ref="B251:C251"/>
    <mergeCell ref="D251:E251"/>
    <mergeCell ref="F383:G383"/>
    <mergeCell ref="G273:H273"/>
    <mergeCell ref="F292:G292"/>
    <mergeCell ref="B293:C293"/>
    <mergeCell ref="D293:E293"/>
    <mergeCell ref="F296:I296"/>
    <mergeCell ref="A310:XFD310"/>
    <mergeCell ref="A226:XFD226"/>
    <mergeCell ref="A268:XFD268"/>
    <mergeCell ref="C341:E341"/>
    <mergeCell ref="F341:H341"/>
    <mergeCell ref="G232:H232"/>
    <mergeCell ref="G227:H227"/>
    <mergeCell ref="G274:H274"/>
    <mergeCell ref="F350:H350"/>
    <mergeCell ref="C350:E350"/>
    <mergeCell ref="G778:H778"/>
    <mergeCell ref="G821:H821"/>
    <mergeCell ref="A744:XFD744"/>
    <mergeCell ref="G857:H857"/>
    <mergeCell ref="D702:E702"/>
    <mergeCell ref="C710:D710"/>
    <mergeCell ref="B711:E711"/>
    <mergeCell ref="A852:XFD852"/>
    <mergeCell ref="A777:XFD777"/>
    <mergeCell ref="G799:H799"/>
    <mergeCell ref="G840:H840"/>
    <mergeCell ref="E772:F772"/>
    <mergeCell ref="G403:H403"/>
    <mergeCell ref="G449:H449"/>
    <mergeCell ref="D335:E335"/>
    <mergeCell ref="F981:H981"/>
    <mergeCell ref="E942:F942"/>
    <mergeCell ref="G917:H917"/>
    <mergeCell ref="B901:H901"/>
    <mergeCell ref="G831:H831"/>
    <mergeCell ref="A607:XFD607"/>
    <mergeCell ref="B683:C683"/>
    <mergeCell ref="E840:F840"/>
    <mergeCell ref="G816:H816"/>
    <mergeCell ref="G858:H858"/>
    <mergeCell ref="C883:D883"/>
    <mergeCell ref="G883:H883"/>
    <mergeCell ref="B632:C632"/>
    <mergeCell ref="D632:E632"/>
    <mergeCell ref="G632:H632"/>
    <mergeCell ref="G942:H942"/>
    <mergeCell ref="G649:H649"/>
    <mergeCell ref="G749:H749"/>
    <mergeCell ref="B526:E526"/>
    <mergeCell ref="G745:H745"/>
    <mergeCell ref="G783:H783"/>
    <mergeCell ref="J201:K201"/>
    <mergeCell ref="G625:H625"/>
    <mergeCell ref="G418:H419"/>
    <mergeCell ref="I34:K34"/>
    <mergeCell ref="G34:H34"/>
    <mergeCell ref="I120:J120"/>
    <mergeCell ref="I168:J168"/>
    <mergeCell ref="E71:F71"/>
    <mergeCell ref="I383:J383"/>
    <mergeCell ref="G427:H427"/>
    <mergeCell ref="B507:E507"/>
    <mergeCell ref="B593:E593"/>
    <mergeCell ref="C573:D573"/>
    <mergeCell ref="C445:H445"/>
    <mergeCell ref="B468:C468"/>
    <mergeCell ref="D468:E468"/>
    <mergeCell ref="F526:I526"/>
    <mergeCell ref="F507:I507"/>
    <mergeCell ref="C476:D476"/>
    <mergeCell ref="G444:H444"/>
    <mergeCell ref="I350:K350"/>
    <mergeCell ref="F334:G334"/>
    <mergeCell ref="F254:I254"/>
    <mergeCell ref="G408:H408"/>
    <mergeCell ref="G1265:H1265"/>
    <mergeCell ref="B1268:C1268"/>
    <mergeCell ref="D1236:E1236"/>
    <mergeCell ref="G1199:H1199"/>
    <mergeCell ref="G1203:H1203"/>
    <mergeCell ref="G1204:H1204"/>
    <mergeCell ref="G1214:H1215"/>
    <mergeCell ref="G1222:H1222"/>
    <mergeCell ref="B1223:C1224"/>
    <mergeCell ref="D1223:E1224"/>
    <mergeCell ref="G1223:H1223"/>
    <mergeCell ref="D1231:E1231"/>
    <mergeCell ref="G1302:H1302"/>
    <mergeCell ref="G1306:H1306"/>
    <mergeCell ref="G1307:H1307"/>
    <mergeCell ref="G1320:H1320"/>
    <mergeCell ref="B1321:C1321"/>
    <mergeCell ref="D1321:E1321"/>
    <mergeCell ref="F1321:H1321"/>
    <mergeCell ref="G1160:H1160"/>
    <mergeCell ref="G1271:H1271"/>
    <mergeCell ref="G1275:H1275"/>
    <mergeCell ref="G1276:H1276"/>
    <mergeCell ref="G1288:H1288"/>
    <mergeCell ref="G1295:H1295"/>
    <mergeCell ref="B1296:C1296"/>
    <mergeCell ref="D1296:E1296"/>
    <mergeCell ref="G1296:H1296"/>
    <mergeCell ref="B1299:C1299"/>
    <mergeCell ref="G1240:H1240"/>
    <mergeCell ref="G1244:H1244"/>
    <mergeCell ref="G1245:H1245"/>
    <mergeCell ref="G1257:H1257"/>
    <mergeCell ref="G1264:H1264"/>
    <mergeCell ref="B1265:C1265"/>
    <mergeCell ref="D1265:E1265"/>
  </mergeCells>
  <dataValidations count="2">
    <dataValidation type="list" allowBlank="1" showInputMessage="1" showErrorMessage="1" sqref="G12:H12 G612:H612 G273:H273 G1177:H1177 G47:H47 G146:H146 G1149:H1149 G98:H98 G188:H188 G231:H231 G315:H315 G363:H363 G407:H407 G448:H448 G545:H545 G653:H653 G748:H748 G782:H782 G820:H820 G857:H857 G1106:H1106 G917:H917 G959:H959 G1004:H1004 G1047:H1047 G1078:H1078 G1203:H1203 G1244:H1244 G1275:H1275 G1306:H1306" xr:uid="{00000000-0002-0000-0700-000000000000}">
      <formula1>D12:E12</formula1>
    </dataValidation>
    <dataValidation type="list" allowBlank="1" showInputMessage="1" showErrorMessage="1" sqref="G8:H8 G1271:H1271 G1240:H1240 G94:H94 G142:H142 G43:H43 G184:H184 G227:H227 G269:H269 G311:H311 G359:H359 G403:H403 G444:H444 G541:H541 G649:H649 G745:H745 G778:H778 G816:H816 G853:H853 G913:H913 G955:H955 G1000:H1000 G1043:H1043 G1074:H1074 G1102:H1102 G1145:H1145 G1174:H1174 G608:H608 G1199:H1199 G1302:H1302" xr:uid="{00000000-0002-0000-0700-000001000000}">
      <formula1>$AA$1000131:$AA$1000139</formula1>
    </dataValidation>
  </dataValidations>
  <pageMargins left="0.19685039370078741" right="0.19685039370078741" top="0.78740157480314965" bottom="1.2598425196850394" header="0.31496062992125984" footer="0.31496062992125984"/>
  <pageSetup scale="31" fitToHeight="0" orientation="landscape" r:id="rId1"/>
  <headerFooter scaleWithDoc="0">
    <oddHeader>&amp;L&amp;"-,Negrita"&amp;14Input Page</oddHeader>
    <oddFooter>&amp;L&amp;G&amp;CPage &amp;P of &amp;N</oddFooter>
  </headerFooter>
  <ignoredErrors>
    <ignoredError sqref="H576 H509 F392" formula="1"/>
    <ignoredError sqref="C40 C199 C203 C236 B238 E253 C246 C330 C374 C418 C422 B552 C560 C658 C660:E660 E685 C753 E770 C787 C795 B755 F802 C825 E936:E937 C926 C930 E983 E1023 C1009 C1013 C1017 C556 C674 C678 B19 C27 C113 C201 C242 C244 C326 C328 C376 C558 C670 C672 C676 E710 C761 C793 F834:F837 C866 C928 C974 C1015 C1063 C1083 C1089 C1091 E1098 I256 E876 D621:E621 B620:E620 B621:C621 E939" evalError="1"/>
  </ignoredErrors>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pageSetUpPr fitToPage="1"/>
  </sheetPr>
  <dimension ref="A1:K221"/>
  <sheetViews>
    <sheetView showGridLines="0" view="pageBreakPreview" zoomScale="120" zoomScaleNormal="100" zoomScaleSheetLayoutView="120" workbookViewId="0">
      <selection activeCell="F12" sqref="F12"/>
    </sheetView>
  </sheetViews>
  <sheetFormatPr defaultColWidth="9.140625" defaultRowHeight="15" x14ac:dyDescent="0.25"/>
  <cols>
    <col min="1" max="1" width="2.28515625" style="212" customWidth="1"/>
    <col min="2" max="2" width="38.140625" style="212" customWidth="1"/>
    <col min="3" max="4" width="18.5703125" style="245" customWidth="1"/>
    <col min="5" max="5" width="18.5703125" style="245" hidden="1" customWidth="1"/>
    <col min="6" max="6" width="18.5703125" style="245" customWidth="1"/>
    <col min="7" max="7" width="10.7109375" style="212" hidden="1" customWidth="1"/>
    <col min="8" max="8" width="10.7109375" style="212" customWidth="1"/>
    <col min="9" max="10" width="13.28515625" style="212" customWidth="1"/>
    <col min="11" max="11" width="17.28515625" style="212" customWidth="1"/>
    <col min="12" max="16384" width="9.140625" style="212"/>
  </cols>
  <sheetData>
    <row r="1" spans="2:8" ht="7.5" customHeight="1" x14ac:dyDescent="0.25"/>
    <row r="2" spans="2:8" ht="15.75" x14ac:dyDescent="0.25">
      <c r="B2" s="249" t="s">
        <v>58</v>
      </c>
    </row>
    <row r="3" spans="2:8" ht="4.5" customHeight="1" x14ac:dyDescent="0.25">
      <c r="D3" s="366"/>
      <c r="E3" s="250"/>
      <c r="F3" s="250"/>
    </row>
    <row r="4" spans="2:8" x14ac:dyDescent="0.25">
      <c r="B4" s="1253" t="s">
        <v>59</v>
      </c>
      <c r="C4" s="1256" t="s">
        <v>62</v>
      </c>
      <c r="D4" s="1256" t="s">
        <v>3</v>
      </c>
      <c r="E4" s="1256" t="s">
        <v>138</v>
      </c>
      <c r="F4" s="1256" t="s">
        <v>2019</v>
      </c>
      <c r="G4" s="1254" t="s">
        <v>13</v>
      </c>
      <c r="H4" s="1255"/>
    </row>
    <row r="5" spans="2:8" x14ac:dyDescent="0.25">
      <c r="B5" s="1253"/>
      <c r="C5" s="1256"/>
      <c r="D5" s="1256"/>
      <c r="E5" s="1256"/>
      <c r="F5" s="1256"/>
      <c r="G5" s="256" t="s">
        <v>8</v>
      </c>
      <c r="H5" s="519" t="s">
        <v>8</v>
      </c>
    </row>
    <row r="6" spans="2:8" x14ac:dyDescent="0.25">
      <c r="B6" s="1257" t="s">
        <v>1622</v>
      </c>
      <c r="C6" s="1257"/>
      <c r="D6" s="1257"/>
      <c r="E6" s="1257"/>
      <c r="F6" s="1257"/>
      <c r="G6" s="1257"/>
      <c r="H6" s="1258"/>
    </row>
    <row r="7" spans="2:8" ht="5.25" customHeight="1" x14ac:dyDescent="0.25">
      <c r="B7" s="983"/>
      <c r="C7" s="984"/>
      <c r="D7" s="984"/>
      <c r="E7" s="984"/>
      <c r="F7" s="984"/>
      <c r="G7" s="985"/>
      <c r="H7" s="985"/>
    </row>
    <row r="8" spans="2:8" x14ac:dyDescent="0.25">
      <c r="B8" s="1119" t="str">
        <f>Input!B8</f>
        <v>Contractor's Professional &amp; Pollution Liability</v>
      </c>
      <c r="C8" s="222"/>
      <c r="D8" s="222"/>
      <c r="E8" s="222"/>
      <c r="F8" s="222"/>
      <c r="G8" s="226"/>
      <c r="H8" s="226"/>
    </row>
    <row r="9" spans="2:8" ht="30" customHeight="1" x14ac:dyDescent="0.25">
      <c r="B9" s="679" t="s">
        <v>60</v>
      </c>
      <c r="C9" s="243" t="str">
        <f>Input!B13</f>
        <v>Columbia Casualty Company (CNA)</v>
      </c>
      <c r="D9" s="243" t="str">
        <f>Input!C13</f>
        <v>Columbia Casualty Company (CNA)</v>
      </c>
      <c r="E9" s="243" t="str">
        <f>Input!D13</f>
        <v>Columbia Casualty Company (CNA)</v>
      </c>
      <c r="F9" s="243" t="str">
        <f>Input!E13</f>
        <v>Columbia Casualty Company (CNA)</v>
      </c>
      <c r="G9" s="257" t="s">
        <v>284</v>
      </c>
      <c r="H9" s="1011" t="s">
        <v>284</v>
      </c>
    </row>
    <row r="10" spans="2:8" x14ac:dyDescent="0.25">
      <c r="B10" s="682" t="str">
        <f>Input!B33</f>
        <v>Exposure Base - Prior 12 Months</v>
      </c>
      <c r="C10" s="195">
        <f>Input!C40</f>
        <v>27600000</v>
      </c>
      <c r="D10" s="195">
        <f>Input!E40</f>
        <v>87400000</v>
      </c>
      <c r="E10" s="195">
        <f>Input!E40</f>
        <v>87400000</v>
      </c>
      <c r="F10" s="195">
        <f>Input!G40</f>
        <v>46600000</v>
      </c>
      <c r="G10" s="258">
        <f>Input!E41</f>
        <v>2.1666666666666665</v>
      </c>
      <c r="H10" s="1012">
        <f>Input!E41</f>
        <v>2.1666666666666665</v>
      </c>
    </row>
    <row r="11" spans="2:8" x14ac:dyDescent="0.25">
      <c r="B11" s="223" t="str">
        <f>Input!B18</f>
        <v>Blended Rate per $100 of Exposure</v>
      </c>
      <c r="C11" s="655">
        <f>Input!B19</f>
        <v>0.12130072463768116</v>
      </c>
      <c r="D11" s="655">
        <f>Input!C19</f>
        <v>0.12130072463768116</v>
      </c>
      <c r="E11" s="655">
        <f>Input!D19</f>
        <v>8.7171624713958812E-2</v>
      </c>
      <c r="F11" s="655">
        <f>Input!E19</f>
        <v>5.6905034324942795E-2</v>
      </c>
      <c r="G11" s="262">
        <f>-(D11-E11)/D11</f>
        <v>-0.28135940676087601</v>
      </c>
      <c r="H11" s="1012">
        <f>-(D11-F11)/D11</f>
        <v>-0.53087638598272913</v>
      </c>
    </row>
    <row r="12" spans="2:8" x14ac:dyDescent="0.25">
      <c r="B12" s="223" t="s">
        <v>64</v>
      </c>
      <c r="C12" s="195">
        <f>Input!B29</f>
        <v>34818.160000000003</v>
      </c>
      <c r="D12" s="195">
        <f>Input!C29</f>
        <v>110257.50666666667</v>
      </c>
      <c r="E12" s="195">
        <f>Input!D29</f>
        <v>79235.520000000004</v>
      </c>
      <c r="F12" s="195">
        <f>Input!E29</f>
        <v>51724.4</v>
      </c>
      <c r="G12" s="262">
        <f>-(D12-E12)/D12</f>
        <v>-0.28135940676087601</v>
      </c>
      <c r="H12" s="1012">
        <f>-(D12-F12)/D12</f>
        <v>-0.53087638598272913</v>
      </c>
    </row>
    <row r="13" spans="2:8" ht="6" customHeight="1" x14ac:dyDescent="0.25">
      <c r="B13" s="213"/>
      <c r="C13" s="241"/>
      <c r="D13" s="241"/>
      <c r="E13" s="241"/>
      <c r="F13" s="241"/>
      <c r="G13" s="263"/>
      <c r="H13" s="263"/>
    </row>
    <row r="14" spans="2:8" x14ac:dyDescent="0.25">
      <c r="B14" s="1119" t="str">
        <f>Input!B184</f>
        <v>T5CS Commercial General Liability</v>
      </c>
      <c r="C14" s="222"/>
      <c r="D14" s="222"/>
      <c r="E14" s="222"/>
      <c r="F14" s="222"/>
      <c r="G14" s="226"/>
      <c r="H14" s="226"/>
    </row>
    <row r="15" spans="2:8" ht="33" customHeight="1" x14ac:dyDescent="0.25">
      <c r="B15" s="679" t="s">
        <v>60</v>
      </c>
      <c r="C15" s="243" t="str">
        <f>Input!B189</f>
        <v>Continental Insurance Company (CNA)</v>
      </c>
      <c r="D15" s="243" t="str">
        <f>Input!C189</f>
        <v>Continental Insurance Company (CNA)</v>
      </c>
      <c r="E15" s="243" t="str">
        <f>Input!D189</f>
        <v>Continental Insurance Company (CNA)</v>
      </c>
      <c r="F15" s="243" t="str">
        <f>Input!E189</f>
        <v>Continental Insurance Company (CNA)</v>
      </c>
      <c r="G15" s="257" t="s">
        <v>284</v>
      </c>
      <c r="H15" s="1011" t="s">
        <v>284</v>
      </c>
    </row>
    <row r="16" spans="2:8" x14ac:dyDescent="0.25">
      <c r="B16" s="223" t="str">
        <f>Input!B207 &amp; " (" &amp; Input!B209 &amp; ")"</f>
        <v>Exposure Base (Subcontracted Work)</v>
      </c>
      <c r="C16" s="195">
        <f>Input!C209</f>
        <v>60000000</v>
      </c>
      <c r="D16" s="195">
        <f>Input!E209</f>
        <v>40000000</v>
      </c>
      <c r="E16" s="195">
        <f>Input!E209</f>
        <v>40000000</v>
      </c>
      <c r="F16" s="195">
        <f>Input!E209</f>
        <v>40000000</v>
      </c>
      <c r="G16" s="258">
        <f>Input!E211</f>
        <v>1.0666666666666667</v>
      </c>
      <c r="H16" s="1012">
        <f>Input!E211</f>
        <v>1.0666666666666667</v>
      </c>
    </row>
    <row r="17" spans="2:8" hidden="1" x14ac:dyDescent="0.25">
      <c r="B17" s="678" t="s">
        <v>1900</v>
      </c>
      <c r="C17" s="195">
        <v>2000000</v>
      </c>
      <c r="D17" s="195">
        <v>15000000</v>
      </c>
      <c r="E17" s="195">
        <v>15000000</v>
      </c>
      <c r="F17" s="195">
        <v>15000000</v>
      </c>
      <c r="G17" s="258">
        <f>(E17-C17)/C17</f>
        <v>6.5</v>
      </c>
      <c r="H17" s="1012">
        <v>6.5</v>
      </c>
    </row>
    <row r="18" spans="2:8" hidden="1" x14ac:dyDescent="0.25">
      <c r="B18" s="678" t="s">
        <v>1901</v>
      </c>
      <c r="C18" s="195">
        <v>1250000</v>
      </c>
      <c r="D18" s="195">
        <v>1650000</v>
      </c>
      <c r="E18" s="195">
        <v>1650000</v>
      </c>
      <c r="F18" s="195">
        <v>1650000</v>
      </c>
      <c r="G18" s="258">
        <f t="shared" ref="G18" si="0">(E18-C18)/C18</f>
        <v>0.32</v>
      </c>
      <c r="H18" s="1012">
        <v>0.32</v>
      </c>
    </row>
    <row r="19" spans="2:8" hidden="1" x14ac:dyDescent="0.25">
      <c r="B19" s="678" t="s">
        <v>1902</v>
      </c>
      <c r="C19" s="195">
        <v>0</v>
      </c>
      <c r="D19" s="195">
        <v>1000000</v>
      </c>
      <c r="E19" s="195">
        <v>1000000</v>
      </c>
      <c r="F19" s="195">
        <v>1000000</v>
      </c>
      <c r="G19" s="1004" t="s">
        <v>284</v>
      </c>
      <c r="H19" s="1013" t="s">
        <v>284</v>
      </c>
    </row>
    <row r="20" spans="2:8" x14ac:dyDescent="0.25">
      <c r="B20" s="223" t="str">
        <f>Input!B194</f>
        <v>Blended Rate per $1,000 of Exposure</v>
      </c>
      <c r="C20" s="655">
        <f>Input!B195</f>
        <v>1.3619832582099163</v>
      </c>
      <c r="D20" s="655">
        <f>Input!C195</f>
        <v>1.3619832582099163</v>
      </c>
      <c r="E20" s="655">
        <f>Input!D195</f>
        <v>2.3709500000000001</v>
      </c>
      <c r="F20" s="655">
        <f>Input!E195</f>
        <v>2.3709500000000001</v>
      </c>
      <c r="G20" s="262">
        <f>-(D20-E20)/D20</f>
        <v>0.74080700750770634</v>
      </c>
      <c r="H20" s="1012">
        <f>-(D20-F20)/D20</f>
        <v>0.74080700750770634</v>
      </c>
    </row>
    <row r="21" spans="2:8" x14ac:dyDescent="0.25">
      <c r="B21" s="223" t="s">
        <v>64</v>
      </c>
      <c r="C21" s="195">
        <f>Input!B203</f>
        <v>105758</v>
      </c>
      <c r="D21" s="195">
        <f>Input!C203</f>
        <v>130750.39278815196</v>
      </c>
      <c r="E21" s="195">
        <f>Input!D203</f>
        <v>94838</v>
      </c>
      <c r="F21" s="195">
        <f>Input!E203</f>
        <v>94838</v>
      </c>
      <c r="G21" s="262">
        <f>-(D21-E21)/D21</f>
        <v>-0.27466374687178907</v>
      </c>
      <c r="H21" s="1012">
        <f>-(D21-F21)/D21</f>
        <v>-0.27466374687178907</v>
      </c>
    </row>
    <row r="22" spans="2:8" ht="8.25" customHeight="1" x14ac:dyDescent="0.25">
      <c r="B22" s="225"/>
      <c r="C22" s="213"/>
      <c r="D22" s="213"/>
      <c r="E22" s="213"/>
      <c r="F22" s="213"/>
      <c r="G22" s="225"/>
      <c r="H22" s="225"/>
    </row>
    <row r="23" spans="2:8" ht="16.5" customHeight="1" x14ac:dyDescent="0.25">
      <c r="B23" s="1119" t="str">
        <f>Input!B541</f>
        <v>Inland Marine (T5CS)</v>
      </c>
      <c r="C23" s="222"/>
      <c r="D23" s="222"/>
      <c r="E23" s="222"/>
      <c r="F23" s="222"/>
      <c r="G23" s="226"/>
      <c r="H23" s="226"/>
    </row>
    <row r="24" spans="2:8" ht="33" customHeight="1" x14ac:dyDescent="0.25">
      <c r="B24" s="679" t="s">
        <v>60</v>
      </c>
      <c r="C24" s="243" t="str">
        <f>Input!B546</f>
        <v>Continental Insurance Company (CNA)</v>
      </c>
      <c r="D24" s="243" t="str">
        <f>Input!C546</f>
        <v>Continental Insurance Company (CNA)</v>
      </c>
      <c r="E24" s="243" t="str">
        <f>Input!D546</f>
        <v>Continental Insurance Company (CNA)</v>
      </c>
      <c r="F24" s="243" t="str">
        <f>Input!E546</f>
        <v>Continental Insurance Company (CNA)</v>
      </c>
      <c r="G24" s="257" t="s">
        <v>284</v>
      </c>
      <c r="H24" s="1011" t="s">
        <v>284</v>
      </c>
    </row>
    <row r="25" spans="2:8" ht="16.5" customHeight="1" x14ac:dyDescent="0.25">
      <c r="B25" s="223" t="str">
        <f>Input!B564</f>
        <v>Exposure Base - Total Values Insured</v>
      </c>
      <c r="C25" s="195">
        <f>Input!C572</f>
        <v>169669</v>
      </c>
      <c r="D25" s="195">
        <f>Input!E572</f>
        <v>169669</v>
      </c>
      <c r="E25" s="195">
        <f>Input!E572</f>
        <v>169669</v>
      </c>
      <c r="F25" s="195">
        <f>Input!E572</f>
        <v>169669</v>
      </c>
      <c r="G25" s="258">
        <f>Input!E573</f>
        <v>0</v>
      </c>
      <c r="H25" s="1012">
        <f>Input!E573</f>
        <v>0</v>
      </c>
    </row>
    <row r="26" spans="2:8" ht="16.5" hidden="1" customHeight="1" x14ac:dyDescent="0.25">
      <c r="B26" s="223" t="str">
        <f>Input!B551</f>
        <v>Blended Rate per $100 of Exposure</v>
      </c>
      <c r="C26" s="655">
        <f>Input!B552</f>
        <v>0.78211105151795557</v>
      </c>
      <c r="D26" s="655">
        <f>Input!C552</f>
        <v>0.78211105151795557</v>
      </c>
      <c r="E26" s="655">
        <f>Input!D552</f>
        <v>0.91118589724699262</v>
      </c>
      <c r="F26" s="655">
        <f>Input!E552</f>
        <v>0.91118589724699262</v>
      </c>
      <c r="G26" s="262">
        <f>-(D26-E26)/D26</f>
        <v>0.16503391107761858</v>
      </c>
      <c r="H26" s="1012">
        <f>-(D26-F26)/D26</f>
        <v>0.16503391107761858</v>
      </c>
    </row>
    <row r="27" spans="2:8" ht="16.5" customHeight="1" x14ac:dyDescent="0.25">
      <c r="B27" s="223" t="s">
        <v>64</v>
      </c>
      <c r="C27" s="195">
        <f>Input!B560</f>
        <v>1327</v>
      </c>
      <c r="D27" s="195">
        <f>Input!C560</f>
        <v>1327</v>
      </c>
      <c r="E27" s="195">
        <f>Input!D560</f>
        <v>1546</v>
      </c>
      <c r="F27" s="195">
        <f>Input!E560</f>
        <v>1546</v>
      </c>
      <c r="G27" s="262">
        <f>-(D27-E27)/D27</f>
        <v>0.16503391107761869</v>
      </c>
      <c r="H27" s="1012">
        <f>-(D27-F27)/D27</f>
        <v>0.16503391107761869</v>
      </c>
    </row>
    <row r="28" spans="2:8" ht="5.25" customHeight="1" x14ac:dyDescent="0.25">
      <c r="B28" s="225"/>
      <c r="C28" s="213"/>
      <c r="D28" s="213"/>
      <c r="E28" s="213"/>
      <c r="F28" s="213"/>
      <c r="G28" s="225"/>
      <c r="H28" s="225"/>
    </row>
    <row r="29" spans="2:8" x14ac:dyDescent="0.25">
      <c r="B29" s="1119" t="str">
        <f>Input!B444</f>
        <v>T5CS Business Auto</v>
      </c>
      <c r="C29" s="222"/>
      <c r="D29" s="222"/>
      <c r="E29" s="222"/>
      <c r="F29" s="222"/>
      <c r="G29" s="226"/>
      <c r="H29" s="226"/>
    </row>
    <row r="30" spans="2:8" ht="30.75" customHeight="1" x14ac:dyDescent="0.25">
      <c r="B30" s="679" t="s">
        <v>60</v>
      </c>
      <c r="C30" s="243" t="str">
        <f>Input!B449</f>
        <v>Continental Casualty Company (CNA)</v>
      </c>
      <c r="D30" s="243" t="str">
        <f>Input!C449</f>
        <v>Continental Casualty Company (CNA)</v>
      </c>
      <c r="E30" s="243" t="str">
        <f>Input!D449</f>
        <v>Continental Casualty Company (CNA)</v>
      </c>
      <c r="F30" s="243" t="str">
        <f>Input!E449</f>
        <v>Continental Casualty Company (CNA)</v>
      </c>
      <c r="G30" s="259" t="s">
        <v>284</v>
      </c>
      <c r="H30" s="1011" t="s">
        <v>284</v>
      </c>
    </row>
    <row r="31" spans="2:8" hidden="1" x14ac:dyDescent="0.25">
      <c r="B31" s="223" t="str">
        <f>Input!B469</f>
        <v># of Employees</v>
      </c>
      <c r="C31" s="992">
        <f>Input!C469</f>
        <v>8</v>
      </c>
      <c r="D31" s="991">
        <f>Input!E469</f>
        <v>8</v>
      </c>
      <c r="E31" s="991">
        <v>8</v>
      </c>
      <c r="F31" s="991">
        <v>8</v>
      </c>
      <c r="G31" s="262">
        <v>0</v>
      </c>
      <c r="H31" s="1012">
        <v>0</v>
      </c>
    </row>
    <row r="32" spans="2:8" x14ac:dyDescent="0.25">
      <c r="B32" s="223" t="str">
        <f>Input!B470</f>
        <v>Hired Auto (Rental Expenditures)</v>
      </c>
      <c r="C32" s="993">
        <f>Input!C470</f>
        <v>9600</v>
      </c>
      <c r="D32" s="195">
        <f>Input!E470</f>
        <v>9600</v>
      </c>
      <c r="E32" s="195">
        <v>9600</v>
      </c>
      <c r="F32" s="195">
        <v>9600</v>
      </c>
      <c r="G32" s="262">
        <f>Input!F470</f>
        <v>0</v>
      </c>
      <c r="H32" s="1012">
        <f>Input!F470</f>
        <v>0</v>
      </c>
    </row>
    <row r="33" spans="2:11" x14ac:dyDescent="0.25">
      <c r="B33" s="223" t="s">
        <v>64</v>
      </c>
      <c r="C33" s="195">
        <f>Input!B463</f>
        <v>708</v>
      </c>
      <c r="D33" s="195">
        <f>Input!C463</f>
        <v>708</v>
      </c>
      <c r="E33" s="195">
        <f>Input!D463</f>
        <v>770</v>
      </c>
      <c r="F33" s="195">
        <f>Input!E463</f>
        <v>770</v>
      </c>
      <c r="G33" s="262">
        <f>-(D33-E33)/D33</f>
        <v>8.7570621468926552E-2</v>
      </c>
      <c r="H33" s="1012">
        <f>-(D33-F33)/D33</f>
        <v>8.7570621468926552E-2</v>
      </c>
    </row>
    <row r="34" spans="2:11" ht="6" customHeight="1" x14ac:dyDescent="0.25">
      <c r="B34" s="213"/>
      <c r="C34" s="241"/>
      <c r="D34" s="241"/>
      <c r="E34" s="241"/>
      <c r="F34" s="241"/>
      <c r="G34" s="263"/>
      <c r="H34" s="263"/>
    </row>
    <row r="35" spans="2:11" x14ac:dyDescent="0.25">
      <c r="B35" s="1119" t="str">
        <f>Input!B359</f>
        <v>T5CS Umbrella</v>
      </c>
      <c r="C35" s="222"/>
      <c r="D35" s="222"/>
      <c r="E35" s="222"/>
      <c r="F35" s="222"/>
      <c r="G35" s="226"/>
      <c r="H35" s="226"/>
      <c r="K35" s="971">
        <f>F37-D37</f>
        <v>0</v>
      </c>
    </row>
    <row r="36" spans="2:11" ht="44.25" customHeight="1" x14ac:dyDescent="0.25">
      <c r="B36" s="679" t="s">
        <v>60</v>
      </c>
      <c r="C36" s="243" t="str">
        <f>Input!B364</f>
        <v>The Continental Insurance Company (CNA)</v>
      </c>
      <c r="D36" s="243" t="str">
        <f>Input!C364</f>
        <v>The Continental Insurance Company (CNA)</v>
      </c>
      <c r="E36" s="243" t="str">
        <f>Input!D364</f>
        <v>The Continental Insurance Company (CNA)</v>
      </c>
      <c r="F36" s="243" t="str">
        <f>Input!E364</f>
        <v>The Continental Insurance Company (CNA)</v>
      </c>
      <c r="G36" s="257" t="s">
        <v>284</v>
      </c>
      <c r="H36" s="1011" t="s">
        <v>284</v>
      </c>
      <c r="K36" s="212">
        <f>K35/D37</f>
        <v>0</v>
      </c>
    </row>
    <row r="37" spans="2:11" x14ac:dyDescent="0.25">
      <c r="B37" s="223" t="str">
        <f>Input!B382</f>
        <v>Exposure Base - GL Premium</v>
      </c>
      <c r="C37" s="195">
        <f>Input!C386</f>
        <v>106466</v>
      </c>
      <c r="D37" s="195">
        <f>Input!E386</f>
        <v>95608</v>
      </c>
      <c r="E37" s="195">
        <f>Input!G386</f>
        <v>95608</v>
      </c>
      <c r="F37" s="195">
        <f>Input!G386</f>
        <v>95608</v>
      </c>
      <c r="G37" s="258">
        <f>Input!G387</f>
        <v>-0.10198561042962072</v>
      </c>
      <c r="H37" s="1012">
        <f>Input!G387</f>
        <v>-0.10198561042962072</v>
      </c>
    </row>
    <row r="38" spans="2:11" x14ac:dyDescent="0.25">
      <c r="B38" s="223" t="str">
        <f>Input!B369</f>
        <v>Blended Rate as Percentage of Exposure</v>
      </c>
      <c r="C38" s="253">
        <f>Input!B370</f>
        <v>0.47730730937576316</v>
      </c>
      <c r="D38" s="253">
        <f>Input!C370</f>
        <v>0.47730730937576316</v>
      </c>
      <c r="E38" s="253">
        <f>Input!D370</f>
        <v>0.49550246841268514</v>
      </c>
      <c r="F38" s="253">
        <f>Input!E370</f>
        <v>0.49550246841268514</v>
      </c>
      <c r="G38" s="262">
        <f>-(D38-E38)/D38</f>
        <v>3.8120428243007966E-2</v>
      </c>
      <c r="H38" s="1012">
        <f>-(D38-F38)/D38</f>
        <v>3.8120428243007966E-2</v>
      </c>
      <c r="J38" s="850">
        <f>E38*E37</f>
        <v>47374</v>
      </c>
      <c r="K38" s="850">
        <f>D38*D37</f>
        <v>45634.397234797965</v>
      </c>
    </row>
    <row r="39" spans="2:11" x14ac:dyDescent="0.25">
      <c r="B39" s="223" t="s">
        <v>64</v>
      </c>
      <c r="C39" s="195">
        <f>Input!B378</f>
        <v>50817</v>
      </c>
      <c r="D39" s="195">
        <f>Input!C378</f>
        <v>45634.397234797965</v>
      </c>
      <c r="E39" s="195">
        <f>Input!D378</f>
        <v>47374</v>
      </c>
      <c r="F39" s="195">
        <f>Input!E378</f>
        <v>47374</v>
      </c>
      <c r="G39" s="262">
        <f>-(D39-E39)/D39</f>
        <v>3.8120428243007917E-2</v>
      </c>
      <c r="H39" s="1012">
        <f>-(D39-F39)/D39</f>
        <v>3.8120428243007917E-2</v>
      </c>
      <c r="J39" s="1007">
        <f>E38-D38</f>
        <v>1.8195159036921982E-2</v>
      </c>
      <c r="K39" s="1008">
        <f>J39/D38</f>
        <v>3.8120428243007966E-2</v>
      </c>
    </row>
    <row r="40" spans="2:11" ht="6" customHeight="1" x14ac:dyDescent="0.25">
      <c r="B40" s="225"/>
      <c r="C40" s="241"/>
      <c r="D40" s="241"/>
      <c r="E40" s="241"/>
      <c r="F40" s="241"/>
      <c r="G40" s="263"/>
      <c r="H40" s="263"/>
    </row>
    <row r="41" spans="2:11" x14ac:dyDescent="0.25">
      <c r="B41" s="1119" t="str">
        <f>Input!B403</f>
        <v>T5CS 1st Excess Liability</v>
      </c>
      <c r="C41" s="254"/>
      <c r="D41" s="254"/>
      <c r="E41" s="254"/>
      <c r="F41" s="254"/>
      <c r="G41" s="264"/>
      <c r="H41" s="264"/>
    </row>
    <row r="42" spans="2:11" ht="29.25" customHeight="1" x14ac:dyDescent="0.25">
      <c r="B42" s="679" t="s">
        <v>60</v>
      </c>
      <c r="C42" s="243" t="str">
        <f>Input!B408</f>
        <v xml:space="preserve">RSUI Indemnity Company </v>
      </c>
      <c r="D42" s="243" t="str">
        <f>Input!C408</f>
        <v xml:space="preserve">RSUI Indemnity Company </v>
      </c>
      <c r="E42" s="243" t="str">
        <f>Input!D408</f>
        <v xml:space="preserve">RSUI Indemnity Company </v>
      </c>
      <c r="F42" s="243" t="str">
        <f>Input!E408</f>
        <v xml:space="preserve">RSUI Indemnity Company </v>
      </c>
      <c r="G42" s="265" t="s">
        <v>284</v>
      </c>
      <c r="H42" s="1014" t="s">
        <v>284</v>
      </c>
    </row>
    <row r="43" spans="2:11" ht="15" customHeight="1" x14ac:dyDescent="0.25">
      <c r="B43" s="223" t="str">
        <f>Input!B426</f>
        <v>Exposure Base - Underlying Umbrella Premium</v>
      </c>
      <c r="C43" s="195">
        <f>Input!C429</f>
        <v>50817</v>
      </c>
      <c r="D43" s="195">
        <f>Input!E429</f>
        <v>45634.397234797965</v>
      </c>
      <c r="E43" s="195">
        <f>Input!H420</f>
        <v>47374</v>
      </c>
      <c r="F43" s="195">
        <f>Input!H420</f>
        <v>47374</v>
      </c>
      <c r="G43" s="262">
        <f>(E43-D43)/D43</f>
        <v>3.8120428243007917E-2</v>
      </c>
      <c r="H43" s="1012">
        <f>(F43-D43)/D43</f>
        <v>3.8120428243007917E-2</v>
      </c>
    </row>
    <row r="44" spans="2:11" x14ac:dyDescent="0.25">
      <c r="B44" s="637" t="str">
        <f>Input!B413</f>
        <v>Rate as Percentage of Underlying Premium</v>
      </c>
      <c r="C44" s="253">
        <f>Input!B414</f>
        <v>0.79894523486234925</v>
      </c>
      <c r="D44" s="253">
        <f>Input!C414</f>
        <v>0.79894523486234925</v>
      </c>
      <c r="E44" s="253">
        <f>Input!D414</f>
        <v>0.82487229281884578</v>
      </c>
      <c r="F44" s="253">
        <f>Input!E414</f>
        <v>0.82487229281884578</v>
      </c>
      <c r="G44" s="266">
        <f>-(D44-E44)/D44</f>
        <v>3.245160847722374E-2</v>
      </c>
      <c r="H44" s="1015">
        <f>-(D44-F44)/D44</f>
        <v>3.245160847722374E-2</v>
      </c>
    </row>
    <row r="45" spans="2:11" x14ac:dyDescent="0.25">
      <c r="B45" s="223" t="s">
        <v>64</v>
      </c>
      <c r="C45" s="195">
        <f>Input!B422</f>
        <v>41600</v>
      </c>
      <c r="D45" s="195">
        <f>Input!C422</f>
        <v>38849.231556368934</v>
      </c>
      <c r="E45" s="195">
        <f>Input!D422</f>
        <v>40077.5</v>
      </c>
      <c r="F45" s="195">
        <f>Input!E422</f>
        <v>40077.5</v>
      </c>
      <c r="G45" s="262">
        <f>-(D45-E45)/D45</f>
        <v>3.16162867172518E-2</v>
      </c>
      <c r="H45" s="1012">
        <f>-(D45-F45)/D45</f>
        <v>3.16162867172518E-2</v>
      </c>
    </row>
    <row r="46" spans="2:11" ht="6.75" customHeight="1" x14ac:dyDescent="0.25">
      <c r="B46" s="225"/>
      <c r="C46" s="213"/>
      <c r="D46" s="213"/>
      <c r="E46" s="213"/>
      <c r="F46" s="213"/>
      <c r="G46" s="225"/>
      <c r="H46" s="225"/>
    </row>
    <row r="47" spans="2:11" x14ac:dyDescent="0.25">
      <c r="B47" s="251" t="str">
        <f>Input!B142</f>
        <v>T5CS 2nd Excess Liability</v>
      </c>
      <c r="C47" s="222"/>
      <c r="D47" s="222"/>
      <c r="E47" s="222"/>
      <c r="F47" s="222"/>
      <c r="G47" s="226"/>
      <c r="H47" s="226"/>
    </row>
    <row r="48" spans="2:11" ht="51" x14ac:dyDescent="0.25">
      <c r="B48" s="679" t="s">
        <v>60</v>
      </c>
      <c r="C48" s="243" t="str">
        <f>Input!B147</f>
        <v>American Guarantee And Liability Insurance Company (Zurich)</v>
      </c>
      <c r="D48" s="243" t="str">
        <f>Input!C147</f>
        <v>American Guarantee And Liability Insurance Company (Zurich)</v>
      </c>
      <c r="E48" s="243" t="str">
        <f>Input!D147</f>
        <v>American Guarantee And Liability Insurance Company (Zurich)</v>
      </c>
      <c r="F48" s="243" t="str">
        <f>Input!D147</f>
        <v>American Guarantee And Liability Insurance Company (Zurich)</v>
      </c>
      <c r="G48" s="257" t="s">
        <v>284</v>
      </c>
      <c r="H48" s="1011" t="s">
        <v>284</v>
      </c>
      <c r="J48" s="850"/>
    </row>
    <row r="49" spans="2:8" x14ac:dyDescent="0.25">
      <c r="B49" s="223" t="str">
        <f>Input!B167</f>
        <v>Exposure Base - Underlying Premium</v>
      </c>
      <c r="C49" s="195">
        <f>Input!C169</f>
        <v>41600</v>
      </c>
      <c r="D49" s="195">
        <f>Input!E169</f>
        <v>40077.5</v>
      </c>
      <c r="E49" s="195">
        <f>Input!G169</f>
        <v>40077.5</v>
      </c>
      <c r="F49" s="195">
        <f>Input!G169</f>
        <v>40077.5</v>
      </c>
      <c r="G49" s="262">
        <f>Input!G170</f>
        <v>-3.6598557692307694E-2</v>
      </c>
      <c r="H49" s="1012">
        <f>Input!G170</f>
        <v>-3.6598557692307694E-2</v>
      </c>
    </row>
    <row r="50" spans="2:8" x14ac:dyDescent="0.25">
      <c r="B50" s="637" t="str">
        <f>Input!B152</f>
        <v>Rate as Percentage of Underlying Premium</v>
      </c>
      <c r="C50" s="252">
        <f>Input!B153</f>
        <v>0.77449519230769226</v>
      </c>
      <c r="D50" s="252">
        <f>Input!C153</f>
        <v>0.77449519230769226</v>
      </c>
      <c r="E50" s="252">
        <f>Input!D153</f>
        <v>0.79131682365417</v>
      </c>
      <c r="F50" s="252">
        <f>Input!D153</f>
        <v>0.79131682365417</v>
      </c>
      <c r="G50" s="266">
        <f>-(D50-E50)/D50</f>
        <v>2.1719478072363324E-2</v>
      </c>
      <c r="H50" s="1015">
        <f>-(D50-F50)/D50</f>
        <v>2.1719478072363324E-2</v>
      </c>
    </row>
    <row r="51" spans="2:8" x14ac:dyDescent="0.25">
      <c r="B51" s="223" t="s">
        <v>64</v>
      </c>
      <c r="C51" s="195">
        <f>Input!B163</f>
        <v>32219</v>
      </c>
      <c r="D51" s="195">
        <f>Input!C163</f>
        <v>31039.831069711538</v>
      </c>
      <c r="E51" s="195">
        <f>Input!D163</f>
        <v>31714</v>
      </c>
      <c r="F51" s="195">
        <f>Input!D163</f>
        <v>31714</v>
      </c>
      <c r="G51" s="262">
        <f>-(D51-E51)/D51</f>
        <v>2.1719478072363352E-2</v>
      </c>
      <c r="H51" s="1012">
        <f>-(D51-F51)/D51</f>
        <v>2.1719478072363352E-2</v>
      </c>
    </row>
    <row r="52" spans="2:8" ht="7.5" customHeight="1" x14ac:dyDescent="0.25">
      <c r="B52" s="225"/>
      <c r="C52" s="213"/>
      <c r="D52" s="213"/>
      <c r="E52" s="213"/>
      <c r="F52" s="213"/>
      <c r="G52" s="225"/>
      <c r="H52" s="225"/>
    </row>
    <row r="53" spans="2:8" ht="15" customHeight="1" x14ac:dyDescent="0.25">
      <c r="B53" s="251" t="str">
        <f>Input!B43</f>
        <v>T5CS 3rd Excess Liability</v>
      </c>
      <c r="C53" s="222"/>
      <c r="D53" s="222"/>
      <c r="E53" s="222"/>
      <c r="F53" s="222"/>
      <c r="G53" s="226"/>
      <c r="H53" s="226"/>
    </row>
    <row r="54" spans="2:8" ht="44.25" customHeight="1" x14ac:dyDescent="0.25">
      <c r="B54" s="679" t="s">
        <v>60</v>
      </c>
      <c r="C54" s="243" t="str">
        <f>Input!B48</f>
        <v>Travelers Property Casualty Company of America</v>
      </c>
      <c r="D54" s="243" t="str">
        <f>Input!C48</f>
        <v>Travelers Property Casualty Company of America</v>
      </c>
      <c r="E54" s="243" t="str">
        <f>Input!D48</f>
        <v>Travelers Property Casualty Company of America</v>
      </c>
      <c r="F54" s="243" t="str">
        <f>Input!D48</f>
        <v>Travelers Property Casualty Company of America</v>
      </c>
      <c r="G54" s="257" t="s">
        <v>284</v>
      </c>
      <c r="H54" s="1011" t="s">
        <v>284</v>
      </c>
    </row>
    <row r="55" spans="2:8" ht="15" customHeight="1" x14ac:dyDescent="0.25">
      <c r="B55" s="223" t="str">
        <f>Input!B66</f>
        <v>Exposure Base - Underlying Premium</v>
      </c>
      <c r="C55" s="195">
        <f>Input!C68</f>
        <v>32219</v>
      </c>
      <c r="D55" s="195">
        <f>Input!G68</f>
        <v>31714</v>
      </c>
      <c r="E55" s="195">
        <f>Input!E68</f>
        <v>31714</v>
      </c>
      <c r="F55" s="195">
        <f>Input!E68</f>
        <v>31714</v>
      </c>
      <c r="G55" s="262">
        <f>Input!E69</f>
        <v>-1.5673981191222569E-2</v>
      </c>
      <c r="H55" s="1012">
        <f>Input!E69</f>
        <v>-1.5673981191222569E-2</v>
      </c>
    </row>
    <row r="56" spans="2:8" ht="15" customHeight="1" x14ac:dyDescent="0.25">
      <c r="B56" s="637" t="str">
        <f>Input!B53</f>
        <v>Rate as Percentage of Underlying Premium</v>
      </c>
      <c r="C56" s="1006">
        <f>Input!B54</f>
        <v>0.62695924764890287</v>
      </c>
      <c r="D56" s="1006">
        <f>Input!C54</f>
        <v>0.62695924764890287</v>
      </c>
      <c r="E56" s="1006">
        <f>Input!D54</f>
        <v>0.63694267515923564</v>
      </c>
      <c r="F56" s="1006">
        <f>Input!D54</f>
        <v>0.63694267515923564</v>
      </c>
      <c r="G56" s="1009">
        <f>-(D56-E56)/D56</f>
        <v>1.592356687898076E-2</v>
      </c>
      <c r="H56" s="1016">
        <f>-(D56-F56)/D56</f>
        <v>1.592356687898076E-2</v>
      </c>
    </row>
    <row r="57" spans="2:8" ht="15" customHeight="1" x14ac:dyDescent="0.25">
      <c r="B57" s="223" t="s">
        <v>64</v>
      </c>
      <c r="C57" s="195">
        <f>Input!B62</f>
        <v>20200</v>
      </c>
      <c r="D57" s="195">
        <f>Input!C62</f>
        <v>19883.385579937305</v>
      </c>
      <c r="E57" s="195">
        <f>Input!D62</f>
        <v>20200</v>
      </c>
      <c r="F57" s="195">
        <f>Input!D62</f>
        <v>20200</v>
      </c>
      <c r="G57" s="262">
        <f>-(D57-E57)/D57</f>
        <v>1.5923566878980843E-2</v>
      </c>
      <c r="H57" s="1012">
        <f>-(D57-F57)/D57</f>
        <v>1.5923566878980843E-2</v>
      </c>
    </row>
    <row r="58" spans="2:8" ht="4.5" customHeight="1" x14ac:dyDescent="0.25">
      <c r="B58" s="225"/>
      <c r="C58" s="241"/>
      <c r="D58" s="241"/>
      <c r="E58" s="241"/>
      <c r="F58" s="241"/>
      <c r="G58" s="263"/>
      <c r="H58" s="263"/>
    </row>
    <row r="59" spans="2:8" ht="15" customHeight="1" x14ac:dyDescent="0.25">
      <c r="B59" s="251" t="str">
        <f>Input!B608</f>
        <v>T5CS 4th Excess Liability</v>
      </c>
      <c r="C59" s="222"/>
      <c r="D59" s="222"/>
      <c r="E59" s="222"/>
      <c r="F59" s="222"/>
      <c r="G59" s="226"/>
      <c r="H59" s="226"/>
    </row>
    <row r="60" spans="2:8" ht="44.25" customHeight="1" x14ac:dyDescent="0.25">
      <c r="B60" s="679" t="s">
        <v>60</v>
      </c>
      <c r="C60" s="243" t="str">
        <f>Input!B613</f>
        <v>The Continental Insurance Company (CNA)</v>
      </c>
      <c r="D60" s="243" t="str">
        <f>Input!C613</f>
        <v>The Continental Insurance Company (CNA)</v>
      </c>
      <c r="E60" s="243" t="str">
        <f>Input!D613</f>
        <v>The Continental Insurance Company (CNA)</v>
      </c>
      <c r="F60" s="243" t="str">
        <f>Input!D613</f>
        <v>The Continental Insurance Company (CNA)</v>
      </c>
      <c r="G60" s="257" t="s">
        <v>284</v>
      </c>
      <c r="H60" s="1011" t="s">
        <v>284</v>
      </c>
    </row>
    <row r="61" spans="2:8" ht="15" customHeight="1" x14ac:dyDescent="0.25">
      <c r="B61" s="400" t="str">
        <f>'Renewal Summary (Incumbent)'!B55</f>
        <v>Exposure Base - Underlying Premium</v>
      </c>
      <c r="C61" s="195">
        <f>Input!C633</f>
        <v>20200</v>
      </c>
      <c r="D61" s="195">
        <f>Input!H626</f>
        <v>20200</v>
      </c>
      <c r="E61" s="195">
        <f>Input!E633</f>
        <v>20200</v>
      </c>
      <c r="F61" s="195">
        <f>Input!E633</f>
        <v>20200</v>
      </c>
      <c r="G61" s="258">
        <f>Input!E634</f>
        <v>0</v>
      </c>
      <c r="H61" s="1012">
        <f>Input!E634</f>
        <v>0</v>
      </c>
    </row>
    <row r="62" spans="2:8" ht="15" customHeight="1" x14ac:dyDescent="0.25">
      <c r="B62" s="223" t="str">
        <f>'Renewal Summary (Incumbent)'!B56</f>
        <v>Rate as Percentage of Underlying Premium</v>
      </c>
      <c r="C62" s="1020">
        <f>Input!B619</f>
        <v>0.91584158415841588</v>
      </c>
      <c r="D62" s="1020">
        <f>Input!C619</f>
        <v>0.91584158415841588</v>
      </c>
      <c r="E62" s="1020">
        <f>Input!D619</f>
        <v>0.91584158415841588</v>
      </c>
      <c r="F62" s="1020">
        <f>Input!D619</f>
        <v>0.91584158415841588</v>
      </c>
      <c r="G62" s="262">
        <f>-(D62-E62)/D62</f>
        <v>0</v>
      </c>
      <c r="H62" s="1012">
        <f>-(D62-F62)/D62</f>
        <v>0</v>
      </c>
    </row>
    <row r="63" spans="2:8" ht="15" customHeight="1" x14ac:dyDescent="0.25">
      <c r="B63" s="223" t="s">
        <v>64</v>
      </c>
      <c r="C63" s="195">
        <f>Input!B627</f>
        <v>18500</v>
      </c>
      <c r="D63" s="195">
        <f>Input!C627</f>
        <v>18500</v>
      </c>
      <c r="E63" s="195">
        <f>Input!D627</f>
        <v>18500</v>
      </c>
      <c r="F63" s="195">
        <f>Input!D627</f>
        <v>18500</v>
      </c>
      <c r="G63" s="262">
        <f>-(D63-E63)/D63</f>
        <v>0</v>
      </c>
      <c r="H63" s="1012">
        <f>-(D63-F63)/D63</f>
        <v>0</v>
      </c>
    </row>
    <row r="64" spans="2:8" ht="7.5" customHeight="1" x14ac:dyDescent="0.25">
      <c r="B64" s="225"/>
      <c r="C64" s="241"/>
      <c r="D64" s="241"/>
      <c r="E64" s="241"/>
      <c r="F64" s="241"/>
      <c r="G64" s="263"/>
      <c r="H64" s="263"/>
    </row>
    <row r="65" spans="2:8" ht="15.75" thickBot="1" x14ac:dyDescent="0.3">
      <c r="B65" s="420" t="s">
        <v>1490</v>
      </c>
      <c r="C65" s="421">
        <f>C45+C39+C33+C27+C21+C12+C51+C57+C63</f>
        <v>305947.16000000003</v>
      </c>
      <c r="D65" s="421">
        <f>D45+D39+D33+D27+D21+D12+D51+D57+D63</f>
        <v>396949.74489563436</v>
      </c>
      <c r="E65" s="421">
        <f>E45+E39+E33+E27+E21+E12</f>
        <v>263841.02</v>
      </c>
      <c r="F65" s="421">
        <f>F45+F39+F33+F27+F21+F12+F51+F57+F63</f>
        <v>306743.90000000002</v>
      </c>
      <c r="G65" s="986">
        <f>-(D65-E65)/D65</f>
        <v>-0.33532890903011198</v>
      </c>
      <c r="H65" s="1017">
        <f>-(D65-F65)/D65</f>
        <v>-0.22724751950489644</v>
      </c>
    </row>
    <row r="66" spans="2:8" ht="7.5" customHeight="1" thickTop="1" x14ac:dyDescent="0.25">
      <c r="B66" s="225"/>
      <c r="C66" s="241"/>
      <c r="D66" s="241"/>
      <c r="E66" s="241"/>
      <c r="F66" s="241"/>
      <c r="G66" s="263"/>
      <c r="H66" s="263"/>
    </row>
    <row r="67" spans="2:8" x14ac:dyDescent="0.25">
      <c r="B67" s="1257" t="s">
        <v>1623</v>
      </c>
      <c r="C67" s="1257"/>
      <c r="D67" s="1257"/>
      <c r="E67" s="1257"/>
      <c r="F67" s="1257"/>
      <c r="G67" s="1257"/>
      <c r="H67" s="1258"/>
    </row>
    <row r="68" spans="2:8" ht="6.75" customHeight="1" x14ac:dyDescent="0.25">
      <c r="B68" s="947"/>
      <c r="C68" s="947"/>
      <c r="D68" s="947"/>
      <c r="E68" s="947"/>
      <c r="F68" s="947"/>
      <c r="G68" s="947"/>
      <c r="H68" s="947"/>
    </row>
    <row r="69" spans="2:8" x14ac:dyDescent="0.25">
      <c r="B69" s="1119" t="str">
        <f>Input!B649</f>
        <v>T5DC Package</v>
      </c>
      <c r="C69" s="254"/>
      <c r="D69" s="254"/>
      <c r="E69" s="254"/>
      <c r="F69" s="260"/>
      <c r="G69" s="264"/>
      <c r="H69" s="264"/>
    </row>
    <row r="70" spans="2:8" ht="38.25" x14ac:dyDescent="0.25">
      <c r="B70" s="679" t="s">
        <v>60</v>
      </c>
      <c r="C70" s="243" t="str">
        <f>Input!B654</f>
        <v>Valley Forge Insurance Company (CNA)</v>
      </c>
      <c r="D70" s="243" t="str">
        <f>Input!C654</f>
        <v>Valley Forge Insurance Company (CNA)</v>
      </c>
      <c r="E70" s="243" t="str">
        <f>Input!D654</f>
        <v>Valley Forge Insurance Company (CNA)</v>
      </c>
      <c r="F70" s="244" t="str">
        <f>Input!E654</f>
        <v>Valley Forge Insurance Company (CNA)</v>
      </c>
      <c r="G70" s="257" t="s">
        <v>284</v>
      </c>
      <c r="H70" s="1011" t="s">
        <v>284</v>
      </c>
    </row>
    <row r="71" spans="2:8" x14ac:dyDescent="0.25">
      <c r="B71" s="223" t="str">
        <f>Input!B682 &amp; " (" &amp; Input!B684 &amp; ")"</f>
        <v>GL Exposure Base (Sales)</v>
      </c>
      <c r="C71" s="195">
        <f>Input!C684</f>
        <v>40000000</v>
      </c>
      <c r="D71" s="195">
        <f>Input!E684</f>
        <v>50000000</v>
      </c>
      <c r="E71" s="195">
        <f>Input!E684</f>
        <v>50000000</v>
      </c>
      <c r="F71" s="261">
        <f>Input!E684</f>
        <v>50000000</v>
      </c>
      <c r="G71" s="258">
        <f>-(C71-D71)/C71</f>
        <v>0.25</v>
      </c>
      <c r="H71" s="1012">
        <f>Input!E685</f>
        <v>0.25</v>
      </c>
    </row>
    <row r="72" spans="2:8" x14ac:dyDescent="0.25">
      <c r="B72" s="223" t="str">
        <f>Input!B659</f>
        <v>Blended GL Rate per $1,000 of Exposure</v>
      </c>
      <c r="C72" s="655">
        <f>Input!B660</f>
        <v>0.49227500000000002</v>
      </c>
      <c r="D72" s="655">
        <f>Input!C660</f>
        <v>0.49227500000000002</v>
      </c>
      <c r="E72" s="655">
        <f>Input!D660</f>
        <v>0.50504000000000004</v>
      </c>
      <c r="F72" s="655">
        <f>Input!E660</f>
        <v>0.50504000000000004</v>
      </c>
      <c r="G72" s="262">
        <f>-(D72-E72)/D72</f>
        <v>2.5930628205779342E-2</v>
      </c>
      <c r="H72" s="1012">
        <f>-(D72-F72)/D72</f>
        <v>2.5930628205779342E-2</v>
      </c>
    </row>
    <row r="73" spans="2:8" x14ac:dyDescent="0.25">
      <c r="B73" s="637" t="s">
        <v>222</v>
      </c>
      <c r="C73" s="227">
        <f>Input!B658</f>
        <v>19691</v>
      </c>
      <c r="D73" s="227">
        <f>Input!C658</f>
        <v>24613.75</v>
      </c>
      <c r="E73" s="227">
        <f>Input!D658</f>
        <v>25252</v>
      </c>
      <c r="F73" s="227">
        <f>Input!E658</f>
        <v>25252</v>
      </c>
      <c r="G73" s="262">
        <f>-(D73-E73)/D73</f>
        <v>2.593062820577929E-2</v>
      </c>
      <c r="H73" s="1012">
        <f>-(D73-F73)/D73</f>
        <v>2.593062820577929E-2</v>
      </c>
    </row>
    <row r="74" spans="2:8" x14ac:dyDescent="0.25">
      <c r="B74" s="223" t="str">
        <f>Input!B701</f>
        <v>Property Exposure Base - Total Values Insured</v>
      </c>
      <c r="C74" s="195">
        <f>Input!C709</f>
        <v>1337669</v>
      </c>
      <c r="D74" s="195">
        <f>Input!E709</f>
        <v>2337669</v>
      </c>
      <c r="E74" s="195">
        <f>Input!E709</f>
        <v>2337669</v>
      </c>
      <c r="F74" s="261">
        <f>Input!E709</f>
        <v>2337669</v>
      </c>
      <c r="G74" s="258">
        <f>-(C74-D74)/C74</f>
        <v>0.74756909220442425</v>
      </c>
      <c r="H74" s="1012">
        <f>Input!E710</f>
        <v>0.74756909220442425</v>
      </c>
    </row>
    <row r="75" spans="2:8" x14ac:dyDescent="0.25">
      <c r="B75" s="223" t="str">
        <f>Input!B665</f>
        <v>Blended Property Rate per $100 of Exposure</v>
      </c>
      <c r="C75" s="655">
        <f>Input!B666</f>
        <v>0.17007196847650652</v>
      </c>
      <c r="D75" s="655">
        <f>Input!C666</f>
        <v>0.17007196847650652</v>
      </c>
      <c r="E75" s="655">
        <f>Input!D666</f>
        <v>0.20849829466874908</v>
      </c>
      <c r="F75" s="655">
        <f>Input!E666</f>
        <v>0.20849829466874908</v>
      </c>
      <c r="G75" s="262">
        <f>-(D75-E75)/D75</f>
        <v>0.22594156189560843</v>
      </c>
      <c r="H75" s="1012">
        <f>-(D75-F75)/D75</f>
        <v>0.22594156189560843</v>
      </c>
    </row>
    <row r="76" spans="2:8" x14ac:dyDescent="0.25">
      <c r="B76" s="637" t="s">
        <v>223</v>
      </c>
      <c r="C76" s="227">
        <f>Input!B664</f>
        <v>2275</v>
      </c>
      <c r="D76" s="227">
        <f>Input!C664</f>
        <v>3975.7196847650653</v>
      </c>
      <c r="E76" s="227">
        <f>Input!D664</f>
        <v>4874</v>
      </c>
      <c r="F76" s="227">
        <f>Input!E664</f>
        <v>4874</v>
      </c>
      <c r="G76" s="266">
        <f>-(D76-E76)/D76</f>
        <v>0.22594156189560841</v>
      </c>
      <c r="H76" s="1015">
        <f>-(D76-F76)/D76</f>
        <v>0.22594156189560841</v>
      </c>
    </row>
    <row r="77" spans="2:8" x14ac:dyDescent="0.25">
      <c r="B77" s="223" t="s">
        <v>224</v>
      </c>
      <c r="C77" s="195">
        <f>Input!B678</f>
        <v>21966</v>
      </c>
      <c r="D77" s="195">
        <f>Input!C678</f>
        <v>28589.469684765067</v>
      </c>
      <c r="E77" s="195">
        <f>Input!D678</f>
        <v>30126</v>
      </c>
      <c r="F77" s="195">
        <f>Input!E678</f>
        <v>30126</v>
      </c>
      <c r="G77" s="262">
        <f>-(D77-E77)/D77</f>
        <v>5.3744624583006141E-2</v>
      </c>
      <c r="H77" s="1012">
        <f>-(D77-F77)/D77</f>
        <v>5.3744624583006141E-2</v>
      </c>
    </row>
    <row r="78" spans="2:8" ht="6" customHeight="1" x14ac:dyDescent="0.25">
      <c r="B78" s="225"/>
      <c r="C78" s="241"/>
      <c r="D78" s="241"/>
      <c r="E78" s="241"/>
      <c r="F78" s="241"/>
      <c r="G78" s="263"/>
      <c r="H78" s="263"/>
    </row>
    <row r="79" spans="2:8" x14ac:dyDescent="0.25">
      <c r="B79" s="1119" t="str">
        <f>Input!B311</f>
        <v>T5DC Business Auto</v>
      </c>
      <c r="C79" s="222"/>
      <c r="D79" s="222"/>
      <c r="E79" s="222"/>
      <c r="F79" s="222"/>
      <c r="G79" s="226"/>
      <c r="H79" s="226"/>
    </row>
    <row r="80" spans="2:8" ht="42" customHeight="1" x14ac:dyDescent="0.25">
      <c r="B80" s="679" t="s">
        <v>60</v>
      </c>
      <c r="C80" s="243" t="str">
        <f>Input!B316</f>
        <v>Valley Forge Insurance Company (CNA)</v>
      </c>
      <c r="D80" s="243" t="str">
        <f>Input!C316</f>
        <v>Valley Forge Insurance Company (CNA)</v>
      </c>
      <c r="E80" s="243" t="str">
        <f>Input!D316</f>
        <v>Valley Forge Insurance Company (CNA)</v>
      </c>
      <c r="F80" s="243" t="str">
        <f>Input!E316</f>
        <v>Valley Forge Insurance Company (CNA)</v>
      </c>
      <c r="G80" s="257" t="s">
        <v>284</v>
      </c>
      <c r="H80" s="1011" t="s">
        <v>284</v>
      </c>
    </row>
    <row r="81" spans="2:8" hidden="1" x14ac:dyDescent="0.25">
      <c r="B81" s="400" t="str">
        <f>Input!B336</f>
        <v># of Employees</v>
      </c>
      <c r="C81" s="267">
        <f>Input!C336</f>
        <v>1</v>
      </c>
      <c r="D81" s="267">
        <f>Input!E336</f>
        <v>1</v>
      </c>
      <c r="E81" s="267">
        <f>Input!E336</f>
        <v>1</v>
      </c>
      <c r="F81" s="267">
        <f>Input!E336</f>
        <v>1</v>
      </c>
      <c r="G81" s="258">
        <f>Input!F336</f>
        <v>0</v>
      </c>
      <c r="H81" s="1012">
        <f>Input!F336</f>
        <v>0</v>
      </c>
    </row>
    <row r="82" spans="2:8" x14ac:dyDescent="0.25">
      <c r="B82" s="400" t="str">
        <f>Input!B337</f>
        <v>Hired Auto (Rental Expenditures)</v>
      </c>
      <c r="C82" s="267">
        <f>Input!C337</f>
        <v>28800</v>
      </c>
      <c r="D82" s="267">
        <f>Input!E337</f>
        <v>28800</v>
      </c>
      <c r="E82" s="267">
        <f>Input!E337</f>
        <v>28800</v>
      </c>
      <c r="F82" s="267">
        <f>E82</f>
        <v>28800</v>
      </c>
      <c r="G82" s="258">
        <f>Input!F337</f>
        <v>0</v>
      </c>
      <c r="H82" s="1012">
        <f>Input!F337</f>
        <v>0</v>
      </c>
    </row>
    <row r="83" spans="2:8" hidden="1" x14ac:dyDescent="0.25">
      <c r="B83" s="223" t="str">
        <f>Input!B321</f>
        <v>Blended Rate Hired Auto</v>
      </c>
      <c r="C83" s="655">
        <f>Input!B322</f>
        <v>3290</v>
      </c>
      <c r="D83" s="655">
        <f>Input!C322</f>
        <v>3290</v>
      </c>
      <c r="E83" s="655">
        <f>Input!D322</f>
        <v>1734</v>
      </c>
      <c r="F83" s="655">
        <f>Input!E322</f>
        <v>1734</v>
      </c>
      <c r="G83" s="262">
        <f>-(D83-E83)/D83</f>
        <v>-0.47294832826747718</v>
      </c>
      <c r="H83" s="1012">
        <f>-(D83-F83)/D83</f>
        <v>-0.47294832826747718</v>
      </c>
    </row>
    <row r="84" spans="2:8" x14ac:dyDescent="0.25">
      <c r="B84" s="223" t="s">
        <v>64</v>
      </c>
      <c r="C84" s="195">
        <f>Input!B330</f>
        <v>3290</v>
      </c>
      <c r="D84" s="195">
        <f>Input!C330</f>
        <v>3290</v>
      </c>
      <c r="E84" s="195">
        <f>Input!D330</f>
        <v>1734</v>
      </c>
      <c r="F84" s="195">
        <f>Input!E330</f>
        <v>1734</v>
      </c>
      <c r="G84" s="262">
        <f>-(D84-E84)/D84</f>
        <v>-0.47294832826747718</v>
      </c>
      <c r="H84" s="1012">
        <f>-(D84-F84)/D84</f>
        <v>-0.47294832826747718</v>
      </c>
    </row>
    <row r="85" spans="2:8" ht="6" customHeight="1" x14ac:dyDescent="0.25">
      <c r="B85" s="225"/>
      <c r="C85" s="241"/>
      <c r="D85" s="241"/>
      <c r="E85" s="241"/>
      <c r="F85" s="241"/>
      <c r="G85" s="263"/>
      <c r="H85" s="263"/>
    </row>
    <row r="86" spans="2:8" x14ac:dyDescent="0.25">
      <c r="B86" s="1119" t="str">
        <f>Input!B94</f>
        <v>T5DC Umbrella</v>
      </c>
      <c r="C86" s="222"/>
      <c r="D86" s="222"/>
      <c r="E86" s="222"/>
      <c r="F86" s="222"/>
      <c r="G86" s="226"/>
      <c r="H86" s="226"/>
    </row>
    <row r="87" spans="2:8" ht="44.25" customHeight="1" x14ac:dyDescent="0.25">
      <c r="B87" s="679" t="s">
        <v>60</v>
      </c>
      <c r="C87" s="243" t="str">
        <f>Input!B99</f>
        <v>The Continental Insurance Company (CNA)</v>
      </c>
      <c r="D87" s="243" t="str">
        <f>Input!C99</f>
        <v>The Continental Insurance Company (CNA)</v>
      </c>
      <c r="E87" s="243" t="str">
        <f>Input!D99</f>
        <v>The Continental Insurance Company (CNA)</v>
      </c>
      <c r="F87" s="243" t="str">
        <f>Input!E99</f>
        <v>The Continental Insurance Company (CNA)</v>
      </c>
      <c r="G87" s="257" t="s">
        <v>284</v>
      </c>
      <c r="H87" s="1011" t="s">
        <v>284</v>
      </c>
    </row>
    <row r="88" spans="2:8" x14ac:dyDescent="0.25">
      <c r="B88" s="223" t="str">
        <f>Input!B119</f>
        <v>Exposure Base - Underlying Premium</v>
      </c>
      <c r="C88" s="195">
        <f>Input!C121</f>
        <v>22981</v>
      </c>
      <c r="D88" s="195">
        <f>Input!G121</f>
        <v>26986</v>
      </c>
      <c r="E88" s="195">
        <f>Input!G121</f>
        <v>26986</v>
      </c>
      <c r="F88" s="195">
        <f>Input!G121</f>
        <v>26986</v>
      </c>
      <c r="G88" s="262">
        <f>Input!G122</f>
        <v>0.17427440059179322</v>
      </c>
      <c r="H88" s="1012">
        <f>Input!G122</f>
        <v>0.17427440059179322</v>
      </c>
    </row>
    <row r="89" spans="2:8" x14ac:dyDescent="0.25">
      <c r="B89" s="637" t="str">
        <f>Input!B104</f>
        <v>Rate as Percentage of Underlying Premium</v>
      </c>
      <c r="C89" s="252">
        <f>Input!B105</f>
        <v>0.83656063704799621</v>
      </c>
      <c r="D89" s="252">
        <f>Input!C105</f>
        <v>0.83656063704799621</v>
      </c>
      <c r="E89" s="252">
        <f>Input!D105</f>
        <v>0.82127769954791374</v>
      </c>
      <c r="F89" s="252">
        <f>Input!E105</f>
        <v>0.82127769954791374</v>
      </c>
      <c r="G89" s="266">
        <f>-(D89-E89)/D89</f>
        <v>-1.82687743401506E-2</v>
      </c>
      <c r="H89" s="1015">
        <f>-(D89-F89)/D89</f>
        <v>-1.82687743401506E-2</v>
      </c>
    </row>
    <row r="90" spans="2:8" x14ac:dyDescent="0.25">
      <c r="B90" s="223" t="s">
        <v>64</v>
      </c>
      <c r="C90" s="195">
        <f>Input!B115</f>
        <v>19225</v>
      </c>
      <c r="D90" s="195">
        <f>Input!C115</f>
        <v>22575.425351377224</v>
      </c>
      <c r="E90" s="195">
        <f>Input!D115</f>
        <v>22163</v>
      </c>
      <c r="F90" s="195">
        <f>Input!E115</f>
        <v>22163</v>
      </c>
      <c r="G90" s="262">
        <f>-(D90-E90)/D90</f>
        <v>-1.8268774340150517E-2</v>
      </c>
      <c r="H90" s="1012">
        <f>-(D90-F90)/D90</f>
        <v>-1.8268774340150517E-2</v>
      </c>
    </row>
    <row r="91" spans="2:8" ht="6" customHeight="1" x14ac:dyDescent="0.25">
      <c r="B91" s="213"/>
      <c r="C91" s="241"/>
      <c r="D91" s="241"/>
      <c r="E91" s="241"/>
      <c r="F91" s="241"/>
      <c r="G91" s="263"/>
      <c r="H91" s="263"/>
    </row>
    <row r="92" spans="2:8" x14ac:dyDescent="0.25">
      <c r="B92" s="1119" t="str">
        <f>Input!B1199</f>
        <v>T5DC Excess Liability</v>
      </c>
      <c r="C92" s="254"/>
      <c r="D92" s="254"/>
      <c r="E92" s="254"/>
      <c r="F92" s="254"/>
      <c r="G92" s="264"/>
      <c r="H92" s="264"/>
    </row>
    <row r="93" spans="2:8" ht="42" customHeight="1" x14ac:dyDescent="0.25">
      <c r="B93" s="679" t="s">
        <v>60</v>
      </c>
      <c r="C93" s="243" t="str">
        <f>Input!B1204</f>
        <v>Travelers Property Casualty Company of America</v>
      </c>
      <c r="D93" s="243" t="str">
        <f>Input!C1204</f>
        <v>Travelers Property Casualty Company of America</v>
      </c>
      <c r="E93" s="243" t="str">
        <f>Input!D1204</f>
        <v>Travelers Property Casualty Company of America</v>
      </c>
      <c r="F93" s="243" t="str">
        <f>Input!D1204</f>
        <v>Travelers Property Casualty Company of America</v>
      </c>
      <c r="G93" s="265" t="s">
        <v>284</v>
      </c>
      <c r="H93" s="1014" t="s">
        <v>284</v>
      </c>
    </row>
    <row r="94" spans="2:8" ht="25.5" x14ac:dyDescent="0.25">
      <c r="B94" s="223" t="str">
        <f>Input!B1222</f>
        <v>Exposure Base - Underlying Umbrella Premium</v>
      </c>
      <c r="C94" s="195">
        <f>Input!C1225</f>
        <v>19225</v>
      </c>
      <c r="D94" s="195">
        <f>Input!E1225</f>
        <v>22163</v>
      </c>
      <c r="E94" s="195">
        <f>Input!E1225</f>
        <v>22163</v>
      </c>
      <c r="F94" s="195">
        <f>Input!E1225</f>
        <v>22163</v>
      </c>
      <c r="G94" s="262">
        <f>Input!E1226</f>
        <v>0.15282184655396619</v>
      </c>
      <c r="H94" s="1012">
        <f>Input!E1226</f>
        <v>0.15282184655396619</v>
      </c>
    </row>
    <row r="95" spans="2:8" x14ac:dyDescent="0.25">
      <c r="B95" s="637" t="str">
        <f>Input!B1209</f>
        <v>Rate as Percentage of Underlying Premium</v>
      </c>
      <c r="C95" s="253">
        <f>Input!B1210</f>
        <v>1.9252561768530561</v>
      </c>
      <c r="D95" s="253">
        <f>Input!C1210</f>
        <v>1.9252561768530563</v>
      </c>
      <c r="E95" s="253">
        <f>Input!D1210</f>
        <v>1.2532148174886071</v>
      </c>
      <c r="F95" s="253">
        <f>Input!D1210</f>
        <v>1.2532148174886071</v>
      </c>
      <c r="G95" s="266">
        <f>-(D95-E95)/D95</f>
        <v>-0.34906594116889944</v>
      </c>
      <c r="H95" s="1015">
        <f>-(D95-F95)/D95</f>
        <v>-0.34906594116889944</v>
      </c>
    </row>
    <row r="96" spans="2:8" x14ac:dyDescent="0.25">
      <c r="B96" s="223" t="s">
        <v>64</v>
      </c>
      <c r="C96" s="195">
        <f>Input!B1218</f>
        <v>37013.050000000003</v>
      </c>
      <c r="D96" s="195">
        <f>Input!C1218</f>
        <v>42669.452647594284</v>
      </c>
      <c r="E96" s="195">
        <f>Input!D1218</f>
        <v>27775</v>
      </c>
      <c r="F96" s="195">
        <f>Input!D1218</f>
        <v>27775</v>
      </c>
      <c r="G96" s="262">
        <f>-(D96-E96)/D96</f>
        <v>-0.34906594116889939</v>
      </c>
      <c r="H96" s="1012">
        <f>-(D96-F96)/D96</f>
        <v>-0.34906594116889939</v>
      </c>
    </row>
    <row r="97" spans="2:8" ht="7.5" customHeight="1" x14ac:dyDescent="0.25">
      <c r="C97" s="212"/>
      <c r="D97" s="212"/>
      <c r="E97" s="212"/>
      <c r="F97" s="212"/>
    </row>
    <row r="98" spans="2:8" ht="15.75" thickBot="1" x14ac:dyDescent="0.3">
      <c r="B98" s="420" t="s">
        <v>1491</v>
      </c>
      <c r="C98" s="421">
        <f>C90+C84+C77+C96</f>
        <v>81494.05</v>
      </c>
      <c r="D98" s="421">
        <f>D90+D84+D77+D96</f>
        <v>97124.347683736574</v>
      </c>
      <c r="E98" s="421">
        <f>E90+E84+E77+E96</f>
        <v>81798</v>
      </c>
      <c r="F98" s="421">
        <f>F90+F84+F77+F96</f>
        <v>81798</v>
      </c>
      <c r="G98" s="986">
        <f>-(D98-E98)/D98</f>
        <v>-0.15780129338570542</v>
      </c>
      <c r="H98" s="1017">
        <f>-(D98-F98)/D98</f>
        <v>-0.15780129338570542</v>
      </c>
    </row>
    <row r="99" spans="2:8" ht="10.5" customHeight="1" thickTop="1" x14ac:dyDescent="0.25">
      <c r="C99" s="212"/>
      <c r="D99" s="212"/>
      <c r="E99" s="212"/>
      <c r="F99" s="212"/>
    </row>
    <row r="100" spans="2:8" x14ac:dyDescent="0.25">
      <c r="B100" s="1257" t="s">
        <v>1625</v>
      </c>
      <c r="C100" s="1257"/>
      <c r="D100" s="1257"/>
      <c r="E100" s="1257"/>
      <c r="F100" s="1257"/>
      <c r="G100" s="1257"/>
      <c r="H100" s="1258"/>
    </row>
    <row r="101" spans="2:8" ht="6.75" customHeight="1" x14ac:dyDescent="0.25">
      <c r="C101" s="212"/>
      <c r="D101" s="212"/>
      <c r="E101" s="212"/>
      <c r="F101" s="212"/>
    </row>
    <row r="102" spans="2:8" x14ac:dyDescent="0.25">
      <c r="B102" s="1119" t="str">
        <f>Input!B955</f>
        <v>Technology Errors &amp; Omissions</v>
      </c>
      <c r="C102" s="254"/>
      <c r="D102" s="254"/>
      <c r="E102" s="254"/>
      <c r="F102" s="254"/>
      <c r="G102" s="264"/>
      <c r="H102" s="264"/>
    </row>
    <row r="103" spans="2:8" x14ac:dyDescent="0.25">
      <c r="B103" s="679" t="s">
        <v>60</v>
      </c>
      <c r="C103" s="243" t="str">
        <f>Input!B960</f>
        <v>Beazley</v>
      </c>
      <c r="D103" s="243" t="str">
        <f>Input!C960</f>
        <v>Beazley</v>
      </c>
      <c r="E103" s="243" t="str">
        <f>Input!D960</f>
        <v>Beazley</v>
      </c>
      <c r="F103" s="243" t="str">
        <f>Input!E960</f>
        <v>Beazley</v>
      </c>
      <c r="G103" s="989" t="s">
        <v>1823</v>
      </c>
      <c r="H103" s="1018" t="s">
        <v>284</v>
      </c>
    </row>
    <row r="104" spans="2:8" x14ac:dyDescent="0.25">
      <c r="B104" s="223" t="str">
        <f>Input!B980</f>
        <v>Exposure Base - Current 12 Months Revenue</v>
      </c>
      <c r="C104" s="195">
        <f>Input!C982</f>
        <v>146500000</v>
      </c>
      <c r="D104" s="195">
        <f>Input!E982</f>
        <v>287101547</v>
      </c>
      <c r="E104" s="195">
        <f>Input!E982</f>
        <v>287101547</v>
      </c>
      <c r="F104" s="195">
        <f>Input!E982</f>
        <v>287101547</v>
      </c>
      <c r="G104" s="262">
        <f>-(C104-D104)/C104</f>
        <v>0.95973752218430031</v>
      </c>
      <c r="H104" s="1012">
        <f>Input!E983</f>
        <v>0.95973752218430031</v>
      </c>
    </row>
    <row r="105" spans="2:8" x14ac:dyDescent="0.25">
      <c r="B105" s="223" t="str">
        <f>Input!B965</f>
        <v>Blended Rate per $100 of Exposure</v>
      </c>
      <c r="C105" s="655">
        <f>Input!B966</f>
        <v>8.8395904436860073E-2</v>
      </c>
      <c r="D105" s="655">
        <f>Input!C966</f>
        <v>8.8395904436860059E-2</v>
      </c>
      <c r="E105" s="655">
        <f>Input!D966</f>
        <v>5.7470954693253529E-2</v>
      </c>
      <c r="F105" s="655">
        <f>Input!E966</f>
        <v>5.7470954693253529E-2</v>
      </c>
      <c r="G105" s="262">
        <f>-(D105-E105)/D105</f>
        <v>-0.34984595655894651</v>
      </c>
      <c r="H105" s="1012">
        <f>-(D105-F105)/D105</f>
        <v>-0.34984595655894651</v>
      </c>
    </row>
    <row r="106" spans="2:8" x14ac:dyDescent="0.25">
      <c r="B106" s="223" t="s">
        <v>64</v>
      </c>
      <c r="C106" s="195">
        <f>Input!B976</f>
        <v>134680</v>
      </c>
      <c r="D106" s="195">
        <f>Input!C976</f>
        <v>263937.44948778156</v>
      </c>
      <c r="E106" s="195">
        <f>Input!D976</f>
        <v>171600</v>
      </c>
      <c r="F106" s="195">
        <f>Input!E976</f>
        <v>171600</v>
      </c>
      <c r="G106" s="262">
        <f>-(D106-E106)/D106</f>
        <v>-0.34984595655894646</v>
      </c>
      <c r="H106" s="1012">
        <f>-(D106-F106)/D106</f>
        <v>-0.34984595655894646</v>
      </c>
    </row>
    <row r="107" spans="2:8" ht="4.5" customHeight="1" x14ac:dyDescent="0.25">
      <c r="B107" s="225"/>
      <c r="C107" s="241"/>
      <c r="D107" s="241"/>
      <c r="E107" s="241"/>
      <c r="F107" s="241"/>
      <c r="G107" s="263"/>
      <c r="H107" s="263"/>
    </row>
    <row r="108" spans="2:8" x14ac:dyDescent="0.25">
      <c r="B108" s="1119" t="str">
        <f>Input!B1043</f>
        <v>1st Excess Technology Errors &amp; Omissions</v>
      </c>
      <c r="C108" s="254"/>
      <c r="D108" s="254"/>
      <c r="E108" s="254"/>
      <c r="F108" s="254"/>
      <c r="G108" s="264"/>
      <c r="H108" s="264"/>
    </row>
    <row r="109" spans="2:8" ht="39.75" customHeight="1" x14ac:dyDescent="0.25">
      <c r="B109" s="679" t="s">
        <v>60</v>
      </c>
      <c r="C109" s="243" t="str">
        <f>Input!B1048</f>
        <v>Indian Harbor Insurance Company (AXA XL)</v>
      </c>
      <c r="D109" s="243" t="str">
        <f>Input!C1048</f>
        <v>Indian Harbor Insurance Company (AXA XL)</v>
      </c>
      <c r="E109" s="243" t="str">
        <f>Input!D1048</f>
        <v>Indian Harbor Insurance Company (AXA XL)</v>
      </c>
      <c r="F109" s="243" t="str">
        <f>Input!E1048</f>
        <v>Indian Harbor Insurance Company (AXA XL)</v>
      </c>
      <c r="G109" s="265" t="s">
        <v>284</v>
      </c>
      <c r="H109" s="1014" t="s">
        <v>284</v>
      </c>
    </row>
    <row r="110" spans="2:8" x14ac:dyDescent="0.25">
      <c r="B110" s="223" t="str">
        <f>Input!B1069</f>
        <v>Underlying Policy Premium</v>
      </c>
      <c r="C110" s="195">
        <f>Input!C1069</f>
        <v>129500</v>
      </c>
      <c r="D110" s="195">
        <f>Input!E1069</f>
        <v>165000</v>
      </c>
      <c r="E110" s="195">
        <f>Input!E1069</f>
        <v>165000</v>
      </c>
      <c r="F110" s="195">
        <f>Input!E1069</f>
        <v>165000</v>
      </c>
      <c r="G110" s="262">
        <f>-(C110-D110)/C110</f>
        <v>0.27413127413127414</v>
      </c>
      <c r="H110" s="1012">
        <f>-(C110-D110)/C110</f>
        <v>0.27413127413127414</v>
      </c>
    </row>
    <row r="111" spans="2:8" ht="25.5" customHeight="1" x14ac:dyDescent="0.25">
      <c r="B111" s="223" t="str">
        <f>Input!B1053</f>
        <v>Blended Rate as Percentage of Underlying Premium</v>
      </c>
      <c r="C111" s="1111">
        <f>Input!B1054</f>
        <v>0.9</v>
      </c>
      <c r="D111" s="1111">
        <f>Input!C1054</f>
        <v>0.9</v>
      </c>
      <c r="E111" s="253">
        <f>Input!D1054</f>
        <v>0.8</v>
      </c>
      <c r="F111" s="1111">
        <f>Input!E1054</f>
        <v>0.8</v>
      </c>
      <c r="G111" s="262">
        <f>-(D111-E111)/D111</f>
        <v>-0.11111111111111108</v>
      </c>
      <c r="H111" s="1012">
        <f>-(D111-F111)/D111</f>
        <v>-0.11111111111111108</v>
      </c>
    </row>
    <row r="112" spans="2:8" x14ac:dyDescent="0.25">
      <c r="B112" s="223" t="s">
        <v>64</v>
      </c>
      <c r="C112" s="195">
        <f>Input!B1063</f>
        <v>121212</v>
      </c>
      <c r="D112" s="195">
        <f>Input!C1063</f>
        <v>154440</v>
      </c>
      <c r="E112" s="195">
        <f>Input!D1063</f>
        <v>137280</v>
      </c>
      <c r="F112" s="195">
        <f>Input!E1063</f>
        <v>137280</v>
      </c>
      <c r="G112" s="262">
        <f>-(D112-E112)/D112</f>
        <v>-0.1111111111111111</v>
      </c>
      <c r="H112" s="1012">
        <f>-(D112-F112)/D112</f>
        <v>-0.1111111111111111</v>
      </c>
    </row>
    <row r="113" spans="2:8" ht="8.25" customHeight="1" x14ac:dyDescent="0.25">
      <c r="B113" s="225"/>
      <c r="C113" s="241"/>
      <c r="D113" s="241"/>
      <c r="E113" s="241"/>
      <c r="F113" s="241"/>
      <c r="G113" s="263"/>
      <c r="H113" s="263"/>
    </row>
    <row r="114" spans="2:8" x14ac:dyDescent="0.25">
      <c r="B114" s="251" t="str">
        <f>Input!B1074</f>
        <v>2nd Excess Technology Errors &amp; Omissions</v>
      </c>
      <c r="C114" s="254"/>
      <c r="D114" s="254"/>
      <c r="E114" s="254"/>
      <c r="F114" s="254"/>
      <c r="G114" s="264"/>
      <c r="H114" s="264"/>
    </row>
    <row r="115" spans="2:8" ht="51" x14ac:dyDescent="0.25">
      <c r="B115" s="679" t="s">
        <v>60</v>
      </c>
      <c r="C115" s="243" t="str">
        <f>Input!B1245</f>
        <v>Liberty Surplus Insurance Corporation (Ironshore)</v>
      </c>
      <c r="D115" s="243" t="str">
        <f>Input!C1245</f>
        <v>Liberty Surplus Insurance Corporation (Ironshore)</v>
      </c>
      <c r="E115" s="243">
        <f>Input!D1079</f>
        <v>0</v>
      </c>
      <c r="F115" s="243" t="str">
        <f>Input!D1245</f>
        <v>Liberty Surplus Insurance Corporation (Ironshore)</v>
      </c>
      <c r="G115" s="265" t="s">
        <v>284</v>
      </c>
      <c r="H115" s="1014" t="s">
        <v>284</v>
      </c>
    </row>
    <row r="116" spans="2:8" x14ac:dyDescent="0.25">
      <c r="B116" s="223" t="str">
        <f>Input!B1097</f>
        <v>Underlying Policy Premium</v>
      </c>
      <c r="C116" s="195">
        <f>Input!C1266</f>
        <v>116550</v>
      </c>
      <c r="D116" s="195">
        <f>Input!E1266</f>
        <v>132000</v>
      </c>
      <c r="E116" s="195">
        <f>Input!E1097</f>
        <v>132000</v>
      </c>
      <c r="F116" s="195">
        <f>Input!E1266</f>
        <v>132000</v>
      </c>
      <c r="G116" s="262">
        <f>-(C116-D116)/C116</f>
        <v>0.13256113256113256</v>
      </c>
      <c r="H116" s="1012">
        <f>-(C116-D116)/C116</f>
        <v>0.13256113256113256</v>
      </c>
    </row>
    <row r="117" spans="2:8" ht="24.95" customHeight="1" x14ac:dyDescent="0.25">
      <c r="B117" s="223" t="str">
        <f>Input!B1250</f>
        <v>Blended Rate as Percentage of Underlying Premium</v>
      </c>
      <c r="C117" s="1110">
        <f>Input!B1251</f>
        <v>0.89961389961389959</v>
      </c>
      <c r="D117" s="1110">
        <f>Input!C1251</f>
        <v>0.89961389961389959</v>
      </c>
      <c r="E117" s="195"/>
      <c r="F117" s="1110">
        <f>Input!D1251</f>
        <v>0.80189393939393938</v>
      </c>
      <c r="G117" s="262"/>
      <c r="H117" s="1012">
        <f>-(D117-F117)/D117</f>
        <v>-0.10862433346338925</v>
      </c>
    </row>
    <row r="118" spans="2:8" x14ac:dyDescent="0.25">
      <c r="B118" s="223" t="s">
        <v>64</v>
      </c>
      <c r="C118" s="195">
        <f>Input!B1260</f>
        <v>109044</v>
      </c>
      <c r="D118" s="195">
        <f>Input!C1260</f>
        <v>123498.99613899614</v>
      </c>
      <c r="E118" s="195">
        <f>Input!D1091</f>
        <v>0</v>
      </c>
      <c r="F118" s="195">
        <f>Input!D1260</f>
        <v>110084</v>
      </c>
      <c r="G118" s="262">
        <f>-(D118-E118)/D118</f>
        <v>-1</v>
      </c>
      <c r="H118" s="1012">
        <f>-(D118-F118)/D118</f>
        <v>-0.10862433346338926</v>
      </c>
    </row>
    <row r="119" spans="2:8" ht="9.75" customHeight="1" x14ac:dyDescent="0.25">
      <c r="B119" s="225"/>
      <c r="C119" s="241"/>
      <c r="D119" s="241"/>
      <c r="E119" s="241"/>
      <c r="F119" s="241"/>
      <c r="G119" s="263"/>
      <c r="H119" s="263"/>
    </row>
    <row r="120" spans="2:8" x14ac:dyDescent="0.25">
      <c r="B120" s="251" t="str">
        <f>Input!B1145</f>
        <v>3rd Excess Technology Errors &amp; Omissions</v>
      </c>
      <c r="C120" s="254"/>
      <c r="D120" s="254"/>
      <c r="E120" s="254"/>
      <c r="F120" s="254"/>
      <c r="G120" s="264"/>
      <c r="H120" s="264"/>
    </row>
    <row r="121" spans="2:8" ht="25.5" x14ac:dyDescent="0.25">
      <c r="B121" s="679" t="s">
        <v>60</v>
      </c>
      <c r="C121" s="243" t="str">
        <f>Input!B1150</f>
        <v>Texas Insurance Company (Applied)</v>
      </c>
      <c r="D121" s="243" t="str">
        <f>Input!C1150</f>
        <v>Texas Insurance Company (Applied)</v>
      </c>
      <c r="E121" s="243" t="str">
        <f>Input!D1150</f>
        <v>Columbia Casualty Company (CNA)</v>
      </c>
      <c r="F121" s="243" t="str">
        <f>Input!D1150</f>
        <v>Columbia Casualty Company (CNA)</v>
      </c>
      <c r="G121" s="265" t="s">
        <v>284</v>
      </c>
      <c r="H121" s="1014" t="s">
        <v>284</v>
      </c>
    </row>
    <row r="122" spans="2:8" ht="25.5" x14ac:dyDescent="0.25">
      <c r="B122" s="223" t="str">
        <f>Input!B1169</f>
        <v>Underlying Policy Premium - 2nd Excess Tech Errors &amp; Omissions</v>
      </c>
      <c r="C122" s="267">
        <f>Input!C1169</f>
        <v>104850</v>
      </c>
      <c r="D122" s="267">
        <f>Input!H1161</f>
        <v>105850</v>
      </c>
      <c r="E122" s="267">
        <f>Input!E1169</f>
        <v>105850</v>
      </c>
      <c r="F122" s="267">
        <f>Input!E1169</f>
        <v>105850</v>
      </c>
      <c r="G122" s="262">
        <f>-(C122-D122)/C122</f>
        <v>9.5374344301382922E-3</v>
      </c>
      <c r="H122" s="1012">
        <f>-(C122-D122)/C122</f>
        <v>9.5374344301382922E-3</v>
      </c>
    </row>
    <row r="123" spans="2:8" ht="25.5" x14ac:dyDescent="0.25">
      <c r="B123" s="679" t="str">
        <f>Input!B1155</f>
        <v>Blended Rate as Percentage of Underlying Premium</v>
      </c>
      <c r="C123" s="1111">
        <f>Input!B1156</f>
        <v>0.9537434430138293</v>
      </c>
      <c r="D123" s="1111">
        <f>Input!C1156</f>
        <v>0.95374344301382918</v>
      </c>
      <c r="E123" s="267"/>
      <c r="F123" s="1111">
        <f>Input!D1156</f>
        <v>0.8</v>
      </c>
      <c r="G123" s="262"/>
      <c r="H123" s="1012">
        <f>-(D123-F123)/D123</f>
        <v>-0.16119999999999987</v>
      </c>
    </row>
    <row r="124" spans="2:8" x14ac:dyDescent="0.25">
      <c r="B124" s="223" t="s">
        <v>64</v>
      </c>
      <c r="C124" s="195">
        <f>Input!B1163</f>
        <v>104520</v>
      </c>
      <c r="D124" s="195">
        <f>Input!C1163</f>
        <v>105511.89318073438</v>
      </c>
      <c r="E124" s="195">
        <f>Input!D1154</f>
        <v>84680</v>
      </c>
      <c r="F124" s="195">
        <f>Input!D1163</f>
        <v>88067.199999999997</v>
      </c>
      <c r="G124" s="262">
        <f>-(D124-E124)/D124</f>
        <v>-0.19743644581422518</v>
      </c>
      <c r="H124" s="1012">
        <f>-(D124-F124)/D124</f>
        <v>-0.16533390364679421</v>
      </c>
    </row>
    <row r="125" spans="2:8" ht="6.95" customHeight="1" x14ac:dyDescent="0.25">
      <c r="B125" s="213"/>
      <c r="C125" s="241"/>
      <c r="D125" s="241"/>
      <c r="E125" s="241"/>
      <c r="F125" s="241"/>
      <c r="G125" s="263"/>
      <c r="H125" s="263"/>
    </row>
    <row r="126" spans="2:8" x14ac:dyDescent="0.25">
      <c r="B126" s="251" t="str">
        <f>Input!B1271</f>
        <v>4th Excess Technology Errors &amp; Omissions</v>
      </c>
      <c r="C126" s="254"/>
      <c r="D126" s="254"/>
      <c r="E126" s="254"/>
      <c r="F126" s="254"/>
      <c r="G126" s="264"/>
      <c r="H126" s="264"/>
    </row>
    <row r="127" spans="2:8" ht="25.5" x14ac:dyDescent="0.25">
      <c r="B127" s="679" t="s">
        <v>60</v>
      </c>
      <c r="C127" s="243" t="str">
        <f>Input!B1276</f>
        <v>Scottsdale Indemnity Company</v>
      </c>
      <c r="D127" s="243" t="str">
        <f>Input!C1276</f>
        <v>Scottsdale Indemnity Company</v>
      </c>
      <c r="E127" s="243" t="str">
        <f>Input!D1155</f>
        <v>Rate as Percentage of Underlying Premium</v>
      </c>
      <c r="F127" s="243" t="str">
        <f>Input!D1276</f>
        <v>Ascot Specialty Insurance Company</v>
      </c>
      <c r="G127" s="265" t="s">
        <v>284</v>
      </c>
      <c r="H127" s="1014" t="s">
        <v>284</v>
      </c>
    </row>
    <row r="128" spans="2:8" ht="25.5" x14ac:dyDescent="0.25">
      <c r="B128" s="223" t="str">
        <f>Input!B1297</f>
        <v>Underlying Policy Premium - 3rd Excess Tech Errors &amp; Omissions</v>
      </c>
      <c r="C128" s="267">
        <f>Input!C1297</f>
        <v>100000</v>
      </c>
      <c r="D128" s="267">
        <f>Input!H1289</f>
        <v>84680</v>
      </c>
      <c r="E128" s="267">
        <f>Input!E1174</f>
        <v>0</v>
      </c>
      <c r="F128" s="267">
        <f>Input!E1297</f>
        <v>84680</v>
      </c>
      <c r="G128" s="262">
        <f>-(C128-D128)/C128</f>
        <v>-0.1532</v>
      </c>
      <c r="H128" s="1012">
        <f>-(C128-D128)/C128</f>
        <v>-0.1532</v>
      </c>
    </row>
    <row r="129" spans="2:8" ht="25.5" x14ac:dyDescent="0.25">
      <c r="B129" s="679" t="str">
        <f>Input!B1281</f>
        <v>Blended Rate as Percentage of Underlying Premium</v>
      </c>
      <c r="C129" s="1109">
        <f>Input!B1282</f>
        <v>0.85</v>
      </c>
      <c r="D129" s="1109">
        <f>Input!C1282</f>
        <v>0.85</v>
      </c>
      <c r="E129" s="267"/>
      <c r="F129" s="1109">
        <f>Input!D1282</f>
        <v>0.80302314596126589</v>
      </c>
      <c r="G129" s="262"/>
      <c r="H129" s="1012">
        <f>-(D129-F129)/D129</f>
        <v>-5.5266887104393043E-2</v>
      </c>
    </row>
    <row r="130" spans="2:8" x14ac:dyDescent="0.25">
      <c r="B130" s="223" t="s">
        <v>64</v>
      </c>
      <c r="C130" s="195">
        <f>Input!B1291</f>
        <v>85000</v>
      </c>
      <c r="D130" s="195">
        <f>Input!C1291</f>
        <v>74857.119999999995</v>
      </c>
      <c r="E130" s="195">
        <f>Input!D1159</f>
        <v>0.04</v>
      </c>
      <c r="F130" s="195">
        <f>Input!D1291</f>
        <v>70720</v>
      </c>
      <c r="G130" s="262">
        <f>-(D130-E130)/D130</f>
        <v>-0.99999946564869191</v>
      </c>
      <c r="H130" s="1012">
        <f>-(D130-F130)/D130</f>
        <v>-5.5266887104392953E-2</v>
      </c>
    </row>
    <row r="131" spans="2:8" ht="6.75" customHeight="1" x14ac:dyDescent="0.25">
      <c r="C131" s="212"/>
      <c r="D131" s="212"/>
      <c r="E131" s="212"/>
      <c r="F131" s="212"/>
    </row>
    <row r="132" spans="2:8" x14ac:dyDescent="0.25">
      <c r="B132" s="1119" t="str">
        <f>Input!B227</f>
        <v>Workers Compensation</v>
      </c>
      <c r="C132" s="222"/>
      <c r="D132" s="222"/>
      <c r="E132" s="222"/>
      <c r="F132" s="222"/>
      <c r="G132" s="226"/>
      <c r="H132" s="226"/>
    </row>
    <row r="133" spans="2:8" ht="38.25" x14ac:dyDescent="0.25">
      <c r="B133" s="679" t="s">
        <v>60</v>
      </c>
      <c r="C133" s="243" t="str">
        <f>Input!B232</f>
        <v>The Continental Insurance Company (CNA)</v>
      </c>
      <c r="D133" s="243" t="str">
        <f>Input!C232</f>
        <v>The Continental Insurance Company (CNA)</v>
      </c>
      <c r="E133" s="243" t="str">
        <f>Input!D232</f>
        <v>American Casualty Company Of Reading, PA</v>
      </c>
      <c r="F133" s="243" t="str">
        <f>Input!E232</f>
        <v>American Casualty Company Of Reading, PA</v>
      </c>
      <c r="G133" s="257" t="s">
        <v>284</v>
      </c>
      <c r="H133" s="1011" t="s">
        <v>284</v>
      </c>
    </row>
    <row r="134" spans="2:8" x14ac:dyDescent="0.25">
      <c r="B134" s="223" t="str">
        <f>Input!B250</f>
        <v>Exposure Base - Payroll</v>
      </c>
      <c r="C134" s="195">
        <f>Input!C252</f>
        <v>21441092</v>
      </c>
      <c r="D134" s="195">
        <f>Input!E252</f>
        <v>24229654</v>
      </c>
      <c r="E134" s="195">
        <f>Input!E252</f>
        <v>24229654</v>
      </c>
      <c r="F134" s="195">
        <f>Input!E252</f>
        <v>24229654</v>
      </c>
      <c r="G134" s="258">
        <f>Input!E253</f>
        <v>0.13005690195256847</v>
      </c>
      <c r="H134" s="1012">
        <f>Input!E253</f>
        <v>0.13005690195256847</v>
      </c>
    </row>
    <row r="135" spans="2:8" x14ac:dyDescent="0.25">
      <c r="B135" s="223" t="str">
        <f>Input!B237</f>
        <v>Blended Rate per $100 of Exposure</v>
      </c>
      <c r="C135" s="655">
        <f>Input!B238</f>
        <v>0.41490890482630266</v>
      </c>
      <c r="D135" s="655">
        <f>Input!C238</f>
        <v>0.41490890482630272</v>
      </c>
      <c r="E135" s="655">
        <f>Input!D238</f>
        <v>0.44979594013187313</v>
      </c>
      <c r="F135" s="655">
        <f>Input!E238</f>
        <v>0.44979594013187313</v>
      </c>
      <c r="G135" s="262">
        <f>-(D135-E135)/D135</f>
        <v>8.4083602207032662E-2</v>
      </c>
      <c r="H135" s="1012">
        <f>-(D135-F135)/D135</f>
        <v>8.4083602207032662E-2</v>
      </c>
    </row>
    <row r="136" spans="2:8" x14ac:dyDescent="0.25">
      <c r="B136" s="223" t="s">
        <v>64</v>
      </c>
      <c r="C136" s="195">
        <f>Input!B246</f>
        <v>89813</v>
      </c>
      <c r="D136" s="195">
        <f>Input!C246</f>
        <v>101493.80053506604</v>
      </c>
      <c r="E136" s="195">
        <f>Input!D246</f>
        <v>109999</v>
      </c>
      <c r="F136" s="195">
        <f>Input!E246</f>
        <v>109999</v>
      </c>
      <c r="G136" s="262">
        <f>-(D136-E136)/D136</f>
        <v>8.3800187007436189E-2</v>
      </c>
      <c r="H136" s="1012">
        <f>-(D136-F136)/D136</f>
        <v>8.3800187007436189E-2</v>
      </c>
    </row>
    <row r="137" spans="2:8" ht="4.5" customHeight="1" x14ac:dyDescent="0.25">
      <c r="B137" s="225"/>
      <c r="C137" s="213"/>
      <c r="D137" s="213"/>
      <c r="E137" s="213"/>
      <c r="F137" s="213"/>
      <c r="G137" s="225"/>
      <c r="H137" s="225"/>
    </row>
    <row r="138" spans="2:8" x14ac:dyDescent="0.25">
      <c r="B138" s="1119" t="str">
        <f>Input!B269</f>
        <v>Workers Compensation - CA Only</v>
      </c>
      <c r="C138" s="222"/>
      <c r="D138" s="222"/>
      <c r="E138" s="222"/>
      <c r="F138" s="222"/>
      <c r="G138" s="226"/>
      <c r="H138" s="226"/>
    </row>
    <row r="139" spans="2:8" ht="42.75" customHeight="1" x14ac:dyDescent="0.25">
      <c r="B139" s="679" t="s">
        <v>60</v>
      </c>
      <c r="C139" s="243" t="str">
        <f>Input!B274</f>
        <v>The Continental Insurance Company (CNA)</v>
      </c>
      <c r="D139" s="243" t="str">
        <f>Input!C274</f>
        <v>The Continental Insurance Company (CNA)</v>
      </c>
      <c r="E139" s="243" t="str">
        <f>Input!D274</f>
        <v>The Continental Insurance Company (CNA)</v>
      </c>
      <c r="F139" s="243" t="str">
        <f>Input!E274</f>
        <v>The Continental Insurance Company (CNA)</v>
      </c>
      <c r="G139" s="257" t="s">
        <v>284</v>
      </c>
      <c r="H139" s="1011" t="s">
        <v>284</v>
      </c>
    </row>
    <row r="140" spans="2:8" x14ac:dyDescent="0.25">
      <c r="B140" s="223" t="str">
        <f>Input!B292</f>
        <v>Exposure Base - Payroll</v>
      </c>
      <c r="C140" s="195">
        <f>Input!C294</f>
        <v>757451</v>
      </c>
      <c r="D140" s="195">
        <f>Input!E294</f>
        <v>1000000</v>
      </c>
      <c r="E140" s="195">
        <f>Input!E294</f>
        <v>1000000</v>
      </c>
      <c r="F140" s="195">
        <f>Input!E294</f>
        <v>1000000</v>
      </c>
      <c r="G140" s="258">
        <f>Input!E295</f>
        <v>0.32021741340363929</v>
      </c>
      <c r="H140" s="1012">
        <f>Input!E295</f>
        <v>0.32021741340363929</v>
      </c>
    </row>
    <row r="141" spans="2:8" x14ac:dyDescent="0.25">
      <c r="B141" s="223" t="str">
        <f>Input!B279</f>
        <v>Blended Rate per $100 of Exposure</v>
      </c>
      <c r="C141" s="655">
        <f>Input!B280</f>
        <v>0.44148070304217696</v>
      </c>
      <c r="D141" s="655">
        <f>Input!C280</f>
        <v>0.44148070304217701</v>
      </c>
      <c r="E141" s="655">
        <f>Input!D280</f>
        <v>0.79949999999999999</v>
      </c>
      <c r="F141" s="655">
        <f>Input!E280</f>
        <v>0.79949999999999999</v>
      </c>
      <c r="G141" s="262">
        <f>-(D141-E141)/D141</f>
        <v>0.81095117972488029</v>
      </c>
      <c r="H141" s="1012">
        <f>-(D141-F141)/D141</f>
        <v>0.81095117972488029</v>
      </c>
    </row>
    <row r="142" spans="2:8" x14ac:dyDescent="0.25">
      <c r="B142" s="223" t="s">
        <v>64</v>
      </c>
      <c r="C142" s="195">
        <f>Input!B288</f>
        <v>3542</v>
      </c>
      <c r="D142" s="195">
        <f>Input!C288</f>
        <v>4676.2100782756906</v>
      </c>
      <c r="E142" s="195">
        <f>Input!D288</f>
        <v>8464</v>
      </c>
      <c r="F142" s="195">
        <f>Input!E288</f>
        <v>8464</v>
      </c>
      <c r="G142" s="262">
        <f>-(D142-E142)/D142</f>
        <v>0.81001277922077919</v>
      </c>
      <c r="H142" s="1012">
        <f>-(D142-F142)/D142</f>
        <v>0.81001277922077919</v>
      </c>
    </row>
    <row r="143" spans="2:8" ht="4.5" customHeight="1" x14ac:dyDescent="0.25">
      <c r="B143" s="225"/>
      <c r="C143" s="213"/>
      <c r="D143" s="213"/>
      <c r="E143" s="213"/>
      <c r="F143" s="213"/>
      <c r="G143" s="225"/>
      <c r="H143" s="225"/>
    </row>
    <row r="144" spans="2:8" ht="15" hidden="1" customHeight="1" x14ac:dyDescent="0.25">
      <c r="B144" s="251" t="str">
        <f>Input!B745</f>
        <v>Real Estate Errors &amp; Omissions</v>
      </c>
      <c r="C144" s="222"/>
      <c r="D144" s="222"/>
      <c r="E144" s="222"/>
      <c r="F144" s="222"/>
      <c r="G144" s="226"/>
      <c r="H144" s="226"/>
    </row>
    <row r="145" spans="2:8" ht="15" hidden="1" customHeight="1" x14ac:dyDescent="0.25">
      <c r="B145" s="679" t="s">
        <v>60</v>
      </c>
      <c r="C145" s="243" t="str">
        <f>Input!B749</f>
        <v>Houston Specialty Insurance Company</v>
      </c>
      <c r="D145" s="243" t="str">
        <f>Input!C749</f>
        <v>Houston Specialty Insurance Company</v>
      </c>
      <c r="E145" s="243" t="str">
        <f>Input!D749</f>
        <v>Houston Specialty Insurance Company</v>
      </c>
      <c r="F145" s="243">
        <f>Input!E749</f>
        <v>0</v>
      </c>
      <c r="G145" s="257" t="s">
        <v>284</v>
      </c>
      <c r="H145" s="1011" t="s">
        <v>284</v>
      </c>
    </row>
    <row r="146" spans="2:8" ht="15" hidden="1" customHeight="1" x14ac:dyDescent="0.25">
      <c r="B146" s="223" t="str">
        <f>Input!B767</f>
        <v>Exposure Base - Values Insured</v>
      </c>
      <c r="C146" s="195">
        <f>Input!C769</f>
        <v>0</v>
      </c>
      <c r="D146" s="195">
        <f>Input!E769</f>
        <v>0</v>
      </c>
      <c r="E146" s="195">
        <f>Input!E769</f>
        <v>0</v>
      </c>
      <c r="F146" s="195">
        <f>Input!E769</f>
        <v>0</v>
      </c>
      <c r="G146" s="258" t="e">
        <f>-(C146-D146)/C146</f>
        <v>#DIV/0!</v>
      </c>
      <c r="H146" s="1012" t="e">
        <f>Input!E770</f>
        <v>#DIV/0!</v>
      </c>
    </row>
    <row r="147" spans="2:8" ht="15" hidden="1" customHeight="1" x14ac:dyDescent="0.25">
      <c r="B147" s="223" t="str">
        <f>Input!B754</f>
        <v>Blended Rate per $100 of Exposure</v>
      </c>
      <c r="C147" s="655" t="e">
        <f>Input!B755</f>
        <v>#DIV/0!</v>
      </c>
      <c r="D147" s="655" t="e">
        <f>Input!C755</f>
        <v>#DIV/0!</v>
      </c>
      <c r="E147" s="655" t="e">
        <f>Input!D755</f>
        <v>#DIV/0!</v>
      </c>
      <c r="F147" s="655" t="e">
        <f>Input!E755</f>
        <v>#DIV/0!</v>
      </c>
      <c r="G147" s="262" t="e">
        <f>-(D147-E147)/D147</f>
        <v>#DIV/0!</v>
      </c>
      <c r="H147" s="1012" t="e">
        <f>-(D147-F147)/D147</f>
        <v>#DIV/0!</v>
      </c>
    </row>
    <row r="148" spans="2:8" ht="15" hidden="1" customHeight="1" x14ac:dyDescent="0.25">
      <c r="B148" s="223" t="s">
        <v>64</v>
      </c>
      <c r="C148" s="195">
        <f>Input!B763</f>
        <v>0</v>
      </c>
      <c r="D148" s="195" t="e">
        <f>Input!C763</f>
        <v>#DIV/0!</v>
      </c>
      <c r="E148" s="195">
        <f>Input!D753</f>
        <v>8745</v>
      </c>
      <c r="F148" s="195">
        <f>Input!E763</f>
        <v>0</v>
      </c>
      <c r="G148" s="262" t="e">
        <f>-(D148-E148)/D148</f>
        <v>#DIV/0!</v>
      </c>
      <c r="H148" s="1012" t="e">
        <f>-(D148-F148)/D148</f>
        <v>#DIV/0!</v>
      </c>
    </row>
    <row r="149" spans="2:8" ht="4.5" hidden="1" customHeight="1" x14ac:dyDescent="0.25">
      <c r="B149" s="225"/>
      <c r="C149" s="213"/>
      <c r="D149" s="213"/>
      <c r="E149" s="213"/>
      <c r="F149" s="213"/>
      <c r="G149" s="225"/>
      <c r="H149" s="225"/>
    </row>
    <row r="150" spans="2:8" ht="15" customHeight="1" x14ac:dyDescent="0.25">
      <c r="B150" s="1119" t="str">
        <f>Input!B778</f>
        <v>Business Travel Accident</v>
      </c>
      <c r="C150" s="222"/>
      <c r="D150" s="222"/>
      <c r="E150" s="222"/>
      <c r="F150" s="222"/>
      <c r="G150" s="226"/>
      <c r="H150" s="226"/>
    </row>
    <row r="151" spans="2:8" ht="31.5" customHeight="1" x14ac:dyDescent="0.25">
      <c r="B151" s="679" t="s">
        <v>60</v>
      </c>
      <c r="C151" s="243" t="str">
        <f>Input!B783</f>
        <v>Zurich American Insurance Company</v>
      </c>
      <c r="D151" s="243" t="str">
        <f>Input!C783</f>
        <v>Zurich American Insurance Company</v>
      </c>
      <c r="E151" s="243" t="str">
        <f>Input!D783</f>
        <v>Zurich American Insurance Company</v>
      </c>
      <c r="F151" s="243" t="str">
        <f>Input!E783</f>
        <v>Zurich American Insurance Company</v>
      </c>
      <c r="G151" s="257" t="s">
        <v>284</v>
      </c>
      <c r="H151" s="1011" t="s">
        <v>284</v>
      </c>
    </row>
    <row r="152" spans="2:8" ht="15" customHeight="1" x14ac:dyDescent="0.25">
      <c r="B152" s="223" t="str">
        <f>Input!B801</f>
        <v>Total Number of Employees to be Covered</v>
      </c>
      <c r="C152" s="267">
        <f>Input!C801</f>
        <v>484</v>
      </c>
      <c r="D152" s="267">
        <f>Input!E801</f>
        <v>234</v>
      </c>
      <c r="E152" s="267">
        <f>Input!E801</f>
        <v>234</v>
      </c>
      <c r="F152" s="267">
        <f>Input!E801</f>
        <v>234</v>
      </c>
      <c r="G152" s="262">
        <f>-(C152-D152)/C152</f>
        <v>-0.51652892561983466</v>
      </c>
      <c r="H152" s="1012">
        <f>-(C152-D152)/C152</f>
        <v>-0.51652892561983466</v>
      </c>
    </row>
    <row r="153" spans="2:8" x14ac:dyDescent="0.25">
      <c r="B153" s="223" t="str">
        <f>Input!B802</f>
        <v># of Employees Who Travel 50+ Days</v>
      </c>
      <c r="C153" s="267">
        <f>Input!C802</f>
        <v>15</v>
      </c>
      <c r="D153" s="267">
        <f>Input!E802</f>
        <v>15</v>
      </c>
      <c r="E153" s="267">
        <f>Input!E802</f>
        <v>15</v>
      </c>
      <c r="F153" s="267">
        <f>Input!E802</f>
        <v>15</v>
      </c>
      <c r="G153" s="262">
        <f>-(C153-D153)/C153</f>
        <v>0</v>
      </c>
      <c r="H153" s="1012">
        <f>-(C153-D153)/C153</f>
        <v>0</v>
      </c>
    </row>
    <row r="154" spans="2:8" ht="15" hidden="1" customHeight="1" x14ac:dyDescent="0.25">
      <c r="B154" s="223" t="str">
        <f>Input!B803</f>
        <v>Total Aggregate Days</v>
      </c>
      <c r="C154" s="267">
        <f>Input!C803</f>
        <v>0</v>
      </c>
      <c r="D154" s="267">
        <f>Input!E803</f>
        <v>0</v>
      </c>
      <c r="E154" s="267">
        <f>Input!E803</f>
        <v>0</v>
      </c>
      <c r="F154" s="267">
        <f>Input!E803</f>
        <v>0</v>
      </c>
      <c r="G154" s="262" t="e">
        <f>-(C154-D154)/C154</f>
        <v>#DIV/0!</v>
      </c>
      <c r="H154" s="1012" t="e">
        <f>-(C154-D154)/C154</f>
        <v>#DIV/0!</v>
      </c>
    </row>
    <row r="155" spans="2:8" ht="15" customHeight="1" x14ac:dyDescent="0.25">
      <c r="B155" s="223" t="s">
        <v>64</v>
      </c>
      <c r="C155" s="195">
        <f>Input!B795</f>
        <v>3919</v>
      </c>
      <c r="D155" s="195">
        <f>Input!C795</f>
        <v>2906.8615702479337</v>
      </c>
      <c r="E155" s="195">
        <f>Input!D795</f>
        <v>3173</v>
      </c>
      <c r="F155" s="195">
        <f>Input!E795</f>
        <v>3173</v>
      </c>
      <c r="G155" s="262">
        <f>-(D155-E155)/D155</f>
        <v>9.1555247238473289E-2</v>
      </c>
      <c r="H155" s="1012">
        <f>-(D155-F155)/D155</f>
        <v>9.1555247238473289E-2</v>
      </c>
    </row>
    <row r="156" spans="2:8" ht="4.5" customHeight="1" x14ac:dyDescent="0.25">
      <c r="B156" s="225"/>
      <c r="C156" s="241"/>
      <c r="D156" s="241"/>
      <c r="E156" s="241"/>
      <c r="F156" s="241"/>
      <c r="G156" s="263"/>
      <c r="H156" s="263"/>
    </row>
    <row r="157" spans="2:8" ht="15" hidden="1" customHeight="1" x14ac:dyDescent="0.25">
      <c r="B157" s="251" t="str">
        <f>Input!B816</f>
        <v>Foreign Package - T5CS</v>
      </c>
      <c r="C157" s="254"/>
      <c r="D157" s="254"/>
      <c r="E157" s="254"/>
      <c r="F157" s="254"/>
      <c r="G157" s="264"/>
      <c r="H157" s="264"/>
    </row>
    <row r="158" spans="2:8" ht="38.25" hidden="1" x14ac:dyDescent="0.25">
      <c r="B158" s="679" t="s">
        <v>60</v>
      </c>
      <c r="C158" s="243" t="str">
        <f>Input!B821</f>
        <v>The Continental Insurance Company (CNA)</v>
      </c>
      <c r="D158" s="243" t="str">
        <f>Input!C821</f>
        <v>The Continental Insurance Company (CNA)</v>
      </c>
      <c r="E158" s="243" t="str">
        <f>Input!D821</f>
        <v>The Continental Insurance Company (CNA)</v>
      </c>
      <c r="F158" s="243">
        <f>Input!E821</f>
        <v>0</v>
      </c>
      <c r="G158" s="265" t="s">
        <v>284</v>
      </c>
      <c r="H158" s="1014" t="s">
        <v>284</v>
      </c>
    </row>
    <row r="159" spans="2:8" ht="15" hidden="1" customHeight="1" x14ac:dyDescent="0.25">
      <c r="B159" s="223" t="str">
        <f>Input!B833</f>
        <v>Property Values</v>
      </c>
      <c r="C159" s="195">
        <f>Input!C833</f>
        <v>0</v>
      </c>
      <c r="D159" s="195">
        <f>Input!E833</f>
        <v>0</v>
      </c>
      <c r="E159" s="195">
        <f>Input!E833</f>
        <v>0</v>
      </c>
      <c r="F159" s="195">
        <f>Input!E833</f>
        <v>0</v>
      </c>
      <c r="G159" s="262" t="e">
        <f>-(C159-D159)/C159</f>
        <v>#DIV/0!</v>
      </c>
      <c r="H159" s="1012" t="e">
        <f>-(C159-D159)/C159</f>
        <v>#DIV/0!</v>
      </c>
    </row>
    <row r="160" spans="2:8" ht="15" hidden="1" customHeight="1" x14ac:dyDescent="0.25">
      <c r="B160" s="223" t="str">
        <f>Input!B834</f>
        <v>Number of Auto Rentals</v>
      </c>
      <c r="C160" s="267">
        <f>Input!C834</f>
        <v>0</v>
      </c>
      <c r="D160" s="267">
        <f>Input!E834</f>
        <v>0</v>
      </c>
      <c r="E160" s="267">
        <f>Input!E834</f>
        <v>0</v>
      </c>
      <c r="F160" s="267">
        <f>Input!E834</f>
        <v>0</v>
      </c>
      <c r="G160" s="262" t="e">
        <f t="shared" ref="G160:G163" si="1">-(C160-D160)/C160</f>
        <v>#DIV/0!</v>
      </c>
      <c r="H160" s="1012" t="e">
        <f t="shared" ref="H160:H163" si="2">-(C160-D160)/C160</f>
        <v>#DIV/0!</v>
      </c>
    </row>
    <row r="161" spans="2:8" ht="15" hidden="1" customHeight="1" x14ac:dyDescent="0.25">
      <c r="B161" s="223" t="str">
        <f>Input!B835</f>
        <v>Foreign Revenues</v>
      </c>
      <c r="C161" s="195">
        <f>Input!C835</f>
        <v>0</v>
      </c>
      <c r="D161" s="195">
        <f>Input!E835</f>
        <v>0</v>
      </c>
      <c r="E161" s="195">
        <f>Input!E835</f>
        <v>0</v>
      </c>
      <c r="F161" s="195">
        <f>Input!E835</f>
        <v>0</v>
      </c>
      <c r="G161" s="262" t="e">
        <f t="shared" si="1"/>
        <v>#DIV/0!</v>
      </c>
      <c r="H161" s="1012" t="e">
        <f t="shared" si="2"/>
        <v>#DIV/0!</v>
      </c>
    </row>
    <row r="162" spans="2:8" ht="15" hidden="1" customHeight="1" x14ac:dyDescent="0.25">
      <c r="B162" s="223" t="str">
        <f>Input!B836</f>
        <v>Number of Trips</v>
      </c>
      <c r="C162" s="267">
        <f>Input!C836</f>
        <v>0</v>
      </c>
      <c r="D162" s="267">
        <f>Input!E836</f>
        <v>0</v>
      </c>
      <c r="E162" s="267">
        <f>Input!E836</f>
        <v>0</v>
      </c>
      <c r="F162" s="267">
        <f>Input!E836</f>
        <v>0</v>
      </c>
      <c r="G162" s="262" t="e">
        <f t="shared" si="1"/>
        <v>#DIV/0!</v>
      </c>
      <c r="H162" s="1012" t="e">
        <f t="shared" si="2"/>
        <v>#DIV/0!</v>
      </c>
    </row>
    <row r="163" spans="2:8" ht="15" hidden="1" customHeight="1" x14ac:dyDescent="0.25">
      <c r="B163" s="223" t="str">
        <f>Input!B837</f>
        <v>Foreign Payroll</v>
      </c>
      <c r="C163" s="195">
        <f>Input!C837</f>
        <v>0</v>
      </c>
      <c r="D163" s="195">
        <f>Input!E837</f>
        <v>0</v>
      </c>
      <c r="E163" s="195">
        <f>Input!E837</f>
        <v>0</v>
      </c>
      <c r="F163" s="195">
        <f>Input!E837</f>
        <v>0</v>
      </c>
      <c r="G163" s="262" t="e">
        <f t="shared" si="1"/>
        <v>#DIV/0!</v>
      </c>
      <c r="H163" s="1012" t="e">
        <f t="shared" si="2"/>
        <v>#DIV/0!</v>
      </c>
    </row>
    <row r="164" spans="2:8" ht="15" hidden="1" customHeight="1" x14ac:dyDescent="0.25">
      <c r="B164" s="223" t="s">
        <v>64</v>
      </c>
      <c r="C164" s="195">
        <f>Input!B825</f>
        <v>2500</v>
      </c>
      <c r="D164" s="195" t="e">
        <f>Input!C825</f>
        <v>#DIV/0!</v>
      </c>
      <c r="E164" s="195">
        <f>Input!D825</f>
        <v>4276</v>
      </c>
      <c r="F164" s="195">
        <f>Input!E825</f>
        <v>0</v>
      </c>
      <c r="G164" s="262" t="e">
        <f>-(D164-E164)/D164</f>
        <v>#DIV/0!</v>
      </c>
      <c r="H164" s="1012" t="e">
        <f>-(D164-F164)/D164</f>
        <v>#DIV/0!</v>
      </c>
    </row>
    <row r="165" spans="2:8" ht="4.5" customHeight="1" x14ac:dyDescent="0.25">
      <c r="B165" s="225"/>
      <c r="C165" s="241"/>
      <c r="D165" s="241"/>
      <c r="E165" s="241"/>
      <c r="F165" s="241"/>
      <c r="G165" s="263"/>
      <c r="H165" s="263"/>
    </row>
    <row r="166" spans="2:8" ht="15" customHeight="1" x14ac:dyDescent="0.25">
      <c r="B166" s="251" t="str">
        <f>Input!B853</f>
        <v>Executive Liability (Directors &amp; Officers, Employment Practices, Fiduciary Liability)</v>
      </c>
      <c r="C166" s="254"/>
      <c r="D166" s="254"/>
      <c r="E166" s="254"/>
      <c r="F166" s="254"/>
      <c r="G166" s="264"/>
      <c r="H166" s="264"/>
    </row>
    <row r="167" spans="2:8" ht="45.75" customHeight="1" x14ac:dyDescent="0.25">
      <c r="B167" s="679" t="s">
        <v>60</v>
      </c>
      <c r="C167" s="243" t="str">
        <f>Input!B858</f>
        <v>Westchester Surplus Lines Insurance Company (Chubb)</v>
      </c>
      <c r="D167" s="243" t="str">
        <f>Input!C858</f>
        <v>Westchester Surplus Lines Insurance Company (Chubb)</v>
      </c>
      <c r="E167" s="243" t="str">
        <f>Input!D858</f>
        <v>Westchester Surplus Lines Insurance Company (Chubb)</v>
      </c>
      <c r="F167" s="243" t="str">
        <f>Input!D858</f>
        <v>Westchester Surplus Lines Insurance Company (Chubb)</v>
      </c>
      <c r="G167" s="989" t="s">
        <v>939</v>
      </c>
      <c r="H167" s="1018" t="s">
        <v>284</v>
      </c>
    </row>
    <row r="168" spans="2:8" ht="15" customHeight="1" x14ac:dyDescent="0.25">
      <c r="B168" s="223" t="str">
        <f>Input!B876</f>
        <v>Employee Count</v>
      </c>
      <c r="C168" s="267">
        <f>Input!C876</f>
        <v>510</v>
      </c>
      <c r="D168" s="267">
        <f>Input!D876</f>
        <v>242</v>
      </c>
      <c r="E168" s="267">
        <f>Input!D876</f>
        <v>242</v>
      </c>
      <c r="F168" s="267">
        <f>Input!D876</f>
        <v>242</v>
      </c>
      <c r="G168" s="262">
        <f>-(C168-D168)/C168</f>
        <v>-0.52549019607843139</v>
      </c>
      <c r="H168" s="1012">
        <f>-(C168-D168)/C168</f>
        <v>-0.52549019607843139</v>
      </c>
    </row>
    <row r="169" spans="2:8" ht="15" customHeight="1" x14ac:dyDescent="0.25">
      <c r="B169" s="223" t="str">
        <f>Input!B878</f>
        <v>Total Assets</v>
      </c>
      <c r="C169" s="195">
        <f>Input!C878</f>
        <v>33217884</v>
      </c>
      <c r="D169" s="195">
        <f>Input!D878</f>
        <v>87114339</v>
      </c>
      <c r="E169" s="195">
        <f>Input!D878</f>
        <v>87114339</v>
      </c>
      <c r="F169" s="195">
        <f>Input!D878</f>
        <v>87114339</v>
      </c>
      <c r="G169" s="262">
        <f>-(C169-D169)/C169</f>
        <v>1.6225131919901943</v>
      </c>
      <c r="H169" s="1012">
        <f>-(C169-D169)/C169</f>
        <v>1.6225131919901943</v>
      </c>
    </row>
    <row r="170" spans="2:8" ht="15" customHeight="1" x14ac:dyDescent="0.25">
      <c r="B170" s="223" t="str">
        <f>Input!B879</f>
        <v>Plan Assets</v>
      </c>
      <c r="C170" s="195">
        <f>Input!C879</f>
        <v>12940975</v>
      </c>
      <c r="D170" s="195">
        <f>Input!D879</f>
        <v>10888478</v>
      </c>
      <c r="E170" s="195">
        <f>Input!D879</f>
        <v>10888478</v>
      </c>
      <c r="F170" s="195">
        <f>Input!D879</f>
        <v>10888478</v>
      </c>
      <c r="G170" s="262">
        <f>-(C170-D170)/C170</f>
        <v>-0.15860451009294121</v>
      </c>
      <c r="H170" s="1012">
        <f>-(C170-D170)/C170</f>
        <v>-0.15860451009294121</v>
      </c>
    </row>
    <row r="171" spans="2:8" ht="15" customHeight="1" x14ac:dyDescent="0.25">
      <c r="B171" s="223" t="s">
        <v>64</v>
      </c>
      <c r="C171" s="195">
        <f>Input!B870</f>
        <v>59805.2</v>
      </c>
      <c r="D171" s="195">
        <f>Input!C870</f>
        <v>84913.692589998158</v>
      </c>
      <c r="E171" s="195">
        <f>Input!D870</f>
        <v>62795.199999999997</v>
      </c>
      <c r="F171" s="195">
        <f>Input!D870</f>
        <v>62795.199999999997</v>
      </c>
      <c r="G171" s="262">
        <f>-(D171-E171)/D171</f>
        <v>-0.26048204848181883</v>
      </c>
      <c r="H171" s="1012">
        <f>-(D171-F171)/D171</f>
        <v>-0.26048204848181883</v>
      </c>
    </row>
    <row r="172" spans="2:8" ht="4.5" customHeight="1" x14ac:dyDescent="0.25">
      <c r="B172" s="225"/>
      <c r="C172" s="241"/>
      <c r="D172" s="241"/>
      <c r="E172" s="241"/>
      <c r="F172" s="241"/>
      <c r="G172" s="263"/>
      <c r="H172" s="263"/>
    </row>
    <row r="173" spans="2:8" ht="15" customHeight="1" x14ac:dyDescent="0.25">
      <c r="B173" s="251" t="str">
        <f>Input!B913</f>
        <v>Commercial Crime</v>
      </c>
      <c r="C173" s="254"/>
      <c r="D173" s="254"/>
      <c r="E173" s="254"/>
      <c r="F173" s="254"/>
      <c r="G173" s="264"/>
      <c r="H173" s="264"/>
    </row>
    <row r="174" spans="2:8" ht="30" customHeight="1" x14ac:dyDescent="0.25">
      <c r="B174" s="679" t="s">
        <v>60</v>
      </c>
      <c r="C174" s="243" t="str">
        <f>Input!B918</f>
        <v>Federal Insurance Company (Chubb)</v>
      </c>
      <c r="D174" s="243" t="str">
        <f>Input!C918</f>
        <v>Federal Insurance Company (Chubb)</v>
      </c>
      <c r="E174" s="243" t="str">
        <f>Input!D918</f>
        <v>Federal Insurance Company (Chubb)</v>
      </c>
      <c r="F174" s="243" t="str">
        <f>Input!D918</f>
        <v>Federal Insurance Company (Chubb)</v>
      </c>
      <c r="G174" s="265" t="s">
        <v>284</v>
      </c>
      <c r="H174" s="1014" t="s">
        <v>284</v>
      </c>
    </row>
    <row r="175" spans="2:8" ht="15" customHeight="1" x14ac:dyDescent="0.25">
      <c r="B175" s="223" t="str">
        <f>Input!B936</f>
        <v>Revenue</v>
      </c>
      <c r="C175" s="195">
        <f>Input!C936</f>
        <v>123628629</v>
      </c>
      <c r="D175" s="195">
        <f>Input!D936</f>
        <v>215229199</v>
      </c>
      <c r="E175" s="195">
        <f>Input!D936</f>
        <v>215229199</v>
      </c>
      <c r="F175" s="195">
        <f>Input!D936</f>
        <v>215229199</v>
      </c>
      <c r="G175" s="262">
        <f>-(C175-D175)/C175</f>
        <v>0.74093331569664178</v>
      </c>
      <c r="H175" s="1012">
        <f>-(C175-D175)/C175</f>
        <v>0.74093331569664178</v>
      </c>
    </row>
    <row r="176" spans="2:8" ht="15" customHeight="1" x14ac:dyDescent="0.25">
      <c r="B176" s="223" t="str">
        <f>Input!B937</f>
        <v>Total Assets</v>
      </c>
      <c r="C176" s="195">
        <f>Input!C937</f>
        <v>33290619</v>
      </c>
      <c r="D176" s="195">
        <f>Input!D937</f>
        <v>87114339</v>
      </c>
      <c r="E176" s="195">
        <f>Input!D937</f>
        <v>87114339</v>
      </c>
      <c r="F176" s="195">
        <f>Input!D937</f>
        <v>87114339</v>
      </c>
      <c r="G176" s="262">
        <f>-(C176-D176)/C176</f>
        <v>1.6167833947455288</v>
      </c>
      <c r="H176" s="1012">
        <f>-(C176-D176)/C176</f>
        <v>1.6167833947455288</v>
      </c>
    </row>
    <row r="177" spans="2:8" ht="15" customHeight="1" x14ac:dyDescent="0.25">
      <c r="B177" s="223" t="str">
        <f>Input!B938</f>
        <v>Employee Count</v>
      </c>
      <c r="C177" s="267">
        <f>Input!C938</f>
        <v>510</v>
      </c>
      <c r="D177" s="267">
        <f>Input!D938</f>
        <v>242</v>
      </c>
      <c r="E177" s="267">
        <f>Input!D938</f>
        <v>242</v>
      </c>
      <c r="F177" s="267">
        <f>Input!D938</f>
        <v>242</v>
      </c>
      <c r="G177" s="262">
        <f>-(C177-D177)/C177</f>
        <v>-0.52549019607843139</v>
      </c>
      <c r="H177" s="1012">
        <f>-(C177-D177)/C177</f>
        <v>-0.52549019607843139</v>
      </c>
    </row>
    <row r="178" spans="2:8" ht="15" customHeight="1" x14ac:dyDescent="0.25">
      <c r="B178" s="223" t="s">
        <v>64</v>
      </c>
      <c r="C178" s="195">
        <f>Input!B922</f>
        <v>13476</v>
      </c>
      <c r="D178" s="195">
        <f>Input!C922</f>
        <v>21706.361502521919</v>
      </c>
      <c r="E178" s="195">
        <f>Input!D922</f>
        <v>13473</v>
      </c>
      <c r="F178" s="195">
        <f>Input!D922</f>
        <v>13473</v>
      </c>
      <c r="G178" s="262">
        <f>-(D178-E178)/D178</f>
        <v>-0.37930638451614007</v>
      </c>
      <c r="H178" s="1012">
        <f>-(D178-F178)/D178</f>
        <v>-0.37930638451614007</v>
      </c>
    </row>
    <row r="179" spans="2:8" ht="4.5" customHeight="1" x14ac:dyDescent="0.25">
      <c r="B179" s="225"/>
      <c r="C179" s="241"/>
      <c r="D179" s="241"/>
      <c r="E179" s="241"/>
      <c r="F179" s="241"/>
      <c r="G179" s="263"/>
      <c r="H179" s="263"/>
    </row>
    <row r="180" spans="2:8" hidden="1" x14ac:dyDescent="0.25">
      <c r="B180" s="251" t="str">
        <f>Input!B1000</f>
        <v>Foreign Package - T5DC</v>
      </c>
      <c r="C180" s="254"/>
      <c r="D180" s="254"/>
      <c r="E180" s="254"/>
      <c r="F180" s="260"/>
      <c r="G180" s="264"/>
      <c r="H180" s="264"/>
    </row>
    <row r="181" spans="2:8" ht="38.25" hidden="1" x14ac:dyDescent="0.25">
      <c r="B181" s="679" t="s">
        <v>60</v>
      </c>
      <c r="C181" s="243" t="str">
        <f>Input!B1005</f>
        <v>The Continental Insurance Company (CNA)</v>
      </c>
      <c r="D181" s="243" t="str">
        <f>Input!C1005</f>
        <v>The Continental Insurance Company (CNA)</v>
      </c>
      <c r="E181" s="243" t="str">
        <f>Input!D1005</f>
        <v>The Continental Insurance Company (CNA)</v>
      </c>
      <c r="F181" s="243">
        <f>Input!E1005</f>
        <v>0</v>
      </c>
      <c r="G181" s="265" t="s">
        <v>284</v>
      </c>
      <c r="H181" s="1014" t="s">
        <v>284</v>
      </c>
    </row>
    <row r="182" spans="2:8" ht="15" hidden="1" customHeight="1" x14ac:dyDescent="0.25">
      <c r="B182" s="223" t="str">
        <f>Input!B1023</f>
        <v>Property Values</v>
      </c>
      <c r="C182" s="267">
        <f>Input!C1023</f>
        <v>0</v>
      </c>
      <c r="D182" s="267">
        <f>Input!D1023</f>
        <v>0</v>
      </c>
      <c r="E182" s="267">
        <f>Input!D1023</f>
        <v>0</v>
      </c>
      <c r="F182" s="267">
        <f>Input!D1023</f>
        <v>0</v>
      </c>
      <c r="G182" s="262" t="e">
        <f>-(C182-D182)/C182</f>
        <v>#DIV/0!</v>
      </c>
      <c r="H182" s="1012" t="e">
        <f>-(C182-D182)/C182</f>
        <v>#DIV/0!</v>
      </c>
    </row>
    <row r="183" spans="2:8" ht="15" hidden="1" customHeight="1" x14ac:dyDescent="0.25">
      <c r="B183" s="223" t="s">
        <v>64</v>
      </c>
      <c r="C183" s="195">
        <f>Input!B1017</f>
        <v>2500</v>
      </c>
      <c r="D183" s="195" t="e">
        <f>Input!C1017</f>
        <v>#DIV/0!</v>
      </c>
      <c r="E183" s="195">
        <f>Input!D1017</f>
        <v>2500</v>
      </c>
      <c r="F183" s="195">
        <f>Input!E1017</f>
        <v>0</v>
      </c>
      <c r="G183" s="262" t="e">
        <f>-(D183-E183)/D183</f>
        <v>#DIV/0!</v>
      </c>
      <c r="H183" s="1012" t="e">
        <f>-(D183-F183)/D183</f>
        <v>#DIV/0!</v>
      </c>
    </row>
    <row r="184" spans="2:8" ht="4.5" customHeight="1" x14ac:dyDescent="0.25">
      <c r="B184" s="225"/>
      <c r="C184" s="241"/>
      <c r="D184" s="241"/>
      <c r="E184" s="241"/>
      <c r="F184" s="241"/>
      <c r="G184" s="263"/>
      <c r="H184" s="263"/>
    </row>
    <row r="185" spans="2:8" ht="15" customHeight="1" x14ac:dyDescent="0.25">
      <c r="B185" s="251" t="str">
        <f>Input!B1102</f>
        <v>Excess Crime</v>
      </c>
      <c r="C185" s="254"/>
      <c r="D185" s="254"/>
      <c r="E185" s="254"/>
      <c r="F185" s="254"/>
      <c r="G185" s="264"/>
      <c r="H185" s="264"/>
    </row>
    <row r="186" spans="2:8" ht="25.5" x14ac:dyDescent="0.25">
      <c r="B186" s="679" t="s">
        <v>60</v>
      </c>
      <c r="C186" s="243" t="str">
        <f>Input!B1107</f>
        <v>Great American Insurance Company</v>
      </c>
      <c r="D186" s="243" t="str">
        <f>Input!C1107</f>
        <v>Great American Insurance Company</v>
      </c>
      <c r="E186" s="243" t="str">
        <f>Input!D1107</f>
        <v>Great American Insurance Company</v>
      </c>
      <c r="F186" s="243" t="str">
        <f>Input!D1107</f>
        <v>Great American Insurance Company</v>
      </c>
      <c r="G186" s="265" t="s">
        <v>284</v>
      </c>
      <c r="H186" s="1014" t="s">
        <v>284</v>
      </c>
    </row>
    <row r="187" spans="2:8" ht="15" customHeight="1" x14ac:dyDescent="0.25">
      <c r="B187" s="223" t="str">
        <f>Input!B1125</f>
        <v>Underlying Premium</v>
      </c>
      <c r="C187" s="267">
        <f>Input!C1125</f>
        <v>13476</v>
      </c>
      <c r="D187" s="267">
        <f>Input!D1125</f>
        <v>13473</v>
      </c>
      <c r="E187" s="267">
        <f>Input!D1125</f>
        <v>13473</v>
      </c>
      <c r="F187" s="267">
        <f>Input!D1125</f>
        <v>13473</v>
      </c>
      <c r="G187" s="262">
        <f>-(C187-D187)/C187</f>
        <v>-2.2261798753339269E-4</v>
      </c>
      <c r="H187" s="1012">
        <f>-(C187-D187)/C187</f>
        <v>-2.2261798753339269E-4</v>
      </c>
    </row>
    <row r="188" spans="2:8" ht="15" hidden="1" customHeight="1" x14ac:dyDescent="0.25">
      <c r="B188" s="223" t="str">
        <f>Input!B1126</f>
        <v>Foreign Revenue</v>
      </c>
      <c r="C188" s="195">
        <f>Input!C1126</f>
        <v>0</v>
      </c>
      <c r="D188" s="195">
        <f>Input!D1126</f>
        <v>0</v>
      </c>
      <c r="E188" s="195">
        <f>Input!D1126</f>
        <v>0</v>
      </c>
      <c r="F188" s="195">
        <f>Input!D1126</f>
        <v>0</v>
      </c>
      <c r="G188" s="262" t="e">
        <f>-(C188-D188)/C188</f>
        <v>#DIV/0!</v>
      </c>
      <c r="H188" s="1012" t="e">
        <f>-(C188-D188)/C188</f>
        <v>#DIV/0!</v>
      </c>
    </row>
    <row r="189" spans="2:8" ht="15" hidden="1" customHeight="1" x14ac:dyDescent="0.25">
      <c r="B189" s="223" t="str">
        <f>Input!B1127</f>
        <v>Employee Count</v>
      </c>
      <c r="C189" s="267">
        <f>Input!C1127</f>
        <v>0</v>
      </c>
      <c r="D189" s="267">
        <f>Input!D1127</f>
        <v>0</v>
      </c>
      <c r="E189" s="267">
        <f>Input!D1127</f>
        <v>0</v>
      </c>
      <c r="F189" s="267">
        <f>Input!D1127</f>
        <v>0</v>
      </c>
      <c r="G189" s="262" t="e">
        <f>-(C189-D189)/C189</f>
        <v>#DIV/0!</v>
      </c>
      <c r="H189" s="1012" t="e">
        <f>-(C189-D189)/C189</f>
        <v>#DIV/0!</v>
      </c>
    </row>
    <row r="190" spans="2:8" ht="15" customHeight="1" x14ac:dyDescent="0.25">
      <c r="B190" s="223" t="s">
        <v>64</v>
      </c>
      <c r="C190" s="1021">
        <f>Input!B1119</f>
        <v>6500</v>
      </c>
      <c r="D190" s="1021">
        <f>Input!C1119</f>
        <v>6498.5529830810328</v>
      </c>
      <c r="E190" s="195">
        <f>Input!D1119</f>
        <v>6500</v>
      </c>
      <c r="F190" s="195">
        <f>Input!D1119</f>
        <v>6500</v>
      </c>
      <c r="G190" s="1022" t="s">
        <v>284</v>
      </c>
      <c r="H190" s="1012">
        <f>-(C190-D190)/C190</f>
        <v>-2.2261798753341001E-4</v>
      </c>
    </row>
    <row r="191" spans="2:8" ht="4.5" customHeight="1" x14ac:dyDescent="0.25">
      <c r="B191" s="225"/>
      <c r="C191" s="241"/>
      <c r="D191" s="241"/>
      <c r="E191" s="241"/>
      <c r="F191" s="241"/>
      <c r="G191" s="263"/>
      <c r="H191" s="263"/>
    </row>
    <row r="192" spans="2:8" ht="4.5" customHeight="1" x14ac:dyDescent="0.25">
      <c r="B192" s="225"/>
      <c r="C192" s="241"/>
      <c r="D192" s="241"/>
      <c r="E192" s="241"/>
      <c r="F192" s="241"/>
      <c r="G192" s="263"/>
      <c r="H192" s="263"/>
    </row>
    <row r="193" spans="2:8" ht="15" customHeight="1" x14ac:dyDescent="0.25">
      <c r="B193" s="251" t="str">
        <f>Input!B1302</f>
        <v>Employed Lawyers</v>
      </c>
      <c r="C193" s="254"/>
      <c r="D193" s="254"/>
      <c r="E193" s="254"/>
      <c r="F193" s="254"/>
      <c r="G193" s="264"/>
      <c r="H193" s="264"/>
    </row>
    <row r="194" spans="2:8" ht="27" customHeight="1" x14ac:dyDescent="0.25">
      <c r="B194" s="679" t="s">
        <v>60</v>
      </c>
      <c r="C194" s="1103" t="s">
        <v>284</v>
      </c>
      <c r="D194" s="1103" t="s">
        <v>284</v>
      </c>
      <c r="E194" s="243">
        <f>Input!D1173</f>
        <v>0</v>
      </c>
      <c r="F194" s="243" t="str">
        <f>Input!D1307</f>
        <v>Federal Insurance Company (Chubb)</v>
      </c>
      <c r="G194" s="265" t="s">
        <v>284</v>
      </c>
      <c r="H194" s="1014" t="s">
        <v>284</v>
      </c>
    </row>
    <row r="195" spans="2:8" ht="15" customHeight="1" x14ac:dyDescent="0.25">
      <c r="B195" s="223" t="str">
        <f>Input!B1322</f>
        <v>Number of Lawyers</v>
      </c>
      <c r="C195" s="1104" t="s">
        <v>284</v>
      </c>
      <c r="D195" s="1104" t="s">
        <v>284</v>
      </c>
      <c r="E195" s="267" t="str">
        <f>Input!E1189</f>
        <v>Commission % - Option II</v>
      </c>
      <c r="F195" s="267">
        <f>Input!E1322</f>
        <v>1</v>
      </c>
      <c r="G195" s="262">
        <f>Input!E1190</f>
        <v>0</v>
      </c>
      <c r="H195" s="1012">
        <f>Input!E1190</f>
        <v>0</v>
      </c>
    </row>
    <row r="196" spans="2:8" ht="15" customHeight="1" x14ac:dyDescent="0.25">
      <c r="B196" s="223" t="s">
        <v>64</v>
      </c>
      <c r="C196" s="1021" t="s">
        <v>284</v>
      </c>
      <c r="D196" s="1021" t="s">
        <v>284</v>
      </c>
      <c r="E196" s="195" t="str">
        <f>Input!D1183</f>
        <v>% Change Exp. Adj. vs. Option I</v>
      </c>
      <c r="F196" s="195">
        <f>Input!D1319</f>
        <v>1497</v>
      </c>
      <c r="G196" s="262" t="e">
        <f>-(D196-E196)/D196</f>
        <v>#VALUE!</v>
      </c>
      <c r="H196" s="1013">
        <v>0</v>
      </c>
    </row>
    <row r="197" spans="2:8" ht="5.25" customHeight="1" x14ac:dyDescent="0.25">
      <c r="B197" s="225"/>
      <c r="C197" s="241"/>
      <c r="D197" s="241"/>
      <c r="E197" s="241"/>
      <c r="F197" s="241"/>
      <c r="G197" s="263"/>
      <c r="H197" s="263"/>
    </row>
    <row r="198" spans="2:8" ht="15" hidden="1" customHeight="1" x14ac:dyDescent="0.25">
      <c r="B198" s="251" t="str">
        <f>Input!B1174</f>
        <v>Aircraft (Drone) Liability</v>
      </c>
      <c r="C198" s="254"/>
      <c r="D198" s="254"/>
      <c r="E198" s="254"/>
      <c r="F198" s="254"/>
      <c r="G198" s="264"/>
      <c r="H198" s="264"/>
    </row>
    <row r="199" spans="2:8" ht="15" hidden="1" customHeight="1" x14ac:dyDescent="0.25">
      <c r="B199" s="679" t="s">
        <v>60</v>
      </c>
      <c r="C199" s="243" t="str">
        <f>Input!B1178</f>
        <v>Global Aerospace</v>
      </c>
      <c r="D199" s="243" t="str">
        <f>Input!C1178</f>
        <v>Global Aerospace</v>
      </c>
      <c r="E199" s="243" t="str">
        <f>Input!D1178</f>
        <v>Global Aerospace</v>
      </c>
      <c r="F199" s="243">
        <f>Input!E1178</f>
        <v>0</v>
      </c>
      <c r="G199" s="265" t="s">
        <v>284</v>
      </c>
      <c r="H199" s="1014" t="s">
        <v>284</v>
      </c>
    </row>
    <row r="200" spans="2:8" ht="15" hidden="1" customHeight="1" x14ac:dyDescent="0.25">
      <c r="B200" s="223" t="str">
        <f>Input!B1194</f>
        <v>Number of Drones</v>
      </c>
      <c r="C200" s="267">
        <f>Input!C1194</f>
        <v>0</v>
      </c>
      <c r="D200" s="267">
        <f>Input!E1194</f>
        <v>0</v>
      </c>
      <c r="E200" s="267">
        <f>Input!E1194</f>
        <v>0</v>
      </c>
      <c r="F200" s="267">
        <f>Input!E1194</f>
        <v>0</v>
      </c>
      <c r="G200" s="262" t="e">
        <f>Input!E1195</f>
        <v>#DIV/0!</v>
      </c>
      <c r="H200" s="1012" t="e">
        <f>Input!E1195</f>
        <v>#DIV/0!</v>
      </c>
    </row>
    <row r="201" spans="2:8" hidden="1" x14ac:dyDescent="0.25">
      <c r="B201" s="223" t="s">
        <v>64</v>
      </c>
      <c r="C201" s="195">
        <f>Input!B1188</f>
        <v>0</v>
      </c>
      <c r="D201" s="195" t="e">
        <f>Input!C1188</f>
        <v>#DIV/0!</v>
      </c>
      <c r="E201" s="195">
        <f>Input!D1188</f>
        <v>0</v>
      </c>
      <c r="F201" s="195">
        <f>Input!E1188</f>
        <v>0</v>
      </c>
      <c r="G201" s="262" t="e">
        <f>-(D201-E201)/D201</f>
        <v>#DIV/0!</v>
      </c>
      <c r="H201" s="1012" t="e">
        <f>-(D201-F201)/D201</f>
        <v>#DIV/0!</v>
      </c>
    </row>
    <row r="202" spans="2:8" ht="7.5" customHeight="1" x14ac:dyDescent="0.25">
      <c r="B202" s="225"/>
      <c r="C202" s="213"/>
      <c r="D202" s="213"/>
      <c r="E202" s="213"/>
      <c r="F202" s="213"/>
      <c r="G202" s="225"/>
      <c r="H202" s="225"/>
    </row>
    <row r="203" spans="2:8" ht="15.75" thickBot="1" x14ac:dyDescent="0.3">
      <c r="B203" s="420" t="s">
        <v>1626</v>
      </c>
      <c r="C203" s="421">
        <f>C155+C142+C136+C118+C124+C130+C171+C178+C190+C112+C106</f>
        <v>731511.2</v>
      </c>
      <c r="D203" s="421">
        <f>D155+D142+D136+D118+D124+D130+D171+D178+D190+D112+D106</f>
        <v>944440.9380667028</v>
      </c>
      <c r="E203" s="421">
        <f>E155+E142+E136+E112+E106</f>
        <v>430516</v>
      </c>
      <c r="F203" s="421">
        <f>F155+F142+F136+F118+F124+F130+F171+F178+F190+F196+F112+F106</f>
        <v>783652.4</v>
      </c>
      <c r="G203" s="986">
        <f>-(D203-E203)/D203</f>
        <v>-0.54415783703607934</v>
      </c>
      <c r="H203" s="1017">
        <f>-(D203-F203)/D203</f>
        <v>-0.17024731943094445</v>
      </c>
    </row>
    <row r="204" spans="2:8" ht="15.75" thickTop="1" x14ac:dyDescent="0.25">
      <c r="B204" s="462"/>
      <c r="C204" s="976"/>
      <c r="D204" s="976"/>
      <c r="E204" s="976"/>
      <c r="F204" s="976"/>
      <c r="G204" s="987"/>
      <c r="H204" s="987"/>
    </row>
    <row r="205" spans="2:8" ht="15.75" thickBot="1" x14ac:dyDescent="0.3">
      <c r="B205" s="420" t="s">
        <v>1826</v>
      </c>
      <c r="C205" s="421">
        <f>C65</f>
        <v>305947.16000000003</v>
      </c>
      <c r="D205" s="421">
        <f>D65</f>
        <v>396949.74489563436</v>
      </c>
      <c r="E205" s="421">
        <f>SUM(E12,E21,E33,E39,E45,E27)</f>
        <v>263841.02</v>
      </c>
      <c r="F205" s="421">
        <f>F65</f>
        <v>306743.90000000002</v>
      </c>
      <c r="G205" s="986">
        <f>-(D205-E205)/D205</f>
        <v>-0.33532890903011198</v>
      </c>
      <c r="H205" s="1017">
        <f>-(D205-F205)/D205</f>
        <v>-0.22724751950489644</v>
      </c>
    </row>
    <row r="206" spans="2:8" ht="15.75" thickTop="1" x14ac:dyDescent="0.25">
      <c r="B206" s="462"/>
      <c r="C206" s="976"/>
      <c r="D206" s="976"/>
      <c r="E206" s="976"/>
      <c r="F206" s="976"/>
      <c r="G206" s="987"/>
      <c r="H206" s="987"/>
    </row>
    <row r="207" spans="2:8" ht="15.75" thickBot="1" x14ac:dyDescent="0.3">
      <c r="B207" s="420" t="s">
        <v>1827</v>
      </c>
      <c r="C207" s="421">
        <f>C98</f>
        <v>81494.05</v>
      </c>
      <c r="D207" s="421">
        <f>D98</f>
        <v>97124.347683736574</v>
      </c>
      <c r="E207" s="421">
        <f>E98</f>
        <v>81798</v>
      </c>
      <c r="F207" s="421">
        <f>F98</f>
        <v>81798</v>
      </c>
      <c r="G207" s="986">
        <f>-(D207-E207)/D207</f>
        <v>-0.15780129338570542</v>
      </c>
      <c r="H207" s="1017">
        <f>-(D207-F207)/D207</f>
        <v>-0.15780129338570542</v>
      </c>
    </row>
    <row r="208" spans="2:8" ht="15.75" thickTop="1" x14ac:dyDescent="0.25">
      <c r="B208" s="462"/>
      <c r="C208" s="976"/>
      <c r="D208" s="976"/>
      <c r="E208" s="976"/>
      <c r="F208" s="976"/>
      <c r="G208" s="987"/>
      <c r="H208" s="987"/>
    </row>
    <row r="209" spans="1:11" ht="15.75" hidden="1" thickBot="1" x14ac:dyDescent="0.3">
      <c r="B209" s="420" t="s">
        <v>1626</v>
      </c>
      <c r="C209" s="421">
        <f>C203</f>
        <v>731511.2</v>
      </c>
      <c r="D209" s="421">
        <f>D203</f>
        <v>944440.9380667028</v>
      </c>
      <c r="E209" s="421">
        <f>E203</f>
        <v>430516</v>
      </c>
      <c r="F209" s="421">
        <f>F203</f>
        <v>783652.4</v>
      </c>
      <c r="G209" s="986">
        <f>-(D209-E209)/D209</f>
        <v>-0.54415783703607934</v>
      </c>
      <c r="H209" s="1017">
        <f>-(D209-F209)/D209</f>
        <v>-0.17024731943094445</v>
      </c>
    </row>
    <row r="210" spans="1:11" ht="15.75" hidden="1" customHeight="1" x14ac:dyDescent="0.25">
      <c r="B210" s="225"/>
      <c r="C210" s="213"/>
      <c r="D210" s="213"/>
      <c r="E210" s="213"/>
      <c r="F210" s="213"/>
      <c r="G210" s="225"/>
      <c r="H210" s="225"/>
    </row>
    <row r="211" spans="1:11" ht="15.75" thickBot="1" x14ac:dyDescent="0.3">
      <c r="B211" s="311" t="s">
        <v>307</v>
      </c>
      <c r="C211" s="312">
        <f>C203+C205+C207</f>
        <v>1118952.4099999999</v>
      </c>
      <c r="D211" s="312">
        <f>D203+D205+D207</f>
        <v>1438515.0306460736</v>
      </c>
      <c r="E211" s="312">
        <f>E203+E205+E207</f>
        <v>776155.02</v>
      </c>
      <c r="F211" s="312">
        <f>F203+F205+F207</f>
        <v>1172194.3</v>
      </c>
      <c r="G211" s="313">
        <f>-(D211-E211)/D211</f>
        <v>-0.46044705584243423</v>
      </c>
      <c r="H211" s="1019">
        <f>-(D211-F211)/D211</f>
        <v>-0.18513586926266748</v>
      </c>
    </row>
    <row r="212" spans="1:11" ht="5.25" customHeight="1" thickTop="1" x14ac:dyDescent="0.25">
      <c r="B212" s="225"/>
      <c r="C212" s="213"/>
      <c r="D212" s="213"/>
      <c r="E212" s="213"/>
      <c r="F212" s="213"/>
      <c r="G212" s="225"/>
      <c r="H212" s="225"/>
    </row>
    <row r="213" spans="1:11" x14ac:dyDescent="0.25">
      <c r="B213" s="255" t="s">
        <v>61</v>
      </c>
      <c r="C213" s="213"/>
      <c r="D213" s="213"/>
      <c r="E213" s="213"/>
      <c r="F213" s="213"/>
      <c r="G213" s="225"/>
      <c r="H213" s="225"/>
    </row>
    <row r="214" spans="1:11" ht="14.45" customHeight="1" x14ac:dyDescent="0.25">
      <c r="A214" s="213"/>
      <c r="B214" s="1155" t="s">
        <v>636</v>
      </c>
      <c r="C214" s="1155"/>
      <c r="D214" s="1155"/>
      <c r="E214" s="1155"/>
      <c r="F214" s="1155"/>
      <c r="G214" s="213"/>
      <c r="H214" s="213"/>
      <c r="I214" s="245"/>
      <c r="J214" s="245"/>
      <c r="K214" s="245"/>
    </row>
    <row r="215" spans="1:11" ht="15" customHeight="1" x14ac:dyDescent="0.25">
      <c r="B215" s="213" t="s">
        <v>507</v>
      </c>
      <c r="C215" s="213"/>
      <c r="D215" s="213"/>
      <c r="E215" s="213"/>
      <c r="F215" s="213"/>
      <c r="G215" s="213"/>
      <c r="H215" s="213"/>
      <c r="I215" s="245"/>
      <c r="J215" s="245"/>
      <c r="K215" s="245"/>
    </row>
    <row r="216" spans="1:11" ht="15.6" customHeight="1" x14ac:dyDescent="0.25">
      <c r="B216" s="1155" t="s">
        <v>508</v>
      </c>
      <c r="C216" s="1155"/>
      <c r="D216" s="1155"/>
      <c r="E216" s="213"/>
      <c r="F216" s="213"/>
      <c r="G216" s="213"/>
      <c r="H216" s="213"/>
      <c r="I216" s="245"/>
      <c r="J216" s="245"/>
      <c r="K216" s="245"/>
    </row>
    <row r="217" spans="1:11" hidden="1" x14ac:dyDescent="0.25">
      <c r="B217" s="1002" t="s">
        <v>1898</v>
      </c>
      <c r="C217" s="567"/>
      <c r="D217" s="567"/>
      <c r="E217" s="213"/>
      <c r="F217" s="213"/>
      <c r="G217" s="213"/>
      <c r="H217" s="213"/>
      <c r="I217" s="245"/>
      <c r="J217" s="245"/>
      <c r="K217" s="245"/>
    </row>
    <row r="218" spans="1:11" ht="27.95" customHeight="1" x14ac:dyDescent="0.25">
      <c r="B218" s="1135" t="s">
        <v>2011</v>
      </c>
      <c r="C218" s="1158"/>
      <c r="D218" s="1158"/>
      <c r="E218" s="1158"/>
      <c r="F218" s="1158"/>
      <c r="G218" s="1158"/>
      <c r="H218" s="1252"/>
    </row>
    <row r="219" spans="1:11" ht="15" customHeight="1" x14ac:dyDescent="0.25">
      <c r="B219" s="1135" t="s">
        <v>2137</v>
      </c>
      <c r="C219" s="1158"/>
      <c r="D219" s="1158"/>
      <c r="E219" s="1158"/>
      <c r="F219" s="1158"/>
      <c r="G219" s="1158"/>
      <c r="H219" s="1252"/>
    </row>
    <row r="220" spans="1:11" x14ac:dyDescent="0.25">
      <c r="B220" s="1076" t="s">
        <v>2021</v>
      </c>
    </row>
    <row r="221" spans="1:11" x14ac:dyDescent="0.25">
      <c r="B221" s="1076" t="s">
        <v>2136</v>
      </c>
    </row>
  </sheetData>
  <mergeCells count="13">
    <mergeCell ref="B219:H219"/>
    <mergeCell ref="B218:H218"/>
    <mergeCell ref="B4:B5"/>
    <mergeCell ref="B216:D216"/>
    <mergeCell ref="G4:H4"/>
    <mergeCell ref="C4:C5"/>
    <mergeCell ref="D4:D5"/>
    <mergeCell ref="E4:E5"/>
    <mergeCell ref="F4:F5"/>
    <mergeCell ref="B6:H6"/>
    <mergeCell ref="B67:H67"/>
    <mergeCell ref="B100:H100"/>
    <mergeCell ref="B214:F214"/>
  </mergeCells>
  <printOptions horizontalCentered="1"/>
  <pageMargins left="0.19685039370078741" right="0.19685039370078741" top="1.1811023622047245" bottom="1.2598425196850394" header="0.31496062992125984" footer="0.31496062992125984"/>
  <pageSetup fitToHeight="0" orientation="landscape" r:id="rId1"/>
  <headerFooter scaleWithDoc="0">
    <oddHeader>&amp;L&amp;"Calibri,Bold"&amp;14 Renewal Summary</oddHeader>
    <oddFooter>&amp;L&amp;G&amp;CPage &amp;P of &amp;N</oddFooter>
  </headerFooter>
  <rowBreaks count="9" manualBreakCount="9">
    <brk id="28" min="1" max="7" man="1"/>
    <brk id="46" min="1" max="7" man="1"/>
    <brk id="65" min="1" max="7" man="1"/>
    <brk id="90" min="1" max="7" man="1"/>
    <brk id="99" min="1" max="7" man="1"/>
    <brk id="119" min="1" max="7" man="1"/>
    <brk id="137" min="1" max="7" man="1"/>
    <brk id="172" min="1" max="7" man="1"/>
    <brk id="212" min="1" max="7"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pageSetUpPr fitToPage="1"/>
  </sheetPr>
  <dimension ref="A1:J260"/>
  <sheetViews>
    <sheetView showGridLines="0" zoomScaleNormal="100" zoomScaleSheetLayoutView="115" workbookViewId="0">
      <selection activeCell="H106" sqref="H106"/>
    </sheetView>
  </sheetViews>
  <sheetFormatPr defaultColWidth="9.140625" defaultRowHeight="15" x14ac:dyDescent="0.25"/>
  <cols>
    <col min="1" max="1" width="2.28515625" style="248" customWidth="1"/>
    <col min="2" max="2" width="42.85546875" style="212" customWidth="1"/>
    <col min="3" max="5" width="16" style="245" customWidth="1"/>
    <col min="6" max="6" width="9.85546875" style="269" customWidth="1"/>
    <col min="7" max="9" width="13.28515625" style="212" customWidth="1"/>
    <col min="10" max="10" width="11.140625" style="212" bestFit="1" customWidth="1"/>
    <col min="11" max="16384" width="9.140625" style="212"/>
  </cols>
  <sheetData>
    <row r="1" spans="2:6" ht="7.5" customHeight="1" x14ac:dyDescent="0.25"/>
    <row r="2" spans="2:6" ht="15.75" x14ac:dyDescent="0.25">
      <c r="B2" s="249" t="s">
        <v>58</v>
      </c>
    </row>
    <row r="3" spans="2:6" ht="4.5" customHeight="1" x14ac:dyDescent="0.25">
      <c r="D3" s="366"/>
      <c r="E3" s="250"/>
      <c r="F3" s="270"/>
    </row>
    <row r="4" spans="2:6" ht="15" customHeight="1" x14ac:dyDescent="0.25">
      <c r="B4" s="1253" t="s">
        <v>59</v>
      </c>
      <c r="C4" s="1256" t="s">
        <v>62</v>
      </c>
      <c r="D4" s="1256" t="s">
        <v>3</v>
      </c>
      <c r="E4" s="1256" t="s">
        <v>63</v>
      </c>
      <c r="F4" s="1265" t="s">
        <v>13</v>
      </c>
    </row>
    <row r="5" spans="2:6" x14ac:dyDescent="0.25">
      <c r="B5" s="1253"/>
      <c r="C5" s="1256"/>
      <c r="D5" s="1256"/>
      <c r="E5" s="1256"/>
      <c r="F5" s="1266"/>
    </row>
    <row r="6" spans="2:6" x14ac:dyDescent="0.25">
      <c r="B6" s="1259" t="s">
        <v>1622</v>
      </c>
      <c r="C6" s="1259"/>
      <c r="D6" s="1259"/>
      <c r="E6" s="1259"/>
      <c r="F6" s="1260"/>
    </row>
    <row r="7" spans="2:6" ht="6.75" customHeight="1" x14ac:dyDescent="0.25">
      <c r="B7" s="947"/>
      <c r="C7" s="947"/>
      <c r="D7" s="947"/>
      <c r="E7" s="947"/>
      <c r="F7" s="948"/>
    </row>
    <row r="8" spans="2:6" x14ac:dyDescent="0.25">
      <c r="B8" s="251" t="str">
        <f>Input!B8</f>
        <v>Contractor's Professional &amp; Pollution Liability</v>
      </c>
      <c r="C8" s="222"/>
      <c r="D8" s="222"/>
      <c r="E8" s="222"/>
      <c r="F8" s="271"/>
    </row>
    <row r="9" spans="2:6" ht="30" customHeight="1" x14ac:dyDescent="0.25">
      <c r="B9" s="446" t="s">
        <v>60</v>
      </c>
      <c r="C9" s="396" t="str">
        <f>Input!B13</f>
        <v>Columbia Casualty Company (CNA)</v>
      </c>
      <c r="D9" s="396" t="str">
        <f>Input!C13</f>
        <v>Columbia Casualty Company (CNA)</v>
      </c>
      <c r="E9" s="396" t="str">
        <f>Input!D13</f>
        <v>Columbia Casualty Company (CNA)</v>
      </c>
      <c r="F9" s="397" t="s">
        <v>284</v>
      </c>
    </row>
    <row r="10" spans="2:6" x14ac:dyDescent="0.25">
      <c r="B10" s="681" t="str">
        <f>Input!B33</f>
        <v>Exposure Base - Prior 12 Months</v>
      </c>
      <c r="C10" s="398">
        <f>Input!C40</f>
        <v>27600000</v>
      </c>
      <c r="D10" s="398">
        <f>Input!E40</f>
        <v>87400000</v>
      </c>
      <c r="E10" s="398">
        <f>Input!E40</f>
        <v>87400000</v>
      </c>
      <c r="F10" s="401">
        <f>Input!G157</f>
        <v>0</v>
      </c>
    </row>
    <row r="11" spans="2:6" x14ac:dyDescent="0.25">
      <c r="B11" s="400" t="str">
        <f>Input!B18</f>
        <v>Blended Rate per $100 of Exposure</v>
      </c>
      <c r="C11" s="975">
        <f>Input!B19</f>
        <v>0.12130072463768116</v>
      </c>
      <c r="D11" s="975">
        <f>Input!C19</f>
        <v>0.12130072463768116</v>
      </c>
      <c r="E11" s="975">
        <f>Input!D19</f>
        <v>8.7171624713958812E-2</v>
      </c>
      <c r="F11" s="404">
        <f>-(D11-E11)/D11</f>
        <v>-0.28135940676087601</v>
      </c>
    </row>
    <row r="12" spans="2:6" x14ac:dyDescent="0.25">
      <c r="B12" s="400" t="s">
        <v>64</v>
      </c>
      <c r="C12" s="398">
        <f>Input!B29</f>
        <v>34818.160000000003</v>
      </c>
      <c r="D12" s="398">
        <f>Input!C29</f>
        <v>110257.50666666667</v>
      </c>
      <c r="E12" s="398">
        <f>Input!D29</f>
        <v>79235.520000000004</v>
      </c>
      <c r="F12" s="401">
        <f>-(D12-E12)/D12</f>
        <v>-0.28135940676087601</v>
      </c>
    </row>
    <row r="13" spans="2:6" ht="3" customHeight="1" x14ac:dyDescent="0.25">
      <c r="B13" s="947"/>
      <c r="C13" s="947"/>
      <c r="D13" s="947"/>
      <c r="E13" s="947"/>
      <c r="F13" s="948"/>
    </row>
    <row r="14" spans="2:6" x14ac:dyDescent="0.25">
      <c r="B14" s="406" t="str">
        <f>Input!B184</f>
        <v>T5CS Commercial General Liability</v>
      </c>
      <c r="C14" s="407"/>
      <c r="D14" s="407"/>
      <c r="E14" s="407"/>
      <c r="F14" s="408"/>
    </row>
    <row r="15" spans="2:6" ht="45" customHeight="1" x14ac:dyDescent="0.25">
      <c r="B15" s="446" t="s">
        <v>60</v>
      </c>
      <c r="C15" s="396" t="str">
        <f>Input!B189</f>
        <v>Continental Insurance Company (CNA)</v>
      </c>
      <c r="D15" s="396" t="str">
        <f>Input!C189</f>
        <v>Continental Insurance Company (CNA)</v>
      </c>
      <c r="E15" s="396" t="str">
        <f>Input!D189</f>
        <v>Continental Insurance Company (CNA)</v>
      </c>
      <c r="F15" s="397" t="s">
        <v>284</v>
      </c>
    </row>
    <row r="16" spans="2:6" x14ac:dyDescent="0.25">
      <c r="B16" s="400" t="str">
        <f>Input!B207 &amp; " (" &amp; Input!B209 &amp; ")"</f>
        <v>Exposure Base (Subcontracted Work)</v>
      </c>
      <c r="C16" s="398">
        <f>Input!C209</f>
        <v>60000000</v>
      </c>
      <c r="D16" s="398">
        <f>Input!E209</f>
        <v>40000000</v>
      </c>
      <c r="E16" s="398">
        <f>Input!E209</f>
        <v>40000000</v>
      </c>
      <c r="F16" s="399">
        <f>Input!E211</f>
        <v>1.0666666666666667</v>
      </c>
    </row>
    <row r="17" spans="2:6" x14ac:dyDescent="0.25">
      <c r="B17" s="400" t="str">
        <f>Input!B194</f>
        <v>Blended Rate per $1,000 of Exposure</v>
      </c>
      <c r="C17" s="654">
        <f>Input!B195</f>
        <v>1.3619832582099163</v>
      </c>
      <c r="D17" s="654">
        <f>Input!C195</f>
        <v>1.3619832582099163</v>
      </c>
      <c r="E17" s="654">
        <f>Input!D195</f>
        <v>2.3709500000000001</v>
      </c>
      <c r="F17" s="401">
        <f>-(D17-E17)/D17</f>
        <v>0.74080700750770634</v>
      </c>
    </row>
    <row r="18" spans="2:6" x14ac:dyDescent="0.25">
      <c r="B18" s="400" t="s">
        <v>64</v>
      </c>
      <c r="C18" s="398">
        <f>Input!B203</f>
        <v>105758</v>
      </c>
      <c r="D18" s="398">
        <f>Input!C203</f>
        <v>130750.39278815196</v>
      </c>
      <c r="E18" s="398">
        <f>Input!D203</f>
        <v>94838</v>
      </c>
      <c r="F18" s="401">
        <f>-(D18-E18)/D18</f>
        <v>-0.27466374687178907</v>
      </c>
    </row>
    <row r="19" spans="2:6" ht="8.25" customHeight="1" x14ac:dyDescent="0.25"/>
    <row r="20" spans="2:6" x14ac:dyDescent="0.25">
      <c r="B20" s="406" t="str">
        <f>Input!B444</f>
        <v>T5CS Business Auto</v>
      </c>
      <c r="C20" s="407"/>
      <c r="D20" s="407"/>
      <c r="E20" s="407"/>
      <c r="F20" s="408"/>
    </row>
    <row r="21" spans="2:6" ht="45" customHeight="1" x14ac:dyDescent="0.25">
      <c r="B21" s="446" t="s">
        <v>60</v>
      </c>
      <c r="C21" s="396" t="str">
        <f>Input!B449</f>
        <v>Continental Casualty Company (CNA)</v>
      </c>
      <c r="D21" s="396" t="str">
        <f>Input!C449</f>
        <v>Continental Casualty Company (CNA)</v>
      </c>
      <c r="E21" s="396" t="str">
        <f>Input!D449</f>
        <v>Continental Casualty Company (CNA)</v>
      </c>
      <c r="F21" s="397" t="s">
        <v>284</v>
      </c>
    </row>
    <row r="22" spans="2:6" x14ac:dyDescent="0.25">
      <c r="B22" s="673" t="s">
        <v>1463</v>
      </c>
      <c r="C22" s="831">
        <f>Input!C469</f>
        <v>8</v>
      </c>
      <c r="D22" s="831">
        <v>75</v>
      </c>
      <c r="E22" s="831">
        <f>Input!E469</f>
        <v>8</v>
      </c>
      <c r="F22" s="401">
        <f>Input!F469</f>
        <v>0</v>
      </c>
    </row>
    <row r="23" spans="2:6" x14ac:dyDescent="0.25">
      <c r="B23" s="673" t="s">
        <v>1464</v>
      </c>
      <c r="C23" s="398">
        <f>Input!C470</f>
        <v>9600</v>
      </c>
      <c r="D23" s="398">
        <v>6000</v>
      </c>
      <c r="E23" s="398">
        <f>Input!E470</f>
        <v>9600</v>
      </c>
      <c r="F23" s="401">
        <f>Input!E477</f>
        <v>0</v>
      </c>
    </row>
    <row r="24" spans="2:6" hidden="1" x14ac:dyDescent="0.25">
      <c r="B24" s="400" t="str">
        <f>Input!B454</f>
        <v>Blended Rate per $100 of Exposure</v>
      </c>
      <c r="C24" s="654">
        <f>Input!B455</f>
        <v>88.5</v>
      </c>
      <c r="D24" s="654">
        <f>Input!C455</f>
        <v>88.5</v>
      </c>
      <c r="E24" s="654">
        <f>Input!D455</f>
        <v>96.25</v>
      </c>
      <c r="F24" s="401">
        <f>-(D24-E24)/D24</f>
        <v>8.7570621468926552E-2</v>
      </c>
    </row>
    <row r="25" spans="2:6" x14ac:dyDescent="0.25">
      <c r="B25" s="400" t="s">
        <v>64</v>
      </c>
      <c r="C25" s="398">
        <f>Input!B463</f>
        <v>708</v>
      </c>
      <c r="D25" s="398">
        <f>Input!C463</f>
        <v>708</v>
      </c>
      <c r="E25" s="398">
        <f>Input!D463</f>
        <v>770</v>
      </c>
      <c r="F25" s="401">
        <f>-(D25-E25)/D25</f>
        <v>8.7570621468926552E-2</v>
      </c>
    </row>
    <row r="26" spans="2:6" ht="8.25" customHeight="1" x14ac:dyDescent="0.25"/>
    <row r="27" spans="2:6" x14ac:dyDescent="0.25">
      <c r="B27" s="406" t="str">
        <f>Input!B359</f>
        <v>T5CS Umbrella</v>
      </c>
      <c r="C27" s="407"/>
      <c r="D27" s="407"/>
      <c r="E27" s="407"/>
      <c r="F27" s="408"/>
    </row>
    <row r="28" spans="2:6" ht="45" customHeight="1" x14ac:dyDescent="0.25">
      <c r="B28" s="446" t="s">
        <v>60</v>
      </c>
      <c r="C28" s="396" t="str">
        <f>Input!B364</f>
        <v>The Continental Insurance Company (CNA)</v>
      </c>
      <c r="D28" s="396" t="str">
        <f>Input!C364</f>
        <v>The Continental Insurance Company (CNA)</v>
      </c>
      <c r="E28" s="396" t="str">
        <f>Input!D364</f>
        <v>The Continental Insurance Company (CNA)</v>
      </c>
      <c r="F28" s="397" t="s">
        <v>284</v>
      </c>
    </row>
    <row r="29" spans="2:6" x14ac:dyDescent="0.25">
      <c r="B29" s="400" t="str">
        <f>Input!B382</f>
        <v>Exposure Base - GL Premium</v>
      </c>
      <c r="C29" s="398">
        <f>Input!C386</f>
        <v>106466</v>
      </c>
      <c r="D29" s="398">
        <f>Input!E386</f>
        <v>95608</v>
      </c>
      <c r="E29" s="398">
        <f>Input!G386</f>
        <v>95608</v>
      </c>
      <c r="F29" s="833">
        <f>-(D29-E29)/D29</f>
        <v>0</v>
      </c>
    </row>
    <row r="30" spans="2:6" x14ac:dyDescent="0.25">
      <c r="B30" s="400" t="str">
        <f>Input!B369</f>
        <v>Blended Rate as Percentage of Exposure</v>
      </c>
      <c r="C30" s="834">
        <f>Input!B370</f>
        <v>0.47730730937576316</v>
      </c>
      <c r="D30" s="834">
        <f>Input!C370</f>
        <v>0.47730730937576316</v>
      </c>
      <c r="E30" s="834">
        <f>Input!D370</f>
        <v>0.49550246841268514</v>
      </c>
      <c r="F30" s="401">
        <f>-(D30-E30)/D30</f>
        <v>3.8120428243007966E-2</v>
      </c>
    </row>
    <row r="31" spans="2:6" x14ac:dyDescent="0.25">
      <c r="B31" s="400" t="s">
        <v>64</v>
      </c>
      <c r="C31" s="398">
        <f>Input!B378</f>
        <v>50817</v>
      </c>
      <c r="D31" s="398">
        <f>Input!C378</f>
        <v>45634.397234797965</v>
      </c>
      <c r="E31" s="398">
        <f>Input!D378</f>
        <v>47374</v>
      </c>
      <c r="F31" s="401">
        <f>-(D31-E31)/D31</f>
        <v>3.8120428243007917E-2</v>
      </c>
    </row>
    <row r="32" spans="2:6" ht="8.25" customHeight="1" x14ac:dyDescent="0.25"/>
    <row r="33" spans="2:6" x14ac:dyDescent="0.25">
      <c r="B33" s="406" t="str">
        <f>Input!B403</f>
        <v>T5CS 1st Excess Liability</v>
      </c>
      <c r="C33" s="416"/>
      <c r="D33" s="416"/>
      <c r="E33" s="416"/>
      <c r="F33" s="417"/>
    </row>
    <row r="34" spans="2:6" ht="33" customHeight="1" x14ac:dyDescent="0.25">
      <c r="B34" s="446" t="s">
        <v>267</v>
      </c>
      <c r="C34" s="396" t="str">
        <f>Input!B408</f>
        <v xml:space="preserve">RSUI Indemnity Company </v>
      </c>
      <c r="D34" s="396" t="str">
        <f>Input!C408</f>
        <v xml:space="preserve">RSUI Indemnity Company </v>
      </c>
      <c r="E34" s="396" t="str">
        <f>Input!D408</f>
        <v xml:space="preserve">RSUI Indemnity Company </v>
      </c>
      <c r="F34" s="418" t="s">
        <v>284</v>
      </c>
    </row>
    <row r="35" spans="2:6" x14ac:dyDescent="0.25">
      <c r="B35" s="400" t="str">
        <f>Input!B426</f>
        <v>Exposure Base - Underlying Umbrella Premium</v>
      </c>
      <c r="C35" s="398">
        <f>Input!C429</f>
        <v>50817</v>
      </c>
      <c r="D35" s="398">
        <f>Input!E429</f>
        <v>45634.397234797965</v>
      </c>
      <c r="E35" s="398">
        <f>Input!E429</f>
        <v>45634.397234797965</v>
      </c>
      <c r="F35" s="401">
        <f>Input!E430</f>
        <v>-0.10198561042962069</v>
      </c>
    </row>
    <row r="36" spans="2:6" x14ac:dyDescent="0.25">
      <c r="B36" s="368" t="str">
        <f>Input!B413</f>
        <v>Rate as Percentage of Underlying Premium</v>
      </c>
      <c r="C36" s="410">
        <f>Input!B414</f>
        <v>0.79894523486234925</v>
      </c>
      <c r="D36" s="410">
        <f>Input!C414</f>
        <v>0.79894523486234925</v>
      </c>
      <c r="E36" s="410">
        <f>Input!D414</f>
        <v>0.82487229281884578</v>
      </c>
      <c r="F36" s="404">
        <f>-(D36-E36)/D36</f>
        <v>3.245160847722374E-2</v>
      </c>
    </row>
    <row r="37" spans="2:6" x14ac:dyDescent="0.25">
      <c r="B37" s="400" t="s">
        <v>64</v>
      </c>
      <c r="C37" s="398">
        <f>Input!B422</f>
        <v>41600</v>
      </c>
      <c r="D37" s="398">
        <f>Input!C422</f>
        <v>38849.231556368934</v>
      </c>
      <c r="E37" s="398">
        <f>Input!D422</f>
        <v>40077.5</v>
      </c>
      <c r="F37" s="401">
        <f>-(D37-E37)/D37</f>
        <v>3.16162867172518E-2</v>
      </c>
    </row>
    <row r="38" spans="2:6" ht="8.25" customHeight="1" x14ac:dyDescent="0.25"/>
    <row r="39" spans="2:6" x14ac:dyDescent="0.25">
      <c r="B39" s="406" t="str">
        <f>Input!B142</f>
        <v>T5CS 2nd Excess Liability</v>
      </c>
      <c r="C39" s="407"/>
      <c r="D39" s="407"/>
      <c r="E39" s="407"/>
      <c r="F39" s="408"/>
    </row>
    <row r="40" spans="2:6" ht="60" customHeight="1" x14ac:dyDescent="0.25">
      <c r="B40" s="446" t="s">
        <v>60</v>
      </c>
      <c r="C40" s="396" t="str">
        <f>Input!B147</f>
        <v>American Guarantee And Liability Insurance Company (Zurich)</v>
      </c>
      <c r="D40" s="396" t="str">
        <f>Input!C147</f>
        <v>American Guarantee And Liability Insurance Company (Zurich)</v>
      </c>
      <c r="E40" s="396" t="str">
        <f>Input!D147</f>
        <v>American Guarantee And Liability Insurance Company (Zurich)</v>
      </c>
      <c r="F40" s="397" t="s">
        <v>284</v>
      </c>
    </row>
    <row r="41" spans="2:6" x14ac:dyDescent="0.25">
      <c r="B41" s="400" t="str">
        <f>Input!B167</f>
        <v>Exposure Base - Underlying Premium</v>
      </c>
      <c r="C41" s="398">
        <f>Input!C169</f>
        <v>41600</v>
      </c>
      <c r="D41" s="398">
        <f>Input!E169</f>
        <v>40077.5</v>
      </c>
      <c r="E41" s="398">
        <f>Input!E169</f>
        <v>40077.5</v>
      </c>
      <c r="F41" s="401">
        <v>0</v>
      </c>
    </row>
    <row r="42" spans="2:6" x14ac:dyDescent="0.25">
      <c r="B42" s="368" t="str">
        <f>Input!B152</f>
        <v>Rate as Percentage of Underlying Premium</v>
      </c>
      <c r="C42" s="410">
        <f>Input!B153</f>
        <v>0.77449519230769226</v>
      </c>
      <c r="D42" s="410">
        <f>Input!C153</f>
        <v>0.77449519230769226</v>
      </c>
      <c r="E42" s="410">
        <f>Input!D153</f>
        <v>0.79131682365417</v>
      </c>
      <c r="F42" s="404">
        <f>-(D42-E42)/D42</f>
        <v>2.1719478072363324E-2</v>
      </c>
    </row>
    <row r="43" spans="2:6" x14ac:dyDescent="0.25">
      <c r="B43" s="400" t="s">
        <v>64</v>
      </c>
      <c r="C43" s="398">
        <f>Input!B163</f>
        <v>32219</v>
      </c>
      <c r="D43" s="398">
        <f>Input!C163</f>
        <v>31039.831069711538</v>
      </c>
      <c r="E43" s="398">
        <f>Input!D163</f>
        <v>31714</v>
      </c>
      <c r="F43" s="401">
        <f>-(D43-E43)/D43</f>
        <v>2.1719478072363352E-2</v>
      </c>
    </row>
    <row r="44" spans="2:6" x14ac:dyDescent="0.25">
      <c r="B44" s="964" t="s">
        <v>61</v>
      </c>
      <c r="C44" s="414"/>
      <c r="D44" s="414"/>
      <c r="E44" s="414"/>
      <c r="F44" s="415"/>
    </row>
    <row r="45" spans="2:6" x14ac:dyDescent="0.25">
      <c r="B45" s="1136" t="s">
        <v>1819</v>
      </c>
      <c r="C45" s="1136"/>
      <c r="D45" s="1136"/>
      <c r="E45" s="1136"/>
      <c r="F45" s="1261"/>
    </row>
    <row r="46" spans="2:6" x14ac:dyDescent="0.25">
      <c r="B46" s="965"/>
      <c r="C46" s="965"/>
      <c r="D46" s="965"/>
      <c r="E46" s="965"/>
      <c r="F46" s="966"/>
    </row>
    <row r="47" spans="2:6" x14ac:dyDescent="0.25">
      <c r="B47" s="406" t="str">
        <f>Input!B43</f>
        <v>T5CS 3rd Excess Liability</v>
      </c>
      <c r="C47" s="407"/>
      <c r="D47" s="407"/>
      <c r="E47" s="407"/>
      <c r="F47" s="408"/>
    </row>
    <row r="48" spans="2:6" ht="45.75" customHeight="1" x14ac:dyDescent="0.25">
      <c r="B48" s="446" t="s">
        <v>60</v>
      </c>
      <c r="C48" s="396" t="str">
        <f>Input!B48</f>
        <v>Travelers Property Casualty Company of America</v>
      </c>
      <c r="D48" s="396" t="str">
        <f>Input!C48</f>
        <v>Travelers Property Casualty Company of America</v>
      </c>
      <c r="E48" s="396" t="str">
        <f>Input!D48</f>
        <v>Travelers Property Casualty Company of America</v>
      </c>
      <c r="F48" s="397" t="s">
        <v>284</v>
      </c>
    </row>
    <row r="49" spans="2:10" x14ac:dyDescent="0.25">
      <c r="B49" s="400" t="str">
        <f>Input!B66</f>
        <v>Exposure Base - Underlying Premium</v>
      </c>
      <c r="C49" s="398">
        <f>Input!C68</f>
        <v>32219</v>
      </c>
      <c r="D49" s="398">
        <f>Input!E68</f>
        <v>31714</v>
      </c>
      <c r="E49" s="398">
        <f>Input!E68</f>
        <v>31714</v>
      </c>
      <c r="F49" s="401">
        <f>Input!E69</f>
        <v>-1.5673981191222569E-2</v>
      </c>
      <c r="I49" s="971"/>
      <c r="J49" s="850"/>
    </row>
    <row r="50" spans="2:10" x14ac:dyDescent="0.25">
      <c r="B50" s="368" t="str">
        <f>Input!B53</f>
        <v>Rate as Percentage of Underlying Premium</v>
      </c>
      <c r="C50" s="411">
        <f>Input!B54</f>
        <v>0.62695924764890287</v>
      </c>
      <c r="D50" s="411">
        <f>Input!C54</f>
        <v>0.62695924764890287</v>
      </c>
      <c r="E50" s="411">
        <f>Input!D54</f>
        <v>0.63694267515923564</v>
      </c>
      <c r="F50" s="974" t="s">
        <v>284</v>
      </c>
      <c r="I50" s="971"/>
    </row>
    <row r="51" spans="2:10" x14ac:dyDescent="0.25">
      <c r="B51" s="400" t="s">
        <v>64</v>
      </c>
      <c r="C51" s="972" t="s">
        <v>284</v>
      </c>
      <c r="D51" s="972" t="s">
        <v>284</v>
      </c>
      <c r="E51" s="398">
        <f>Input!D62</f>
        <v>20200</v>
      </c>
      <c r="F51" s="973" t="s">
        <v>284</v>
      </c>
    </row>
    <row r="52" spans="2:10" ht="8.25" customHeight="1" x14ac:dyDescent="0.25">
      <c r="J52" s="850"/>
    </row>
    <row r="53" spans="2:10" x14ac:dyDescent="0.25">
      <c r="B53" s="406" t="str">
        <f>Input!B608</f>
        <v>T5CS 4th Excess Liability</v>
      </c>
      <c r="C53" s="407"/>
      <c r="D53" s="407"/>
      <c r="E53" s="407"/>
      <c r="F53" s="408"/>
    </row>
    <row r="54" spans="2:10" ht="44.25" customHeight="1" x14ac:dyDescent="0.25">
      <c r="B54" s="446" t="s">
        <v>60</v>
      </c>
      <c r="C54" s="396" t="str">
        <f>Input!B613</f>
        <v>The Continental Insurance Company (CNA)</v>
      </c>
      <c r="D54" s="396" t="str">
        <f>Input!C613</f>
        <v>The Continental Insurance Company (CNA)</v>
      </c>
      <c r="E54" s="396" t="str">
        <f>Input!D613</f>
        <v>The Continental Insurance Company (CNA)</v>
      </c>
      <c r="F54" s="397" t="s">
        <v>284</v>
      </c>
    </row>
    <row r="55" spans="2:10" x14ac:dyDescent="0.25">
      <c r="B55" s="400" t="str">
        <f>Input!B631</f>
        <v>Exposure Base - Underlying Premium</v>
      </c>
      <c r="C55" s="398">
        <f>Input!C633</f>
        <v>20200</v>
      </c>
      <c r="D55" s="398">
        <f>Input!E633</f>
        <v>20200</v>
      </c>
      <c r="E55" s="398">
        <f>Input!E633</f>
        <v>20200</v>
      </c>
      <c r="F55" s="399">
        <f>Input!E634</f>
        <v>0</v>
      </c>
    </row>
    <row r="56" spans="2:10" x14ac:dyDescent="0.25">
      <c r="B56" s="400" t="str">
        <f>Input!B618</f>
        <v>Rate as Percentage of Underlying Premium</v>
      </c>
      <c r="C56" s="654">
        <f>Input!B619</f>
        <v>0.91584158415841588</v>
      </c>
      <c r="D56" s="654">
        <f>Input!C619</f>
        <v>0.91584158415841588</v>
      </c>
      <c r="E56" s="654">
        <f>Input!D619</f>
        <v>0.91584158415841588</v>
      </c>
      <c r="F56" s="401">
        <f>-(D56-E56)/D56</f>
        <v>0</v>
      </c>
    </row>
    <row r="57" spans="2:10" x14ac:dyDescent="0.25">
      <c r="B57" s="400" t="s">
        <v>64</v>
      </c>
      <c r="C57" s="398">
        <f>Input!B627</f>
        <v>18500</v>
      </c>
      <c r="D57" s="398">
        <f>Input!C627</f>
        <v>18500</v>
      </c>
      <c r="E57" s="398">
        <f>Input!D627</f>
        <v>18500</v>
      </c>
      <c r="F57" s="401">
        <f>-(D57-E57)/D57</f>
        <v>0</v>
      </c>
    </row>
    <row r="58" spans="2:10" x14ac:dyDescent="0.25">
      <c r="B58" s="964" t="s">
        <v>61</v>
      </c>
      <c r="C58" s="414"/>
      <c r="D58" s="414"/>
      <c r="E58" s="414"/>
      <c r="F58" s="415"/>
    </row>
    <row r="59" spans="2:10" x14ac:dyDescent="0.25">
      <c r="B59" s="1136" t="s">
        <v>1172</v>
      </c>
      <c r="C59" s="1136"/>
      <c r="D59" s="1136"/>
      <c r="E59" s="1136"/>
      <c r="F59" s="1261"/>
    </row>
    <row r="60" spans="2:10" ht="8.25" customHeight="1" x14ac:dyDescent="0.25"/>
    <row r="61" spans="2:10" ht="15.75" thickBot="1" x14ac:dyDescent="0.3">
      <c r="B61" s="420" t="s">
        <v>1490</v>
      </c>
      <c r="C61" s="421">
        <f>C57+C43+C37+C31+C25+C18+C12</f>
        <v>284420.16000000003</v>
      </c>
      <c r="D61" s="421">
        <f>D57+D43+D37+D31+D25+D18+D12</f>
        <v>375739.35931569705</v>
      </c>
      <c r="E61" s="421">
        <f>E57+E43+E37+E31+E25+E18+E12+E51</f>
        <v>332709.02</v>
      </c>
      <c r="F61" s="422">
        <f>-(D61-E61)/D61</f>
        <v>-0.11452177752701931</v>
      </c>
    </row>
    <row r="62" spans="2:10" ht="8.25" customHeight="1" thickTop="1" x14ac:dyDescent="0.25">
      <c r="B62" s="462"/>
      <c r="C62" s="976"/>
      <c r="D62" s="976"/>
      <c r="E62" s="976"/>
      <c r="F62" s="977"/>
    </row>
    <row r="63" spans="2:10" x14ac:dyDescent="0.25">
      <c r="B63" s="964" t="s">
        <v>61</v>
      </c>
      <c r="C63" s="414"/>
      <c r="D63" s="414"/>
      <c r="E63" s="414"/>
      <c r="F63" s="415"/>
    </row>
    <row r="64" spans="2:10" x14ac:dyDescent="0.25">
      <c r="B64" s="1136" t="s">
        <v>1172</v>
      </c>
      <c r="C64" s="1136"/>
      <c r="D64" s="1136"/>
      <c r="E64" s="1136"/>
      <c r="F64" s="1261"/>
    </row>
    <row r="65" spans="2:9" ht="8.25" customHeight="1" x14ac:dyDescent="0.25"/>
    <row r="66" spans="2:9" x14ac:dyDescent="0.25">
      <c r="B66" s="1259" t="s">
        <v>1625</v>
      </c>
      <c r="C66" s="1259"/>
      <c r="D66" s="1259"/>
      <c r="E66" s="1259"/>
      <c r="F66" s="1260"/>
    </row>
    <row r="67" spans="2:9" x14ac:dyDescent="0.25">
      <c r="B67" s="406" t="str">
        <f>Input!B955</f>
        <v>Technology Errors &amp; Omissions</v>
      </c>
      <c r="C67" s="416"/>
      <c r="D67" s="416"/>
      <c r="E67" s="416"/>
      <c r="F67" s="417"/>
    </row>
    <row r="68" spans="2:9" ht="45" customHeight="1" x14ac:dyDescent="0.25">
      <c r="B68" s="446" t="s">
        <v>60</v>
      </c>
      <c r="C68" s="396" t="str">
        <f>Input!B960</f>
        <v>Beazley</v>
      </c>
      <c r="D68" s="396" t="str">
        <f>Input!C960</f>
        <v>Beazley</v>
      </c>
      <c r="E68" s="396" t="str">
        <f>Input!D960</f>
        <v>Beazley</v>
      </c>
      <c r="F68" s="397" t="s">
        <v>284</v>
      </c>
    </row>
    <row r="69" spans="2:9" x14ac:dyDescent="0.25">
      <c r="B69" s="400" t="str">
        <f>Input!B980</f>
        <v>Exposure Base - Current 12 Months Revenue</v>
      </c>
      <c r="C69" s="398">
        <f>Input!C982</f>
        <v>146500000</v>
      </c>
      <c r="D69" s="398">
        <f>Input!E982</f>
        <v>287101547</v>
      </c>
      <c r="E69" s="398">
        <f>Input!E982</f>
        <v>287101547</v>
      </c>
      <c r="F69" s="399">
        <f>Input!E983</f>
        <v>0.95973752218430031</v>
      </c>
    </row>
    <row r="70" spans="2:9" ht="15" customHeight="1" x14ac:dyDescent="0.25">
      <c r="B70" s="400" t="str">
        <f>Input!B965</f>
        <v>Blended Rate per $100 of Exposure</v>
      </c>
      <c r="C70" s="654">
        <f>Input!B966</f>
        <v>8.8395904436860073E-2</v>
      </c>
      <c r="D70" s="654">
        <f>Input!C966</f>
        <v>8.8395904436860059E-2</v>
      </c>
      <c r="E70" s="654">
        <f>Input!D966</f>
        <v>5.7470954693253529E-2</v>
      </c>
      <c r="F70" s="401">
        <f>-(D70-E70)/D70</f>
        <v>-0.34984595655894651</v>
      </c>
    </row>
    <row r="71" spans="2:9" ht="15" customHeight="1" x14ac:dyDescent="0.25">
      <c r="B71" s="400" t="s">
        <v>64</v>
      </c>
      <c r="C71" s="398">
        <f>Input!B976</f>
        <v>134680</v>
      </c>
      <c r="D71" s="398">
        <f>Input!C976</f>
        <v>263937.44948778156</v>
      </c>
      <c r="E71" s="398">
        <f>Input!D976</f>
        <v>171600</v>
      </c>
      <c r="F71" s="401">
        <f>-(D71-E71)/D71</f>
        <v>-0.34984595655894646</v>
      </c>
    </row>
    <row r="72" spans="2:9" ht="15" hidden="1" customHeight="1" x14ac:dyDescent="0.25">
      <c r="B72" s="964" t="s">
        <v>61</v>
      </c>
      <c r="C72" s="414"/>
      <c r="D72" s="414"/>
      <c r="E72" s="414"/>
      <c r="F72" s="415"/>
    </row>
    <row r="73" spans="2:9" ht="30" hidden="1" customHeight="1" x14ac:dyDescent="0.25">
      <c r="B73" s="1136" t="s">
        <v>1780</v>
      </c>
      <c r="C73" s="1136"/>
      <c r="D73" s="1136"/>
      <c r="E73" s="1136"/>
      <c r="F73" s="1261"/>
    </row>
    <row r="74" spans="2:9" customFormat="1" ht="8.25" customHeight="1" x14ac:dyDescent="0.25"/>
    <row r="75" spans="2:9" ht="15" customHeight="1" x14ac:dyDescent="0.25">
      <c r="B75" s="406" t="str">
        <f>Input!B1043</f>
        <v>1st Excess Technology Errors &amp; Omissions</v>
      </c>
      <c r="C75" s="416"/>
      <c r="D75" s="416"/>
      <c r="E75" s="416"/>
      <c r="F75" s="417"/>
    </row>
    <row r="76" spans="2:9" ht="38.25" x14ac:dyDescent="0.25">
      <c r="B76" s="446" t="s">
        <v>60</v>
      </c>
      <c r="C76" s="396" t="str">
        <f>Input!B1048</f>
        <v>Indian Harbor Insurance Company (AXA XL)</v>
      </c>
      <c r="D76" s="396" t="str">
        <f>Input!C1048</f>
        <v>Indian Harbor Insurance Company (AXA XL)</v>
      </c>
      <c r="E76" s="396" t="str">
        <f>Input!D1048</f>
        <v>Indian Harbor Insurance Company (AXA XL)</v>
      </c>
      <c r="F76" s="418" t="s">
        <v>284</v>
      </c>
    </row>
    <row r="77" spans="2:9" ht="15" customHeight="1" x14ac:dyDescent="0.25">
      <c r="B77" s="400" t="str">
        <f>Input!B1069</f>
        <v>Underlying Policy Premium</v>
      </c>
      <c r="C77" s="398">
        <f>Input!C1069</f>
        <v>129500</v>
      </c>
      <c r="D77" s="398">
        <f>Input!E1069</f>
        <v>165000</v>
      </c>
      <c r="E77" s="398">
        <f>Input!E1069</f>
        <v>165000</v>
      </c>
      <c r="F77" s="401">
        <f>-(C77-D77)/C77</f>
        <v>0.27413127413127414</v>
      </c>
    </row>
    <row r="78" spans="2:9" ht="15" customHeight="1" x14ac:dyDescent="0.25">
      <c r="B78" s="400" t="s">
        <v>632</v>
      </c>
      <c r="C78" s="849">
        <f>Input!B1054</f>
        <v>0.9</v>
      </c>
      <c r="D78" s="849">
        <f>Input!C1054</f>
        <v>0.9</v>
      </c>
      <c r="E78" s="849">
        <f>Input!D1054</f>
        <v>0.8</v>
      </c>
      <c r="F78" s="401">
        <f>-(D78-E78)/D78</f>
        <v>-0.11111111111111108</v>
      </c>
    </row>
    <row r="79" spans="2:9" ht="15" customHeight="1" x14ac:dyDescent="0.25">
      <c r="B79" s="400" t="s">
        <v>64</v>
      </c>
      <c r="C79" s="398">
        <f>Input!B1063</f>
        <v>121212</v>
      </c>
      <c r="D79" s="398">
        <f>Input!C1063</f>
        <v>154440</v>
      </c>
      <c r="E79" s="398">
        <f>Input!D1063</f>
        <v>137280</v>
      </c>
      <c r="F79" s="401">
        <f>-(D79-E79)/D79</f>
        <v>-0.1111111111111111</v>
      </c>
      <c r="I79" s="850"/>
    </row>
    <row r="80" spans="2:9" ht="15" hidden="1" customHeight="1" x14ac:dyDescent="0.25">
      <c r="B80" s="964" t="s">
        <v>61</v>
      </c>
      <c r="C80" s="414"/>
      <c r="D80" s="414"/>
      <c r="E80" s="414"/>
      <c r="F80" s="415"/>
      <c r="I80" s="850"/>
    </row>
    <row r="81" spans="2:9" ht="15" hidden="1" customHeight="1" x14ac:dyDescent="0.25">
      <c r="B81" s="1136" t="s">
        <v>1172</v>
      </c>
      <c r="C81" s="1136"/>
      <c r="D81" s="1136"/>
      <c r="E81" s="1136"/>
      <c r="F81" s="1261"/>
      <c r="I81" s="850"/>
    </row>
    <row r="82" spans="2:9" ht="9" customHeight="1" x14ac:dyDescent="0.25">
      <c r="B82" s="255"/>
      <c r="C82" s="414"/>
      <c r="D82" s="414"/>
      <c r="E82" s="414"/>
      <c r="F82" s="415"/>
    </row>
    <row r="83" spans="2:9" x14ac:dyDescent="0.25">
      <c r="B83" s="406" t="str">
        <f>Input!B1074</f>
        <v>2nd Excess Technology Errors &amp; Omissions</v>
      </c>
      <c r="C83" s="416"/>
      <c r="D83" s="416"/>
      <c r="E83" s="416"/>
      <c r="F83" s="417"/>
    </row>
    <row r="84" spans="2:9" ht="43.5" customHeight="1" x14ac:dyDescent="0.25">
      <c r="B84" s="446" t="s">
        <v>60</v>
      </c>
      <c r="C84" s="396" t="str">
        <f>Input!B1079</f>
        <v>Indian Harbor Insurance Company (AXA XL)</v>
      </c>
      <c r="D84" s="396" t="str">
        <f>Input!C1079</f>
        <v>Indian Harbor Insurance Company (AXA XL)</v>
      </c>
      <c r="E84" s="396">
        <f>Input!D1079</f>
        <v>0</v>
      </c>
      <c r="F84" s="418" t="s">
        <v>284</v>
      </c>
    </row>
    <row r="85" spans="2:9" x14ac:dyDescent="0.25">
      <c r="B85" s="400" t="str">
        <f>Input!B1097</f>
        <v>Underlying Policy Premium</v>
      </c>
      <c r="C85" s="398">
        <f>Input!C1097</f>
        <v>116550</v>
      </c>
      <c r="D85" s="398">
        <f>Input!E1097</f>
        <v>132000</v>
      </c>
      <c r="E85" s="398">
        <f>Input!E1097</f>
        <v>132000</v>
      </c>
      <c r="F85" s="401">
        <f>-(C85-D85)/C85</f>
        <v>0.13256113256113256</v>
      </c>
    </row>
    <row r="86" spans="2:9" x14ac:dyDescent="0.25">
      <c r="B86" s="400" t="s">
        <v>632</v>
      </c>
      <c r="C86" s="849">
        <f t="shared" ref="C86:D86" si="0">C87/C85</f>
        <v>0</v>
      </c>
      <c r="D86" s="849">
        <f t="shared" si="0"/>
        <v>0</v>
      </c>
      <c r="E86" s="849">
        <f>E87/E85</f>
        <v>0</v>
      </c>
      <c r="F86" s="401" t="e">
        <f>-(D86-E86)/D86</f>
        <v>#DIV/0!</v>
      </c>
    </row>
    <row r="87" spans="2:9" x14ac:dyDescent="0.25">
      <c r="B87" s="400" t="s">
        <v>64</v>
      </c>
      <c r="C87" s="398">
        <f>Input!B1091</f>
        <v>0</v>
      </c>
      <c r="D87" s="398">
        <f>Input!C1091</f>
        <v>0</v>
      </c>
      <c r="E87" s="398">
        <f>Input!D1091</f>
        <v>0</v>
      </c>
      <c r="F87" s="401" t="e">
        <f>-(D87-E87)/D87</f>
        <v>#DIV/0!</v>
      </c>
    </row>
    <row r="88" spans="2:9" hidden="1" x14ac:dyDescent="0.25">
      <c r="B88" s="964" t="s">
        <v>61</v>
      </c>
      <c r="C88" s="414"/>
      <c r="D88" s="414"/>
      <c r="E88" s="414"/>
      <c r="F88" s="415"/>
    </row>
    <row r="89" spans="2:9" hidden="1" x14ac:dyDescent="0.25">
      <c r="B89" s="1136" t="s">
        <v>1763</v>
      </c>
      <c r="C89" s="1136"/>
      <c r="D89" s="1136"/>
      <c r="E89" s="1136"/>
      <c r="F89" s="1261"/>
    </row>
    <row r="90" spans="2:9" x14ac:dyDescent="0.25">
      <c r="B90" s="255"/>
      <c r="C90" s="414"/>
      <c r="D90" s="414"/>
      <c r="E90" s="414"/>
      <c r="F90" s="949"/>
    </row>
    <row r="91" spans="2:9" x14ac:dyDescent="0.25">
      <c r="B91" s="406" t="str">
        <f>Input!B1145</f>
        <v>3rd Excess Technology Errors &amp; Omissions</v>
      </c>
      <c r="C91" s="416"/>
      <c r="D91" s="416"/>
      <c r="E91" s="416"/>
      <c r="F91" s="417"/>
    </row>
    <row r="92" spans="2:9" ht="25.5" x14ac:dyDescent="0.25">
      <c r="B92" s="446" t="s">
        <v>60</v>
      </c>
      <c r="C92" s="396" t="str">
        <f>Input!B1150</f>
        <v>Texas Insurance Company (Applied)</v>
      </c>
      <c r="D92" s="396" t="str">
        <f>Input!C1150</f>
        <v>Texas Insurance Company (Applied)</v>
      </c>
      <c r="E92" s="396" t="str">
        <f>Input!D1150</f>
        <v>Columbia Casualty Company (CNA)</v>
      </c>
      <c r="F92" s="418" t="s">
        <v>284</v>
      </c>
    </row>
    <row r="93" spans="2:9" ht="25.5" x14ac:dyDescent="0.25">
      <c r="B93" s="400" t="str">
        <f>Input!B1169</f>
        <v>Underlying Policy Premium - 2nd Excess Tech Errors &amp; Omissions</v>
      </c>
      <c r="C93" s="680">
        <f>Input!C1169</f>
        <v>104850</v>
      </c>
      <c r="D93" s="680">
        <f>Input!E1169</f>
        <v>105850</v>
      </c>
      <c r="E93" s="680">
        <f>Input!E1169</f>
        <v>105850</v>
      </c>
      <c r="F93" s="401">
        <f>Input!E1170</f>
        <v>9.5374344301382922E-3</v>
      </c>
    </row>
    <row r="94" spans="2:9" x14ac:dyDescent="0.25">
      <c r="B94" s="400" t="s">
        <v>632</v>
      </c>
      <c r="C94" s="849">
        <f>C95/C93</f>
        <v>0.9968526466380544</v>
      </c>
      <c r="D94" s="849">
        <f t="shared" ref="D94" si="1">D95/D93</f>
        <v>0.99680579292143956</v>
      </c>
      <c r="E94" s="849">
        <f>E95/E93</f>
        <v>0.83199999999999996</v>
      </c>
      <c r="F94" s="401">
        <f>-(D94-E94)/D94</f>
        <v>-0.16533390364679421</v>
      </c>
    </row>
    <row r="95" spans="2:9" x14ac:dyDescent="0.25">
      <c r="B95" s="400" t="s">
        <v>64</v>
      </c>
      <c r="C95" s="398">
        <f>Input!B1163</f>
        <v>104520</v>
      </c>
      <c r="D95" s="398">
        <f>Input!C1163</f>
        <v>105511.89318073438</v>
      </c>
      <c r="E95" s="398">
        <f>Input!D1163</f>
        <v>88067.199999999997</v>
      </c>
      <c r="F95" s="401">
        <f>-(D95-E95)/D95</f>
        <v>-0.16533390364679421</v>
      </c>
    </row>
    <row r="96" spans="2:9" hidden="1" x14ac:dyDescent="0.25">
      <c r="B96" s="964" t="s">
        <v>61</v>
      </c>
      <c r="C96" s="414"/>
      <c r="D96" s="414"/>
      <c r="E96" s="414"/>
      <c r="F96" s="415"/>
    </row>
    <row r="97" spans="2:6" hidden="1" x14ac:dyDescent="0.25">
      <c r="B97" s="1136" t="s">
        <v>1763</v>
      </c>
      <c r="C97" s="1136"/>
      <c r="D97" s="1136"/>
      <c r="E97" s="1136"/>
      <c r="F97" s="1261"/>
    </row>
    <row r="98" spans="2:6" ht="6" customHeight="1" x14ac:dyDescent="0.25">
      <c r="B98" s="965"/>
      <c r="C98" s="965"/>
      <c r="D98" s="965"/>
      <c r="E98" s="965"/>
      <c r="F98" s="966"/>
    </row>
    <row r="99" spans="2:6" ht="15.75" hidden="1" thickBot="1" x14ac:dyDescent="0.3">
      <c r="B99" s="420" t="s">
        <v>1626</v>
      </c>
      <c r="C99" s="421">
        <f>C95+C87+C79+C71</f>
        <v>360412</v>
      </c>
      <c r="D99" s="421">
        <f t="shared" ref="D99:E99" si="2">D95+D87+D79+D71</f>
        <v>523889.34266851592</v>
      </c>
      <c r="E99" s="421">
        <f t="shared" si="2"/>
        <v>396947.20000000001</v>
      </c>
      <c r="F99" s="422">
        <f>-(D99-E99)/D99</f>
        <v>-0.24230716742950978</v>
      </c>
    </row>
    <row r="100" spans="2:6" ht="9" hidden="1" customHeight="1" thickTop="1" x14ac:dyDescent="0.25">
      <c r="B100" s="211"/>
      <c r="C100" s="414"/>
      <c r="D100" s="414"/>
      <c r="E100" s="414"/>
      <c r="F100" s="415"/>
    </row>
    <row r="101" spans="2:6" x14ac:dyDescent="0.25">
      <c r="B101" s="406" t="str">
        <f>Input!B778</f>
        <v>Business Travel Accident</v>
      </c>
      <c r="C101" s="416"/>
      <c r="D101" s="416"/>
      <c r="E101" s="416"/>
      <c r="F101" s="417"/>
    </row>
    <row r="102" spans="2:6" ht="39" customHeight="1" x14ac:dyDescent="0.25">
      <c r="B102" s="446" t="s">
        <v>60</v>
      </c>
      <c r="C102" s="396" t="str">
        <f>Input!B783</f>
        <v>Zurich American Insurance Company</v>
      </c>
      <c r="D102" s="396" t="str">
        <f>Input!C783</f>
        <v>Zurich American Insurance Company</v>
      </c>
      <c r="E102" s="396" t="str">
        <f>Input!D783</f>
        <v>Zurich American Insurance Company</v>
      </c>
      <c r="F102" s="397" t="s">
        <v>284</v>
      </c>
    </row>
    <row r="103" spans="2:6" x14ac:dyDescent="0.25">
      <c r="B103" s="400" t="str">
        <f>Input!B801</f>
        <v>Total Number of Employees to be Covered</v>
      </c>
      <c r="C103" s="680">
        <f>Input!C801</f>
        <v>484</v>
      </c>
      <c r="D103" s="680">
        <f>Input!E801</f>
        <v>234</v>
      </c>
      <c r="E103" s="680">
        <f>Input!E801</f>
        <v>234</v>
      </c>
      <c r="F103" s="401">
        <f>-(C103-D103)/C103</f>
        <v>-0.51652892561983466</v>
      </c>
    </row>
    <row r="104" spans="2:6" x14ac:dyDescent="0.25">
      <c r="B104" s="400" t="str">
        <f>Input!B802</f>
        <v># of Employees Who Travel 50+ Days</v>
      </c>
      <c r="C104" s="680">
        <f>Input!C802</f>
        <v>15</v>
      </c>
      <c r="D104" s="680">
        <f>Input!E802</f>
        <v>15</v>
      </c>
      <c r="E104" s="680">
        <f>Input!E802</f>
        <v>15</v>
      </c>
      <c r="F104" s="401" t="s">
        <v>284</v>
      </c>
    </row>
    <row r="105" spans="2:6" ht="25.5" hidden="1" x14ac:dyDescent="0.25">
      <c r="B105" s="400" t="str">
        <f>Input!B803</f>
        <v>Total Aggregate Days</v>
      </c>
      <c r="C105" s="680">
        <f>Input!C803</f>
        <v>0</v>
      </c>
      <c r="D105" s="680" t="str">
        <f>Input!D803</f>
        <v>Total Aggregate Days</v>
      </c>
      <c r="E105" s="680">
        <f>Input!E803</f>
        <v>0</v>
      </c>
      <c r="F105" s="401" t="s">
        <v>284</v>
      </c>
    </row>
    <row r="106" spans="2:6" x14ac:dyDescent="0.25">
      <c r="B106" s="400" t="s">
        <v>64</v>
      </c>
      <c r="C106" s="398">
        <f>Input!B795</f>
        <v>3919</v>
      </c>
      <c r="D106" s="398">
        <f>Input!C795</f>
        <v>2906.8615702479337</v>
      </c>
      <c r="E106" s="398">
        <f>Input!D795</f>
        <v>3173</v>
      </c>
      <c r="F106" s="401">
        <f>-(D106-E106)/D106</f>
        <v>9.1555247238473289E-2</v>
      </c>
    </row>
    <row r="107" spans="2:6" x14ac:dyDescent="0.25">
      <c r="B107" s="964" t="s">
        <v>61</v>
      </c>
      <c r="C107" s="414"/>
      <c r="D107" s="414"/>
      <c r="E107" s="414"/>
      <c r="F107" s="415"/>
    </row>
    <row r="108" spans="2:6" x14ac:dyDescent="0.25">
      <c r="B108" s="1136" t="s">
        <v>1777</v>
      </c>
      <c r="C108" s="1136"/>
      <c r="D108" s="1136"/>
      <c r="E108" s="1136"/>
      <c r="F108" s="1261"/>
    </row>
    <row r="109" spans="2:6" customFormat="1" ht="4.5" customHeight="1" x14ac:dyDescent="0.25"/>
    <row r="110" spans="2:6" x14ac:dyDescent="0.25">
      <c r="B110" s="406" t="str">
        <f>Input!B853</f>
        <v>Executive Liability (Directors &amp; Officers, Employment Practices, Fiduciary Liability)</v>
      </c>
      <c r="C110" s="416"/>
      <c r="D110" s="416"/>
      <c r="E110" s="416"/>
      <c r="F110" s="417"/>
    </row>
    <row r="111" spans="2:6" ht="27.75" customHeight="1" x14ac:dyDescent="0.25">
      <c r="B111" s="446" t="s">
        <v>60</v>
      </c>
      <c r="C111" s="396" t="str">
        <f>Input!B858</f>
        <v>Westchester Surplus Lines Insurance Company (Chubb)</v>
      </c>
      <c r="D111" s="396" t="str">
        <f>Input!C858</f>
        <v>Westchester Surplus Lines Insurance Company (Chubb)</v>
      </c>
      <c r="E111" s="396" t="str">
        <f>Input!D858</f>
        <v>Westchester Surplus Lines Insurance Company (Chubb)</v>
      </c>
      <c r="F111" s="397" t="s">
        <v>284</v>
      </c>
    </row>
    <row r="112" spans="2:6" x14ac:dyDescent="0.25">
      <c r="B112" s="400" t="str">
        <f>Input!B876</f>
        <v>Employee Count</v>
      </c>
      <c r="C112" s="680">
        <f>Input!C876</f>
        <v>510</v>
      </c>
      <c r="D112" s="680">
        <f>Input!D876</f>
        <v>242</v>
      </c>
      <c r="E112" s="680">
        <f>Input!D876</f>
        <v>242</v>
      </c>
      <c r="F112" s="401">
        <f>-(C112-D112)/C112</f>
        <v>-0.52549019607843139</v>
      </c>
    </row>
    <row r="113" spans="2:6" x14ac:dyDescent="0.25">
      <c r="B113" s="400" t="str">
        <f>Input!B877</f>
        <v>Gross Revenue</v>
      </c>
      <c r="C113" s="680">
        <f>Input!C877</f>
        <v>123628629</v>
      </c>
      <c r="D113" s="680">
        <f>Input!D877</f>
        <v>215229199</v>
      </c>
      <c r="E113" s="680">
        <f>Input!D877</f>
        <v>215229199</v>
      </c>
      <c r="F113" s="401">
        <f>-(C113-D113)/C113</f>
        <v>0.74093331569664178</v>
      </c>
    </row>
    <row r="114" spans="2:6" x14ac:dyDescent="0.25">
      <c r="B114" s="400" t="str">
        <f>Input!B878</f>
        <v>Total Assets</v>
      </c>
      <c r="C114" s="398">
        <f>Input!C878</f>
        <v>33217884</v>
      </c>
      <c r="D114" s="398">
        <f>Input!D878</f>
        <v>87114339</v>
      </c>
      <c r="E114" s="398">
        <f>Input!D878</f>
        <v>87114339</v>
      </c>
      <c r="F114" s="401">
        <f>-(C114-D114)/C114</f>
        <v>1.6225131919901943</v>
      </c>
    </row>
    <row r="115" spans="2:6" hidden="1" x14ac:dyDescent="0.25">
      <c r="B115" s="400" t="str">
        <f>Input!B879</f>
        <v>Plan Assets</v>
      </c>
      <c r="C115" s="398">
        <f>Input!C879</f>
        <v>12940975</v>
      </c>
      <c r="D115" s="398">
        <f>Input!D879</f>
        <v>10888478</v>
      </c>
      <c r="E115" s="398">
        <f>Input!D879</f>
        <v>10888478</v>
      </c>
      <c r="F115" s="401">
        <f>-(C115-D115)/C115</f>
        <v>-0.15860451009294121</v>
      </c>
    </row>
    <row r="116" spans="2:6" x14ac:dyDescent="0.25">
      <c r="B116" s="400" t="s">
        <v>64</v>
      </c>
      <c r="C116" s="398">
        <f>Input!B870</f>
        <v>59805.2</v>
      </c>
      <c r="D116" s="398">
        <f>Input!C870</f>
        <v>84913.692589998158</v>
      </c>
      <c r="E116" s="398">
        <f>Input!D870</f>
        <v>62795.199999999997</v>
      </c>
      <c r="F116" s="401">
        <f>-(D116-E116)/D116</f>
        <v>-0.26048204848181883</v>
      </c>
    </row>
    <row r="117" spans="2:6" hidden="1" x14ac:dyDescent="0.25">
      <c r="B117" s="255"/>
      <c r="C117" s="414"/>
      <c r="D117" s="414"/>
      <c r="E117" s="414"/>
      <c r="F117" s="415"/>
    </row>
    <row r="118" spans="2:6" hidden="1" x14ac:dyDescent="0.25">
      <c r="B118" s="1262"/>
      <c r="C118" s="1263"/>
      <c r="D118" s="1263"/>
      <c r="E118" s="1263"/>
      <c r="F118" s="1263"/>
    </row>
    <row r="119" spans="2:6" x14ac:dyDescent="0.25">
      <c r="B119" s="964" t="s">
        <v>61</v>
      </c>
      <c r="C119" s="414"/>
      <c r="D119" s="414"/>
      <c r="E119" s="414"/>
      <c r="F119" s="415"/>
    </row>
    <row r="120" spans="2:6" x14ac:dyDescent="0.25">
      <c r="B120" s="1136" t="s">
        <v>1776</v>
      </c>
      <c r="C120" s="1136"/>
      <c r="D120" s="1136"/>
      <c r="E120" s="1136"/>
      <c r="F120" s="1261"/>
    </row>
    <row r="121" spans="2:6" ht="5.25" customHeight="1" x14ac:dyDescent="0.25"/>
    <row r="122" spans="2:6" x14ac:dyDescent="0.25">
      <c r="B122" s="406" t="str">
        <f>Input!B913</f>
        <v>Commercial Crime</v>
      </c>
      <c r="C122" s="416"/>
      <c r="D122" s="416"/>
      <c r="E122" s="416"/>
      <c r="F122" s="417"/>
    </row>
    <row r="123" spans="2:6" ht="30" customHeight="1" x14ac:dyDescent="0.25">
      <c r="B123" s="446" t="s">
        <v>60</v>
      </c>
      <c r="C123" s="396" t="str">
        <f>Input!B918</f>
        <v>Federal Insurance Company (Chubb)</v>
      </c>
      <c r="D123" s="396" t="str">
        <f>Input!C918</f>
        <v>Federal Insurance Company (Chubb)</v>
      </c>
      <c r="E123" s="396" t="str">
        <f>Input!D918</f>
        <v>Federal Insurance Company (Chubb)</v>
      </c>
      <c r="F123" s="418" t="s">
        <v>284</v>
      </c>
    </row>
    <row r="124" spans="2:6" x14ac:dyDescent="0.25">
      <c r="B124" s="400" t="str">
        <f>Input!B936</f>
        <v>Revenue</v>
      </c>
      <c r="C124" s="398">
        <f>Input!C936</f>
        <v>123628629</v>
      </c>
      <c r="D124" s="398">
        <f>Input!D936</f>
        <v>215229199</v>
      </c>
      <c r="E124" s="398">
        <f>Input!D936</f>
        <v>215229199</v>
      </c>
      <c r="F124" s="401">
        <f>-(C124-D124)/C124</f>
        <v>0.74093331569664178</v>
      </c>
    </row>
    <row r="125" spans="2:6" x14ac:dyDescent="0.25">
      <c r="B125" s="400" t="str">
        <f>Input!B937</f>
        <v>Total Assets</v>
      </c>
      <c r="C125" s="398">
        <f>Input!C937</f>
        <v>33290619</v>
      </c>
      <c r="D125" s="398">
        <f>Input!D937</f>
        <v>87114339</v>
      </c>
      <c r="E125" s="398">
        <f>Input!D937</f>
        <v>87114339</v>
      </c>
      <c r="F125" s="401">
        <f>-(C125-D125)/C125</f>
        <v>1.6167833947455288</v>
      </c>
    </row>
    <row r="126" spans="2:6" x14ac:dyDescent="0.25">
      <c r="B126" s="400" t="str">
        <f>Input!B938</f>
        <v>Employee Count</v>
      </c>
      <c r="C126" s="680">
        <f>Input!C938</f>
        <v>510</v>
      </c>
      <c r="D126" s="680">
        <f>Input!D938</f>
        <v>242</v>
      </c>
      <c r="E126" s="680">
        <f>Input!D938</f>
        <v>242</v>
      </c>
      <c r="F126" s="401">
        <f>-(C126-D126)/C126</f>
        <v>-0.52549019607843139</v>
      </c>
    </row>
    <row r="127" spans="2:6" x14ac:dyDescent="0.25">
      <c r="B127" s="400" t="s">
        <v>64</v>
      </c>
      <c r="C127" s="398">
        <f>Input!B930</f>
        <v>13476</v>
      </c>
      <c r="D127" s="398">
        <f>Input!C930</f>
        <v>21706.361502521919</v>
      </c>
      <c r="E127" s="398">
        <f>Input!D930</f>
        <v>13473</v>
      </c>
      <c r="F127" s="401">
        <f>-(D127-E127)/D127</f>
        <v>-0.37930638451614007</v>
      </c>
    </row>
    <row r="128" spans="2:6" x14ac:dyDescent="0.25">
      <c r="B128" s="964" t="s">
        <v>61</v>
      </c>
      <c r="C128" s="414"/>
      <c r="D128" s="414"/>
      <c r="E128" s="414"/>
      <c r="F128" s="415"/>
    </row>
    <row r="129" spans="2:6" x14ac:dyDescent="0.25">
      <c r="B129" s="1264" t="s">
        <v>1778</v>
      </c>
      <c r="C129" s="1263"/>
      <c r="D129" s="1263"/>
      <c r="E129" s="1263"/>
      <c r="F129" s="1263"/>
    </row>
    <row r="130" spans="2:6" ht="9.75" customHeight="1" x14ac:dyDescent="0.25">
      <c r="B130" s="882"/>
      <c r="C130" s="211"/>
      <c r="D130" s="211"/>
      <c r="E130" s="211"/>
      <c r="F130" s="405"/>
    </row>
    <row r="131" spans="2:6" ht="17.25" customHeight="1" x14ac:dyDescent="0.25">
      <c r="B131" s="406" t="str">
        <f>Input!B227</f>
        <v>Workers Compensation</v>
      </c>
      <c r="C131" s="407"/>
      <c r="D131" s="407"/>
      <c r="E131" s="407"/>
      <c r="F131" s="408"/>
    </row>
    <row r="132" spans="2:6" ht="40.5" customHeight="1" x14ac:dyDescent="0.25">
      <c r="B132" s="446" t="s">
        <v>60</v>
      </c>
      <c r="C132" s="396" t="str">
        <f>Input!B232</f>
        <v>The Continental Insurance Company (CNA)</v>
      </c>
      <c r="D132" s="396" t="str">
        <f>Input!C232</f>
        <v>The Continental Insurance Company (CNA)</v>
      </c>
      <c r="E132" s="396" t="str">
        <f>Input!D232</f>
        <v>American Casualty Company Of Reading, PA</v>
      </c>
      <c r="F132" s="397" t="s">
        <v>284</v>
      </c>
    </row>
    <row r="133" spans="2:6" ht="17.25" customHeight="1" x14ac:dyDescent="0.25">
      <c r="B133" s="400" t="str">
        <f>Input!B250</f>
        <v>Exposure Base - Payroll</v>
      </c>
      <c r="C133" s="398">
        <f>Input!C252</f>
        <v>21441092</v>
      </c>
      <c r="D133" s="398">
        <f>Input!E252</f>
        <v>24229654</v>
      </c>
      <c r="E133" s="398">
        <f>Input!E252</f>
        <v>24229654</v>
      </c>
      <c r="F133" s="399">
        <f>Input!E253</f>
        <v>0.13005690195256847</v>
      </c>
    </row>
    <row r="134" spans="2:6" ht="17.25" customHeight="1" x14ac:dyDescent="0.25">
      <c r="B134" s="400" t="str">
        <f>Input!B237</f>
        <v>Blended Rate per $100 of Exposure</v>
      </c>
      <c r="C134" s="654">
        <f>Input!B238</f>
        <v>0.41490890482630266</v>
      </c>
      <c r="D134" s="654">
        <f>Input!C238</f>
        <v>0.41490890482630272</v>
      </c>
      <c r="E134" s="654">
        <f>Input!D238</f>
        <v>0.44979594013187313</v>
      </c>
      <c r="F134" s="401">
        <f>-(D134-E134)/D134</f>
        <v>8.4083602207032662E-2</v>
      </c>
    </row>
    <row r="135" spans="2:6" ht="17.25" customHeight="1" x14ac:dyDescent="0.25">
      <c r="B135" s="400" t="s">
        <v>64</v>
      </c>
      <c r="C135" s="398">
        <f>Input!B246</f>
        <v>89813</v>
      </c>
      <c r="D135" s="398">
        <f>Input!C246</f>
        <v>101493.80053506604</v>
      </c>
      <c r="E135" s="398">
        <f>Input!D246</f>
        <v>109999</v>
      </c>
      <c r="F135" s="401">
        <f>-(D135-E135)/D135</f>
        <v>8.3800187007436189E-2</v>
      </c>
    </row>
    <row r="136" spans="2:6" ht="17.25" customHeight="1" x14ac:dyDescent="0.25">
      <c r="B136" s="964" t="s">
        <v>61</v>
      </c>
      <c r="C136" s="414"/>
      <c r="D136" s="414"/>
      <c r="E136" s="414"/>
      <c r="F136" s="415"/>
    </row>
    <row r="137" spans="2:6" ht="17.25" customHeight="1" x14ac:dyDescent="0.25">
      <c r="B137" s="1264" t="s">
        <v>1779</v>
      </c>
      <c r="C137" s="1263"/>
      <c r="D137" s="1263"/>
      <c r="E137" s="1263"/>
      <c r="F137" s="1263"/>
    </row>
    <row r="138" spans="2:6" ht="6" customHeight="1" x14ac:dyDescent="0.25">
      <c r="B138" s="310"/>
      <c r="C138" s="211"/>
      <c r="D138" s="211"/>
      <c r="E138" s="211"/>
      <c r="F138" s="405"/>
    </row>
    <row r="139" spans="2:6" ht="17.25" customHeight="1" x14ac:dyDescent="0.25">
      <c r="B139" s="406" t="str">
        <f>Input!B269</f>
        <v>Workers Compensation - CA Only</v>
      </c>
      <c r="C139" s="407"/>
      <c r="D139" s="407"/>
      <c r="E139" s="407"/>
      <c r="F139" s="408"/>
    </row>
    <row r="140" spans="2:6" ht="41.25" customHeight="1" x14ac:dyDescent="0.25">
      <c r="B140" s="446" t="s">
        <v>60</v>
      </c>
      <c r="C140" s="396" t="str">
        <f>Input!B274</f>
        <v>The Continental Insurance Company (CNA)</v>
      </c>
      <c r="D140" s="396" t="str">
        <f>Input!C274</f>
        <v>The Continental Insurance Company (CNA)</v>
      </c>
      <c r="E140" s="396" t="str">
        <f>Input!D274</f>
        <v>The Continental Insurance Company (CNA)</v>
      </c>
      <c r="F140" s="397" t="s">
        <v>284</v>
      </c>
    </row>
    <row r="141" spans="2:6" ht="17.25" customHeight="1" x14ac:dyDescent="0.25">
      <c r="B141" s="400" t="str">
        <f>Input!B292</f>
        <v>Exposure Base - Payroll</v>
      </c>
      <c r="C141" s="398">
        <f>Input!C294</f>
        <v>757451</v>
      </c>
      <c r="D141" s="398">
        <f>Input!E294</f>
        <v>1000000</v>
      </c>
      <c r="E141" s="398">
        <f>Input!E294</f>
        <v>1000000</v>
      </c>
      <c r="F141" s="399">
        <f>Input!E295</f>
        <v>0.32021741340363929</v>
      </c>
    </row>
    <row r="142" spans="2:6" ht="17.25" customHeight="1" x14ac:dyDescent="0.25">
      <c r="B142" s="400" t="str">
        <f>Input!B279</f>
        <v>Blended Rate per $100 of Exposure</v>
      </c>
      <c r="C142" s="654">
        <f>Input!B280</f>
        <v>0.44148070304217696</v>
      </c>
      <c r="D142" s="654">
        <f>Input!C280</f>
        <v>0.44148070304217701</v>
      </c>
      <c r="E142" s="654">
        <f>Input!D280</f>
        <v>0.79949999999999999</v>
      </c>
      <c r="F142" s="401">
        <f>-(D142-E142)/D142</f>
        <v>0.81095117972488029</v>
      </c>
    </row>
    <row r="143" spans="2:6" ht="17.25" customHeight="1" x14ac:dyDescent="0.25">
      <c r="B143" s="400" t="s">
        <v>64</v>
      </c>
      <c r="C143" s="398">
        <f>Input!B288</f>
        <v>3542</v>
      </c>
      <c r="D143" s="398">
        <f>Input!C288</f>
        <v>4676.2100782756906</v>
      </c>
      <c r="E143" s="398">
        <f>Input!D288</f>
        <v>8464</v>
      </c>
      <c r="F143" s="401">
        <f>-(D143-E143)/D143</f>
        <v>0.81001277922077919</v>
      </c>
    </row>
    <row r="144" spans="2:6" hidden="1" x14ac:dyDescent="0.25">
      <c r="B144" s="255" t="s">
        <v>61</v>
      </c>
      <c r="C144" s="414"/>
      <c r="D144" s="414"/>
      <c r="E144" s="414"/>
      <c r="F144" s="415"/>
    </row>
    <row r="145" spans="2:6" hidden="1" x14ac:dyDescent="0.25">
      <c r="B145" s="1135" t="s">
        <v>1627</v>
      </c>
      <c r="C145" s="1155"/>
      <c r="D145" s="1155"/>
      <c r="E145" s="1155"/>
      <c r="F145" s="1271"/>
    </row>
    <row r="146" spans="2:6" ht="7.5" customHeight="1" x14ac:dyDescent="0.25">
      <c r="B146" s="211"/>
      <c r="C146" s="414"/>
      <c r="D146" s="414"/>
      <c r="E146" s="414"/>
      <c r="F146" s="415"/>
    </row>
    <row r="147" spans="2:6" ht="17.25" customHeight="1" thickBot="1" x14ac:dyDescent="0.3">
      <c r="B147" s="420" t="s">
        <v>1626</v>
      </c>
      <c r="C147" s="421">
        <f>C143+C135+C127+C116+C79+C71+C87+C95+C106</f>
        <v>530967.19999999995</v>
      </c>
      <c r="D147" s="421">
        <f>D143+D135+D127+D116+D79+D71+D87+D95+D106</f>
        <v>739586.26894462563</v>
      </c>
      <c r="E147" s="421">
        <f>E143+E135+E127+E116+E79+E71+E87+E95+E106</f>
        <v>594851.4</v>
      </c>
      <c r="F147" s="422">
        <f>-(D147-E147)/D147</f>
        <v>-0.19569707419143853</v>
      </c>
    </row>
    <row r="148" spans="2:6" ht="7.5" customHeight="1" thickTop="1" x14ac:dyDescent="0.25">
      <c r="B148" s="211"/>
      <c r="C148" s="414"/>
      <c r="D148" s="414"/>
      <c r="E148" s="414"/>
      <c r="F148" s="415"/>
    </row>
    <row r="149" spans="2:6" ht="15" customHeight="1" x14ac:dyDescent="0.25">
      <c r="B149" s="1259" t="s">
        <v>1623</v>
      </c>
      <c r="C149" s="1259"/>
      <c r="D149" s="1259"/>
      <c r="E149" s="1259"/>
      <c r="F149" s="1260"/>
    </row>
    <row r="150" spans="2:6" x14ac:dyDescent="0.25">
      <c r="B150" s="406" t="str">
        <f>Input!B649</f>
        <v>T5DC Package</v>
      </c>
      <c r="C150" s="416"/>
      <c r="D150" s="416"/>
      <c r="E150" s="416"/>
      <c r="F150" s="417"/>
    </row>
    <row r="151" spans="2:6" ht="45" customHeight="1" x14ac:dyDescent="0.25">
      <c r="B151" s="446" t="s">
        <v>60</v>
      </c>
      <c r="C151" s="396" t="str">
        <f>Input!B654</f>
        <v>Valley Forge Insurance Company (CNA)</v>
      </c>
      <c r="D151" s="396" t="str">
        <f>Input!C654</f>
        <v>Valley Forge Insurance Company (CNA)</v>
      </c>
      <c r="E151" s="396" t="str">
        <f>Input!D654</f>
        <v>Valley Forge Insurance Company (CNA)</v>
      </c>
      <c r="F151" s="397" t="s">
        <v>284</v>
      </c>
    </row>
    <row r="152" spans="2:6" x14ac:dyDescent="0.25">
      <c r="B152" s="400" t="str">
        <f>Input!B682 &amp; " (" &amp; Input!B684 &amp; ")"</f>
        <v>GL Exposure Base (Sales)</v>
      </c>
      <c r="C152" s="398">
        <f>Input!C684</f>
        <v>40000000</v>
      </c>
      <c r="D152" s="398">
        <f>Input!E684</f>
        <v>50000000</v>
      </c>
      <c r="E152" s="398">
        <f>Input!E684</f>
        <v>50000000</v>
      </c>
      <c r="F152" s="399">
        <f>Input!E685</f>
        <v>0.25</v>
      </c>
    </row>
    <row r="153" spans="2:6" x14ac:dyDescent="0.25">
      <c r="B153" s="400" t="str">
        <f>Input!B659</f>
        <v>Blended GL Rate per $1,000 of Exposure</v>
      </c>
      <c r="C153" s="654">
        <f>Input!B660</f>
        <v>0.49227500000000002</v>
      </c>
      <c r="D153" s="654">
        <f>Input!C660</f>
        <v>0.49227500000000002</v>
      </c>
      <c r="E153" s="654">
        <f>Input!D660</f>
        <v>0.50504000000000004</v>
      </c>
      <c r="F153" s="401">
        <f>-(D153-E153)/D153</f>
        <v>2.5930628205779342E-2</v>
      </c>
    </row>
    <row r="154" spans="2:6" x14ac:dyDescent="0.25">
      <c r="B154" s="368" t="s">
        <v>222</v>
      </c>
      <c r="C154" s="403">
        <f>Input!B658</f>
        <v>19691</v>
      </c>
      <c r="D154" s="403">
        <f>Input!C658</f>
        <v>24613.75</v>
      </c>
      <c r="E154" s="403">
        <f>Input!D658</f>
        <v>25252</v>
      </c>
      <c r="F154" s="404">
        <f>-(D154-E154)/D154</f>
        <v>2.593062820577929E-2</v>
      </c>
    </row>
    <row r="155" spans="2:6" x14ac:dyDescent="0.25">
      <c r="B155" s="400" t="str">
        <f>Input!B701</f>
        <v>Property Exposure Base - Total Values Insured</v>
      </c>
      <c r="C155" s="398">
        <f>Input!C709</f>
        <v>1337669</v>
      </c>
      <c r="D155" s="398">
        <f>Input!E709</f>
        <v>2337669</v>
      </c>
      <c r="E155" s="398">
        <f>Input!E709</f>
        <v>2337669</v>
      </c>
      <c r="F155" s="399">
        <f>Input!E710</f>
        <v>0.74756909220442425</v>
      </c>
    </row>
    <row r="156" spans="2:6" x14ac:dyDescent="0.25">
      <c r="B156" s="400" t="str">
        <f>Input!B665</f>
        <v>Blended Property Rate per $100 of Exposure</v>
      </c>
      <c r="C156" s="654">
        <f>Input!B666</f>
        <v>0.17007196847650652</v>
      </c>
      <c r="D156" s="654">
        <f>Input!C666</f>
        <v>0.17007196847650652</v>
      </c>
      <c r="E156" s="654">
        <f>Input!D666</f>
        <v>0.20849829466874908</v>
      </c>
      <c r="F156" s="401">
        <f>-(D156-E156)/D156</f>
        <v>0.22594156189560843</v>
      </c>
    </row>
    <row r="157" spans="2:6" x14ac:dyDescent="0.25">
      <c r="B157" s="368" t="s">
        <v>223</v>
      </c>
      <c r="C157" s="403">
        <f>Input!B664</f>
        <v>2275</v>
      </c>
      <c r="D157" s="403">
        <f>Input!C664</f>
        <v>3975.7196847650653</v>
      </c>
      <c r="E157" s="403">
        <f>Input!D664</f>
        <v>4874</v>
      </c>
      <c r="F157" s="404">
        <f>-(D157-E157)/D157</f>
        <v>0.22594156189560841</v>
      </c>
    </row>
    <row r="158" spans="2:6" x14ac:dyDescent="0.25">
      <c r="B158" s="400" t="s">
        <v>224</v>
      </c>
      <c r="C158" s="398">
        <f>Input!B678</f>
        <v>21966</v>
      </c>
      <c r="D158" s="398">
        <f>Input!C678</f>
        <v>28589.469684765067</v>
      </c>
      <c r="E158" s="398">
        <f>Input!D678</f>
        <v>30126</v>
      </c>
      <c r="F158" s="401">
        <f>-(D158-E158)/E158</f>
        <v>5.1003462631445708E-2</v>
      </c>
    </row>
    <row r="159" spans="2:6" ht="8.25" customHeight="1" x14ac:dyDescent="0.25"/>
    <row r="160" spans="2:6" x14ac:dyDescent="0.25">
      <c r="B160" s="406" t="str">
        <f>Input!B311</f>
        <v>T5DC Business Auto</v>
      </c>
      <c r="C160" s="407"/>
      <c r="D160" s="407"/>
      <c r="E160" s="407"/>
      <c r="F160" s="408"/>
    </row>
    <row r="161" spans="2:6" ht="45" customHeight="1" x14ac:dyDescent="0.25">
      <c r="B161" s="446" t="s">
        <v>60</v>
      </c>
      <c r="C161" s="396" t="str">
        <f>Input!B316</f>
        <v>Valley Forge Insurance Company (CNA)</v>
      </c>
      <c r="D161" s="396" t="str">
        <f>Input!C316</f>
        <v>Valley Forge Insurance Company (CNA)</v>
      </c>
      <c r="E161" s="396" t="str">
        <f>Input!D316</f>
        <v>Valley Forge Insurance Company (CNA)</v>
      </c>
      <c r="F161" s="397" t="s">
        <v>284</v>
      </c>
    </row>
    <row r="162" spans="2:6" x14ac:dyDescent="0.25">
      <c r="B162" s="673" t="s">
        <v>1463</v>
      </c>
      <c r="C162" s="680">
        <f>Input!C336</f>
        <v>1</v>
      </c>
      <c r="D162" s="680">
        <f>Input!E336</f>
        <v>1</v>
      </c>
      <c r="E162" s="680">
        <f>Input!E336</f>
        <v>1</v>
      </c>
      <c r="F162" s="399">
        <f>Input!F336</f>
        <v>0</v>
      </c>
    </row>
    <row r="163" spans="2:6" x14ac:dyDescent="0.25">
      <c r="B163" s="673" t="s">
        <v>1468</v>
      </c>
      <c r="C163" s="398">
        <f>Input!C337</f>
        <v>28800</v>
      </c>
      <c r="D163" s="398">
        <f>Input!E337</f>
        <v>28800</v>
      </c>
      <c r="E163" s="398">
        <f>Input!E337</f>
        <v>28800</v>
      </c>
      <c r="F163" s="399">
        <f>Input!F337</f>
        <v>0</v>
      </c>
    </row>
    <row r="164" spans="2:6" x14ac:dyDescent="0.25">
      <c r="B164" s="400" t="str">
        <f>Input!B321</f>
        <v>Blended Rate Hired Auto</v>
      </c>
      <c r="C164" s="654">
        <f>Input!B322</f>
        <v>3290</v>
      </c>
      <c r="D164" s="654">
        <f>Input!C322</f>
        <v>3290</v>
      </c>
      <c r="E164" s="654">
        <f>Input!D322</f>
        <v>1734</v>
      </c>
      <c r="F164" s="401">
        <f>-(D164-E164)/D164</f>
        <v>-0.47294832826747718</v>
      </c>
    </row>
    <row r="165" spans="2:6" x14ac:dyDescent="0.25">
      <c r="B165" s="400" t="s">
        <v>64</v>
      </c>
      <c r="C165" s="398">
        <f>Input!B330</f>
        <v>3290</v>
      </c>
      <c r="D165" s="398">
        <f>Input!C330</f>
        <v>3290</v>
      </c>
      <c r="E165" s="398">
        <f>Input!D330</f>
        <v>1734</v>
      </c>
      <c r="F165" s="401">
        <f>-(D165-E165)/D165</f>
        <v>-0.47294832826747718</v>
      </c>
    </row>
    <row r="166" spans="2:6" ht="8.25" customHeight="1" x14ac:dyDescent="0.25"/>
    <row r="167" spans="2:6" x14ac:dyDescent="0.25">
      <c r="B167" s="406" t="str">
        <f>Input!B94</f>
        <v>T5DC Umbrella</v>
      </c>
      <c r="C167" s="407"/>
      <c r="D167" s="407"/>
      <c r="E167" s="407"/>
      <c r="F167" s="408"/>
    </row>
    <row r="168" spans="2:6" ht="45" customHeight="1" x14ac:dyDescent="0.25">
      <c r="B168" s="446" t="s">
        <v>60</v>
      </c>
      <c r="C168" s="396" t="str">
        <f>Input!B99</f>
        <v>The Continental Insurance Company (CNA)</v>
      </c>
      <c r="D168" s="396" t="str">
        <f>Input!C99</f>
        <v>The Continental Insurance Company (CNA)</v>
      </c>
      <c r="E168" s="396" t="str">
        <f>Input!D99</f>
        <v>The Continental Insurance Company (CNA)</v>
      </c>
      <c r="F168" s="397" t="s">
        <v>284</v>
      </c>
    </row>
    <row r="169" spans="2:6" x14ac:dyDescent="0.25">
      <c r="B169" s="400" t="str">
        <f>Input!B119</f>
        <v>Exposure Base - Underlying Premium</v>
      </c>
      <c r="C169" s="398">
        <f>Input!C121</f>
        <v>22981</v>
      </c>
      <c r="D169" s="398">
        <f>Input!E121</f>
        <v>27903.75</v>
      </c>
      <c r="E169" s="398">
        <f>Input!G121</f>
        <v>26986</v>
      </c>
      <c r="F169" s="401">
        <f>Input!G122</f>
        <v>0.17427440059179322</v>
      </c>
    </row>
    <row r="170" spans="2:6" x14ac:dyDescent="0.25">
      <c r="B170" s="368" t="str">
        <f>Input!B104</f>
        <v>Rate as Percentage of Underlying Premium</v>
      </c>
      <c r="C170" s="410">
        <f>Input!B105</f>
        <v>0.83656063704799621</v>
      </c>
      <c r="D170" s="410">
        <f>Input!C105</f>
        <v>0.83656063704799621</v>
      </c>
      <c r="E170" s="410">
        <f>Input!D105</f>
        <v>0.82127769954791374</v>
      </c>
      <c r="F170" s="404">
        <f>-(D170-E170)/D170</f>
        <v>-1.82687743401506E-2</v>
      </c>
    </row>
    <row r="171" spans="2:6" x14ac:dyDescent="0.25">
      <c r="B171" s="400" t="s">
        <v>64</v>
      </c>
      <c r="C171" s="398">
        <f>Input!B115</f>
        <v>19225</v>
      </c>
      <c r="D171" s="398">
        <f>Input!C115</f>
        <v>22575.425351377224</v>
      </c>
      <c r="E171" s="398">
        <f>Input!D115</f>
        <v>22163</v>
      </c>
      <c r="F171" s="401">
        <f>-(D171-E171)/D171</f>
        <v>-1.8268774340150517E-2</v>
      </c>
    </row>
    <row r="172" spans="2:6" ht="8.25" customHeight="1" x14ac:dyDescent="0.25">
      <c r="C172" s="212"/>
      <c r="D172" s="212"/>
      <c r="E172" s="212"/>
      <c r="F172" s="212"/>
    </row>
    <row r="173" spans="2:6" ht="15.75" thickBot="1" x14ac:dyDescent="0.3">
      <c r="B173" s="420" t="s">
        <v>1491</v>
      </c>
      <c r="C173" s="421">
        <f>C171+C165+C158</f>
        <v>44481</v>
      </c>
      <c r="D173" s="421">
        <f>D171+D165+D158</f>
        <v>54454.89503614229</v>
      </c>
      <c r="E173" s="421">
        <f>E171+E165+E158</f>
        <v>54023</v>
      </c>
      <c r="F173" s="422">
        <f>-(D173-E173)/D173</f>
        <v>-7.9312435705851062E-3</v>
      </c>
    </row>
    <row r="174" spans="2:6" ht="8.25" customHeight="1" thickTop="1" x14ac:dyDescent="0.25"/>
    <row r="175" spans="2:6" ht="8.25" hidden="1" customHeight="1" x14ac:dyDescent="0.25"/>
    <row r="176" spans="2:6" hidden="1" x14ac:dyDescent="0.25">
      <c r="B176" s="406" t="str">
        <f>Input!B816</f>
        <v>Foreign Package - T5CS</v>
      </c>
      <c r="C176" s="416"/>
      <c r="D176" s="416"/>
      <c r="E176" s="416"/>
      <c r="F176" s="417"/>
    </row>
    <row r="177" spans="2:6" ht="30" hidden="1" customHeight="1" x14ac:dyDescent="0.25">
      <c r="B177" s="446" t="s">
        <v>60</v>
      </c>
      <c r="C177" s="396" t="str">
        <f>Input!B821</f>
        <v>The Continental Insurance Company (CNA)</v>
      </c>
      <c r="D177" s="396" t="str">
        <f>Input!C821</f>
        <v>The Continental Insurance Company (CNA)</v>
      </c>
      <c r="E177" s="396" t="str">
        <f>Input!D821</f>
        <v>The Continental Insurance Company (CNA)</v>
      </c>
      <c r="F177" s="397" t="s">
        <v>284</v>
      </c>
    </row>
    <row r="178" spans="2:6" hidden="1" x14ac:dyDescent="0.25">
      <c r="B178" s="400" t="str">
        <f>Input!B833</f>
        <v>Property Values</v>
      </c>
      <c r="C178" s="398">
        <f>Input!C833</f>
        <v>0</v>
      </c>
      <c r="D178" s="398">
        <f>Input!E833</f>
        <v>0</v>
      </c>
      <c r="E178" s="398">
        <f>Input!E833</f>
        <v>0</v>
      </c>
      <c r="F178" s="401" t="e">
        <f>-(C178-D178)/C178</f>
        <v>#DIV/0!</v>
      </c>
    </row>
    <row r="179" spans="2:6" hidden="1" x14ac:dyDescent="0.25">
      <c r="B179" s="400" t="str">
        <f>Input!B834</f>
        <v>Number of Auto Rentals</v>
      </c>
      <c r="C179" s="680" t="s">
        <v>284</v>
      </c>
      <c r="D179" s="680" t="s">
        <v>284</v>
      </c>
      <c r="E179" s="680">
        <f>Input!E834</f>
        <v>0</v>
      </c>
      <c r="F179" s="401" t="s">
        <v>284</v>
      </c>
    </row>
    <row r="180" spans="2:6" hidden="1" x14ac:dyDescent="0.25">
      <c r="B180" s="400" t="str">
        <f>Input!B835</f>
        <v>Foreign Revenues</v>
      </c>
      <c r="C180" s="398" t="s">
        <v>284</v>
      </c>
      <c r="D180" s="398" t="s">
        <v>284</v>
      </c>
      <c r="E180" s="398">
        <f>Input!E835</f>
        <v>0</v>
      </c>
      <c r="F180" s="401" t="s">
        <v>284</v>
      </c>
    </row>
    <row r="181" spans="2:6" hidden="1" x14ac:dyDescent="0.25">
      <c r="B181" s="400" t="str">
        <f>Input!B836</f>
        <v>Number of Trips</v>
      </c>
      <c r="C181" s="680" t="s">
        <v>284</v>
      </c>
      <c r="D181" s="680" t="s">
        <v>284</v>
      </c>
      <c r="E181" s="680">
        <f>Input!E836</f>
        <v>0</v>
      </c>
      <c r="F181" s="401" t="s">
        <v>284</v>
      </c>
    </row>
    <row r="182" spans="2:6" hidden="1" x14ac:dyDescent="0.25">
      <c r="B182" s="400" t="str">
        <f>Input!B837</f>
        <v>Foreign Payroll</v>
      </c>
      <c r="C182" s="398" t="s">
        <v>284</v>
      </c>
      <c r="D182" s="398" t="s">
        <v>284</v>
      </c>
      <c r="E182" s="398">
        <f>Input!E837</f>
        <v>0</v>
      </c>
      <c r="F182" s="401" t="s">
        <v>284</v>
      </c>
    </row>
    <row r="183" spans="2:6" hidden="1" x14ac:dyDescent="0.25">
      <c r="B183" s="400" t="s">
        <v>64</v>
      </c>
      <c r="C183" s="398" t="s">
        <v>284</v>
      </c>
      <c r="D183" s="398" t="s">
        <v>284</v>
      </c>
      <c r="E183" s="398">
        <f>Input!D825</f>
        <v>4276</v>
      </c>
      <c r="F183" s="401" t="s">
        <v>284</v>
      </c>
    </row>
    <row r="184" spans="2:6" ht="8.25" hidden="1" customHeight="1" x14ac:dyDescent="0.25"/>
    <row r="185" spans="2:6" hidden="1" x14ac:dyDescent="0.25">
      <c r="B185" s="406" t="str">
        <f>Input!B541</f>
        <v>Inland Marine (T5CS)</v>
      </c>
      <c r="C185" s="407"/>
      <c r="D185" s="407"/>
      <c r="E185" s="407"/>
      <c r="F185" s="408"/>
    </row>
    <row r="186" spans="2:6" ht="38.25" hidden="1" x14ac:dyDescent="0.25">
      <c r="B186" s="446" t="s">
        <v>60</v>
      </c>
      <c r="C186" s="396" t="s">
        <v>284</v>
      </c>
      <c r="D186" s="396" t="s">
        <v>284</v>
      </c>
      <c r="E186" s="396" t="str">
        <f>Input!D546</f>
        <v>Continental Insurance Company (CNA)</v>
      </c>
      <c r="F186" s="397" t="s">
        <v>284</v>
      </c>
    </row>
    <row r="187" spans="2:6" hidden="1" x14ac:dyDescent="0.25">
      <c r="B187" s="400" t="str">
        <f>Input!B564</f>
        <v>Exposure Base - Total Values Insured</v>
      </c>
      <c r="C187" s="398" t="s">
        <v>284</v>
      </c>
      <c r="D187" s="398" t="s">
        <v>284</v>
      </c>
      <c r="E187" s="398">
        <f>Input!E572</f>
        <v>169669</v>
      </c>
      <c r="F187" s="399" t="s">
        <v>284</v>
      </c>
    </row>
    <row r="188" spans="2:6" hidden="1" x14ac:dyDescent="0.25">
      <c r="B188" s="400" t="str">
        <f>Input!B551</f>
        <v>Blended Rate per $100 of Exposure</v>
      </c>
      <c r="C188" s="654" t="s">
        <v>284</v>
      </c>
      <c r="D188" s="654" t="s">
        <v>284</v>
      </c>
      <c r="E188" s="654">
        <f>Input!D552</f>
        <v>0.91118589724699262</v>
      </c>
      <c r="F188" s="401" t="s">
        <v>284</v>
      </c>
    </row>
    <row r="189" spans="2:6" hidden="1" x14ac:dyDescent="0.25">
      <c r="B189" s="400" t="s">
        <v>64</v>
      </c>
      <c r="C189" s="398" t="s">
        <v>284</v>
      </c>
      <c r="D189" s="398" t="s">
        <v>284</v>
      </c>
      <c r="E189" s="398">
        <f>Input!D560</f>
        <v>1546</v>
      </c>
      <c r="F189" s="401" t="s">
        <v>284</v>
      </c>
    </row>
    <row r="190" spans="2:6" ht="8.25" hidden="1" customHeight="1" x14ac:dyDescent="0.25"/>
    <row r="191" spans="2:6" ht="15.75" hidden="1" thickBot="1" x14ac:dyDescent="0.3">
      <c r="B191" s="420"/>
      <c r="C191" s="421"/>
      <c r="D191" s="421"/>
      <c r="E191" s="421"/>
      <c r="F191" s="422"/>
    </row>
    <row r="192" spans="2:6" ht="8.25" hidden="1" customHeight="1" thickTop="1" x14ac:dyDescent="0.25"/>
    <row r="193" spans="2:6" ht="8.25" hidden="1" customHeight="1" x14ac:dyDescent="0.25">
      <c r="B193" s="211"/>
      <c r="C193" s="414"/>
      <c r="D193" s="414"/>
      <c r="E193" s="414"/>
      <c r="F193" s="415"/>
    </row>
    <row r="194" spans="2:6" ht="17.25" hidden="1" customHeight="1" thickBot="1" x14ac:dyDescent="0.3">
      <c r="B194" s="420" t="s">
        <v>1614</v>
      </c>
      <c r="C194" s="421">
        <f>C143+C135+C79+C71+C127+C116</f>
        <v>422528.2</v>
      </c>
      <c r="D194" s="421">
        <f>D143+D135+D79+D71+D127+D116</f>
        <v>631167.51419364335</v>
      </c>
      <c r="E194" s="421">
        <f>E143+E135+E79+E71+E127+E116+E106+E183</f>
        <v>511060.2</v>
      </c>
      <c r="F194" s="422">
        <f>-(D194-E194)/D194</f>
        <v>-0.1902938783962734</v>
      </c>
    </row>
    <row r="195" spans="2:6" ht="15.75" hidden="1" thickTop="1" x14ac:dyDescent="0.25">
      <c r="B195" s="211"/>
      <c r="C195" s="414"/>
      <c r="D195" s="414"/>
      <c r="E195" s="414"/>
      <c r="F195" s="415"/>
    </row>
    <row r="196" spans="2:6" ht="10.5" customHeight="1" x14ac:dyDescent="0.25">
      <c r="B196" s="211"/>
      <c r="C196" s="414"/>
      <c r="D196" s="414"/>
      <c r="E196" s="414"/>
      <c r="F196" s="415"/>
    </row>
    <row r="197" spans="2:6" ht="17.25" customHeight="1" thickBot="1" x14ac:dyDescent="0.3">
      <c r="B197" s="420" t="s">
        <v>1710</v>
      </c>
      <c r="C197" s="421">
        <f>C18+C25+C31+C37+C43+C57+C12</f>
        <v>284420.16000000003</v>
      </c>
      <c r="D197" s="421">
        <f>D18+D25+D31+D37+D43+D57+D12</f>
        <v>375739.35931569705</v>
      </c>
      <c r="E197" s="421">
        <f>E18+E25+E31+E37+E43+E57+E12+E51</f>
        <v>332709.02</v>
      </c>
      <c r="F197" s="422">
        <f>-(D197-E197)/D197</f>
        <v>-0.11452177752701931</v>
      </c>
    </row>
    <row r="198" spans="2:6" ht="9.75" customHeight="1" thickTop="1" x14ac:dyDescent="0.25">
      <c r="B198" s="211"/>
      <c r="C198" s="414"/>
      <c r="D198" s="414"/>
      <c r="E198" s="414"/>
      <c r="F198" s="415"/>
    </row>
    <row r="199" spans="2:6" ht="17.25" customHeight="1" thickBot="1" x14ac:dyDescent="0.3">
      <c r="B199" s="420" t="s">
        <v>1711</v>
      </c>
      <c r="C199" s="421">
        <f>C171+C165+C158</f>
        <v>44481</v>
      </c>
      <c r="D199" s="421">
        <f t="shared" ref="D199" si="3">D171+D165+D158</f>
        <v>54454.89503614229</v>
      </c>
      <c r="E199" s="421">
        <f>E171+E165+E158</f>
        <v>54023</v>
      </c>
      <c r="F199" s="422">
        <f>-(D199-E199)/D199</f>
        <v>-7.9312435705851062E-3</v>
      </c>
    </row>
    <row r="200" spans="2:6" ht="15.75" hidden="1" thickTop="1" x14ac:dyDescent="0.25">
      <c r="B200" s="310"/>
      <c r="C200" s="211"/>
      <c r="D200" s="211"/>
      <c r="E200" s="211"/>
      <c r="F200" s="405"/>
    </row>
    <row r="201" spans="2:6" ht="7.5" hidden="1" customHeight="1" x14ac:dyDescent="0.25">
      <c r="B201" s="310"/>
      <c r="C201" s="414"/>
      <c r="D201" s="414"/>
      <c r="E201" s="414"/>
      <c r="F201" s="415"/>
    </row>
    <row r="202" spans="2:6" ht="15" hidden="1" customHeight="1" x14ac:dyDescent="0.25">
      <c r="B202" s="406" t="str">
        <f>Input!B745</f>
        <v>Real Estate Errors &amp; Omissions</v>
      </c>
      <c r="C202" s="416"/>
      <c r="D202" s="416"/>
      <c r="E202" s="416"/>
      <c r="F202" s="417"/>
    </row>
    <row r="203" spans="2:6" ht="15" hidden="1" customHeight="1" x14ac:dyDescent="0.25">
      <c r="B203" s="446" t="s">
        <v>60</v>
      </c>
      <c r="C203" s="396" t="str">
        <f>Input!B749</f>
        <v>Houston Specialty Insurance Company</v>
      </c>
      <c r="D203" s="396" t="str">
        <f>Input!C749</f>
        <v>Houston Specialty Insurance Company</v>
      </c>
      <c r="E203" s="396" t="str">
        <f>Input!D749</f>
        <v>Houston Specialty Insurance Company</v>
      </c>
      <c r="F203" s="397" t="s">
        <v>284</v>
      </c>
    </row>
    <row r="204" spans="2:6" ht="15" hidden="1" customHeight="1" x14ac:dyDescent="0.25">
      <c r="B204" s="400" t="str">
        <f>Input!B767</f>
        <v>Exposure Base - Values Insured</v>
      </c>
      <c r="C204" s="398">
        <f>Input!C769</f>
        <v>0</v>
      </c>
      <c r="D204" s="398">
        <f>Input!E769</f>
        <v>0</v>
      </c>
      <c r="E204" s="398">
        <f>Input!E769</f>
        <v>0</v>
      </c>
      <c r="F204" s="399" t="e">
        <f>Input!E770</f>
        <v>#DIV/0!</v>
      </c>
    </row>
    <row r="205" spans="2:6" ht="15" hidden="1" customHeight="1" x14ac:dyDescent="0.25">
      <c r="B205" s="400" t="str">
        <f>Input!B754</f>
        <v>Blended Rate per $100 of Exposure</v>
      </c>
      <c r="C205" s="654" t="e">
        <f>Input!B755</f>
        <v>#DIV/0!</v>
      </c>
      <c r="D205" s="654" t="e">
        <f>Input!C755</f>
        <v>#DIV/0!</v>
      </c>
      <c r="E205" s="654" t="e">
        <f>Input!D755</f>
        <v>#DIV/0!</v>
      </c>
      <c r="F205" s="401" t="e">
        <f>-(D205-E205)/D205</f>
        <v>#DIV/0!</v>
      </c>
    </row>
    <row r="206" spans="2:6" ht="15" hidden="1" customHeight="1" x14ac:dyDescent="0.25">
      <c r="B206" s="400" t="s">
        <v>64</v>
      </c>
      <c r="C206" s="398">
        <f>Input!B763</f>
        <v>0</v>
      </c>
      <c r="D206" s="398" t="e">
        <f>Input!C763</f>
        <v>#DIV/0!</v>
      </c>
      <c r="E206" s="398">
        <f>Input!D763</f>
        <v>9302.7999999999993</v>
      </c>
      <c r="F206" s="401" t="e">
        <f>-(D206-E206)/D206</f>
        <v>#DIV/0!</v>
      </c>
    </row>
    <row r="207" spans="2:6" ht="4.5" hidden="1" customHeight="1" x14ac:dyDescent="0.25">
      <c r="B207" s="419"/>
      <c r="C207" s="414"/>
      <c r="D207" s="414"/>
      <c r="E207" s="414"/>
      <c r="F207" s="415"/>
    </row>
    <row r="208" spans="2:6" ht="4.5" hidden="1" customHeight="1" x14ac:dyDescent="0.25">
      <c r="B208" s="310"/>
      <c r="C208" s="414"/>
      <c r="D208" s="414"/>
      <c r="E208" s="414"/>
      <c r="F208" s="415"/>
    </row>
    <row r="209" spans="2:6" ht="4.5" hidden="1" customHeight="1" x14ac:dyDescent="0.25">
      <c r="B209" s="310"/>
      <c r="C209" s="414"/>
      <c r="D209" s="414"/>
      <c r="E209" s="414"/>
      <c r="F209" s="415"/>
    </row>
    <row r="210" spans="2:6" ht="15" hidden="1" customHeight="1" x14ac:dyDescent="0.25">
      <c r="B210" s="406" t="str">
        <f>Input!B1000</f>
        <v>Foreign Package - T5DC</v>
      </c>
      <c r="C210" s="416"/>
      <c r="D210" s="416"/>
      <c r="E210" s="416"/>
      <c r="F210" s="417"/>
    </row>
    <row r="211" spans="2:6" ht="15" hidden="1" customHeight="1" x14ac:dyDescent="0.25">
      <c r="B211" s="446" t="s">
        <v>60</v>
      </c>
      <c r="C211" s="396" t="str">
        <f>Input!B1005</f>
        <v>The Continental Insurance Company (CNA)</v>
      </c>
      <c r="D211" s="396" t="str">
        <f>Input!C1005</f>
        <v>The Continental Insurance Company (CNA)</v>
      </c>
      <c r="E211" s="396" t="str">
        <f>Input!D1005</f>
        <v>The Continental Insurance Company (CNA)</v>
      </c>
      <c r="F211" s="418" t="s">
        <v>284</v>
      </c>
    </row>
    <row r="212" spans="2:6" ht="15" hidden="1" customHeight="1" x14ac:dyDescent="0.25">
      <c r="B212" s="400" t="str">
        <f>Input!B1023</f>
        <v>Property Values</v>
      </c>
      <c r="C212" s="680">
        <f>Input!C1023</f>
        <v>0</v>
      </c>
      <c r="D212" s="680">
        <f>Input!D1023</f>
        <v>0</v>
      </c>
      <c r="E212" s="680">
        <f>Input!D1023</f>
        <v>0</v>
      </c>
      <c r="F212" s="401" t="e">
        <f>-(C212-D212)/C212</f>
        <v>#DIV/0!</v>
      </c>
    </row>
    <row r="213" spans="2:6" ht="15" hidden="1" customHeight="1" x14ac:dyDescent="0.25">
      <c r="B213" s="400" t="s">
        <v>64</v>
      </c>
      <c r="C213" s="398">
        <f>Input!B1017</f>
        <v>2500</v>
      </c>
      <c r="D213" s="398" t="e">
        <f>Input!C1017</f>
        <v>#DIV/0!</v>
      </c>
      <c r="E213" s="398">
        <f>Input!D1017</f>
        <v>2500</v>
      </c>
      <c r="F213" s="401" t="e">
        <f>-(D213-E213)/D213</f>
        <v>#DIV/0!</v>
      </c>
    </row>
    <row r="214" spans="2:6" ht="4.5" hidden="1" customHeight="1" x14ac:dyDescent="0.25">
      <c r="B214" s="310"/>
      <c r="C214" s="414"/>
      <c r="D214" s="414"/>
      <c r="E214" s="414"/>
      <c r="F214" s="415"/>
    </row>
    <row r="215" spans="2:6" ht="4.5" hidden="1" customHeight="1" x14ac:dyDescent="0.25">
      <c r="B215" s="310"/>
      <c r="C215" s="414"/>
      <c r="D215" s="414"/>
      <c r="E215" s="414"/>
      <c r="F215" s="415"/>
    </row>
    <row r="216" spans="2:6" ht="15" hidden="1" customHeight="1" x14ac:dyDescent="0.25">
      <c r="B216" s="406" t="str">
        <f>Input!B1102</f>
        <v>Excess Crime</v>
      </c>
      <c r="C216" s="416"/>
      <c r="D216" s="416"/>
      <c r="E216" s="416"/>
      <c r="F216" s="417"/>
    </row>
    <row r="217" spans="2:6" ht="15" hidden="1" customHeight="1" x14ac:dyDescent="0.25">
      <c r="B217" s="446" t="s">
        <v>60</v>
      </c>
      <c r="C217" s="396" t="str">
        <f>Input!B1107</f>
        <v>Great American Insurance Company</v>
      </c>
      <c r="D217" s="396" t="str">
        <f>Input!C1107</f>
        <v>Great American Insurance Company</v>
      </c>
      <c r="E217" s="396" t="str">
        <f>Input!D1107</f>
        <v>Great American Insurance Company</v>
      </c>
      <c r="F217" s="418" t="s">
        <v>284</v>
      </c>
    </row>
    <row r="218" spans="2:6" ht="15" hidden="1" customHeight="1" x14ac:dyDescent="0.25">
      <c r="B218" s="400" t="str">
        <f>Input!B1125</f>
        <v>Underlying Premium</v>
      </c>
      <c r="C218" s="680">
        <f>Input!C1125</f>
        <v>13476</v>
      </c>
      <c r="D218" s="680">
        <f>Input!D1125</f>
        <v>13473</v>
      </c>
      <c r="E218" s="680">
        <f>Input!D1125</f>
        <v>13473</v>
      </c>
      <c r="F218" s="401">
        <f>-(C218-D218)/C218</f>
        <v>-2.2261798753339269E-4</v>
      </c>
    </row>
    <row r="219" spans="2:6" ht="15" hidden="1" customHeight="1" x14ac:dyDescent="0.25">
      <c r="B219" s="400" t="str">
        <f>Input!B1126</f>
        <v>Foreign Revenue</v>
      </c>
      <c r="C219" s="398">
        <f>Input!C1126</f>
        <v>0</v>
      </c>
      <c r="D219" s="398">
        <f>Input!D1126</f>
        <v>0</v>
      </c>
      <c r="E219" s="398">
        <f>Input!D1126</f>
        <v>0</v>
      </c>
      <c r="F219" s="401" t="e">
        <f t="shared" ref="F219:F220" si="4">-(C219-D219)/C219</f>
        <v>#DIV/0!</v>
      </c>
    </row>
    <row r="220" spans="2:6" ht="15" hidden="1" customHeight="1" x14ac:dyDescent="0.25">
      <c r="B220" s="400" t="str">
        <f>Input!B1127</f>
        <v>Employee Count</v>
      </c>
      <c r="C220" s="680">
        <f>Input!C1127</f>
        <v>0</v>
      </c>
      <c r="D220" s="680">
        <f>Input!D1127</f>
        <v>0</v>
      </c>
      <c r="E220" s="680">
        <f>Input!D1127</f>
        <v>0</v>
      </c>
      <c r="F220" s="401" t="e">
        <f t="shared" si="4"/>
        <v>#DIV/0!</v>
      </c>
    </row>
    <row r="221" spans="2:6" ht="15" hidden="1" customHeight="1" x14ac:dyDescent="0.25">
      <c r="B221" s="400" t="s">
        <v>64</v>
      </c>
      <c r="C221" s="398">
        <f>Input!B1119</f>
        <v>6500</v>
      </c>
      <c r="D221" s="398">
        <f>Input!C1119</f>
        <v>6498.5529830810328</v>
      </c>
      <c r="E221" s="398">
        <f>Input!D1119</f>
        <v>6500</v>
      </c>
      <c r="F221" s="401">
        <f>-(D221-E221)/D221</f>
        <v>2.2266755733691334E-4</v>
      </c>
    </row>
    <row r="222" spans="2:6" ht="4.5" customHeight="1" thickTop="1" x14ac:dyDescent="0.25">
      <c r="B222" s="310"/>
      <c r="C222" s="414"/>
      <c r="D222" s="414"/>
      <c r="E222" s="414"/>
      <c r="F222" s="415"/>
    </row>
    <row r="223" spans="2:6" ht="15" hidden="1" customHeight="1" x14ac:dyDescent="0.25">
      <c r="C223" s="212"/>
      <c r="D223" s="212"/>
      <c r="E223" s="212"/>
      <c r="F223" s="212"/>
    </row>
    <row r="224" spans="2:6" ht="15" hidden="1" customHeight="1" x14ac:dyDescent="0.25">
      <c r="C224" s="212"/>
      <c r="D224" s="212"/>
      <c r="E224" s="212"/>
      <c r="F224" s="212"/>
    </row>
    <row r="225" spans="2:9" ht="15" hidden="1" customHeight="1" x14ac:dyDescent="0.25">
      <c r="C225" s="212"/>
      <c r="D225" s="212"/>
      <c r="E225" s="212"/>
      <c r="F225" s="212"/>
    </row>
    <row r="226" spans="2:9" ht="15" hidden="1" customHeight="1" x14ac:dyDescent="0.25">
      <c r="C226" s="212"/>
      <c r="D226" s="212"/>
      <c r="E226" s="212"/>
      <c r="F226" s="212"/>
    </row>
    <row r="227" spans="2:9" ht="4.5" customHeight="1" x14ac:dyDescent="0.25">
      <c r="B227" s="310"/>
      <c r="C227" s="414"/>
      <c r="D227" s="414"/>
      <c r="E227" s="414"/>
      <c r="F227" s="415"/>
    </row>
    <row r="228" spans="2:9" ht="15" hidden="1" customHeight="1" x14ac:dyDescent="0.25">
      <c r="B228" s="406" t="str">
        <f>Input!B1174</f>
        <v>Aircraft (Drone) Liability</v>
      </c>
      <c r="C228" s="416"/>
      <c r="D228" s="416"/>
      <c r="E228" s="416"/>
      <c r="F228" s="417"/>
    </row>
    <row r="229" spans="2:9" ht="15" hidden="1" customHeight="1" x14ac:dyDescent="0.25">
      <c r="B229" s="446" t="s">
        <v>60</v>
      </c>
      <c r="C229" s="396" t="str">
        <f>Input!B1178</f>
        <v>Global Aerospace</v>
      </c>
      <c r="D229" s="396" t="str">
        <f>Input!C1178</f>
        <v>Global Aerospace</v>
      </c>
      <c r="E229" s="396" t="str">
        <f>Input!D1178</f>
        <v>Global Aerospace</v>
      </c>
      <c r="F229" s="418" t="s">
        <v>284</v>
      </c>
    </row>
    <row r="230" spans="2:9" ht="15" hidden="1" customHeight="1" x14ac:dyDescent="0.25">
      <c r="B230" s="400" t="str">
        <f>Input!B1194</f>
        <v>Number of Drones</v>
      </c>
      <c r="C230" s="680">
        <f>Input!C1194</f>
        <v>0</v>
      </c>
      <c r="D230" s="680">
        <f>Input!E1194</f>
        <v>0</v>
      </c>
      <c r="E230" s="680">
        <f>Input!E1194</f>
        <v>0</v>
      </c>
      <c r="F230" s="401" t="e">
        <f>Input!E1195</f>
        <v>#DIV/0!</v>
      </c>
    </row>
    <row r="231" spans="2:9" ht="15" hidden="1" customHeight="1" x14ac:dyDescent="0.25">
      <c r="B231" s="400" t="s">
        <v>64</v>
      </c>
      <c r="C231" s="398">
        <f>Input!B1188</f>
        <v>0</v>
      </c>
      <c r="D231" s="398" t="e">
        <f>Input!C1188</f>
        <v>#DIV/0!</v>
      </c>
      <c r="E231" s="398">
        <f>Input!D1188</f>
        <v>0</v>
      </c>
      <c r="F231" s="401" t="e">
        <f>-(D231-E231)/D231</f>
        <v>#DIV/0!</v>
      </c>
    </row>
    <row r="232" spans="2:9" ht="7.5" hidden="1" customHeight="1" x14ac:dyDescent="0.25">
      <c r="B232" s="310"/>
      <c r="C232" s="414"/>
      <c r="D232" s="414"/>
      <c r="E232" s="414"/>
      <c r="F232" s="415"/>
    </row>
    <row r="233" spans="2:9" hidden="1" x14ac:dyDescent="0.25">
      <c r="C233" s="212"/>
      <c r="D233" s="212"/>
      <c r="E233" s="212"/>
      <c r="F233" s="212"/>
    </row>
    <row r="234" spans="2:9" hidden="1" x14ac:dyDescent="0.25">
      <c r="C234" s="212"/>
      <c r="D234" s="212"/>
      <c r="E234" s="212"/>
      <c r="F234" s="212"/>
    </row>
    <row r="235" spans="2:9" ht="14.25" hidden="1" customHeight="1" x14ac:dyDescent="0.25">
      <c r="B235" s="310"/>
      <c r="C235" s="414"/>
      <c r="D235" s="414"/>
      <c r="E235" s="414"/>
      <c r="F235" s="415"/>
    </row>
    <row r="236" spans="2:9" ht="15.75" thickBot="1" x14ac:dyDescent="0.3">
      <c r="B236" s="420" t="s">
        <v>307</v>
      </c>
      <c r="C236" s="421">
        <f>C171+C165+C158+C143+C135+C79+C71+C127+C116+C57+C43+C37+C31+C25+C18+C106+C95+C87+C12</f>
        <v>859868.36</v>
      </c>
      <c r="D236" s="421">
        <f>D171+D165+D158+D143+D135+D79+D71+D127+D116+D57+D43+D37+D31+D25+D18+D106+D95+D87+D12</f>
        <v>1169780.5232964649</v>
      </c>
      <c r="E236" s="421">
        <f>E171+E165+E158+E143+E135+E79+E71+E127+E116+E57+E43+E37+E31+E25+E18+E106+E95+E87+E12+E51</f>
        <v>981583.41999999993</v>
      </c>
      <c r="F236" s="422">
        <f>-(D236-E236)/D236</f>
        <v>-0.16088240447543253</v>
      </c>
    </row>
    <row r="237" spans="2:9" ht="7.5" customHeight="1" thickTop="1" x14ac:dyDescent="0.25">
      <c r="B237" s="225"/>
      <c r="C237" s="213"/>
      <c r="D237" s="213"/>
      <c r="E237" s="213"/>
      <c r="F237" s="272"/>
    </row>
    <row r="238" spans="2:9" x14ac:dyDescent="0.25">
      <c r="B238" s="255" t="s">
        <v>61</v>
      </c>
      <c r="C238" s="883"/>
      <c r="D238" s="883"/>
      <c r="E238" s="883"/>
      <c r="F238" s="272"/>
    </row>
    <row r="239" spans="2:9" x14ac:dyDescent="0.25">
      <c r="B239" s="1155" t="s">
        <v>636</v>
      </c>
      <c r="C239" s="1155"/>
      <c r="D239" s="1155"/>
      <c r="E239" s="1155"/>
      <c r="F239" s="1271"/>
    </row>
    <row r="240" spans="2:9" x14ac:dyDescent="0.25">
      <c r="B240" s="214" t="s">
        <v>507</v>
      </c>
      <c r="C240" s="213"/>
      <c r="D240" s="213"/>
      <c r="E240" s="213"/>
      <c r="F240" s="273"/>
      <c r="G240" s="245"/>
      <c r="H240" s="245"/>
      <c r="I240" s="245"/>
    </row>
    <row r="241" spans="2:9" x14ac:dyDescent="0.25">
      <c r="B241" s="236" t="s">
        <v>508</v>
      </c>
      <c r="C241" s="213"/>
      <c r="D241" s="213"/>
      <c r="E241" s="213"/>
      <c r="F241" s="273"/>
      <c r="G241" s="245"/>
      <c r="H241" s="245"/>
      <c r="I241" s="245"/>
    </row>
    <row r="242" spans="2:9" x14ac:dyDescent="0.25">
      <c r="B242" s="1267" t="s">
        <v>1828</v>
      </c>
      <c r="C242" s="1267"/>
      <c r="D242" s="1267"/>
      <c r="E242" s="1267"/>
      <c r="F242" s="1268"/>
      <c r="G242" s="245"/>
      <c r="H242" s="245"/>
      <c r="I242" s="245"/>
    </row>
    <row r="259" spans="2:6" x14ac:dyDescent="0.25">
      <c r="B259" s="1269"/>
      <c r="C259" s="1269"/>
      <c r="D259" s="1269"/>
      <c r="E259" s="1269"/>
      <c r="F259" s="1270"/>
    </row>
    <row r="260" spans="2:6" x14ac:dyDescent="0.25">
      <c r="B260" s="1267"/>
      <c r="C260" s="1267"/>
      <c r="D260" s="1267"/>
      <c r="E260" s="1267"/>
      <c r="F260" s="1268"/>
    </row>
  </sheetData>
  <mergeCells count="25">
    <mergeCell ref="B260:F260"/>
    <mergeCell ref="B259:F259"/>
    <mergeCell ref="B239:F239"/>
    <mergeCell ref="B45:F45"/>
    <mergeCell ref="B81:F81"/>
    <mergeCell ref="B89:F89"/>
    <mergeCell ref="B97:F97"/>
    <mergeCell ref="B73:F73"/>
    <mergeCell ref="B120:F120"/>
    <mergeCell ref="B242:F242"/>
    <mergeCell ref="B64:F64"/>
    <mergeCell ref="B108:F108"/>
    <mergeCell ref="B137:F137"/>
    <mergeCell ref="B149:F149"/>
    <mergeCell ref="B145:F145"/>
    <mergeCell ref="F4:F5"/>
    <mergeCell ref="B4:B5"/>
    <mergeCell ref="C4:C5"/>
    <mergeCell ref="D4:D5"/>
    <mergeCell ref="E4:E5"/>
    <mergeCell ref="B6:F6"/>
    <mergeCell ref="B66:F66"/>
    <mergeCell ref="B59:F59"/>
    <mergeCell ref="B118:F118"/>
    <mergeCell ref="B129:F129"/>
  </mergeCells>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Renewal Summary</oddHeader>
    <oddFooter>&amp;L&amp;G&amp;CPage &amp;P of &amp;N</oddFooter>
  </headerFooter>
  <rowBreaks count="4" manualBreakCount="4">
    <brk id="38" min="1" max="4" man="1"/>
    <brk id="65" min="1" max="4" man="1"/>
    <brk id="100" min="1" max="4" man="1"/>
    <brk id="138" min="1" max="4" man="1"/>
  </rowBreaks>
  <ignoredErrors>
    <ignoredError sqref="F155" formula="1"/>
  </ignoredError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pageSetUpPr fitToPage="1"/>
  </sheetPr>
  <dimension ref="B1:O137"/>
  <sheetViews>
    <sheetView showGridLines="0" view="pageBreakPreview" zoomScale="115" zoomScaleNormal="100" zoomScaleSheetLayoutView="115" workbookViewId="0">
      <selection activeCell="F17" sqref="F17"/>
    </sheetView>
  </sheetViews>
  <sheetFormatPr defaultColWidth="9.140625" defaultRowHeight="15" x14ac:dyDescent="0.25"/>
  <cols>
    <col min="1" max="1" width="2.28515625" style="16" customWidth="1"/>
    <col min="2" max="2" width="46.42578125" style="310" customWidth="1"/>
    <col min="3" max="4" width="16.42578125" style="228" customWidth="1"/>
    <col min="5" max="5" width="5.7109375" style="228" hidden="1" customWidth="1"/>
    <col min="6" max="6" width="16.42578125" style="275" customWidth="1"/>
    <col min="7" max="7" width="9.140625" style="228" customWidth="1"/>
    <col min="8" max="9" width="2.85546875" style="211" customWidth="1"/>
    <col min="10" max="11" width="32.140625" style="211" customWidth="1"/>
    <col min="12" max="12" width="9.140625" style="16" customWidth="1"/>
    <col min="13" max="13" width="17" style="16" customWidth="1"/>
    <col min="14" max="53" width="9.140625" style="16" customWidth="1"/>
    <col min="54" max="16384" width="9.140625" style="16"/>
  </cols>
  <sheetData>
    <row r="1" spans="2:15" ht="7.5" customHeight="1" x14ac:dyDescent="0.25">
      <c r="B1" s="16"/>
      <c r="C1" s="450"/>
      <c r="D1" s="450"/>
      <c r="E1" s="450"/>
      <c r="F1" s="451"/>
      <c r="G1" s="450"/>
      <c r="H1" s="452"/>
      <c r="I1" s="452"/>
      <c r="J1" s="452"/>
    </row>
    <row r="2" spans="2:15" ht="15.75" x14ac:dyDescent="0.25">
      <c r="B2" s="453" t="str">
        <f>Input!B8</f>
        <v>Contractor's Professional &amp; Pollution Liability</v>
      </c>
      <c r="C2" s="450"/>
      <c r="D2" s="450"/>
      <c r="E2" s="450"/>
      <c r="F2" s="451"/>
      <c r="G2" s="450"/>
      <c r="H2" s="454"/>
      <c r="I2" s="455"/>
      <c r="J2" s="455"/>
      <c r="L2" s="456" t="s">
        <v>391</v>
      </c>
      <c r="M2" s="381" t="s">
        <v>361</v>
      </c>
    </row>
    <row r="3" spans="2:15" x14ac:dyDescent="0.25">
      <c r="B3" s="16"/>
      <c r="C3" s="450"/>
      <c r="D3" s="455" t="str">
        <f xml:space="preserve"> IF(Input!D12=Input!G12,CHAR(254), "")</f>
        <v/>
      </c>
      <c r="E3" s="457"/>
      <c r="F3" s="458" t="str">
        <f xml:space="preserve"> IF(Input!E12=Input!G12,CHAR(254), "")</f>
        <v/>
      </c>
      <c r="G3" s="450"/>
      <c r="H3" s="452"/>
      <c r="I3" s="452"/>
      <c r="J3" s="452"/>
      <c r="L3" s="459" t="s">
        <v>157</v>
      </c>
      <c r="M3" s="211" t="s">
        <v>362</v>
      </c>
    </row>
    <row r="4" spans="2:15" ht="25.5" x14ac:dyDescent="0.25">
      <c r="B4" s="523" t="s">
        <v>66</v>
      </c>
      <c r="C4" s="524" t="s">
        <v>62</v>
      </c>
      <c r="D4" s="525" t="s">
        <v>63</v>
      </c>
      <c r="E4" s="426"/>
      <c r="F4" s="526" t="s">
        <v>1967</v>
      </c>
      <c r="J4" s="527" t="s">
        <v>1002</v>
      </c>
      <c r="K4" s="527" t="s">
        <v>363</v>
      </c>
    </row>
    <row r="5" spans="2:15" ht="30" customHeight="1" x14ac:dyDescent="0.25">
      <c r="B5" s="409" t="s">
        <v>60</v>
      </c>
      <c r="C5" s="412" t="str">
        <f>Input!B13</f>
        <v>Columbia Casualty Company (CNA)</v>
      </c>
      <c r="D5" s="390" t="str">
        <f>Input!D13</f>
        <v>Columbia Casualty Company (CNA)</v>
      </c>
      <c r="F5" s="413" t="str">
        <f>Input!E13</f>
        <v>Columbia Casualty Company (CNA)</v>
      </c>
      <c r="J5" s="231"/>
      <c r="K5" s="231"/>
      <c r="L5" s="460"/>
      <c r="M5" s="211"/>
    </row>
    <row r="6" spans="2:15" x14ac:dyDescent="0.25">
      <c r="B6" s="409" t="s">
        <v>69</v>
      </c>
      <c r="C6" s="412" t="str">
        <f>Input!B15</f>
        <v>A: XV</v>
      </c>
      <c r="D6" s="390" t="str">
        <f>Input!D15</f>
        <v>A: XV</v>
      </c>
      <c r="F6" s="413" t="str">
        <f>Input!E15</f>
        <v>A: XV</v>
      </c>
      <c r="J6" s="231"/>
      <c r="K6" s="231"/>
    </row>
    <row r="7" spans="2:15" x14ac:dyDescent="0.25">
      <c r="B7" s="409" t="str">
        <f>Input!B11</f>
        <v>Renewal Policy Number</v>
      </c>
      <c r="C7" s="412">
        <f>Input!C10</f>
        <v>6080998210</v>
      </c>
      <c r="D7" s="390" t="str">
        <f>Input!C11</f>
        <v>TBD</v>
      </c>
      <c r="F7" s="413" t="str">
        <f>Input!C11</f>
        <v>TBD</v>
      </c>
      <c r="J7" s="231"/>
      <c r="K7" s="231"/>
    </row>
    <row r="8" spans="2:15" ht="15" customHeight="1" x14ac:dyDescent="0.25">
      <c r="B8" s="409" t="str">
        <f>Input!B6</f>
        <v>Renewal Policy Period</v>
      </c>
      <c r="C8" s="412" t="str">
        <f>Input!C5</f>
        <v>7/1/2022 - 7/1/2023</v>
      </c>
      <c r="D8" s="390" t="str">
        <f>Input!C6</f>
        <v>7/1/2023 - 7/1/2024</v>
      </c>
      <c r="F8" s="413" t="str">
        <f>Input!C6</f>
        <v>7/1/2023 - 7/1/2024</v>
      </c>
      <c r="J8" s="231"/>
      <c r="K8" s="231"/>
    </row>
    <row r="9" spans="2:15" x14ac:dyDescent="0.25">
      <c r="B9" s="409" t="s">
        <v>70</v>
      </c>
      <c r="C9" s="398">
        <f>Input!G36</f>
        <v>5000000</v>
      </c>
      <c r="D9" s="425">
        <f>Input!G37</f>
        <v>5000000</v>
      </c>
      <c r="E9" s="414"/>
      <c r="F9" s="427">
        <f>Input!G38</f>
        <v>5000000</v>
      </c>
      <c r="J9" s="231"/>
      <c r="K9" s="231"/>
    </row>
    <row r="10" spans="2:15" x14ac:dyDescent="0.25">
      <c r="B10" s="409" t="s">
        <v>71</v>
      </c>
      <c r="C10" s="398">
        <f>Input!H36</f>
        <v>5000000</v>
      </c>
      <c r="D10" s="425">
        <f>Input!H37</f>
        <v>5000000</v>
      </c>
      <c r="E10" s="414"/>
      <c r="F10" s="427">
        <f>Input!H38</f>
        <v>5000000</v>
      </c>
      <c r="J10" s="231"/>
      <c r="K10" s="231"/>
    </row>
    <row r="11" spans="2:15" x14ac:dyDescent="0.25">
      <c r="B11" s="574" t="str">
        <f>Input!I34</f>
        <v>Self-Insured Retention</v>
      </c>
      <c r="C11" s="574"/>
      <c r="D11" s="574"/>
      <c r="E11" s="414"/>
      <c r="F11" s="562"/>
      <c r="J11" s="575"/>
      <c r="K11" s="575"/>
    </row>
    <row r="12" spans="2:15" x14ac:dyDescent="0.25">
      <c r="B12" s="474" t="str">
        <f>Input!I35</f>
        <v>Each Claim</v>
      </c>
      <c r="C12" s="428">
        <f>Input!I36</f>
        <v>25000</v>
      </c>
      <c r="D12" s="425">
        <f>Input!I37</f>
        <v>25000</v>
      </c>
      <c r="E12" s="414"/>
      <c r="F12" s="427">
        <f>Input!I38</f>
        <v>25000</v>
      </c>
      <c r="J12" s="231"/>
      <c r="K12" s="231"/>
    </row>
    <row r="13" spans="2:15" ht="15" hidden="1" customHeight="1" x14ac:dyDescent="0.25">
      <c r="B13" s="664" t="str">
        <f>Input!J35</f>
        <v>Aggregate</v>
      </c>
      <c r="C13" s="428">
        <f>Input!J36</f>
        <v>0</v>
      </c>
      <c r="D13" s="425">
        <f>Input!J37</f>
        <v>0</v>
      </c>
      <c r="E13" s="414"/>
      <c r="F13" s="427">
        <f>Input!J38</f>
        <v>0</v>
      </c>
      <c r="J13" s="231"/>
      <c r="K13" s="231"/>
      <c r="M13" s="1158"/>
      <c r="N13" s="1158"/>
      <c r="O13" s="1158"/>
    </row>
    <row r="14" spans="2:15" hidden="1" x14ac:dyDescent="0.25">
      <c r="B14" s="664" t="str">
        <f>Input!K35</f>
        <v>Maintenance</v>
      </c>
      <c r="C14" s="428">
        <f>Input!K36</f>
        <v>0</v>
      </c>
      <c r="D14" s="425">
        <f>Input!K37</f>
        <v>0</v>
      </c>
      <c r="E14" s="414"/>
      <c r="F14" s="427">
        <f>Input!K38</f>
        <v>0</v>
      </c>
      <c r="J14" s="231"/>
      <c r="K14" s="231"/>
      <c r="M14" s="1158"/>
      <c r="N14" s="1158"/>
      <c r="O14" s="1158"/>
    </row>
    <row r="15" spans="2:15" x14ac:dyDescent="0.25">
      <c r="B15" s="479" t="s">
        <v>367</v>
      </c>
      <c r="C15" s="479"/>
      <c r="D15" s="479"/>
      <c r="F15" s="562"/>
      <c r="G15" s="211"/>
      <c r="J15" s="566"/>
      <c r="K15" s="566"/>
      <c r="M15" s="1158"/>
      <c r="N15" s="1158"/>
      <c r="O15" s="1158"/>
    </row>
    <row r="16" spans="2:15" x14ac:dyDescent="0.25">
      <c r="B16" s="402" t="s">
        <v>343</v>
      </c>
      <c r="C16" s="428">
        <f>Input!B17</f>
        <v>33479</v>
      </c>
      <c r="D16" s="425">
        <f>Input!D17</f>
        <v>76188</v>
      </c>
      <c r="E16" s="414"/>
      <c r="F16" s="427">
        <f>Input!E17</f>
        <v>49735</v>
      </c>
      <c r="J16" s="231"/>
      <c r="K16" s="231"/>
    </row>
    <row r="17" spans="2:11" x14ac:dyDescent="0.25">
      <c r="B17" s="402" t="s">
        <v>789</v>
      </c>
      <c r="C17" s="429">
        <f>C16*Input!B23</f>
        <v>1339.16</v>
      </c>
      <c r="D17" s="425">
        <f>D20-D16</f>
        <v>3047.5200000000041</v>
      </c>
      <c r="E17" s="414"/>
      <c r="F17" s="430">
        <f>F20-F16</f>
        <v>1989.4000000000015</v>
      </c>
      <c r="J17" s="231"/>
      <c r="K17" s="231"/>
    </row>
    <row r="18" spans="2:11" x14ac:dyDescent="0.25">
      <c r="B18" s="402" t="s">
        <v>790</v>
      </c>
      <c r="C18" s="429">
        <f>Input!B25</f>
        <v>0</v>
      </c>
      <c r="D18" s="425">
        <f>Input!D25</f>
        <v>0</v>
      </c>
      <c r="E18" s="414"/>
      <c r="F18" s="430">
        <f>Input!E25</f>
        <v>0</v>
      </c>
      <c r="J18" s="231"/>
      <c r="K18" s="231"/>
    </row>
    <row r="19" spans="2:11" x14ac:dyDescent="0.25">
      <c r="B19" s="402" t="s">
        <v>412</v>
      </c>
      <c r="C19" s="429">
        <f>Input!B27</f>
        <v>0</v>
      </c>
      <c r="D19" s="425">
        <f>Input!D27</f>
        <v>0</v>
      </c>
      <c r="E19" s="414"/>
      <c r="F19" s="430">
        <f>Input!E27</f>
        <v>0</v>
      </c>
      <c r="J19" s="231"/>
      <c r="K19" s="231"/>
    </row>
    <row r="20" spans="2:11" x14ac:dyDescent="0.25">
      <c r="B20" s="409" t="s">
        <v>369</v>
      </c>
      <c r="C20" s="428">
        <f>Input!B29</f>
        <v>34818.160000000003</v>
      </c>
      <c r="D20" s="425">
        <f>Input!D29</f>
        <v>79235.520000000004</v>
      </c>
      <c r="E20" s="414"/>
      <c r="F20" s="427">
        <f>Input!E29</f>
        <v>51724.4</v>
      </c>
      <c r="J20" s="231"/>
      <c r="K20" s="231"/>
    </row>
    <row r="21" spans="2:11" ht="7.5" customHeight="1" x14ac:dyDescent="0.25"/>
    <row r="22" spans="2:11" x14ac:dyDescent="0.25">
      <c r="B22" s="1274" t="s">
        <v>144</v>
      </c>
      <c r="C22" s="1274"/>
      <c r="D22" s="1274"/>
      <c r="E22" s="238"/>
      <c r="F22" s="274"/>
    </row>
    <row r="23" spans="2:11" s="452" customFormat="1" ht="26.25" customHeight="1" x14ac:dyDescent="0.25">
      <c r="B23" s="1275" t="s">
        <v>2013</v>
      </c>
      <c r="C23" s="1276"/>
      <c r="D23" s="1276"/>
      <c r="E23" s="1276"/>
      <c r="F23" s="1277"/>
      <c r="G23" s="228"/>
      <c r="H23" s="211"/>
      <c r="I23" s="211"/>
      <c r="J23" s="211"/>
      <c r="K23" s="211"/>
    </row>
    <row r="24" spans="2:11" ht="5.25" customHeight="1" x14ac:dyDescent="0.25">
      <c r="B24" s="380"/>
      <c r="C24" s="238"/>
      <c r="D24" s="238"/>
      <c r="E24" s="433"/>
      <c r="G24" s="926" t="s">
        <v>1833</v>
      </c>
    </row>
    <row r="25" spans="2:11" x14ac:dyDescent="0.25">
      <c r="B25" s="1274" t="s">
        <v>145</v>
      </c>
      <c r="C25" s="1274"/>
      <c r="D25" s="1274"/>
      <c r="E25" s="434"/>
    </row>
    <row r="26" spans="2:11" x14ac:dyDescent="0.25">
      <c r="B26" s="1275" t="s">
        <v>1172</v>
      </c>
      <c r="C26" s="1276"/>
      <c r="D26" s="1276"/>
      <c r="E26" s="1276"/>
      <c r="F26" s="1277"/>
    </row>
    <row r="27" spans="2:11" ht="7.5" customHeight="1" x14ac:dyDescent="0.25"/>
    <row r="28" spans="2:11" x14ac:dyDescent="0.25">
      <c r="B28" s="523" t="s">
        <v>72</v>
      </c>
      <c r="C28" s="524" t="s">
        <v>62</v>
      </c>
      <c r="D28" s="525" t="s">
        <v>63</v>
      </c>
      <c r="E28" s="426"/>
      <c r="F28" s="526" t="s">
        <v>146</v>
      </c>
      <c r="G28" s="16"/>
      <c r="H28" s="16"/>
      <c r="I28" s="16"/>
      <c r="J28" s="527" t="s">
        <v>1002</v>
      </c>
      <c r="K28" s="527" t="s">
        <v>363</v>
      </c>
    </row>
    <row r="29" spans="2:11" x14ac:dyDescent="0.25">
      <c r="B29" s="400" t="s">
        <v>73</v>
      </c>
      <c r="C29" s="578" t="s">
        <v>1239</v>
      </c>
      <c r="D29" s="1056" t="s">
        <v>1239</v>
      </c>
      <c r="F29" s="1056" t="s">
        <v>1239</v>
      </c>
      <c r="G29" s="16" t="str">
        <f t="shared" ref="G29:G92" si="0">IF(OR(TRIM(D29)&lt;&gt;"",TRIM(F29)&lt;&gt;""),IF(AND(TRIM(D29)&lt;&gt;"",TRIM(F29)&lt;&gt;""),IF(OR(TRIM(C29)&lt;&gt;TRIM(D29),TRIM(C29)&lt;&gt;TRIM(F29)),"_",""),IF(TRIM(C29)&lt;&gt;TRIM(D29), "_", "")),"")</f>
        <v/>
      </c>
      <c r="H29" s="16"/>
      <c r="I29" s="16"/>
      <c r="J29" s="231"/>
      <c r="K29" s="231"/>
    </row>
    <row r="30" spans="2:11" x14ac:dyDescent="0.25">
      <c r="B30" s="400" t="s">
        <v>74</v>
      </c>
      <c r="C30" s="712" t="s">
        <v>1240</v>
      </c>
      <c r="D30" s="712" t="s">
        <v>1240</v>
      </c>
      <c r="F30" s="712" t="s">
        <v>1240</v>
      </c>
      <c r="G30" s="16" t="str">
        <f t="shared" si="0"/>
        <v/>
      </c>
      <c r="H30" s="16"/>
      <c r="I30" s="16"/>
      <c r="J30" s="231"/>
      <c r="K30" s="231"/>
    </row>
    <row r="31" spans="2:11" x14ac:dyDescent="0.25">
      <c r="B31" s="368" t="s">
        <v>151</v>
      </c>
      <c r="C31" s="746" t="s">
        <v>1229</v>
      </c>
      <c r="D31" s="746" t="s">
        <v>1229</v>
      </c>
      <c r="F31" s="746" t="s">
        <v>1229</v>
      </c>
      <c r="G31" s="16" t="str">
        <f t="shared" si="0"/>
        <v/>
      </c>
      <c r="J31" s="232"/>
      <c r="K31" s="232"/>
    </row>
    <row r="32" spans="2:11" ht="15" hidden="1" customHeight="1" x14ac:dyDescent="0.25">
      <c r="B32" s="441" t="s">
        <v>694</v>
      </c>
      <c r="C32" s="668"/>
      <c r="D32" s="668"/>
      <c r="F32" s="668"/>
      <c r="G32" s="16" t="str">
        <f t="shared" si="0"/>
        <v/>
      </c>
      <c r="J32" s="447"/>
      <c r="K32" s="447"/>
    </row>
    <row r="33" spans="2:11" ht="15" hidden="1" customHeight="1" x14ac:dyDescent="0.25">
      <c r="B33" s="442" t="s">
        <v>695</v>
      </c>
      <c r="C33" s="424"/>
      <c r="D33" s="424"/>
      <c r="F33" s="424"/>
      <c r="G33" s="16" t="str">
        <f t="shared" si="0"/>
        <v/>
      </c>
      <c r="J33" s="445"/>
      <c r="K33" s="445"/>
    </row>
    <row r="34" spans="2:11" x14ac:dyDescent="0.25">
      <c r="B34" s="368" t="s">
        <v>75</v>
      </c>
      <c r="C34" s="780" t="s">
        <v>1267</v>
      </c>
      <c r="D34" s="780" t="s">
        <v>1267</v>
      </c>
      <c r="F34" s="780" t="s">
        <v>1267</v>
      </c>
      <c r="G34" s="16" t="str">
        <f t="shared" si="0"/>
        <v/>
      </c>
      <c r="H34" s="16"/>
      <c r="I34" s="16"/>
      <c r="J34" s="232"/>
      <c r="K34" s="232"/>
    </row>
    <row r="35" spans="2:11" ht="15" hidden="1" customHeight="1" x14ac:dyDescent="0.25">
      <c r="B35" s="441" t="s">
        <v>694</v>
      </c>
      <c r="C35" s="439"/>
      <c r="D35" s="439"/>
      <c r="F35" s="439"/>
      <c r="G35" s="16" t="str">
        <f t="shared" si="0"/>
        <v/>
      </c>
      <c r="J35" s="447"/>
      <c r="K35" s="447"/>
    </row>
    <row r="36" spans="2:11" ht="15" hidden="1" customHeight="1" x14ac:dyDescent="0.25">
      <c r="B36" s="442" t="s">
        <v>695</v>
      </c>
      <c r="C36" s="424"/>
      <c r="D36" s="424"/>
      <c r="F36" s="424"/>
      <c r="G36" s="16" t="str">
        <f t="shared" si="0"/>
        <v/>
      </c>
      <c r="J36" s="447"/>
      <c r="K36" s="445"/>
    </row>
    <row r="37" spans="2:11" x14ac:dyDescent="0.25">
      <c r="B37" s="400" t="s">
        <v>76</v>
      </c>
      <c r="C37" s="712" t="s">
        <v>284</v>
      </c>
      <c r="D37" s="712" t="s">
        <v>284</v>
      </c>
      <c r="F37" s="712" t="s">
        <v>284</v>
      </c>
      <c r="G37" s="16" t="str">
        <f t="shared" si="0"/>
        <v/>
      </c>
      <c r="H37" s="16"/>
      <c r="I37" s="16"/>
      <c r="J37" s="1057"/>
      <c r="K37" s="231"/>
    </row>
    <row r="38" spans="2:11" x14ac:dyDescent="0.25">
      <c r="B38" s="400" t="s">
        <v>77</v>
      </c>
      <c r="C38" s="712" t="s">
        <v>1036</v>
      </c>
      <c r="D38" s="712" t="s">
        <v>1036</v>
      </c>
      <c r="F38" s="712" t="s">
        <v>1036</v>
      </c>
      <c r="G38" s="16" t="str">
        <f t="shared" si="0"/>
        <v/>
      </c>
      <c r="H38" s="16"/>
      <c r="I38" s="16"/>
      <c r="J38" s="231"/>
      <c r="K38" s="231"/>
    </row>
    <row r="39" spans="2:11" x14ac:dyDescent="0.25">
      <c r="B39" s="368" t="s">
        <v>344</v>
      </c>
      <c r="C39" s="391"/>
      <c r="D39" s="391"/>
      <c r="F39" s="391"/>
      <c r="G39" s="16" t="str">
        <f t="shared" si="0"/>
        <v/>
      </c>
      <c r="H39" s="16"/>
      <c r="I39" s="16"/>
      <c r="J39" s="231"/>
      <c r="K39" s="231"/>
    </row>
    <row r="40" spans="2:11" x14ac:dyDescent="0.25">
      <c r="B40" s="441" t="s">
        <v>1259</v>
      </c>
      <c r="C40" s="748" t="s">
        <v>157</v>
      </c>
      <c r="D40" s="748" t="s">
        <v>157</v>
      </c>
      <c r="F40" s="748" t="s">
        <v>157</v>
      </c>
      <c r="G40" s="16" t="str">
        <f t="shared" si="0"/>
        <v/>
      </c>
      <c r="H40" s="16"/>
      <c r="I40" s="16"/>
      <c r="J40" s="231"/>
      <c r="K40" s="231"/>
    </row>
    <row r="41" spans="2:11" x14ac:dyDescent="0.25">
      <c r="B41" s="441" t="s">
        <v>1260</v>
      </c>
      <c r="C41" s="748" t="s">
        <v>157</v>
      </c>
      <c r="D41" s="748" t="s">
        <v>157</v>
      </c>
      <c r="F41" s="748" t="s">
        <v>157</v>
      </c>
      <c r="G41" s="16" t="str">
        <f t="shared" si="0"/>
        <v/>
      </c>
      <c r="H41" s="16"/>
      <c r="I41" s="16"/>
      <c r="J41" s="231"/>
      <c r="K41" s="231"/>
    </row>
    <row r="42" spans="2:11" x14ac:dyDescent="0.25">
      <c r="B42" s="772" t="s">
        <v>345</v>
      </c>
      <c r="C42" s="748" t="s">
        <v>157</v>
      </c>
      <c r="D42" s="748" t="s">
        <v>157</v>
      </c>
      <c r="F42" s="748" t="s">
        <v>157</v>
      </c>
      <c r="G42" s="16" t="str">
        <f t="shared" si="0"/>
        <v/>
      </c>
      <c r="H42" s="16"/>
      <c r="I42" s="16"/>
      <c r="J42" s="231"/>
      <c r="K42" s="231"/>
    </row>
    <row r="43" spans="2:11" x14ac:dyDescent="0.25">
      <c r="B43" s="772" t="s">
        <v>346</v>
      </c>
      <c r="C43" s="748" t="s">
        <v>157</v>
      </c>
      <c r="D43" s="748" t="s">
        <v>157</v>
      </c>
      <c r="F43" s="748" t="s">
        <v>157</v>
      </c>
      <c r="G43" s="16" t="str">
        <f t="shared" si="0"/>
        <v/>
      </c>
      <c r="H43" s="16"/>
      <c r="I43" s="16"/>
      <c r="J43" s="231"/>
      <c r="K43" s="231"/>
    </row>
    <row r="44" spans="2:11" x14ac:dyDescent="0.25">
      <c r="B44" s="441" t="s">
        <v>1255</v>
      </c>
      <c r="C44" s="748" t="s">
        <v>157</v>
      </c>
      <c r="D44" s="748" t="s">
        <v>157</v>
      </c>
      <c r="F44" s="748" t="s">
        <v>157</v>
      </c>
      <c r="G44" s="16" t="str">
        <f t="shared" si="0"/>
        <v/>
      </c>
      <c r="H44" s="16"/>
      <c r="I44" s="16"/>
      <c r="J44" s="231"/>
      <c r="K44" s="231"/>
    </row>
    <row r="45" spans="2:11" x14ac:dyDescent="0.25">
      <c r="B45" s="441" t="s">
        <v>1256</v>
      </c>
      <c r="C45" s="748" t="s">
        <v>157</v>
      </c>
      <c r="D45" s="748" t="s">
        <v>157</v>
      </c>
      <c r="F45" s="748" t="s">
        <v>157</v>
      </c>
      <c r="G45" s="16" t="str">
        <f t="shared" si="0"/>
        <v/>
      </c>
      <c r="H45" s="16"/>
      <c r="I45" s="16"/>
      <c r="J45" s="231"/>
      <c r="K45" s="231"/>
    </row>
    <row r="46" spans="2:11" x14ac:dyDescent="0.25">
      <c r="B46" s="441" t="s">
        <v>1257</v>
      </c>
      <c r="C46" s="748" t="s">
        <v>157</v>
      </c>
      <c r="D46" s="748" t="s">
        <v>157</v>
      </c>
      <c r="F46" s="748" t="s">
        <v>157</v>
      </c>
      <c r="G46" s="16" t="str">
        <f t="shared" si="0"/>
        <v/>
      </c>
      <c r="H46" s="16"/>
      <c r="I46" s="16"/>
      <c r="J46" s="231"/>
      <c r="K46" s="231"/>
    </row>
    <row r="47" spans="2:11" x14ac:dyDescent="0.25">
      <c r="B47" s="441" t="s">
        <v>1258</v>
      </c>
      <c r="C47" s="748" t="s">
        <v>157</v>
      </c>
      <c r="D47" s="748" t="s">
        <v>157</v>
      </c>
      <c r="F47" s="748" t="s">
        <v>157</v>
      </c>
      <c r="G47" s="16" t="str">
        <f t="shared" si="0"/>
        <v/>
      </c>
      <c r="H47" s="16"/>
      <c r="I47" s="16"/>
      <c r="J47" s="231"/>
      <c r="K47" s="231"/>
    </row>
    <row r="48" spans="2:11" ht="15" hidden="1" customHeight="1" x14ac:dyDescent="0.25">
      <c r="B48" s="441"/>
      <c r="C48" s="439"/>
      <c r="D48" s="439"/>
      <c r="F48" s="439"/>
      <c r="G48" s="16" t="str">
        <f t="shared" si="0"/>
        <v/>
      </c>
      <c r="H48" s="16"/>
      <c r="I48" s="16"/>
      <c r="J48" s="231"/>
      <c r="K48" s="231"/>
    </row>
    <row r="49" spans="2:11" ht="113.25" customHeight="1" x14ac:dyDescent="0.25">
      <c r="B49" s="580" t="s">
        <v>364</v>
      </c>
      <c r="C49" s="668" t="s">
        <v>1271</v>
      </c>
      <c r="D49" s="668" t="s">
        <v>1271</v>
      </c>
      <c r="F49" s="668" t="s">
        <v>1271</v>
      </c>
      <c r="G49" s="16" t="str">
        <f t="shared" si="0"/>
        <v/>
      </c>
      <c r="H49" s="16"/>
      <c r="I49" s="16"/>
      <c r="J49" s="231"/>
      <c r="K49" s="231"/>
    </row>
    <row r="50" spans="2:11" ht="15" hidden="1" customHeight="1" x14ac:dyDescent="0.25">
      <c r="B50" s="437"/>
      <c r="C50" s="668"/>
      <c r="D50" s="668"/>
      <c r="F50" s="668"/>
      <c r="G50" s="16" t="str">
        <f t="shared" si="0"/>
        <v/>
      </c>
      <c r="J50" s="231"/>
      <c r="K50" s="231"/>
    </row>
    <row r="51" spans="2:11" x14ac:dyDescent="0.25">
      <c r="B51" s="368" t="s">
        <v>101</v>
      </c>
      <c r="C51" s="797" t="s">
        <v>391</v>
      </c>
      <c r="D51" s="797" t="s">
        <v>391</v>
      </c>
      <c r="F51" s="797" t="s">
        <v>391</v>
      </c>
      <c r="G51" s="16" t="str">
        <f t="shared" si="0"/>
        <v/>
      </c>
      <c r="H51" s="16"/>
      <c r="I51" s="16"/>
      <c r="J51" s="231"/>
      <c r="K51" s="231"/>
    </row>
    <row r="52" spans="2:11" x14ac:dyDescent="0.25">
      <c r="B52" s="400" t="s">
        <v>88</v>
      </c>
      <c r="C52" s="692" t="s">
        <v>157</v>
      </c>
      <c r="D52" s="692" t="s">
        <v>157</v>
      </c>
      <c r="F52" s="692" t="s">
        <v>157</v>
      </c>
      <c r="G52" s="16" t="str">
        <f t="shared" si="0"/>
        <v/>
      </c>
      <c r="H52" s="16"/>
      <c r="I52" s="16"/>
      <c r="J52" s="231"/>
      <c r="K52" s="231"/>
    </row>
    <row r="53" spans="2:11" x14ac:dyDescent="0.25">
      <c r="B53" s="400" t="s">
        <v>350</v>
      </c>
      <c r="C53" s="692" t="s">
        <v>157</v>
      </c>
      <c r="D53" s="692" t="s">
        <v>157</v>
      </c>
      <c r="F53" s="692" t="s">
        <v>157</v>
      </c>
      <c r="G53" s="16" t="str">
        <f t="shared" si="0"/>
        <v/>
      </c>
      <c r="J53" s="231"/>
      <c r="K53" s="231"/>
    </row>
    <row r="54" spans="2:11" x14ac:dyDescent="0.25">
      <c r="B54" s="368" t="s">
        <v>87</v>
      </c>
      <c r="C54" s="391"/>
      <c r="D54" s="391"/>
      <c r="F54" s="391"/>
      <c r="G54" s="16" t="str">
        <f t="shared" si="0"/>
        <v/>
      </c>
      <c r="H54" s="16"/>
      <c r="I54" s="16"/>
      <c r="J54" s="232"/>
      <c r="K54" s="232"/>
    </row>
    <row r="55" spans="2:11" ht="45" customHeight="1" x14ac:dyDescent="0.25">
      <c r="B55" s="775" t="s">
        <v>1264</v>
      </c>
      <c r="C55" s="745" t="s">
        <v>1263</v>
      </c>
      <c r="D55" s="745" t="s">
        <v>1263</v>
      </c>
      <c r="F55" s="745" t="s">
        <v>1263</v>
      </c>
      <c r="G55" s="16" t="str">
        <f t="shared" si="0"/>
        <v/>
      </c>
      <c r="J55" s="445"/>
      <c r="K55" s="445"/>
    </row>
    <row r="56" spans="2:11" x14ac:dyDescent="0.25">
      <c r="B56" s="368" t="s">
        <v>98</v>
      </c>
      <c r="C56" s="797" t="s">
        <v>391</v>
      </c>
      <c r="D56" s="797" t="s">
        <v>391</v>
      </c>
      <c r="F56" s="797" t="s">
        <v>391</v>
      </c>
      <c r="G56" s="16" t="str">
        <f t="shared" si="0"/>
        <v/>
      </c>
      <c r="H56" s="16"/>
      <c r="I56" s="16"/>
      <c r="J56" s="232"/>
      <c r="K56" s="232"/>
    </row>
    <row r="57" spans="2:11" x14ac:dyDescent="0.25">
      <c r="B57" s="368" t="s">
        <v>637</v>
      </c>
      <c r="C57" s="692" t="s">
        <v>157</v>
      </c>
      <c r="D57" s="692" t="s">
        <v>157</v>
      </c>
      <c r="F57" s="692" t="s">
        <v>157</v>
      </c>
      <c r="G57" s="16" t="str">
        <f t="shared" si="0"/>
        <v/>
      </c>
      <c r="H57" s="16"/>
      <c r="I57" s="16"/>
      <c r="J57" s="232"/>
      <c r="K57" s="232"/>
    </row>
    <row r="58" spans="2:11" ht="15" hidden="1" customHeight="1" x14ac:dyDescent="0.25">
      <c r="B58" s="437" t="s">
        <v>697</v>
      </c>
      <c r="C58" s="439"/>
      <c r="D58" s="439"/>
      <c r="F58" s="439"/>
      <c r="G58" s="16" t="str">
        <f t="shared" si="0"/>
        <v/>
      </c>
      <c r="J58" s="445"/>
      <c r="K58" s="445"/>
    </row>
    <row r="59" spans="2:11" ht="15" customHeight="1" x14ac:dyDescent="0.25">
      <c r="B59" s="400" t="s">
        <v>93</v>
      </c>
      <c r="C59" s="797" t="s">
        <v>391</v>
      </c>
      <c r="D59" s="797" t="s">
        <v>391</v>
      </c>
      <c r="F59" s="797" t="s">
        <v>391</v>
      </c>
      <c r="G59" s="16" t="str">
        <f t="shared" si="0"/>
        <v/>
      </c>
      <c r="H59" s="16"/>
      <c r="I59" s="16"/>
      <c r="J59" s="231"/>
      <c r="K59" s="231"/>
    </row>
    <row r="60" spans="2:11" ht="15" customHeight="1" x14ac:dyDescent="0.25">
      <c r="B60" s="400" t="s">
        <v>92</v>
      </c>
      <c r="C60" s="692" t="s">
        <v>157</v>
      </c>
      <c r="D60" s="692" t="s">
        <v>157</v>
      </c>
      <c r="F60" s="692" t="s">
        <v>157</v>
      </c>
      <c r="G60" s="16" t="str">
        <f t="shared" si="0"/>
        <v/>
      </c>
      <c r="H60" s="16"/>
      <c r="I60" s="16"/>
      <c r="J60" s="231"/>
      <c r="K60" s="231"/>
    </row>
    <row r="61" spans="2:11" ht="15" hidden="1" customHeight="1" x14ac:dyDescent="0.25">
      <c r="B61" s="400" t="s">
        <v>351</v>
      </c>
      <c r="C61" s="390"/>
      <c r="D61" s="390"/>
      <c r="F61" s="390"/>
      <c r="G61" s="16" t="str">
        <f t="shared" si="0"/>
        <v/>
      </c>
      <c r="H61" s="16"/>
      <c r="I61" s="16"/>
      <c r="J61" s="231"/>
      <c r="K61" s="231"/>
    </row>
    <row r="62" spans="2:11" x14ac:dyDescent="0.25">
      <c r="B62" s="368" t="s">
        <v>627</v>
      </c>
      <c r="C62" s="1272" t="s">
        <v>157</v>
      </c>
      <c r="D62" s="1272" t="s">
        <v>157</v>
      </c>
      <c r="F62" s="1272" t="s">
        <v>157</v>
      </c>
      <c r="G62" s="16" t="str">
        <f t="shared" si="0"/>
        <v/>
      </c>
      <c r="H62" s="16"/>
      <c r="I62" s="16"/>
      <c r="J62" s="232"/>
      <c r="K62" s="232"/>
    </row>
    <row r="63" spans="2:11" ht="15" customHeight="1" x14ac:dyDescent="0.25">
      <c r="B63" s="772" t="s">
        <v>1266</v>
      </c>
      <c r="C63" s="1273"/>
      <c r="D63" s="1273"/>
      <c r="F63" s="1273"/>
      <c r="G63" s="16" t="str">
        <f t="shared" si="0"/>
        <v/>
      </c>
      <c r="J63" s="445"/>
      <c r="K63" s="445"/>
    </row>
    <row r="64" spans="2:11" x14ac:dyDescent="0.25">
      <c r="B64" s="368" t="s">
        <v>352</v>
      </c>
      <c r="C64" s="1272" t="s">
        <v>157</v>
      </c>
      <c r="D64" s="1272" t="s">
        <v>157</v>
      </c>
      <c r="F64" s="1272" t="s">
        <v>157</v>
      </c>
      <c r="G64" s="16" t="str">
        <f t="shared" si="0"/>
        <v/>
      </c>
      <c r="H64" s="16"/>
      <c r="I64" s="16"/>
      <c r="J64" s="232"/>
      <c r="K64" s="232"/>
    </row>
    <row r="65" spans="2:11" x14ac:dyDescent="0.25">
      <c r="B65" s="772" t="s">
        <v>1261</v>
      </c>
      <c r="C65" s="1273"/>
      <c r="D65" s="1273"/>
      <c r="F65" s="1273"/>
      <c r="G65" s="16" t="str">
        <f t="shared" si="0"/>
        <v/>
      </c>
      <c r="J65" s="445"/>
      <c r="K65" s="445"/>
    </row>
    <row r="66" spans="2:11" x14ac:dyDescent="0.25">
      <c r="B66" s="368" t="s">
        <v>278</v>
      </c>
      <c r="C66" s="796" t="s">
        <v>391</v>
      </c>
      <c r="D66" s="796" t="s">
        <v>391</v>
      </c>
      <c r="F66" s="796" t="s">
        <v>391</v>
      </c>
      <c r="G66" s="16" t="str">
        <f t="shared" si="0"/>
        <v/>
      </c>
      <c r="H66" s="16"/>
      <c r="I66" s="16"/>
      <c r="J66" s="232"/>
      <c r="K66" s="232"/>
    </row>
    <row r="67" spans="2:11" x14ac:dyDescent="0.25">
      <c r="B67" s="444"/>
      <c r="C67" s="786" t="s">
        <v>1268</v>
      </c>
      <c r="D67" s="786" t="s">
        <v>1268</v>
      </c>
      <c r="F67" s="786" t="s">
        <v>1268</v>
      </c>
      <c r="G67" s="16" t="str">
        <f t="shared" si="0"/>
        <v/>
      </c>
      <c r="J67" s="445"/>
      <c r="K67" s="445"/>
    </row>
    <row r="68" spans="2:11" x14ac:dyDescent="0.25">
      <c r="B68" s="400" t="s">
        <v>99</v>
      </c>
      <c r="C68" s="692" t="s">
        <v>157</v>
      </c>
      <c r="D68" s="692" t="s">
        <v>157</v>
      </c>
      <c r="F68" s="692" t="s">
        <v>157</v>
      </c>
      <c r="G68" s="16" t="str">
        <f t="shared" si="0"/>
        <v/>
      </c>
      <c r="H68" s="16"/>
      <c r="I68" s="16"/>
      <c r="J68" s="231"/>
      <c r="K68" s="231"/>
    </row>
    <row r="69" spans="2:11" x14ac:dyDescent="0.25">
      <c r="B69" s="722" t="s">
        <v>1103</v>
      </c>
      <c r="C69" s="774" t="s">
        <v>1262</v>
      </c>
      <c r="D69" s="774" t="s">
        <v>1262</v>
      </c>
      <c r="E69" s="530"/>
      <c r="F69" s="774" t="s">
        <v>1262</v>
      </c>
      <c r="G69" s="16" t="str">
        <f t="shared" si="0"/>
        <v/>
      </c>
      <c r="H69" s="16"/>
      <c r="I69" s="586"/>
      <c r="J69" s="232"/>
      <c r="K69" s="232"/>
    </row>
    <row r="70" spans="2:11" ht="15" hidden="1" customHeight="1" x14ac:dyDescent="0.25">
      <c r="B70" s="441" t="s">
        <v>712</v>
      </c>
      <c r="C70" s="439"/>
      <c r="D70" s="439"/>
      <c r="E70" s="530"/>
      <c r="F70" s="439"/>
      <c r="G70" s="16" t="str">
        <f t="shared" si="0"/>
        <v/>
      </c>
      <c r="H70" s="16"/>
      <c r="I70" s="586"/>
      <c r="J70" s="447"/>
      <c r="K70" s="447"/>
    </row>
    <row r="71" spans="2:11" ht="15" hidden="1" customHeight="1" x14ac:dyDescent="0.25">
      <c r="B71" s="441" t="s">
        <v>713</v>
      </c>
      <c r="C71" s="439"/>
      <c r="D71" s="439"/>
      <c r="E71" s="530"/>
      <c r="F71" s="439"/>
      <c r="G71" s="16" t="str">
        <f t="shared" si="0"/>
        <v/>
      </c>
      <c r="H71" s="16"/>
      <c r="I71" s="586"/>
      <c r="J71" s="447"/>
      <c r="K71" s="447"/>
    </row>
    <row r="72" spans="2:11" x14ac:dyDescent="0.25">
      <c r="B72" s="368" t="s">
        <v>715</v>
      </c>
      <c r="C72" s="692" t="s">
        <v>157</v>
      </c>
      <c r="D72" s="692" t="s">
        <v>157</v>
      </c>
      <c r="F72" s="692" t="s">
        <v>157</v>
      </c>
      <c r="G72" s="16" t="str">
        <f t="shared" si="0"/>
        <v/>
      </c>
      <c r="H72" s="16"/>
      <c r="I72" s="16"/>
      <c r="J72" s="232"/>
      <c r="K72" s="232"/>
    </row>
    <row r="73" spans="2:11" ht="15" hidden="1" customHeight="1" x14ac:dyDescent="0.25">
      <c r="B73" s="441" t="s">
        <v>712</v>
      </c>
      <c r="C73" s="778"/>
      <c r="D73" s="778"/>
      <c r="F73" s="778"/>
      <c r="G73" s="16" t="str">
        <f t="shared" si="0"/>
        <v/>
      </c>
      <c r="H73" s="16"/>
      <c r="I73" s="16"/>
      <c r="J73" s="447"/>
      <c r="K73" s="447"/>
    </row>
    <row r="74" spans="2:11" ht="15" hidden="1" customHeight="1" x14ac:dyDescent="0.25">
      <c r="B74" s="441" t="s">
        <v>713</v>
      </c>
      <c r="C74" s="778"/>
      <c r="D74" s="778"/>
      <c r="F74" s="778"/>
      <c r="G74" s="16" t="str">
        <f t="shared" si="0"/>
        <v/>
      </c>
      <c r="H74" s="16"/>
      <c r="I74" s="16"/>
      <c r="J74" s="447"/>
      <c r="K74" s="447"/>
    </row>
    <row r="75" spans="2:11" ht="15" hidden="1" customHeight="1" x14ac:dyDescent="0.25">
      <c r="B75" s="442" t="s">
        <v>714</v>
      </c>
      <c r="C75" s="778"/>
      <c r="D75" s="778"/>
      <c r="F75" s="778"/>
      <c r="G75" s="16" t="str">
        <f t="shared" si="0"/>
        <v/>
      </c>
      <c r="H75" s="16"/>
      <c r="I75" s="16"/>
      <c r="J75" s="447"/>
      <c r="K75" s="447"/>
    </row>
    <row r="76" spans="2:11" x14ac:dyDescent="0.25">
      <c r="B76" s="685" t="s">
        <v>980</v>
      </c>
      <c r="C76" s="583"/>
      <c r="D76" s="583"/>
      <c r="E76" s="530"/>
      <c r="F76" s="583"/>
      <c r="G76" s="16" t="str">
        <f t="shared" si="0"/>
        <v/>
      </c>
      <c r="H76" s="16"/>
      <c r="I76" s="586"/>
      <c r="J76" s="584"/>
      <c r="K76" s="584"/>
    </row>
    <row r="77" spans="2:11" ht="25.5" x14ac:dyDescent="0.25">
      <c r="B77" s="686" t="s">
        <v>981</v>
      </c>
      <c r="C77" s="776" t="s">
        <v>391</v>
      </c>
      <c r="D77" s="776" t="s">
        <v>391</v>
      </c>
      <c r="E77" s="530"/>
      <c r="F77" s="776" t="s">
        <v>391</v>
      </c>
      <c r="G77" s="16" t="str">
        <f t="shared" si="0"/>
        <v/>
      </c>
      <c r="H77" s="16"/>
      <c r="I77" s="586"/>
      <c r="J77" s="447"/>
      <c r="K77" s="447"/>
    </row>
    <row r="78" spans="2:11" x14ac:dyDescent="0.25">
      <c r="B78" s="687" t="s">
        <v>982</v>
      </c>
      <c r="C78" s="787" t="s">
        <v>391</v>
      </c>
      <c r="D78" s="787" t="s">
        <v>391</v>
      </c>
      <c r="E78" s="530"/>
      <c r="F78" s="787" t="s">
        <v>391</v>
      </c>
      <c r="G78" s="16" t="str">
        <f t="shared" si="0"/>
        <v/>
      </c>
      <c r="H78" s="16"/>
      <c r="I78" s="586"/>
      <c r="J78" s="582"/>
      <c r="K78" s="582"/>
    </row>
    <row r="79" spans="2:11" x14ac:dyDescent="0.25">
      <c r="B79" s="580" t="s">
        <v>628</v>
      </c>
      <c r="C79" s="692" t="s">
        <v>157</v>
      </c>
      <c r="D79" s="692" t="s">
        <v>157</v>
      </c>
      <c r="E79" s="530"/>
      <c r="F79" s="692" t="s">
        <v>157</v>
      </c>
      <c r="G79" s="16" t="str">
        <f t="shared" si="0"/>
        <v/>
      </c>
      <c r="I79" s="580"/>
      <c r="J79" s="447"/>
      <c r="K79" s="447"/>
    </row>
    <row r="80" spans="2:11" ht="15" hidden="1" customHeight="1" x14ac:dyDescent="0.25">
      <c r="B80" s="683" t="s">
        <v>977</v>
      </c>
      <c r="C80" s="748" t="s">
        <v>157</v>
      </c>
      <c r="D80" s="748" t="s">
        <v>157</v>
      </c>
      <c r="F80" s="748" t="s">
        <v>157</v>
      </c>
      <c r="G80" s="16" t="str">
        <f t="shared" si="0"/>
        <v/>
      </c>
      <c r="J80" s="447"/>
      <c r="K80" s="447"/>
    </row>
    <row r="81" spans="2:11" ht="25.5" hidden="1" customHeight="1" x14ac:dyDescent="0.25">
      <c r="B81" s="683" t="s">
        <v>978</v>
      </c>
      <c r="C81" s="778"/>
      <c r="D81" s="778"/>
      <c r="F81" s="778"/>
      <c r="G81" s="16" t="str">
        <f t="shared" si="0"/>
        <v/>
      </c>
      <c r="J81" s="447"/>
      <c r="K81" s="447"/>
    </row>
    <row r="82" spans="2:11" ht="15" hidden="1" customHeight="1" x14ac:dyDescent="0.25">
      <c r="B82" s="684" t="s">
        <v>979</v>
      </c>
      <c r="C82" s="784"/>
      <c r="D82" s="784"/>
      <c r="F82" s="784"/>
      <c r="G82" s="16" t="str">
        <f t="shared" si="0"/>
        <v/>
      </c>
      <c r="J82" s="445"/>
      <c r="K82" s="445"/>
    </row>
    <row r="83" spans="2:11" x14ac:dyDescent="0.25">
      <c r="B83" s="400" t="s">
        <v>86</v>
      </c>
      <c r="C83" s="692" t="s">
        <v>157</v>
      </c>
      <c r="D83" s="692" t="s">
        <v>157</v>
      </c>
      <c r="F83" s="692" t="s">
        <v>157</v>
      </c>
      <c r="G83" s="16" t="str">
        <f t="shared" si="0"/>
        <v/>
      </c>
      <c r="H83" s="16"/>
      <c r="I83" s="16"/>
      <c r="J83" s="448"/>
      <c r="K83" s="448"/>
    </row>
    <row r="84" spans="2:11" x14ac:dyDescent="0.25">
      <c r="B84" s="400" t="s">
        <v>348</v>
      </c>
      <c r="C84" s="797" t="s">
        <v>391</v>
      </c>
      <c r="D84" s="797" t="s">
        <v>391</v>
      </c>
      <c r="F84" s="797" t="s">
        <v>391</v>
      </c>
      <c r="G84" s="16" t="str">
        <f t="shared" si="0"/>
        <v/>
      </c>
      <c r="H84" s="16"/>
      <c r="I84" s="16"/>
      <c r="J84" s="231"/>
      <c r="K84" s="231"/>
    </row>
    <row r="85" spans="2:11" ht="15" customHeight="1" x14ac:dyDescent="0.25">
      <c r="B85" s="400" t="s">
        <v>696</v>
      </c>
      <c r="C85" s="692" t="s">
        <v>157</v>
      </c>
      <c r="D85" s="692" t="s">
        <v>157</v>
      </c>
      <c r="F85" s="692" t="s">
        <v>157</v>
      </c>
      <c r="G85" s="16" t="str">
        <f t="shared" si="0"/>
        <v/>
      </c>
      <c r="J85" s="231"/>
      <c r="K85" s="231"/>
    </row>
    <row r="86" spans="2:11" ht="30" customHeight="1" x14ac:dyDescent="0.25">
      <c r="B86" s="368" t="s">
        <v>629</v>
      </c>
      <c r="C86" s="692" t="s">
        <v>157</v>
      </c>
      <c r="D86" s="692" t="s">
        <v>157</v>
      </c>
      <c r="F86" s="692" t="s">
        <v>157</v>
      </c>
      <c r="G86" s="16" t="str">
        <f t="shared" si="0"/>
        <v/>
      </c>
      <c r="H86" s="16"/>
      <c r="I86" s="16"/>
      <c r="J86" s="231"/>
      <c r="K86" s="231"/>
    </row>
    <row r="87" spans="2:11" x14ac:dyDescent="0.25">
      <c r="B87" s="368" t="s">
        <v>396</v>
      </c>
      <c r="C87" s="796" t="s">
        <v>391</v>
      </c>
      <c r="D87" s="796" t="s">
        <v>391</v>
      </c>
      <c r="E87" s="16"/>
      <c r="F87" s="796" t="s">
        <v>391</v>
      </c>
      <c r="G87" s="16" t="str">
        <f t="shared" si="0"/>
        <v/>
      </c>
      <c r="H87" s="16"/>
      <c r="I87" s="16"/>
      <c r="J87" s="231"/>
      <c r="K87" s="231"/>
    </row>
    <row r="88" spans="2:11" x14ac:dyDescent="0.25">
      <c r="B88" s="368" t="s">
        <v>347</v>
      </c>
      <c r="C88" s="796" t="s">
        <v>391</v>
      </c>
      <c r="D88" s="796" t="s">
        <v>391</v>
      </c>
      <c r="E88" s="16"/>
      <c r="F88" s="796" t="s">
        <v>391</v>
      </c>
      <c r="G88" s="16" t="str">
        <f t="shared" si="0"/>
        <v/>
      </c>
      <c r="H88" s="16"/>
      <c r="I88" s="16"/>
      <c r="J88" s="231"/>
      <c r="K88" s="231"/>
    </row>
    <row r="89" spans="2:11" ht="30.75" customHeight="1" x14ac:dyDescent="0.25">
      <c r="B89" s="400" t="s">
        <v>349</v>
      </c>
      <c r="C89" s="797" t="s">
        <v>391</v>
      </c>
      <c r="D89" s="797" t="s">
        <v>391</v>
      </c>
      <c r="E89" s="16"/>
      <c r="F89" s="797" t="s">
        <v>391</v>
      </c>
      <c r="G89" s="16" t="str">
        <f t="shared" si="0"/>
        <v/>
      </c>
      <c r="H89" s="16"/>
      <c r="I89" s="16"/>
      <c r="J89" s="231"/>
      <c r="K89" s="231"/>
    </row>
    <row r="90" spans="2:11" x14ac:dyDescent="0.25">
      <c r="B90" s="368" t="s">
        <v>100</v>
      </c>
      <c r="C90" s="862" t="s">
        <v>157</v>
      </c>
      <c r="D90" s="862" t="s">
        <v>157</v>
      </c>
      <c r="E90" s="16"/>
      <c r="F90" s="862" t="s">
        <v>157</v>
      </c>
      <c r="G90" s="16" t="str">
        <f t="shared" si="0"/>
        <v/>
      </c>
      <c r="H90" s="16"/>
      <c r="I90" s="16"/>
      <c r="J90" s="231"/>
      <c r="K90" s="231"/>
    </row>
    <row r="91" spans="2:11" x14ac:dyDescent="0.25">
      <c r="B91" s="446" t="s">
        <v>82</v>
      </c>
      <c r="C91" s="749" t="s">
        <v>157</v>
      </c>
      <c r="D91" s="749" t="s">
        <v>157</v>
      </c>
      <c r="E91" s="16"/>
      <c r="F91" s="749" t="s">
        <v>157</v>
      </c>
      <c r="G91" s="16" t="str">
        <f t="shared" si="0"/>
        <v/>
      </c>
      <c r="H91" s="16"/>
      <c r="I91" s="16"/>
      <c r="J91" s="231"/>
      <c r="K91" s="231"/>
    </row>
    <row r="92" spans="2:11" x14ac:dyDescent="0.25">
      <c r="B92" s="368" t="s">
        <v>80</v>
      </c>
      <c r="C92" s="692" t="s">
        <v>157</v>
      </c>
      <c r="D92" s="692" t="s">
        <v>157</v>
      </c>
      <c r="E92" s="16"/>
      <c r="F92" s="692" t="s">
        <v>157</v>
      </c>
      <c r="G92" s="16" t="str">
        <f t="shared" si="0"/>
        <v/>
      </c>
      <c r="H92" s="16"/>
      <c r="I92" s="16"/>
      <c r="J92" s="231"/>
      <c r="K92" s="231"/>
    </row>
    <row r="93" spans="2:11" x14ac:dyDescent="0.25">
      <c r="B93" s="400" t="s">
        <v>81</v>
      </c>
      <c r="C93" s="692" t="s">
        <v>157</v>
      </c>
      <c r="D93" s="692" t="s">
        <v>157</v>
      </c>
      <c r="E93" s="16"/>
      <c r="F93" s="692" t="s">
        <v>157</v>
      </c>
      <c r="G93" s="16" t="str">
        <f t="shared" ref="G93:G136" si="1">IF(OR(TRIM(D93)&lt;&gt;"",TRIM(F93)&lt;&gt;""),IF(AND(TRIM(D93)&lt;&gt;"",TRIM(F93)&lt;&gt;""),IF(OR(TRIM(C93)&lt;&gt;TRIM(D93),TRIM(C93)&lt;&gt;TRIM(F93)),"_",""),IF(TRIM(C93)&lt;&gt;TRIM(D93), "_", "")),"")</f>
        <v/>
      </c>
      <c r="H93" s="16"/>
      <c r="I93" s="16"/>
      <c r="J93" s="231"/>
      <c r="K93" s="231"/>
    </row>
    <row r="94" spans="2:11" ht="7.5" customHeight="1" x14ac:dyDescent="0.25">
      <c r="B94" s="449"/>
      <c r="E94" s="16"/>
      <c r="F94" s="228"/>
      <c r="G94" s="16" t="str">
        <f t="shared" si="1"/>
        <v/>
      </c>
      <c r="H94" s="16"/>
      <c r="I94" s="16"/>
      <c r="J94" s="381"/>
      <c r="K94" s="381"/>
    </row>
    <row r="95" spans="2:11" x14ac:dyDescent="0.25">
      <c r="B95" s="523" t="s">
        <v>103</v>
      </c>
      <c r="C95" s="524" t="s">
        <v>62</v>
      </c>
      <c r="D95" s="525" t="s">
        <v>63</v>
      </c>
      <c r="E95" s="16"/>
      <c r="F95" s="525" t="s">
        <v>63</v>
      </c>
      <c r="G95" s="16" t="str">
        <f t="shared" si="1"/>
        <v>_</v>
      </c>
      <c r="H95" s="16"/>
      <c r="I95" s="16"/>
      <c r="J95" s="527" t="s">
        <v>1002</v>
      </c>
      <c r="K95" s="527" t="s">
        <v>363</v>
      </c>
    </row>
    <row r="96" spans="2:11" x14ac:dyDescent="0.25">
      <c r="B96" s="400" t="s">
        <v>255</v>
      </c>
      <c r="C96" s="708" t="s">
        <v>1052</v>
      </c>
      <c r="D96" s="708" t="s">
        <v>1052</v>
      </c>
      <c r="E96" s="16"/>
      <c r="F96" s="708" t="s">
        <v>1052</v>
      </c>
      <c r="G96" s="16" t="str">
        <f t="shared" si="1"/>
        <v/>
      </c>
      <c r="H96" s="16"/>
      <c r="I96" s="16"/>
      <c r="J96" s="231"/>
      <c r="K96" s="231"/>
    </row>
    <row r="97" spans="2:11" hidden="1" x14ac:dyDescent="0.25">
      <c r="B97" s="400" t="s">
        <v>121</v>
      </c>
      <c r="C97" s="785"/>
      <c r="D97" s="785"/>
      <c r="E97" s="16"/>
      <c r="F97" s="785"/>
      <c r="G97" s="16" t="str">
        <f t="shared" si="1"/>
        <v/>
      </c>
      <c r="H97" s="16"/>
      <c r="I97" s="16"/>
      <c r="J97" s="231"/>
      <c r="K97" s="231"/>
    </row>
    <row r="98" spans="2:11" hidden="1" x14ac:dyDescent="0.25">
      <c r="B98" s="368" t="s">
        <v>122</v>
      </c>
      <c r="C98" s="777"/>
      <c r="D98" s="777"/>
      <c r="E98" s="16"/>
      <c r="F98" s="777"/>
      <c r="G98" s="16" t="str">
        <f t="shared" si="1"/>
        <v/>
      </c>
      <c r="H98" s="16"/>
      <c r="I98" s="16"/>
      <c r="J98" s="231"/>
      <c r="K98" s="231"/>
    </row>
    <row r="99" spans="2:11" x14ac:dyDescent="0.25">
      <c r="B99" s="400" t="s">
        <v>118</v>
      </c>
      <c r="C99" s="710" t="s">
        <v>1053</v>
      </c>
      <c r="D99" s="710" t="s">
        <v>1053</v>
      </c>
      <c r="E99" s="16"/>
      <c r="F99" s="710" t="s">
        <v>1053</v>
      </c>
      <c r="G99" s="16" t="str">
        <f t="shared" si="1"/>
        <v/>
      </c>
      <c r="H99" s="16"/>
      <c r="I99" s="16"/>
      <c r="J99" s="231"/>
      <c r="K99" s="231"/>
    </row>
    <row r="100" spans="2:11" ht="30.75" customHeight="1" x14ac:dyDescent="0.25">
      <c r="B100" s="400" t="s">
        <v>119</v>
      </c>
      <c r="C100" s="710" t="s">
        <v>1053</v>
      </c>
      <c r="D100" s="710" t="s">
        <v>1053</v>
      </c>
      <c r="E100" s="16"/>
      <c r="F100" s="710" t="s">
        <v>1053</v>
      </c>
      <c r="G100" s="16" t="str">
        <f t="shared" si="1"/>
        <v/>
      </c>
      <c r="H100" s="16"/>
      <c r="I100" s="16"/>
      <c r="J100" s="231"/>
      <c r="K100" s="231"/>
    </row>
    <row r="101" spans="2:11" ht="30.75" customHeight="1" x14ac:dyDescent="0.25">
      <c r="B101" s="446" t="s">
        <v>355</v>
      </c>
      <c r="C101" s="710" t="s">
        <v>1053</v>
      </c>
      <c r="D101" s="710" t="s">
        <v>1053</v>
      </c>
      <c r="E101" s="16"/>
      <c r="F101" s="710" t="s">
        <v>1053</v>
      </c>
      <c r="G101" s="16" t="str">
        <f t="shared" si="1"/>
        <v/>
      </c>
      <c r="H101" s="16"/>
      <c r="I101" s="16"/>
      <c r="J101" s="231"/>
      <c r="K101" s="231"/>
    </row>
    <row r="102" spans="2:11" ht="25.5" hidden="1" x14ac:dyDescent="0.25">
      <c r="B102" s="368" t="s">
        <v>115</v>
      </c>
      <c r="C102" s="777"/>
      <c r="D102" s="777"/>
      <c r="E102" s="16"/>
      <c r="F102" s="777"/>
      <c r="G102" s="16" t="str">
        <f t="shared" si="1"/>
        <v/>
      </c>
      <c r="H102" s="16"/>
      <c r="I102" s="16"/>
      <c r="J102" s="232"/>
      <c r="K102" s="232"/>
    </row>
    <row r="103" spans="2:11" hidden="1" x14ac:dyDescent="0.25">
      <c r="B103" s="444" t="s">
        <v>358</v>
      </c>
      <c r="C103" s="784"/>
      <c r="D103" s="784"/>
      <c r="F103" s="784"/>
      <c r="G103" s="16" t="str">
        <f t="shared" si="1"/>
        <v/>
      </c>
      <c r="J103" s="445"/>
      <c r="K103" s="445"/>
    </row>
    <row r="104" spans="2:11" x14ac:dyDescent="0.25">
      <c r="B104" s="400" t="s">
        <v>117</v>
      </c>
      <c r="C104" s="710" t="s">
        <v>1053</v>
      </c>
      <c r="D104" s="710" t="s">
        <v>1053</v>
      </c>
      <c r="E104" s="16"/>
      <c r="F104" s="710" t="s">
        <v>1053</v>
      </c>
      <c r="G104" s="16" t="str">
        <f t="shared" si="1"/>
        <v/>
      </c>
      <c r="H104" s="16"/>
      <c r="I104" s="16"/>
      <c r="J104" s="231"/>
      <c r="K104" s="231"/>
    </row>
    <row r="105" spans="2:11" ht="30" hidden="1" customHeight="1" x14ac:dyDescent="0.25">
      <c r="B105" s="400" t="s">
        <v>116</v>
      </c>
      <c r="C105" s="785"/>
      <c r="D105" s="785"/>
      <c r="E105" s="16"/>
      <c r="F105" s="785"/>
      <c r="G105" s="16" t="str">
        <f t="shared" si="1"/>
        <v/>
      </c>
      <c r="H105" s="16"/>
      <c r="I105" s="16"/>
      <c r="J105" s="231"/>
      <c r="K105" s="231"/>
    </row>
    <row r="106" spans="2:11" x14ac:dyDescent="0.25">
      <c r="B106" s="400" t="s">
        <v>104</v>
      </c>
      <c r="C106" s="710" t="s">
        <v>1053</v>
      </c>
      <c r="D106" s="710" t="s">
        <v>1053</v>
      </c>
      <c r="E106" s="16"/>
      <c r="F106" s="710" t="s">
        <v>1053</v>
      </c>
      <c r="G106" s="16" t="str">
        <f t="shared" si="1"/>
        <v/>
      </c>
      <c r="H106" s="16"/>
      <c r="I106" s="16"/>
      <c r="J106" s="231"/>
      <c r="K106" s="231"/>
    </row>
    <row r="107" spans="2:11" x14ac:dyDescent="0.25">
      <c r="B107" s="722" t="s">
        <v>1098</v>
      </c>
      <c r="C107" s="779" t="s">
        <v>1053</v>
      </c>
      <c r="D107" s="779" t="s">
        <v>1053</v>
      </c>
      <c r="E107" s="16"/>
      <c r="F107" s="779" t="s">
        <v>1053</v>
      </c>
      <c r="G107" s="16" t="str">
        <f t="shared" si="1"/>
        <v/>
      </c>
      <c r="H107" s="16"/>
      <c r="I107" s="16"/>
      <c r="J107" s="232"/>
      <c r="K107" s="232"/>
    </row>
    <row r="108" spans="2:11" ht="30" customHeight="1" x14ac:dyDescent="0.25">
      <c r="B108" s="772" t="s">
        <v>1099</v>
      </c>
      <c r="C108" s="749" t="s">
        <v>157</v>
      </c>
      <c r="D108" s="749" t="s">
        <v>157</v>
      </c>
      <c r="E108" s="16"/>
      <c r="F108" s="749" t="s">
        <v>157</v>
      </c>
      <c r="G108" s="16" t="str">
        <f t="shared" si="1"/>
        <v/>
      </c>
      <c r="H108" s="16"/>
      <c r="I108" s="16"/>
      <c r="J108" s="445"/>
      <c r="K108" s="445"/>
    </row>
    <row r="109" spans="2:11" x14ac:dyDescent="0.25">
      <c r="B109" s="400" t="s">
        <v>357</v>
      </c>
      <c r="C109" s="708" t="s">
        <v>1052</v>
      </c>
      <c r="D109" s="708" t="s">
        <v>1052</v>
      </c>
      <c r="E109" s="16"/>
      <c r="F109" s="708" t="s">
        <v>1052</v>
      </c>
      <c r="G109" s="16" t="str">
        <f t="shared" si="1"/>
        <v/>
      </c>
      <c r="H109" s="16"/>
      <c r="I109" s="16"/>
      <c r="J109" s="231"/>
      <c r="K109" s="231"/>
    </row>
    <row r="110" spans="2:11" x14ac:dyDescent="0.25">
      <c r="B110" s="400" t="s">
        <v>356</v>
      </c>
      <c r="C110" s="708" t="s">
        <v>1052</v>
      </c>
      <c r="D110" s="708" t="s">
        <v>1052</v>
      </c>
      <c r="E110" s="16"/>
      <c r="F110" s="708" t="s">
        <v>1052</v>
      </c>
      <c r="G110" s="16" t="str">
        <f t="shared" si="1"/>
        <v/>
      </c>
      <c r="H110" s="16"/>
      <c r="I110" s="16"/>
      <c r="J110" s="231"/>
      <c r="K110" s="231"/>
    </row>
    <row r="111" spans="2:11" x14ac:dyDescent="0.25">
      <c r="B111" s="400" t="s">
        <v>630</v>
      </c>
      <c r="C111" s="710" t="s">
        <v>1053</v>
      </c>
      <c r="D111" s="710" t="s">
        <v>1053</v>
      </c>
      <c r="E111" s="16"/>
      <c r="F111" s="710" t="s">
        <v>1053</v>
      </c>
      <c r="G111" s="16" t="str">
        <f t="shared" si="1"/>
        <v/>
      </c>
      <c r="H111" s="16"/>
      <c r="I111" s="16"/>
      <c r="J111" s="231"/>
      <c r="K111" s="231"/>
    </row>
    <row r="112" spans="2:11" x14ac:dyDescent="0.25">
      <c r="B112" s="400" t="s">
        <v>354</v>
      </c>
      <c r="C112" s="708" t="s">
        <v>1052</v>
      </c>
      <c r="D112" s="708" t="s">
        <v>1052</v>
      </c>
      <c r="E112" s="16"/>
      <c r="F112" s="708" t="s">
        <v>1052</v>
      </c>
      <c r="G112" s="16" t="str">
        <f t="shared" si="1"/>
        <v/>
      </c>
      <c r="H112" s="16"/>
      <c r="I112" s="16"/>
      <c r="J112" s="231"/>
      <c r="K112" s="231"/>
    </row>
    <row r="113" spans="2:11" x14ac:dyDescent="0.25">
      <c r="B113" s="368" t="s">
        <v>700</v>
      </c>
      <c r="C113" s="710" t="s">
        <v>1053</v>
      </c>
      <c r="D113" s="710" t="s">
        <v>1053</v>
      </c>
      <c r="E113" s="16"/>
      <c r="F113" s="710" t="s">
        <v>1053</v>
      </c>
      <c r="G113" s="16" t="str">
        <f t="shared" si="1"/>
        <v/>
      </c>
      <c r="H113" s="16"/>
      <c r="I113" s="16"/>
      <c r="J113" s="232"/>
      <c r="K113" s="232"/>
    </row>
    <row r="114" spans="2:11" hidden="1" x14ac:dyDescent="0.25">
      <c r="B114" s="581" t="s">
        <v>698</v>
      </c>
      <c r="C114" s="439"/>
      <c r="D114" s="439"/>
      <c r="E114" s="16"/>
      <c r="F114" s="439"/>
      <c r="G114" s="16" t="str">
        <f t="shared" si="1"/>
        <v/>
      </c>
      <c r="H114" s="16"/>
      <c r="I114" s="16"/>
      <c r="J114" s="447"/>
      <c r="K114" s="447"/>
    </row>
    <row r="115" spans="2:11" hidden="1" x14ac:dyDescent="0.25">
      <c r="B115" s="587" t="s">
        <v>699</v>
      </c>
      <c r="C115" s="424"/>
      <c r="D115" s="424"/>
      <c r="E115" s="16"/>
      <c r="F115" s="424"/>
      <c r="G115" s="16" t="str">
        <f t="shared" si="1"/>
        <v/>
      </c>
      <c r="H115" s="16"/>
      <c r="I115" s="16"/>
      <c r="J115" s="445"/>
      <c r="K115" s="445"/>
    </row>
    <row r="116" spans="2:11" x14ac:dyDescent="0.25">
      <c r="B116" s="400" t="s">
        <v>353</v>
      </c>
      <c r="C116" s="708" t="s">
        <v>1052</v>
      </c>
      <c r="D116" s="708" t="s">
        <v>1052</v>
      </c>
      <c r="E116" s="16"/>
      <c r="F116" s="708" t="s">
        <v>1052</v>
      </c>
      <c r="G116" s="16" t="str">
        <f t="shared" si="1"/>
        <v/>
      </c>
      <c r="H116" s="16"/>
      <c r="I116" s="16"/>
      <c r="J116" s="231"/>
      <c r="K116" s="231"/>
    </row>
    <row r="117" spans="2:11" x14ac:dyDescent="0.25">
      <c r="B117" s="722" t="s">
        <v>1101</v>
      </c>
      <c r="C117" s="779" t="s">
        <v>1053</v>
      </c>
      <c r="D117" s="779" t="s">
        <v>1053</v>
      </c>
      <c r="E117" s="16"/>
      <c r="F117" s="779" t="s">
        <v>1053</v>
      </c>
      <c r="G117" s="16" t="str">
        <f t="shared" si="1"/>
        <v/>
      </c>
      <c r="H117" s="16"/>
      <c r="I117" s="16"/>
      <c r="J117" s="742"/>
      <c r="K117" s="742"/>
    </row>
    <row r="118" spans="2:11" hidden="1" x14ac:dyDescent="0.25">
      <c r="B118" s="437" t="s">
        <v>1100</v>
      </c>
      <c r="C118" s="784"/>
      <c r="D118" s="784"/>
      <c r="E118" s="16"/>
      <c r="F118" s="784"/>
      <c r="G118" s="16" t="str">
        <f t="shared" si="1"/>
        <v/>
      </c>
      <c r="H118" s="16"/>
      <c r="I118" s="16"/>
      <c r="J118" s="743"/>
      <c r="K118" s="743"/>
    </row>
    <row r="119" spans="2:11" x14ac:dyDescent="0.25">
      <c r="B119" s="400" t="s">
        <v>123</v>
      </c>
      <c r="C119" s="710" t="s">
        <v>1053</v>
      </c>
      <c r="D119" s="710" t="s">
        <v>1053</v>
      </c>
      <c r="E119" s="16"/>
      <c r="F119" s="710" t="s">
        <v>1053</v>
      </c>
      <c r="G119" s="16" t="str">
        <f t="shared" si="1"/>
        <v/>
      </c>
      <c r="H119" s="16"/>
      <c r="I119" s="16"/>
      <c r="J119" s="231"/>
      <c r="K119" s="231"/>
    </row>
    <row r="120" spans="2:11" ht="7.5" customHeight="1" x14ac:dyDescent="0.25">
      <c r="B120" s="16"/>
      <c r="C120" s="16"/>
      <c r="D120" s="16"/>
      <c r="E120" s="16"/>
      <c r="F120" s="16"/>
      <c r="G120" s="16" t="str">
        <f t="shared" si="1"/>
        <v/>
      </c>
      <c r="H120" s="16"/>
      <c r="I120" s="16"/>
      <c r="J120" s="16"/>
      <c r="K120" s="16"/>
    </row>
    <row r="121" spans="2:11" x14ac:dyDescent="0.25">
      <c r="B121" s="528" t="s">
        <v>359</v>
      </c>
      <c r="C121" s="524" t="s">
        <v>62</v>
      </c>
      <c r="D121" s="525" t="s">
        <v>63</v>
      </c>
      <c r="E121" s="16"/>
      <c r="F121" s="525" t="s">
        <v>63</v>
      </c>
      <c r="G121" s="16" t="str">
        <f t="shared" si="1"/>
        <v>_</v>
      </c>
      <c r="H121" s="16"/>
      <c r="I121" s="16"/>
      <c r="J121" s="527" t="s">
        <v>1002</v>
      </c>
      <c r="K121" s="565" t="s">
        <v>363</v>
      </c>
    </row>
    <row r="122" spans="2:11" ht="30" customHeight="1" x14ac:dyDescent="0.25">
      <c r="B122" s="722" t="s">
        <v>1241</v>
      </c>
      <c r="C122" s="412" t="s">
        <v>1242</v>
      </c>
      <c r="D122" s="712" t="s">
        <v>1242</v>
      </c>
      <c r="E122" s="16"/>
      <c r="F122" s="712" t="s">
        <v>1242</v>
      </c>
      <c r="G122" s="16" t="str">
        <f t="shared" si="1"/>
        <v/>
      </c>
      <c r="H122" s="16"/>
      <c r="I122" s="16"/>
      <c r="J122" s="389"/>
      <c r="K122" s="389"/>
    </row>
    <row r="123" spans="2:11" ht="15" customHeight="1" x14ac:dyDescent="0.25">
      <c r="B123" s="722" t="s">
        <v>1243</v>
      </c>
      <c r="C123" s="412" t="s">
        <v>1244</v>
      </c>
      <c r="D123" s="712" t="s">
        <v>1244</v>
      </c>
      <c r="E123" s="16"/>
      <c r="F123" s="712" t="s">
        <v>1244</v>
      </c>
      <c r="G123" s="16" t="str">
        <f t="shared" si="1"/>
        <v/>
      </c>
      <c r="H123" s="16"/>
      <c r="I123" s="16"/>
      <c r="J123" s="389"/>
      <c r="K123" s="389"/>
    </row>
    <row r="124" spans="2:11" ht="15" customHeight="1" x14ac:dyDescent="0.25">
      <c r="B124" s="722" t="s">
        <v>1245</v>
      </c>
      <c r="C124" s="412" t="s">
        <v>1246</v>
      </c>
      <c r="D124" s="712" t="s">
        <v>1246</v>
      </c>
      <c r="E124" s="16"/>
      <c r="F124" s="712" t="s">
        <v>1246</v>
      </c>
      <c r="G124" s="16" t="str">
        <f t="shared" si="1"/>
        <v/>
      </c>
      <c r="H124" s="16"/>
      <c r="I124" s="16"/>
      <c r="J124" s="389"/>
      <c r="K124" s="389"/>
    </row>
    <row r="125" spans="2:11" ht="30" customHeight="1" x14ac:dyDescent="0.25">
      <c r="B125" s="771" t="s">
        <v>1247</v>
      </c>
      <c r="C125" s="412" t="s">
        <v>1248</v>
      </c>
      <c r="D125" s="1058" t="s">
        <v>1248</v>
      </c>
      <c r="E125" s="1059"/>
      <c r="F125" s="1058" t="s">
        <v>1248</v>
      </c>
      <c r="G125" s="16" t="str">
        <f t="shared" si="1"/>
        <v/>
      </c>
      <c r="H125" s="16"/>
      <c r="I125" s="16"/>
      <c r="J125" s="389"/>
      <c r="K125" s="389"/>
    </row>
    <row r="126" spans="2:11" ht="15" customHeight="1" x14ac:dyDescent="0.25">
      <c r="B126" s="673" t="s">
        <v>1249</v>
      </c>
      <c r="C126" s="412" t="s">
        <v>1250</v>
      </c>
      <c r="D126" s="712" t="s">
        <v>1250</v>
      </c>
      <c r="F126" s="712" t="s">
        <v>1250</v>
      </c>
      <c r="G126" s="16" t="str">
        <f t="shared" si="1"/>
        <v/>
      </c>
      <c r="J126" s="389"/>
      <c r="K126" s="389"/>
    </row>
    <row r="127" spans="2:11" ht="15" customHeight="1" x14ac:dyDescent="0.25">
      <c r="B127" s="722" t="s">
        <v>1253</v>
      </c>
      <c r="C127" s="412" t="s">
        <v>1251</v>
      </c>
      <c r="D127" s="712" t="s">
        <v>1251</v>
      </c>
      <c r="F127" s="712" t="s">
        <v>1251</v>
      </c>
      <c r="G127" s="16" t="str">
        <f t="shared" si="1"/>
        <v/>
      </c>
      <c r="J127" s="389"/>
      <c r="K127" s="389"/>
    </row>
    <row r="128" spans="2:11" ht="15" customHeight="1" x14ac:dyDescent="0.25">
      <c r="B128" s="673" t="s">
        <v>1252</v>
      </c>
      <c r="C128" s="412" t="s">
        <v>1254</v>
      </c>
      <c r="D128" s="712" t="s">
        <v>1254</v>
      </c>
      <c r="F128" s="712" t="s">
        <v>1254</v>
      </c>
      <c r="G128" s="16" t="str">
        <f t="shared" si="1"/>
        <v/>
      </c>
      <c r="J128" s="389"/>
      <c r="K128" s="389"/>
    </row>
    <row r="129" spans="2:11" ht="15" hidden="1" customHeight="1" x14ac:dyDescent="0.25">
      <c r="B129" s="673" t="s">
        <v>1269</v>
      </c>
      <c r="C129" s="412" t="s">
        <v>1270</v>
      </c>
      <c r="D129" s="1058" t="s">
        <v>1270</v>
      </c>
      <c r="E129" s="1060"/>
      <c r="F129" s="1058" t="s">
        <v>1270</v>
      </c>
      <c r="G129" s="16" t="str">
        <f t="shared" si="1"/>
        <v/>
      </c>
      <c r="J129" s="389"/>
      <c r="K129" s="389"/>
    </row>
    <row r="130" spans="2:11" ht="15" hidden="1" customHeight="1" x14ac:dyDescent="0.25">
      <c r="B130" s="673" t="s">
        <v>1834</v>
      </c>
      <c r="C130" s="412" t="s">
        <v>1836</v>
      </c>
      <c r="D130" s="1058" t="s">
        <v>1836</v>
      </c>
      <c r="E130" s="1060"/>
      <c r="F130" s="1058" t="s">
        <v>1836</v>
      </c>
      <c r="G130" s="16" t="str">
        <f t="shared" si="1"/>
        <v/>
      </c>
      <c r="J130" s="389"/>
      <c r="K130" s="389"/>
    </row>
    <row r="131" spans="2:11" ht="25.5" hidden="1" x14ac:dyDescent="0.25">
      <c r="B131" s="673" t="s">
        <v>1835</v>
      </c>
      <c r="C131" s="412" t="s">
        <v>1837</v>
      </c>
      <c r="D131" s="1058" t="s">
        <v>1837</v>
      </c>
      <c r="E131" s="1060"/>
      <c r="F131" s="1058" t="s">
        <v>1837</v>
      </c>
      <c r="G131" s="16" t="str">
        <f t="shared" si="1"/>
        <v/>
      </c>
      <c r="J131" s="389"/>
      <c r="K131" s="389"/>
    </row>
    <row r="132" spans="2:11" x14ac:dyDescent="0.25">
      <c r="B132" s="368"/>
      <c r="C132" s="412"/>
      <c r="D132" s="390"/>
      <c r="F132" s="413"/>
      <c r="G132" s="16" t="str">
        <f t="shared" si="1"/>
        <v/>
      </c>
      <c r="J132" s="389"/>
      <c r="K132" s="389"/>
    </row>
    <row r="133" spans="2:11" x14ac:dyDescent="0.25">
      <c r="B133" s="400"/>
      <c r="C133" s="412"/>
      <c r="D133" s="390"/>
      <c r="F133" s="413"/>
      <c r="G133" s="16" t="str">
        <f t="shared" si="1"/>
        <v/>
      </c>
      <c r="J133" s="389"/>
      <c r="K133" s="389"/>
    </row>
    <row r="134" spans="2:11" x14ac:dyDescent="0.25">
      <c r="B134" s="368"/>
      <c r="C134" s="412"/>
      <c r="D134" s="390"/>
      <c r="F134" s="413"/>
      <c r="G134" s="16" t="str">
        <f t="shared" si="1"/>
        <v/>
      </c>
      <c r="J134" s="389"/>
      <c r="K134" s="389"/>
    </row>
    <row r="135" spans="2:11" x14ac:dyDescent="0.25">
      <c r="B135" s="368"/>
      <c r="C135" s="412"/>
      <c r="D135" s="390"/>
      <c r="F135" s="413"/>
      <c r="G135" s="16" t="str">
        <f t="shared" si="1"/>
        <v/>
      </c>
      <c r="J135" s="389"/>
      <c r="K135" s="389"/>
    </row>
    <row r="136" spans="2:11" x14ac:dyDescent="0.25">
      <c r="B136" s="368"/>
      <c r="C136" s="412"/>
      <c r="D136" s="390"/>
      <c r="F136" s="413"/>
      <c r="G136" s="16" t="str">
        <f t="shared" si="1"/>
        <v/>
      </c>
      <c r="J136" s="389"/>
      <c r="K136" s="389"/>
    </row>
    <row r="137" spans="2:11" x14ac:dyDescent="0.25">
      <c r="B137" s="400"/>
      <c r="C137" s="412"/>
      <c r="D137" s="390"/>
      <c r="F137" s="413"/>
      <c r="G137" s="16" t="str">
        <f t="shared" ref="G137" si="2">IF(OR(TRIM(D137)&lt;&gt;"",TRIM(F137)&lt;&gt;""),IF(AND(TRIM(D137)&lt;&gt;"",TRIM(F137)&lt;&gt;""),IF(OR(TRIM(C137)&lt;&gt;TRIM(D137),TRIM(C137)&lt;&gt;TRIM(F137)),"_",""),IF(TRIM(C137)&lt;&gt;TRIM(D137), "_", "")),"")</f>
        <v/>
      </c>
      <c r="J137" s="389"/>
      <c r="K137" s="389"/>
    </row>
  </sheetData>
  <mergeCells count="11">
    <mergeCell ref="M13:O15"/>
    <mergeCell ref="D64:D65"/>
    <mergeCell ref="D62:D63"/>
    <mergeCell ref="B22:D22"/>
    <mergeCell ref="B25:D25"/>
    <mergeCell ref="B23:F23"/>
    <mergeCell ref="B26:F26"/>
    <mergeCell ref="C62:C63"/>
    <mergeCell ref="C64:C65"/>
    <mergeCell ref="F62:F63"/>
    <mergeCell ref="F64:F65"/>
  </mergeCells>
  <conditionalFormatting sqref="G1:G14 G16:G1048576">
    <cfRule type="cellIs" dxfId="235" priority="5" operator="equal">
      <formula>"_"</formula>
    </cfRule>
  </conditionalFormatting>
  <conditionalFormatting sqref="G15">
    <cfRule type="cellIs" dxfId="234"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Contractor's Professional &amp; &amp;&amp; Pollution Liability</oddHeader>
    <oddFooter>&amp;L&amp;G&amp;CPage &amp;P of &amp;N</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iconSet" priority="6" id="{5083AC53-D2C3-4D02-8A77-1F844B8451E8}">
            <x14:iconSet iconSet="3Symbols2" showValue="0" custom="1">
              <x14:cfvo type="percent">
                <xm:f>0</xm:f>
              </x14:cfvo>
              <x14:cfvo type="percent">
                <xm:f>33</xm:f>
              </x14:cfvo>
              <x14:cfvo type="num">
                <xm:f>99</xm:f>
              </x14:cfvo>
              <x14:cfIcon iconSet="NoIcons" iconId="0"/>
              <x14:cfIcon iconSet="NoIcons" iconId="0"/>
              <x14:cfIcon iconSet="3Symbols2" iconId="2"/>
            </x14:iconSet>
          </x14:cfRule>
          <xm:sqref>D4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B1:M131"/>
  <sheetViews>
    <sheetView showGridLines="0" view="pageBreakPreview" zoomScaleNormal="100" zoomScaleSheetLayoutView="100" workbookViewId="0">
      <selection activeCell="G8" sqref="G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5.42578125" style="16" customWidth="1"/>
    <col min="13" max="13" width="21" style="16" customWidth="1"/>
    <col min="14" max="53" width="9.140625" style="16" customWidth="1"/>
    <col min="54" max="16384" width="9.140625" style="16"/>
  </cols>
  <sheetData>
    <row r="1" spans="2:13" ht="7.5" customHeight="1" x14ac:dyDescent="0.25">
      <c r="E1" s="450"/>
    </row>
    <row r="2" spans="2:13" ht="15.75" x14ac:dyDescent="0.25">
      <c r="B2" s="453" t="str">
        <f>Input!B184</f>
        <v>T5CS Commercial General Liability</v>
      </c>
      <c r="E2" s="450"/>
      <c r="H2" s="454"/>
      <c r="I2" s="455"/>
      <c r="J2" s="455"/>
      <c r="L2" s="456" t="s">
        <v>391</v>
      </c>
      <c r="M2" s="381" t="s">
        <v>361</v>
      </c>
    </row>
    <row r="3" spans="2:13" x14ac:dyDescent="0.25">
      <c r="D3" s="455" t="str">
        <f xml:space="preserve"> IF(Input!D188=Input!G188,CHAR(254), "")</f>
        <v/>
      </c>
      <c r="E3" s="457"/>
      <c r="F3" s="458" t="str">
        <f xml:space="preserve"> IF(Input!E188=Input!G188,CHAR(254),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9" customHeight="1" x14ac:dyDescent="0.25">
      <c r="B5" s="409" t="s">
        <v>60</v>
      </c>
      <c r="C5" s="412" t="str">
        <f>Input!B189</f>
        <v>Continental Insurance Company (CNA)</v>
      </c>
      <c r="D5" s="390" t="str">
        <f>Input!D189</f>
        <v>Continental Insurance Company (CNA)</v>
      </c>
      <c r="F5" s="413" t="str">
        <f>Input!E189</f>
        <v>Continental Insurance Company (CNA)</v>
      </c>
      <c r="J5" s="231"/>
      <c r="K5" s="231"/>
    </row>
    <row r="6" spans="2:13" x14ac:dyDescent="0.25">
      <c r="B6" s="409" t="s">
        <v>69</v>
      </c>
      <c r="C6" s="412" t="str">
        <f>Input!B191</f>
        <v>A: XV</v>
      </c>
      <c r="D6" s="390" t="str">
        <f>Input!D191</f>
        <v>A: XV</v>
      </c>
      <c r="F6" s="413" t="str">
        <f>Input!E191</f>
        <v>A: XV</v>
      </c>
      <c r="J6" s="231"/>
      <c r="K6" s="231"/>
    </row>
    <row r="7" spans="2:13" x14ac:dyDescent="0.25">
      <c r="B7" s="409" t="str">
        <f>Input!B187</f>
        <v>Renewal Policy Number</v>
      </c>
      <c r="C7" s="412">
        <f>Input!C186</f>
        <v>6080912085</v>
      </c>
      <c r="D7" s="390">
        <f>Input!C187</f>
        <v>6080912085</v>
      </c>
      <c r="F7" s="413">
        <f>Input!C187</f>
        <v>6080912085</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79" t="str">
        <f>Input!B212</f>
        <v>Policy Limits</v>
      </c>
      <c r="C9" s="479"/>
      <c r="D9" s="479"/>
      <c r="F9" s="562"/>
      <c r="G9" s="211"/>
      <c r="H9" s="211"/>
      <c r="I9" s="211"/>
      <c r="J9" s="566"/>
      <c r="K9" s="566"/>
    </row>
    <row r="10" spans="2:13" x14ac:dyDescent="0.25">
      <c r="B10" s="409" t="str">
        <f>Input!B214</f>
        <v>Each Occurrence</v>
      </c>
      <c r="C10" s="398">
        <f>Input!C214</f>
        <v>1000000</v>
      </c>
      <c r="D10" s="425">
        <f>Input!D214</f>
        <v>1000000</v>
      </c>
      <c r="E10" s="414"/>
      <c r="F10" s="427">
        <f>Input!E214</f>
        <v>0</v>
      </c>
      <c r="J10" s="231"/>
      <c r="K10" s="231"/>
    </row>
    <row r="11" spans="2:13" x14ac:dyDescent="0.25">
      <c r="B11" s="409" t="str">
        <f>Input!B215</f>
        <v>Products / Completed Operations Aggregate</v>
      </c>
      <c r="C11" s="398">
        <f>Input!C215</f>
        <v>2000000</v>
      </c>
      <c r="D11" s="425">
        <f>Input!D215</f>
        <v>2000000</v>
      </c>
      <c r="E11" s="414"/>
      <c r="F11" s="427">
        <f>Input!E215</f>
        <v>0</v>
      </c>
      <c r="J11" s="231"/>
      <c r="K11" s="231"/>
    </row>
    <row r="12" spans="2:13" x14ac:dyDescent="0.25">
      <c r="B12" s="409" t="str">
        <f>Input!B216</f>
        <v>Personal and Advertising Injury</v>
      </c>
      <c r="C12" s="398">
        <f>Input!C216</f>
        <v>1000000</v>
      </c>
      <c r="D12" s="425">
        <f>Input!D216</f>
        <v>1000000</v>
      </c>
      <c r="E12" s="414"/>
      <c r="F12" s="427">
        <f>Input!E216</f>
        <v>0</v>
      </c>
      <c r="J12" s="231"/>
      <c r="K12" s="231"/>
    </row>
    <row r="13" spans="2:13" x14ac:dyDescent="0.25">
      <c r="B13" s="409" t="str">
        <f>Input!B217</f>
        <v>General Aggregate</v>
      </c>
      <c r="C13" s="398">
        <f>Input!C217</f>
        <v>2000000</v>
      </c>
      <c r="D13" s="425">
        <f>Input!D217</f>
        <v>2000000</v>
      </c>
      <c r="E13" s="414"/>
      <c r="F13" s="427">
        <f>Input!E217</f>
        <v>0</v>
      </c>
      <c r="J13" s="231"/>
      <c r="K13" s="231"/>
    </row>
    <row r="14" spans="2:13" x14ac:dyDescent="0.25">
      <c r="B14" s="409" t="str">
        <f>Input!B218</f>
        <v>Damage to Premises Rented to You</v>
      </c>
      <c r="C14" s="398">
        <f>Input!C218</f>
        <v>100000</v>
      </c>
      <c r="D14" s="425">
        <f>Input!D218</f>
        <v>100000</v>
      </c>
      <c r="E14" s="414"/>
      <c r="F14" s="427">
        <f>Input!E218</f>
        <v>0</v>
      </c>
      <c r="J14" s="231"/>
      <c r="K14" s="231"/>
    </row>
    <row r="15" spans="2:13" x14ac:dyDescent="0.25">
      <c r="B15" s="409" t="str">
        <f>Input!B219</f>
        <v>Medical Payments</v>
      </c>
      <c r="C15" s="398">
        <f>Input!C219</f>
        <v>15000</v>
      </c>
      <c r="D15" s="425">
        <f>Input!D219</f>
        <v>15000</v>
      </c>
      <c r="E15" s="414"/>
      <c r="F15" s="427">
        <f>Input!E219</f>
        <v>0</v>
      </c>
      <c r="J15" s="231"/>
      <c r="K15" s="231"/>
    </row>
    <row r="16" spans="2:13" x14ac:dyDescent="0.25">
      <c r="B16" s="409" t="str">
        <f>Input!B220</f>
        <v>Employee Benefits Liability - Each Claim</v>
      </c>
      <c r="C16" s="398">
        <f>Input!C220</f>
        <v>0</v>
      </c>
      <c r="D16" s="425">
        <f>Input!D220</f>
        <v>0</v>
      </c>
      <c r="F16" s="427">
        <f>Input!E220</f>
        <v>0</v>
      </c>
      <c r="J16" s="231"/>
      <c r="K16" s="231"/>
    </row>
    <row r="17" spans="2:11" x14ac:dyDescent="0.25">
      <c r="B17" s="409" t="str">
        <f>Input!B221</f>
        <v>Employee Benefits Liability - Aggregate</v>
      </c>
      <c r="C17" s="398">
        <f>Input!C221</f>
        <v>0</v>
      </c>
      <c r="D17" s="425">
        <f>Input!D221</f>
        <v>0</v>
      </c>
      <c r="E17" s="238"/>
      <c r="F17" s="427">
        <f>Input!E221</f>
        <v>0</v>
      </c>
      <c r="J17" s="231"/>
      <c r="K17" s="231"/>
    </row>
    <row r="18" spans="2:11" x14ac:dyDescent="0.25">
      <c r="B18" s="479" t="str">
        <f>Input!B222</f>
        <v>Policy Deductibles</v>
      </c>
      <c r="C18" s="479"/>
      <c r="D18" s="479"/>
      <c r="F18" s="562"/>
      <c r="G18" s="211"/>
      <c r="H18" s="211"/>
      <c r="I18" s="211"/>
      <c r="J18" s="566"/>
      <c r="K18" s="566"/>
    </row>
    <row r="19" spans="2:11" x14ac:dyDescent="0.25">
      <c r="B19" s="402" t="str">
        <f>Input!B224</f>
        <v>General Liability</v>
      </c>
      <c r="C19" s="403">
        <f>Input!C224</f>
        <v>0</v>
      </c>
      <c r="D19" s="431">
        <f>Input!D224</f>
        <v>0</v>
      </c>
      <c r="E19" s="432"/>
      <c r="F19" s="430">
        <f>Input!E224</f>
        <v>0</v>
      </c>
      <c r="J19" s="231"/>
      <c r="K19" s="231"/>
    </row>
    <row r="20" spans="2:11" x14ac:dyDescent="0.25">
      <c r="B20" s="402" t="str">
        <f>Input!B225</f>
        <v>Employee Benefits Liability (Each Claim)</v>
      </c>
      <c r="C20" s="403">
        <f>Input!C225</f>
        <v>0</v>
      </c>
      <c r="D20" s="431">
        <f>Input!D225</f>
        <v>0</v>
      </c>
      <c r="E20" s="433"/>
      <c r="F20" s="430">
        <f>Input!E225</f>
        <v>0</v>
      </c>
      <c r="J20" s="231"/>
      <c r="K20" s="231"/>
    </row>
    <row r="21" spans="2:11" x14ac:dyDescent="0.25">
      <c r="B21" s="479" t="s">
        <v>367</v>
      </c>
      <c r="C21" s="479"/>
      <c r="D21" s="479"/>
      <c r="F21" s="562"/>
      <c r="G21" s="211"/>
      <c r="H21" s="211"/>
      <c r="I21" s="211"/>
      <c r="J21" s="566"/>
      <c r="K21" s="566"/>
    </row>
    <row r="22" spans="2:11" x14ac:dyDescent="0.25">
      <c r="B22" s="402" t="s">
        <v>343</v>
      </c>
      <c r="C22" s="428">
        <f>Input!B193</f>
        <v>105758</v>
      </c>
      <c r="D22" s="425">
        <f>Input!D193</f>
        <v>94838</v>
      </c>
      <c r="E22" s="434"/>
      <c r="F22" s="427">
        <f>Input!E193</f>
        <v>94838</v>
      </c>
      <c r="J22" s="231"/>
      <c r="K22" s="231"/>
    </row>
    <row r="23" spans="2:11" x14ac:dyDescent="0.25">
      <c r="B23" s="402" t="s">
        <v>366</v>
      </c>
      <c r="C23" s="428">
        <f>Input!B199</f>
        <v>0</v>
      </c>
      <c r="D23" s="425">
        <f>Input!D199</f>
        <v>0</v>
      </c>
      <c r="F23" s="427">
        <f>Input!E199</f>
        <v>0</v>
      </c>
      <c r="J23" s="231"/>
      <c r="K23" s="231"/>
    </row>
    <row r="24" spans="2:11" x14ac:dyDescent="0.25">
      <c r="B24" s="402" t="s">
        <v>365</v>
      </c>
      <c r="C24" s="429">
        <f>Input!B201</f>
        <v>0</v>
      </c>
      <c r="D24" s="431">
        <f>Input!D201</f>
        <v>0</v>
      </c>
      <c r="F24" s="430">
        <f>Input!E201</f>
        <v>0</v>
      </c>
      <c r="J24" s="232"/>
      <c r="K24" s="232"/>
    </row>
    <row r="25" spans="2:11" x14ac:dyDescent="0.25">
      <c r="B25" s="409" t="s">
        <v>368</v>
      </c>
      <c r="C25" s="428">
        <f>Input!B203</f>
        <v>105758</v>
      </c>
      <c r="D25" s="425">
        <f>Input!D203</f>
        <v>94838</v>
      </c>
      <c r="E25" s="426"/>
      <c r="F25" s="427">
        <f>Input!E203</f>
        <v>94838</v>
      </c>
      <c r="J25" s="231"/>
      <c r="K25" s="231"/>
    </row>
    <row r="26" spans="2:11" ht="7.5" customHeight="1" x14ac:dyDescent="0.25">
      <c r="B26" s="310"/>
      <c r="C26" s="228"/>
      <c r="D26" s="228"/>
      <c r="F26" s="275"/>
      <c r="J26" s="381"/>
    </row>
    <row r="27" spans="2:11" x14ac:dyDescent="0.25">
      <c r="B27" s="1274" t="s">
        <v>144</v>
      </c>
      <c r="C27" s="1274"/>
      <c r="D27" s="1274"/>
      <c r="F27" s="274"/>
      <c r="J27" s="381"/>
    </row>
    <row r="28" spans="2:11" x14ac:dyDescent="0.25">
      <c r="B28" s="1275" t="s">
        <v>1957</v>
      </c>
      <c r="C28" s="1276"/>
      <c r="D28" s="1276"/>
      <c r="E28" s="1276"/>
      <c r="F28" s="1277"/>
      <c r="J28" s="381"/>
    </row>
    <row r="29" spans="2:11" ht="7.5" customHeight="1" x14ac:dyDescent="0.25">
      <c r="B29" s="380"/>
      <c r="C29" s="238"/>
      <c r="D29" s="238"/>
      <c r="F29" s="275"/>
      <c r="J29" s="381"/>
    </row>
    <row r="30" spans="2:11" x14ac:dyDescent="0.25">
      <c r="B30" s="1274" t="s">
        <v>145</v>
      </c>
      <c r="C30" s="1274"/>
      <c r="D30" s="1274"/>
      <c r="F30" s="275"/>
      <c r="J30" s="381"/>
    </row>
    <row r="31" spans="2:11" x14ac:dyDescent="0.25">
      <c r="B31" s="1275" t="s">
        <v>1952</v>
      </c>
      <c r="C31" s="1276"/>
      <c r="D31" s="1276"/>
      <c r="E31" s="1276"/>
      <c r="F31" s="1277"/>
      <c r="J31" s="381"/>
    </row>
    <row r="32" spans="2:11" ht="7.5" customHeight="1" x14ac:dyDescent="0.25">
      <c r="B32" s="310"/>
      <c r="C32" s="228"/>
      <c r="D32" s="228"/>
      <c r="F32" s="275"/>
      <c r="J32" s="381"/>
    </row>
    <row r="33" spans="2:11" x14ac:dyDescent="0.25">
      <c r="B33" s="523" t="s">
        <v>72</v>
      </c>
      <c r="C33" s="524" t="s">
        <v>62</v>
      </c>
      <c r="D33" s="525" t="s">
        <v>63</v>
      </c>
      <c r="F33" s="526" t="s">
        <v>146</v>
      </c>
      <c r="J33" s="527" t="s">
        <v>1002</v>
      </c>
      <c r="K33" s="527" t="s">
        <v>363</v>
      </c>
    </row>
    <row r="34" spans="2:11" x14ac:dyDescent="0.25">
      <c r="B34" s="368" t="s">
        <v>73</v>
      </c>
      <c r="C34" s="711" t="s">
        <v>1282</v>
      </c>
      <c r="D34" s="390" t="s">
        <v>1282</v>
      </c>
      <c r="F34" s="413"/>
      <c r="G34" s="228" t="str">
        <f t="shared" ref="G34:G97" si="0">IF(OR(TRIM(D34)&lt;&gt;"",TRIM(F34)&lt;&gt;""),IF(AND(TRIM(D34)&lt;&gt;"",TRIM(F34)&lt;&gt;""),IF(OR(TRIM(C34)&lt;&gt;TRIM(D34),TRIM(C34)&lt;&gt;TRIM(F34)),"_",""),IF(TRIM(C34)&lt;&gt;TRIM(D34), "_", "")),"")</f>
        <v/>
      </c>
      <c r="H34" s="211"/>
      <c r="I34" s="211"/>
      <c r="J34" s="231"/>
      <c r="K34" s="231"/>
    </row>
    <row r="35" spans="2:11" x14ac:dyDescent="0.25">
      <c r="B35" s="588" t="s">
        <v>74</v>
      </c>
      <c r="C35" s="799" t="s">
        <v>1283</v>
      </c>
      <c r="D35" s="391" t="s">
        <v>1283</v>
      </c>
      <c r="F35" s="436"/>
      <c r="G35" s="228" t="str">
        <f t="shared" si="0"/>
        <v/>
      </c>
      <c r="H35" s="211"/>
      <c r="I35" s="211"/>
      <c r="J35" s="232"/>
      <c r="K35" s="232"/>
    </row>
    <row r="36" spans="2:11" hidden="1" x14ac:dyDescent="0.25">
      <c r="B36" s="590" t="s">
        <v>16</v>
      </c>
      <c r="C36" s="530"/>
      <c r="D36" s="439"/>
      <c r="F36" s="440"/>
      <c r="G36" s="228" t="str">
        <f t="shared" si="0"/>
        <v/>
      </c>
      <c r="H36" s="211"/>
      <c r="I36" s="211"/>
      <c r="J36" s="447"/>
      <c r="K36" s="447"/>
    </row>
    <row r="37" spans="2:11" hidden="1" x14ac:dyDescent="0.25">
      <c r="B37" s="591" t="s">
        <v>257</v>
      </c>
      <c r="C37" s="592"/>
      <c r="D37" s="424"/>
      <c r="F37" s="443"/>
      <c r="G37" s="228" t="str">
        <f t="shared" si="0"/>
        <v/>
      </c>
      <c r="H37" s="211"/>
      <c r="I37" s="211"/>
      <c r="J37" s="445"/>
      <c r="K37" s="445"/>
    </row>
    <row r="38" spans="2:11" x14ac:dyDescent="0.25">
      <c r="B38" s="798" t="s">
        <v>151</v>
      </c>
      <c r="C38" s="799" t="s">
        <v>1035</v>
      </c>
      <c r="D38" s="391" t="s">
        <v>1035</v>
      </c>
      <c r="F38" s="436"/>
      <c r="G38" s="228" t="str">
        <f t="shared" si="0"/>
        <v/>
      </c>
      <c r="H38" s="211"/>
      <c r="I38" s="211"/>
      <c r="J38" s="232"/>
      <c r="K38" s="232"/>
    </row>
    <row r="39" spans="2:11" hidden="1" x14ac:dyDescent="0.25">
      <c r="B39" s="590" t="s">
        <v>16</v>
      </c>
      <c r="C39" s="530"/>
      <c r="D39" s="439"/>
      <c r="F39" s="440"/>
      <c r="G39" s="228" t="str">
        <f t="shared" si="0"/>
        <v/>
      </c>
      <c r="H39" s="211"/>
      <c r="I39" s="211"/>
      <c r="J39" s="447"/>
      <c r="K39" s="447"/>
    </row>
    <row r="40" spans="2:11" hidden="1" x14ac:dyDescent="0.25">
      <c r="B40" s="591" t="s">
        <v>257</v>
      </c>
      <c r="C40" s="592"/>
      <c r="D40" s="424"/>
      <c r="F40" s="443"/>
      <c r="G40" s="228" t="str">
        <f t="shared" si="0"/>
        <v/>
      </c>
      <c r="H40" s="211"/>
      <c r="I40" s="211"/>
      <c r="J40" s="445"/>
      <c r="K40" s="445"/>
    </row>
    <row r="41" spans="2:11" hidden="1" x14ac:dyDescent="0.25">
      <c r="B41" s="593" t="s">
        <v>75</v>
      </c>
      <c r="C41" s="589"/>
      <c r="D41" s="391"/>
      <c r="F41" s="436"/>
      <c r="G41" s="228" t="str">
        <f t="shared" si="0"/>
        <v/>
      </c>
      <c r="H41" s="211"/>
      <c r="I41" s="211"/>
      <c r="J41" s="232"/>
      <c r="K41" s="232"/>
    </row>
    <row r="42" spans="2:11" hidden="1" x14ac:dyDescent="0.25">
      <c r="B42" s="590" t="s">
        <v>16</v>
      </c>
      <c r="C42" s="530"/>
      <c r="D42" s="439"/>
      <c r="F42" s="440"/>
      <c r="G42" s="228" t="str">
        <f t="shared" si="0"/>
        <v/>
      </c>
      <c r="H42" s="211"/>
      <c r="I42" s="211"/>
      <c r="J42" s="447"/>
      <c r="K42" s="447"/>
    </row>
    <row r="43" spans="2:11" hidden="1" x14ac:dyDescent="0.25">
      <c r="B43" s="591" t="s">
        <v>257</v>
      </c>
      <c r="C43" s="592"/>
      <c r="D43" s="424"/>
      <c r="F43" s="443"/>
      <c r="G43" s="228" t="str">
        <f t="shared" si="0"/>
        <v/>
      </c>
      <c r="H43" s="211"/>
      <c r="I43" s="211"/>
      <c r="J43" s="445"/>
      <c r="K43" s="445"/>
    </row>
    <row r="44" spans="2:11" x14ac:dyDescent="0.25">
      <c r="B44" s="446" t="s">
        <v>152</v>
      </c>
      <c r="C44" s="711" t="s">
        <v>284</v>
      </c>
      <c r="D44" s="390" t="s">
        <v>284</v>
      </c>
      <c r="F44" s="413"/>
      <c r="G44" s="228" t="str">
        <f t="shared" si="0"/>
        <v/>
      </c>
      <c r="H44" s="211"/>
      <c r="I44" s="211"/>
      <c r="J44" s="231"/>
      <c r="K44" s="231"/>
    </row>
    <row r="45" spans="2:11" x14ac:dyDescent="0.25">
      <c r="B45" s="368" t="s">
        <v>77</v>
      </c>
      <c r="C45" s="802" t="s">
        <v>871</v>
      </c>
      <c r="D45" s="391" t="s">
        <v>871</v>
      </c>
      <c r="F45" s="436"/>
      <c r="G45" s="228" t="str">
        <f t="shared" si="0"/>
        <v/>
      </c>
      <c r="H45" s="211"/>
      <c r="I45" s="211"/>
      <c r="J45" s="232"/>
      <c r="K45" s="232"/>
    </row>
    <row r="46" spans="2:11" ht="25.5" hidden="1" x14ac:dyDescent="0.25">
      <c r="B46" s="595" t="s">
        <v>389</v>
      </c>
      <c r="C46" s="438"/>
      <c r="D46" s="439"/>
      <c r="F46" s="440"/>
      <c r="G46" s="228" t="str">
        <f t="shared" si="0"/>
        <v/>
      </c>
      <c r="H46" s="211"/>
      <c r="I46" s="211"/>
      <c r="J46" s="447"/>
      <c r="K46" s="447"/>
    </row>
    <row r="47" spans="2:11" hidden="1" x14ac:dyDescent="0.25">
      <c r="B47" s="595" t="s">
        <v>702</v>
      </c>
      <c r="C47" s="438"/>
      <c r="D47" s="439"/>
      <c r="F47" s="440"/>
      <c r="G47" s="228" t="str">
        <f t="shared" si="0"/>
        <v/>
      </c>
      <c r="H47" s="211"/>
      <c r="I47" s="211"/>
      <c r="J47" s="447"/>
      <c r="K47" s="447"/>
    </row>
    <row r="48" spans="2:11" hidden="1" x14ac:dyDescent="0.25">
      <c r="B48" s="595" t="s">
        <v>703</v>
      </c>
      <c r="C48" s="438"/>
      <c r="D48" s="439"/>
      <c r="F48" s="440"/>
      <c r="G48" s="228" t="str">
        <f t="shared" si="0"/>
        <v/>
      </c>
      <c r="H48" s="211"/>
      <c r="I48" s="211"/>
      <c r="J48" s="447"/>
      <c r="K48" s="447"/>
    </row>
    <row r="49" spans="2:11" hidden="1" x14ac:dyDescent="0.25">
      <c r="B49" s="594" t="s">
        <v>388</v>
      </c>
      <c r="C49" s="396"/>
      <c r="D49" s="424"/>
      <c r="F49" s="443"/>
      <c r="G49" s="228" t="str">
        <f t="shared" si="0"/>
        <v/>
      </c>
      <c r="H49" s="211"/>
      <c r="I49" s="211"/>
      <c r="J49" s="445"/>
      <c r="K49" s="445"/>
    </row>
    <row r="50" spans="2:11" x14ac:dyDescent="0.25">
      <c r="B50" s="294" t="s">
        <v>390</v>
      </c>
      <c r="C50" s="459" t="s">
        <v>157</v>
      </c>
      <c r="D50" s="692" t="s">
        <v>157</v>
      </c>
      <c r="F50" s="413"/>
      <c r="G50" s="228" t="str">
        <f t="shared" si="0"/>
        <v/>
      </c>
      <c r="H50" s="211"/>
      <c r="I50" s="211"/>
      <c r="J50" s="231"/>
      <c r="K50" s="231"/>
    </row>
    <row r="51" spans="2:11" ht="15" customHeight="1" x14ac:dyDescent="0.25">
      <c r="B51" s="368" t="s">
        <v>707</v>
      </c>
      <c r="C51" s="459" t="s">
        <v>157</v>
      </c>
      <c r="D51" s="692" t="s">
        <v>157</v>
      </c>
      <c r="F51" s="436"/>
      <c r="G51" s="228" t="str">
        <f t="shared" si="0"/>
        <v/>
      </c>
      <c r="H51" s="211"/>
      <c r="I51" s="211"/>
      <c r="J51" s="232"/>
      <c r="K51" s="232"/>
    </row>
    <row r="52" spans="2:11" hidden="1" x14ac:dyDescent="0.25">
      <c r="B52" s="441" t="s">
        <v>704</v>
      </c>
      <c r="C52" s="438"/>
      <c r="D52" s="439"/>
      <c r="F52" s="440"/>
      <c r="G52" s="228" t="str">
        <f t="shared" si="0"/>
        <v/>
      </c>
      <c r="H52" s="211"/>
      <c r="I52" s="211"/>
      <c r="J52" s="447"/>
      <c r="K52" s="447"/>
    </row>
    <row r="53" spans="2:11" hidden="1" x14ac:dyDescent="0.25">
      <c r="B53" s="442" t="s">
        <v>705</v>
      </c>
      <c r="C53" s="396"/>
      <c r="D53" s="424"/>
      <c r="F53" s="443"/>
      <c r="G53" s="228" t="str">
        <f t="shared" si="0"/>
        <v/>
      </c>
      <c r="H53" s="211"/>
      <c r="I53" s="211"/>
      <c r="J53" s="445"/>
      <c r="K53" s="445"/>
    </row>
    <row r="54" spans="2:11" x14ac:dyDescent="0.25">
      <c r="B54" s="400" t="s">
        <v>708</v>
      </c>
      <c r="C54" s="459" t="s">
        <v>157</v>
      </c>
      <c r="D54" s="692" t="s">
        <v>157</v>
      </c>
      <c r="F54" s="413"/>
      <c r="G54" s="228" t="str">
        <f t="shared" si="0"/>
        <v/>
      </c>
      <c r="H54" s="211"/>
      <c r="I54" s="211"/>
      <c r="J54" s="231"/>
      <c r="K54" s="231"/>
    </row>
    <row r="55" spans="2:11" ht="15" customHeight="1" x14ac:dyDescent="0.25">
      <c r="B55" s="400" t="s">
        <v>706</v>
      </c>
      <c r="C55" s="459" t="s">
        <v>157</v>
      </c>
      <c r="D55" s="692" t="s">
        <v>157</v>
      </c>
      <c r="F55" s="413"/>
      <c r="G55" s="228" t="str">
        <f t="shared" si="0"/>
        <v/>
      </c>
      <c r="H55" s="211"/>
      <c r="I55" s="211"/>
      <c r="J55" s="231"/>
      <c r="K55" s="231"/>
    </row>
    <row r="56" spans="2:11" x14ac:dyDescent="0.25">
      <c r="B56" s="400" t="s">
        <v>709</v>
      </c>
      <c r="C56" s="459" t="s">
        <v>157</v>
      </c>
      <c r="D56" s="692" t="s">
        <v>157</v>
      </c>
      <c r="F56" s="413"/>
      <c r="G56" s="228" t="str">
        <f t="shared" si="0"/>
        <v/>
      </c>
      <c r="H56" s="211"/>
      <c r="I56" s="211"/>
      <c r="J56" s="231"/>
      <c r="K56" s="231"/>
    </row>
    <row r="57" spans="2:11" x14ac:dyDescent="0.25">
      <c r="B57" s="368" t="s">
        <v>710</v>
      </c>
      <c r="C57" s="872" t="s">
        <v>391</v>
      </c>
      <c r="D57" s="796" t="s">
        <v>391</v>
      </c>
      <c r="F57" s="413"/>
      <c r="G57" s="228" t="str">
        <f t="shared" si="0"/>
        <v/>
      </c>
      <c r="H57" s="211"/>
      <c r="I57" s="211"/>
      <c r="J57" s="231"/>
      <c r="K57" s="231"/>
    </row>
    <row r="58" spans="2:11" x14ac:dyDescent="0.25">
      <c r="B58" s="368" t="s">
        <v>418</v>
      </c>
      <c r="C58" s="848" t="s">
        <v>157</v>
      </c>
      <c r="D58" s="862" t="s">
        <v>157</v>
      </c>
      <c r="F58" s="413"/>
      <c r="G58" s="228" t="str">
        <f t="shared" si="0"/>
        <v/>
      </c>
      <c r="H58" s="211"/>
      <c r="I58" s="211"/>
      <c r="J58" s="231"/>
      <c r="K58" s="231"/>
    </row>
    <row r="59" spans="2:11" x14ac:dyDescent="0.25">
      <c r="B59" s="672" t="s">
        <v>170</v>
      </c>
      <c r="C59" s="808" t="s">
        <v>157</v>
      </c>
      <c r="D59" s="749" t="s">
        <v>157</v>
      </c>
      <c r="E59" s="926"/>
      <c r="F59" s="713"/>
      <c r="G59" s="228" t="str">
        <f t="shared" si="0"/>
        <v/>
      </c>
      <c r="H59" s="757"/>
      <c r="I59" s="757"/>
      <c r="J59" s="922" t="s">
        <v>1693</v>
      </c>
      <c r="K59" s="231"/>
    </row>
    <row r="60" spans="2:11" x14ac:dyDescent="0.25">
      <c r="B60" s="446" t="s">
        <v>163</v>
      </c>
      <c r="C60" s="808" t="s">
        <v>157</v>
      </c>
      <c r="D60" s="749" t="s">
        <v>157</v>
      </c>
      <c r="F60" s="413"/>
      <c r="G60" s="228" t="str">
        <f t="shared" si="0"/>
        <v/>
      </c>
      <c r="H60" s="211"/>
      <c r="I60" s="211"/>
      <c r="J60" s="231"/>
      <c r="K60" s="231"/>
    </row>
    <row r="61" spans="2:11" x14ac:dyDescent="0.25">
      <c r="B61" s="400" t="s">
        <v>154</v>
      </c>
      <c r="C61" s="456" t="s">
        <v>391</v>
      </c>
      <c r="D61" s="797" t="s">
        <v>391</v>
      </c>
      <c r="F61" s="413"/>
      <c r="G61" s="228" t="str">
        <f t="shared" si="0"/>
        <v/>
      </c>
      <c r="H61" s="211"/>
      <c r="I61" s="211"/>
      <c r="J61" s="231"/>
      <c r="K61" s="231"/>
    </row>
    <row r="62" spans="2:11" ht="15" customHeight="1" x14ac:dyDescent="0.25">
      <c r="B62" s="400" t="s">
        <v>155</v>
      </c>
      <c r="C62" s="459" t="s">
        <v>157</v>
      </c>
      <c r="D62" s="692" t="s">
        <v>157</v>
      </c>
      <c r="F62" s="413"/>
      <c r="G62" s="228" t="str">
        <f t="shared" si="0"/>
        <v/>
      </c>
      <c r="H62" s="211"/>
      <c r="I62" s="211"/>
      <c r="J62" s="231"/>
      <c r="K62" s="231"/>
    </row>
    <row r="63" spans="2:11" hidden="1" x14ac:dyDescent="0.25">
      <c r="B63" s="722" t="s">
        <v>1103</v>
      </c>
      <c r="C63" s="435"/>
      <c r="D63" s="391"/>
      <c r="E63" s="530"/>
      <c r="F63" s="436"/>
      <c r="G63" s="228" t="str">
        <f t="shared" si="0"/>
        <v/>
      </c>
      <c r="H63" s="16"/>
      <c r="I63" s="586"/>
      <c r="J63" s="232"/>
      <c r="K63" s="232"/>
    </row>
    <row r="64" spans="2:11" hidden="1" x14ac:dyDescent="0.25">
      <c r="B64" s="441" t="s">
        <v>712</v>
      </c>
      <c r="C64" s="438"/>
      <c r="D64" s="439"/>
      <c r="E64" s="530"/>
      <c r="F64" s="440"/>
      <c r="G64" s="228" t="str">
        <f t="shared" si="0"/>
        <v/>
      </c>
      <c r="H64" s="16"/>
      <c r="I64" s="586"/>
      <c r="J64" s="447"/>
      <c r="K64" s="447"/>
    </row>
    <row r="65" spans="2:11" hidden="1" x14ac:dyDescent="0.25">
      <c r="B65" s="441" t="s">
        <v>713</v>
      </c>
      <c r="C65" s="438"/>
      <c r="D65" s="439"/>
      <c r="E65" s="530"/>
      <c r="F65" s="440"/>
      <c r="G65" s="228" t="str">
        <f t="shared" si="0"/>
        <v/>
      </c>
      <c r="H65" s="16"/>
      <c r="I65" s="586"/>
      <c r="J65" s="447"/>
      <c r="K65" s="447"/>
    </row>
    <row r="66" spans="2:11" x14ac:dyDescent="0.25">
      <c r="B66" s="368" t="s">
        <v>715</v>
      </c>
      <c r="C66" s="435"/>
      <c r="D66" s="391"/>
      <c r="F66" s="436"/>
      <c r="G66" s="228" t="str">
        <f t="shared" si="0"/>
        <v/>
      </c>
      <c r="H66" s="16"/>
      <c r="I66" s="16"/>
      <c r="J66" s="232"/>
      <c r="K66" s="232"/>
    </row>
    <row r="67" spans="2:11" x14ac:dyDescent="0.25">
      <c r="B67" s="441" t="s">
        <v>712</v>
      </c>
      <c r="C67" s="806" t="s">
        <v>391</v>
      </c>
      <c r="D67" s="776" t="s">
        <v>391</v>
      </c>
      <c r="F67" s="440"/>
      <c r="G67" s="228" t="str">
        <f t="shared" si="0"/>
        <v/>
      </c>
      <c r="H67" s="16"/>
      <c r="I67" s="16"/>
      <c r="J67" s="447"/>
      <c r="K67" s="447"/>
    </row>
    <row r="68" spans="2:11" x14ac:dyDescent="0.25">
      <c r="B68" s="441" t="s">
        <v>713</v>
      </c>
      <c r="C68" s="807" t="s">
        <v>391</v>
      </c>
      <c r="D68" s="787" t="s">
        <v>391</v>
      </c>
      <c r="F68" s="440"/>
      <c r="G68" s="228" t="str">
        <f t="shared" si="0"/>
        <v/>
      </c>
      <c r="H68" s="16"/>
      <c r="I68" s="16"/>
      <c r="J68" s="447"/>
      <c r="K68" s="447"/>
    </row>
    <row r="69" spans="2:11" hidden="1" x14ac:dyDescent="0.25">
      <c r="B69" s="442" t="s">
        <v>714</v>
      </c>
      <c r="C69" s="438"/>
      <c r="D69" s="439"/>
      <c r="F69" s="440"/>
      <c r="G69" s="228" t="str">
        <f t="shared" si="0"/>
        <v/>
      </c>
      <c r="H69" s="16"/>
      <c r="I69" s="16"/>
      <c r="J69" s="447"/>
      <c r="K69" s="447"/>
    </row>
    <row r="70" spans="2:11" x14ac:dyDescent="0.25">
      <c r="B70" s="400" t="s">
        <v>716</v>
      </c>
      <c r="C70" s="459" t="s">
        <v>157</v>
      </c>
      <c r="D70" s="692" t="s">
        <v>157</v>
      </c>
      <c r="F70" s="436"/>
      <c r="G70" s="228" t="str">
        <f t="shared" si="0"/>
        <v/>
      </c>
      <c r="H70" s="211"/>
      <c r="I70" s="211"/>
      <c r="J70" s="232"/>
      <c r="K70" s="232"/>
    </row>
    <row r="71" spans="2:11" hidden="1" x14ac:dyDescent="0.25">
      <c r="B71" s="444" t="s">
        <v>697</v>
      </c>
      <c r="C71" s="396"/>
      <c r="D71" s="424"/>
      <c r="F71" s="443"/>
      <c r="G71" s="228" t="str">
        <f t="shared" si="0"/>
        <v/>
      </c>
      <c r="H71" s="211"/>
      <c r="I71" s="211"/>
      <c r="J71" s="445"/>
      <c r="K71" s="445"/>
    </row>
    <row r="72" spans="2:11" ht="7.5" customHeight="1" x14ac:dyDescent="0.25">
      <c r="B72" s="310"/>
      <c r="C72" s="228"/>
      <c r="D72" s="228"/>
      <c r="F72" s="275"/>
      <c r="G72" s="228" t="str">
        <f t="shared" si="0"/>
        <v/>
      </c>
      <c r="J72" s="381"/>
    </row>
    <row r="73" spans="2:11" x14ac:dyDescent="0.25">
      <c r="B73" s="523" t="s">
        <v>103</v>
      </c>
      <c r="C73" s="524" t="s">
        <v>62</v>
      </c>
      <c r="D73" s="525" t="s">
        <v>63</v>
      </c>
      <c r="F73" s="526" t="s">
        <v>146</v>
      </c>
      <c r="G73" s="228" t="str">
        <f t="shared" si="0"/>
        <v>_</v>
      </c>
      <c r="J73" s="527" t="s">
        <v>1002</v>
      </c>
      <c r="K73" s="527" t="s">
        <v>363</v>
      </c>
    </row>
    <row r="74" spans="2:11" x14ac:dyDescent="0.25">
      <c r="B74" s="722" t="s">
        <v>1104</v>
      </c>
      <c r="C74" s="811" t="s">
        <v>1053</v>
      </c>
      <c r="D74" s="779" t="s">
        <v>1053</v>
      </c>
      <c r="F74" s="436"/>
      <c r="G74" s="228" t="str">
        <f t="shared" si="0"/>
        <v/>
      </c>
      <c r="H74" s="211"/>
      <c r="I74" s="211"/>
      <c r="J74" s="232"/>
      <c r="K74" s="232"/>
    </row>
    <row r="75" spans="2:11" x14ac:dyDescent="0.25">
      <c r="B75" s="673" t="s">
        <v>1110</v>
      </c>
      <c r="C75" s="811" t="s">
        <v>1053</v>
      </c>
      <c r="D75" s="779" t="s">
        <v>1053</v>
      </c>
      <c r="F75" s="413"/>
      <c r="G75" s="228" t="str">
        <f t="shared" si="0"/>
        <v/>
      </c>
      <c r="H75" s="211"/>
      <c r="I75" s="211"/>
      <c r="J75" s="231"/>
      <c r="K75" s="231"/>
    </row>
    <row r="76" spans="2:11" x14ac:dyDescent="0.25">
      <c r="B76" s="400" t="s">
        <v>526</v>
      </c>
      <c r="C76" s="811" t="s">
        <v>1053</v>
      </c>
      <c r="D76" s="779" t="s">
        <v>1053</v>
      </c>
      <c r="F76" s="413"/>
      <c r="G76" s="228" t="str">
        <f t="shared" si="0"/>
        <v/>
      </c>
      <c r="H76" s="211"/>
      <c r="I76" s="211"/>
      <c r="J76" s="231"/>
      <c r="K76" s="231"/>
    </row>
    <row r="77" spans="2:11" x14ac:dyDescent="0.25">
      <c r="B77" s="400" t="s">
        <v>524</v>
      </c>
      <c r="C77" s="811" t="s">
        <v>1053</v>
      </c>
      <c r="D77" s="779" t="s">
        <v>1053</v>
      </c>
      <c r="F77" s="413"/>
      <c r="G77" s="228" t="str">
        <f t="shared" si="0"/>
        <v/>
      </c>
      <c r="H77" s="211"/>
      <c r="I77" s="211"/>
      <c r="J77" s="231"/>
      <c r="K77" s="231"/>
    </row>
    <row r="78" spans="2:11" x14ac:dyDescent="0.25">
      <c r="B78" s="400" t="s">
        <v>525</v>
      </c>
      <c r="C78" s="811" t="s">
        <v>1053</v>
      </c>
      <c r="D78" s="779" t="s">
        <v>1053</v>
      </c>
      <c r="F78" s="413"/>
      <c r="G78" s="228" t="str">
        <f t="shared" si="0"/>
        <v/>
      </c>
      <c r="H78" s="211"/>
      <c r="I78" s="211"/>
      <c r="J78" s="231"/>
      <c r="K78" s="231"/>
    </row>
    <row r="79" spans="2:11" hidden="1" x14ac:dyDescent="0.25">
      <c r="B79" s="400" t="s">
        <v>528</v>
      </c>
      <c r="C79" s="810"/>
      <c r="D79" s="785"/>
      <c r="F79" s="413"/>
      <c r="G79" s="228" t="str">
        <f t="shared" si="0"/>
        <v/>
      </c>
      <c r="H79" s="211"/>
      <c r="I79" s="211"/>
      <c r="J79" s="231"/>
      <c r="K79" s="231"/>
    </row>
    <row r="80" spans="2:11" x14ac:dyDescent="0.25">
      <c r="B80" s="400" t="s">
        <v>527</v>
      </c>
      <c r="C80" s="811" t="s">
        <v>1053</v>
      </c>
      <c r="D80" s="779" t="s">
        <v>1053</v>
      </c>
      <c r="F80" s="413"/>
      <c r="G80" s="228" t="str">
        <f t="shared" si="0"/>
        <v/>
      </c>
      <c r="H80" s="211"/>
      <c r="I80" s="211"/>
      <c r="J80" s="231"/>
      <c r="K80" s="231"/>
    </row>
    <row r="81" spans="2:11" x14ac:dyDescent="0.25">
      <c r="B81" s="368" t="s">
        <v>718</v>
      </c>
      <c r="C81" s="811" t="s">
        <v>1053</v>
      </c>
      <c r="D81" s="779" t="s">
        <v>1053</v>
      </c>
      <c r="F81" s="436"/>
      <c r="G81" s="228" t="str">
        <f t="shared" si="0"/>
        <v/>
      </c>
      <c r="H81" s="211"/>
      <c r="I81" s="211"/>
      <c r="J81" s="232"/>
      <c r="K81" s="232"/>
    </row>
    <row r="82" spans="2:11" ht="45" customHeight="1" x14ac:dyDescent="0.25">
      <c r="B82" s="596" t="s">
        <v>727</v>
      </c>
      <c r="C82" s="808" t="s">
        <v>157</v>
      </c>
      <c r="D82" s="749" t="s">
        <v>157</v>
      </c>
      <c r="F82" s="443"/>
      <c r="G82" s="228" t="str">
        <f t="shared" si="0"/>
        <v/>
      </c>
      <c r="H82" s="211"/>
      <c r="I82" s="211"/>
      <c r="J82" s="445"/>
      <c r="K82" s="445"/>
    </row>
    <row r="83" spans="2:11" x14ac:dyDescent="0.25">
      <c r="B83" s="368" t="s">
        <v>253</v>
      </c>
      <c r="C83" s="811" t="s">
        <v>1053</v>
      </c>
      <c r="D83" s="779" t="s">
        <v>1053</v>
      </c>
      <c r="F83" s="436"/>
      <c r="G83" s="228" t="str">
        <f t="shared" si="0"/>
        <v/>
      </c>
      <c r="H83" s="211"/>
      <c r="I83" s="211"/>
      <c r="J83" s="232"/>
      <c r="K83" s="232"/>
    </row>
    <row r="84" spans="2:11" x14ac:dyDescent="0.25">
      <c r="B84" s="442" t="s">
        <v>983</v>
      </c>
      <c r="C84" s="808" t="s">
        <v>157</v>
      </c>
      <c r="D84" s="749" t="s">
        <v>157</v>
      </c>
      <c r="F84" s="443"/>
      <c r="G84" s="228" t="str">
        <f t="shared" si="0"/>
        <v/>
      </c>
      <c r="H84" s="211"/>
      <c r="I84" s="211"/>
      <c r="J84" s="445"/>
      <c r="K84" s="445"/>
    </row>
    <row r="85" spans="2:11" x14ac:dyDescent="0.25">
      <c r="B85" s="400" t="s">
        <v>721</v>
      </c>
      <c r="C85" s="811" t="s">
        <v>1053</v>
      </c>
      <c r="D85" s="779" t="s">
        <v>1053</v>
      </c>
      <c r="F85" s="413"/>
      <c r="G85" s="228" t="str">
        <f t="shared" si="0"/>
        <v/>
      </c>
      <c r="H85" s="211"/>
      <c r="I85" s="211"/>
      <c r="J85" s="231"/>
      <c r="K85" s="231"/>
    </row>
    <row r="86" spans="2:11" ht="30" customHeight="1" x14ac:dyDescent="0.25">
      <c r="B86" s="400" t="s">
        <v>156</v>
      </c>
      <c r="C86" s="709" t="s">
        <v>1053</v>
      </c>
      <c r="D86" s="710" t="s">
        <v>1053</v>
      </c>
      <c r="F86" s="413"/>
      <c r="G86" s="228" t="str">
        <f t="shared" si="0"/>
        <v/>
      </c>
      <c r="H86" s="211"/>
      <c r="I86" s="211"/>
      <c r="J86" s="231"/>
      <c r="K86" s="231"/>
    </row>
    <row r="87" spans="2:11" x14ac:dyDescent="0.25">
      <c r="B87" s="722" t="s">
        <v>1111</v>
      </c>
      <c r="C87" s="435"/>
      <c r="D87" s="391"/>
      <c r="F87" s="436"/>
      <c r="G87" s="228" t="str">
        <f t="shared" si="0"/>
        <v/>
      </c>
      <c r="H87" s="211"/>
      <c r="I87" s="211"/>
      <c r="J87" s="232"/>
      <c r="K87" s="232"/>
    </row>
    <row r="88" spans="2:11" x14ac:dyDescent="0.25">
      <c r="B88" s="441" t="s">
        <v>1112</v>
      </c>
      <c r="C88" s="806" t="s">
        <v>391</v>
      </c>
      <c r="D88" s="776" t="s">
        <v>391</v>
      </c>
      <c r="F88" s="440"/>
      <c r="G88" s="228" t="str">
        <f t="shared" si="0"/>
        <v/>
      </c>
      <c r="H88" s="211"/>
      <c r="I88" s="211"/>
      <c r="J88" s="447"/>
      <c r="K88" s="447"/>
    </row>
    <row r="89" spans="2:11" x14ac:dyDescent="0.25">
      <c r="B89" s="809" t="s">
        <v>1294</v>
      </c>
      <c r="C89" s="808" t="s">
        <v>157</v>
      </c>
      <c r="D89" s="749" t="s">
        <v>157</v>
      </c>
      <c r="F89" s="443"/>
      <c r="G89" s="228" t="str">
        <f t="shared" si="0"/>
        <v/>
      </c>
      <c r="H89" s="211"/>
      <c r="I89" s="211"/>
      <c r="J89" s="445"/>
      <c r="K89" s="445"/>
    </row>
    <row r="90" spans="2:11" ht="7.5" customHeight="1" x14ac:dyDescent="0.25">
      <c r="G90" s="228" t="str">
        <f t="shared" si="0"/>
        <v/>
      </c>
      <c r="J90" s="381"/>
    </row>
    <row r="91" spans="2:11" x14ac:dyDescent="0.25">
      <c r="B91" s="528" t="s">
        <v>359</v>
      </c>
      <c r="C91" s="524" t="s">
        <v>62</v>
      </c>
      <c r="D91" s="525" t="s">
        <v>63</v>
      </c>
      <c r="F91" s="526" t="s">
        <v>146</v>
      </c>
      <c r="G91" s="228" t="str">
        <f t="shared" si="0"/>
        <v>_</v>
      </c>
      <c r="H91" s="211"/>
      <c r="I91" s="211"/>
      <c r="J91" s="527" t="s">
        <v>1002</v>
      </c>
      <c r="K91" s="527" t="s">
        <v>363</v>
      </c>
    </row>
    <row r="92" spans="2:11" ht="15" customHeight="1" x14ac:dyDescent="0.25">
      <c r="B92" s="673" t="s">
        <v>1295</v>
      </c>
      <c r="C92" s="711" t="s">
        <v>1296</v>
      </c>
      <c r="D92" s="390" t="s">
        <v>1296</v>
      </c>
      <c r="F92" s="413"/>
      <c r="G92" s="228" t="str">
        <f t="shared" si="0"/>
        <v/>
      </c>
      <c r="H92" s="211"/>
      <c r="I92" s="211"/>
      <c r="J92" s="231"/>
      <c r="K92" s="231"/>
    </row>
    <row r="93" spans="2:11" ht="30" customHeight="1" x14ac:dyDescent="0.25">
      <c r="B93" s="722" t="s">
        <v>1298</v>
      </c>
      <c r="C93" s="711" t="s">
        <v>1330</v>
      </c>
      <c r="D93" s="390" t="s">
        <v>1330</v>
      </c>
      <c r="E93" s="16"/>
      <c r="F93" s="413"/>
      <c r="G93" s="228" t="str">
        <f t="shared" si="0"/>
        <v/>
      </c>
      <c r="H93" s="211"/>
      <c r="I93" s="211"/>
      <c r="J93" s="231"/>
      <c r="K93" s="231"/>
    </row>
    <row r="94" spans="2:11" ht="15" customHeight="1" x14ac:dyDescent="0.25">
      <c r="B94" s="722" t="s">
        <v>1299</v>
      </c>
      <c r="C94" s="711" t="s">
        <v>1314</v>
      </c>
      <c r="D94" s="390" t="s">
        <v>1314</v>
      </c>
      <c r="E94" s="16"/>
      <c r="F94" s="413"/>
      <c r="G94" s="228" t="str">
        <f t="shared" si="0"/>
        <v/>
      </c>
      <c r="H94" s="211"/>
      <c r="I94" s="211"/>
      <c r="J94" s="231"/>
      <c r="K94" s="231"/>
    </row>
    <row r="95" spans="2:11" ht="30" customHeight="1" x14ac:dyDescent="0.25">
      <c r="B95" s="771" t="s">
        <v>1300</v>
      </c>
      <c r="C95" s="711" t="s">
        <v>1315</v>
      </c>
      <c r="D95" s="390" t="s">
        <v>1315</v>
      </c>
      <c r="E95" s="16"/>
      <c r="F95" s="413"/>
      <c r="G95" s="228" t="str">
        <f t="shared" si="0"/>
        <v/>
      </c>
      <c r="H95" s="211"/>
      <c r="I95" s="211"/>
      <c r="J95" s="231"/>
      <c r="K95" s="231"/>
    </row>
    <row r="96" spans="2:11" ht="15" customHeight="1" x14ac:dyDescent="0.25">
      <c r="B96" s="673" t="s">
        <v>1301</v>
      </c>
      <c r="C96" s="711" t="s">
        <v>1316</v>
      </c>
      <c r="D96" s="390" t="s">
        <v>1316</v>
      </c>
      <c r="E96" s="16"/>
      <c r="F96" s="413"/>
      <c r="G96" s="228" t="str">
        <f t="shared" si="0"/>
        <v/>
      </c>
      <c r="H96" s="211"/>
      <c r="I96" s="211"/>
      <c r="J96" s="231"/>
      <c r="K96" s="231"/>
    </row>
    <row r="97" spans="2:11" ht="15" customHeight="1" x14ac:dyDescent="0.25">
      <c r="B97" s="673" t="s">
        <v>1302</v>
      </c>
      <c r="C97" s="711" t="s">
        <v>1317</v>
      </c>
      <c r="D97" s="390" t="s">
        <v>1317</v>
      </c>
      <c r="E97" s="16"/>
      <c r="F97" s="413"/>
      <c r="G97" s="228" t="str">
        <f t="shared" si="0"/>
        <v/>
      </c>
      <c r="H97" s="211"/>
      <c r="I97" s="211"/>
      <c r="J97" s="231"/>
      <c r="K97" s="231"/>
    </row>
    <row r="98" spans="2:11" ht="15" customHeight="1" x14ac:dyDescent="0.25">
      <c r="B98" s="722" t="s">
        <v>1303</v>
      </c>
      <c r="C98" s="711" t="s">
        <v>1318</v>
      </c>
      <c r="D98" s="390" t="s">
        <v>1318</v>
      </c>
      <c r="E98" s="16"/>
      <c r="F98" s="413"/>
      <c r="G98" s="228" t="str">
        <f t="shared" ref="G98:G109" si="1">IF(OR(TRIM(D98)&lt;&gt;"",TRIM(F98)&lt;&gt;""),IF(AND(TRIM(D98)&lt;&gt;"",TRIM(F98)&lt;&gt;""),IF(OR(TRIM(C98)&lt;&gt;TRIM(D98),TRIM(C98)&lt;&gt;TRIM(F98)),"_",""),IF(TRIM(C98)&lt;&gt;TRIM(D98), "_", "")),"")</f>
        <v/>
      </c>
      <c r="H98" s="211"/>
      <c r="I98" s="211"/>
      <c r="J98" s="231"/>
      <c r="K98" s="231"/>
    </row>
    <row r="99" spans="2:11" ht="15" customHeight="1" x14ac:dyDescent="0.25">
      <c r="B99" s="722" t="s">
        <v>1304</v>
      </c>
      <c r="C99" s="802" t="s">
        <v>1319</v>
      </c>
      <c r="D99" s="391" t="s">
        <v>1319</v>
      </c>
      <c r="E99" s="16"/>
      <c r="F99" s="413"/>
      <c r="G99" s="228" t="str">
        <f t="shared" si="1"/>
        <v/>
      </c>
      <c r="H99" s="211"/>
      <c r="I99" s="211"/>
      <c r="J99" s="231"/>
      <c r="K99" s="231"/>
    </row>
    <row r="100" spans="2:11" ht="30" customHeight="1" x14ac:dyDescent="0.25">
      <c r="B100" s="722" t="s">
        <v>1305</v>
      </c>
      <c r="C100" s="802" t="s">
        <v>1320</v>
      </c>
      <c r="D100" s="746" t="s">
        <v>1320</v>
      </c>
      <c r="E100" s="16"/>
      <c r="F100" s="413"/>
      <c r="G100" s="228" t="str">
        <f t="shared" si="1"/>
        <v/>
      </c>
      <c r="H100" s="211"/>
      <c r="I100" s="211"/>
      <c r="J100" s="231"/>
      <c r="K100" s="231"/>
    </row>
    <row r="101" spans="2:11" ht="15" customHeight="1" x14ac:dyDescent="0.25">
      <c r="B101" s="672" t="s">
        <v>1306</v>
      </c>
      <c r="C101" s="824" t="s">
        <v>1321</v>
      </c>
      <c r="D101" s="424" t="s">
        <v>1321</v>
      </c>
      <c r="E101" s="16"/>
      <c r="F101" s="413"/>
      <c r="G101" s="228" t="str">
        <f t="shared" si="1"/>
        <v/>
      </c>
      <c r="H101" s="211"/>
      <c r="I101" s="211"/>
      <c r="J101" s="231"/>
      <c r="K101" s="231"/>
    </row>
    <row r="102" spans="2:11" ht="30" customHeight="1" x14ac:dyDescent="0.25">
      <c r="B102" s="722" t="s">
        <v>1307</v>
      </c>
      <c r="C102" s="711" t="s">
        <v>1322</v>
      </c>
      <c r="D102" s="390" t="s">
        <v>1322</v>
      </c>
      <c r="E102" s="16"/>
      <c r="F102" s="413"/>
      <c r="G102" s="228" t="str">
        <f t="shared" si="1"/>
        <v/>
      </c>
      <c r="H102" s="211"/>
      <c r="I102" s="211"/>
      <c r="J102" s="231"/>
      <c r="K102" s="231"/>
    </row>
    <row r="103" spans="2:11" ht="45" customHeight="1" x14ac:dyDescent="0.25">
      <c r="B103" s="722" t="s">
        <v>1308</v>
      </c>
      <c r="C103" s="711" t="s">
        <v>1323</v>
      </c>
      <c r="D103" s="390" t="s">
        <v>1323</v>
      </c>
      <c r="E103" s="16"/>
      <c r="F103" s="413"/>
      <c r="G103" s="228" t="str">
        <f t="shared" si="1"/>
        <v/>
      </c>
      <c r="H103" s="211"/>
      <c r="I103" s="211"/>
      <c r="J103" s="231"/>
      <c r="K103" s="231"/>
    </row>
    <row r="104" spans="2:11" ht="15" customHeight="1" x14ac:dyDescent="0.25">
      <c r="B104" s="673" t="s">
        <v>1309</v>
      </c>
      <c r="C104" s="711" t="s">
        <v>1324</v>
      </c>
      <c r="D104" s="390" t="s">
        <v>1324</v>
      </c>
      <c r="E104" s="16"/>
      <c r="F104" s="413"/>
      <c r="G104" s="228" t="str">
        <f t="shared" si="1"/>
        <v/>
      </c>
      <c r="H104" s="211"/>
      <c r="I104" s="211"/>
      <c r="J104" s="231"/>
      <c r="K104" s="231"/>
    </row>
    <row r="105" spans="2:11" ht="15" customHeight="1" x14ac:dyDescent="0.25">
      <c r="B105" s="722" t="s">
        <v>1310</v>
      </c>
      <c r="C105" s="711" t="s">
        <v>1329</v>
      </c>
      <c r="D105" s="390" t="s">
        <v>1329</v>
      </c>
      <c r="E105" s="16"/>
      <c r="F105" s="413"/>
      <c r="G105" s="228" t="str">
        <f t="shared" si="1"/>
        <v/>
      </c>
      <c r="H105" s="211"/>
      <c r="I105" s="211"/>
      <c r="J105" s="231"/>
      <c r="K105" s="231"/>
    </row>
    <row r="106" spans="2:11" ht="15" customHeight="1" x14ac:dyDescent="0.25">
      <c r="B106" s="722" t="s">
        <v>1311</v>
      </c>
      <c r="C106" s="711" t="s">
        <v>1325</v>
      </c>
      <c r="D106" s="390" t="s">
        <v>1325</v>
      </c>
      <c r="E106" s="16"/>
      <c r="F106" s="413"/>
      <c r="G106" s="228" t="str">
        <f t="shared" si="1"/>
        <v/>
      </c>
      <c r="H106" s="211"/>
      <c r="I106" s="211"/>
      <c r="J106" s="231"/>
      <c r="K106" s="231"/>
    </row>
    <row r="107" spans="2:11" ht="15" customHeight="1" x14ac:dyDescent="0.25">
      <c r="B107" s="722" t="s">
        <v>1133</v>
      </c>
      <c r="C107" s="711" t="s">
        <v>1326</v>
      </c>
      <c r="D107" s="390" t="s">
        <v>1326</v>
      </c>
      <c r="E107" s="16"/>
      <c r="F107" s="413"/>
      <c r="G107" s="228" t="str">
        <f t="shared" si="1"/>
        <v/>
      </c>
      <c r="H107" s="211"/>
      <c r="I107" s="211"/>
      <c r="J107" s="231"/>
      <c r="K107" s="231"/>
    </row>
    <row r="108" spans="2:11" ht="15" customHeight="1" x14ac:dyDescent="0.25">
      <c r="B108" s="673" t="s">
        <v>1331</v>
      </c>
      <c r="C108" s="711" t="s">
        <v>1327</v>
      </c>
      <c r="D108" s="390" t="s">
        <v>1327</v>
      </c>
      <c r="E108" s="16"/>
      <c r="F108" s="413"/>
      <c r="G108" s="228" t="str">
        <f t="shared" si="1"/>
        <v/>
      </c>
      <c r="H108" s="211"/>
      <c r="I108" s="211"/>
      <c r="J108" s="231"/>
      <c r="K108" s="231"/>
    </row>
    <row r="109" spans="2:11" ht="15" customHeight="1" x14ac:dyDescent="0.25">
      <c r="B109" s="673" t="s">
        <v>1312</v>
      </c>
      <c r="C109" s="711" t="s">
        <v>1328</v>
      </c>
      <c r="D109" s="390" t="s">
        <v>1328</v>
      </c>
      <c r="G109" s="228" t="str">
        <f t="shared" si="1"/>
        <v/>
      </c>
    </row>
    <row r="110" spans="2:11" x14ac:dyDescent="0.25">
      <c r="E110" s="16"/>
      <c r="G110" s="228" t="str">
        <f t="shared" ref="G110" si="2">IF(OR(TRIM(D110)&lt;&gt;"",TRIM(F110)&lt;&gt;""),IF(AND(TRIM(D110)&lt;&gt;"",TRIM(F110)&lt;&gt;""),IF(OR(TRIM(C110)&lt;&gt;TRIM(D110),TRIM(C110)&lt;&gt;TRIM(F110)),"_",""),IF(TRIM(C110)&lt;&gt;TRIM(D110), "_", "")),"")</f>
        <v/>
      </c>
    </row>
    <row r="111" spans="2:11" x14ac:dyDescent="0.25">
      <c r="E111" s="16"/>
    </row>
    <row r="112" spans="2:11"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row r="121" spans="5:5" x14ac:dyDescent="0.25">
      <c r="E121" s="16"/>
    </row>
    <row r="122" spans="5:5" x14ac:dyDescent="0.25">
      <c r="E122" s="16"/>
    </row>
    <row r="123" spans="5:5" x14ac:dyDescent="0.25">
      <c r="E123" s="16"/>
    </row>
    <row r="124" spans="5:5" x14ac:dyDescent="0.25">
      <c r="E124" s="16"/>
    </row>
    <row r="125" spans="5:5" x14ac:dyDescent="0.25">
      <c r="E125" s="16"/>
    </row>
    <row r="126" spans="5:5" x14ac:dyDescent="0.25">
      <c r="E126" s="16"/>
    </row>
    <row r="127" spans="5:5" x14ac:dyDescent="0.25">
      <c r="E127" s="16"/>
    </row>
    <row r="128" spans="5:5" x14ac:dyDescent="0.25">
      <c r="E128" s="16"/>
    </row>
    <row r="129" spans="5:5" x14ac:dyDescent="0.25">
      <c r="E129" s="16"/>
    </row>
    <row r="130" spans="5:5" x14ac:dyDescent="0.25">
      <c r="E130" s="16"/>
    </row>
    <row r="131" spans="5:5" x14ac:dyDescent="0.25">
      <c r="E131" s="16"/>
    </row>
  </sheetData>
  <sortState xmlns:xlrd2="http://schemas.microsoft.com/office/spreadsheetml/2017/richdata2" ref="B67:D78">
    <sortCondition ref="B67"/>
  </sortState>
  <mergeCells count="4">
    <mergeCell ref="B27:D27"/>
    <mergeCell ref="B30:D30"/>
    <mergeCell ref="B28:F28"/>
    <mergeCell ref="B31:F31"/>
  </mergeCells>
  <conditionalFormatting sqref="G1:G8 G10:G17 G19:G20 G22:G1048576">
    <cfRule type="cellIs" dxfId="233" priority="19" operator="equal">
      <formula>"_"</formula>
    </cfRule>
  </conditionalFormatting>
  <conditionalFormatting sqref="G111:G1048576">
    <cfRule type="cellIs" dxfId="232" priority="13" operator="equal">
      <formula>"_"</formula>
    </cfRule>
  </conditionalFormatting>
  <conditionalFormatting sqref="G21">
    <cfRule type="cellIs" dxfId="231" priority="7" operator="equal">
      <formula>"_"</formula>
    </cfRule>
  </conditionalFormatting>
  <conditionalFormatting sqref="G9">
    <cfRule type="cellIs" dxfId="230" priority="5" operator="equal">
      <formula>"_"</formula>
    </cfRule>
  </conditionalFormatting>
  <conditionalFormatting sqref="G18">
    <cfRule type="cellIs" dxfId="229" priority="4"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Commercial General Liability</oddHeader>
    <oddFooter>&amp;L&amp;G&amp;CPage &amp;P of &amp;N</oddFooter>
  </headerFooter>
  <rowBreaks count="1" manualBreakCount="1">
    <brk id="100" min="1" max="3"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B1:M126"/>
  <sheetViews>
    <sheetView showGridLines="0" view="pageBreakPreview" zoomScaleNormal="100" zoomScaleSheetLayoutView="100" workbookViewId="0">
      <selection activeCell="D8" sqref="D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0" style="16" customWidth="1"/>
    <col min="14" max="53" width="9.140625" style="16" customWidth="1"/>
    <col min="54" max="16384" width="9.140625" style="16"/>
  </cols>
  <sheetData>
    <row r="1" spans="2:13" ht="7.5" customHeight="1" x14ac:dyDescent="0.25">
      <c r="E1" s="450"/>
    </row>
    <row r="2" spans="2:13" ht="15.75" x14ac:dyDescent="0.25">
      <c r="B2" s="453" t="s">
        <v>1617</v>
      </c>
      <c r="E2" s="450"/>
      <c r="H2" s="454"/>
      <c r="I2" s="455"/>
      <c r="J2" s="455"/>
      <c r="L2" s="456" t="s">
        <v>391</v>
      </c>
      <c r="M2" s="381" t="s">
        <v>361</v>
      </c>
    </row>
    <row r="3" spans="2:13" x14ac:dyDescent="0.25">
      <c r="D3" s="455" t="str">
        <f xml:space="preserve"> IF(Input!D545=Input!G545,CHAR(254), "")</f>
        <v/>
      </c>
      <c r="E3" s="457"/>
      <c r="F3" s="458" t="str">
        <f xml:space="preserve"> IF(Input!E545=Input!G545,CHAR(254), "")</f>
        <v/>
      </c>
      <c r="L3" s="459" t="s">
        <v>157</v>
      </c>
      <c r="M3" s="211" t="s">
        <v>362</v>
      </c>
    </row>
    <row r="4" spans="2:13" x14ac:dyDescent="0.25">
      <c r="B4" s="523" t="s">
        <v>66</v>
      </c>
      <c r="C4" s="524" t="s">
        <v>62</v>
      </c>
      <c r="D4" s="525" t="s">
        <v>63</v>
      </c>
      <c r="E4" s="426"/>
      <c r="F4" s="526" t="s">
        <v>146</v>
      </c>
      <c r="G4" s="211"/>
      <c r="H4" s="211"/>
      <c r="I4" s="211"/>
      <c r="J4" s="527" t="s">
        <v>1002</v>
      </c>
      <c r="K4" s="527" t="s">
        <v>363</v>
      </c>
      <c r="L4" s="460"/>
      <c r="M4" s="211"/>
    </row>
    <row r="5" spans="2:13" ht="30" customHeight="1" x14ac:dyDescent="0.25">
      <c r="B5" s="409" t="s">
        <v>60</v>
      </c>
      <c r="C5" s="412" t="str">
        <f>Input!B546</f>
        <v>Continental Insurance Company (CNA)</v>
      </c>
      <c r="D5" s="390" t="str">
        <f>Input!D546</f>
        <v>Continental Insurance Company (CNA)</v>
      </c>
      <c r="F5" s="413" t="str">
        <f>Input!E546</f>
        <v>Continental Insurance Company (CNA)</v>
      </c>
      <c r="G5" s="211"/>
      <c r="H5" s="211"/>
      <c r="I5" s="211"/>
      <c r="J5" s="231"/>
      <c r="K5" s="231"/>
    </row>
    <row r="6" spans="2:13" x14ac:dyDescent="0.25">
      <c r="B6" s="409" t="s">
        <v>69</v>
      </c>
      <c r="C6" s="412" t="str">
        <f>Input!B548</f>
        <v>A: XV</v>
      </c>
      <c r="D6" s="390" t="str">
        <f>Input!D548</f>
        <v>A: XV</v>
      </c>
      <c r="F6" s="413" t="str">
        <f>Input!E548</f>
        <v>A: XV</v>
      </c>
      <c r="G6" s="211"/>
      <c r="H6" s="211"/>
      <c r="I6" s="211"/>
      <c r="J6" s="231"/>
      <c r="K6" s="231"/>
    </row>
    <row r="7" spans="2:13" x14ac:dyDescent="0.25">
      <c r="B7" s="409" t="str">
        <f>Input!B544</f>
        <v>Renewal Policy Number</v>
      </c>
      <c r="C7" s="412">
        <f>Input!C543</f>
        <v>6080912085</v>
      </c>
      <c r="D7" s="390">
        <f>Input!C544</f>
        <v>6080912085</v>
      </c>
      <c r="F7" s="413">
        <f>Input!C544</f>
        <v>6080912085</v>
      </c>
      <c r="G7" s="211"/>
      <c r="H7" s="211"/>
      <c r="I7" s="211"/>
      <c r="J7" s="231"/>
      <c r="K7" s="231"/>
    </row>
    <row r="8" spans="2:13" ht="25.5" x14ac:dyDescent="0.25">
      <c r="B8" s="409" t="str">
        <f>Input!B6</f>
        <v>Renewal Policy Period</v>
      </c>
      <c r="C8" s="412" t="str">
        <f>Input!C5</f>
        <v>7/1/2022 - 7/1/2023</v>
      </c>
      <c r="D8" s="390" t="str">
        <f>Input!C6</f>
        <v>7/1/2023 - 7/1/2024</v>
      </c>
      <c r="F8" s="413" t="str">
        <f>Input!C6</f>
        <v>7/1/2023 - 7/1/2024</v>
      </c>
      <c r="G8" s="211"/>
      <c r="H8" s="211"/>
      <c r="I8" s="211"/>
      <c r="J8" s="231"/>
      <c r="K8" s="231"/>
    </row>
    <row r="9" spans="2:13" x14ac:dyDescent="0.25">
      <c r="B9" s="479" t="s">
        <v>9</v>
      </c>
      <c r="C9" s="479"/>
      <c r="D9" s="479"/>
      <c r="E9" s="414"/>
      <c r="F9" s="566"/>
      <c r="G9" s="211"/>
      <c r="H9" s="211"/>
      <c r="I9" s="211"/>
      <c r="J9" s="566"/>
      <c r="K9" s="566"/>
    </row>
    <row r="10" spans="2:13" hidden="1" x14ac:dyDescent="0.25">
      <c r="B10" s="491" t="str">
        <f>Input!F576</f>
        <v>Scheduled Equipment</v>
      </c>
      <c r="C10" s="398">
        <f>Input!G576</f>
        <v>169669</v>
      </c>
      <c r="D10" s="425">
        <f>Input!H576</f>
        <v>169669</v>
      </c>
      <c r="E10" s="414"/>
      <c r="F10" s="427">
        <f>Input!I576</f>
        <v>169669</v>
      </c>
      <c r="G10" s="211"/>
      <c r="H10" s="211"/>
      <c r="I10" s="211"/>
      <c r="J10" s="231"/>
      <c r="K10" s="231"/>
    </row>
    <row r="11" spans="2:13" hidden="1" x14ac:dyDescent="0.25">
      <c r="B11" s="491" t="str">
        <f>Input!F577</f>
        <v>Unscheduled Equipment - Max Per Occurrence</v>
      </c>
      <c r="C11" s="398">
        <f>Input!G577</f>
        <v>0</v>
      </c>
      <c r="D11" s="425">
        <f>Input!H577</f>
        <v>0</v>
      </c>
      <c r="E11" s="414"/>
      <c r="F11" s="427">
        <f>Input!I577</f>
        <v>0</v>
      </c>
      <c r="G11" s="211"/>
      <c r="H11" s="211"/>
      <c r="I11" s="211"/>
      <c r="J11" s="231"/>
      <c r="K11" s="231"/>
    </row>
    <row r="12" spans="2:13" hidden="1" x14ac:dyDescent="0.25">
      <c r="B12" s="491" t="str">
        <f>Input!F578</f>
        <v>Unscheduled Equipment - Max Per Item</v>
      </c>
      <c r="C12" s="398">
        <f>Input!G578</f>
        <v>0</v>
      </c>
      <c r="D12" s="425">
        <f>Input!H578</f>
        <v>0</v>
      </c>
      <c r="E12" s="414"/>
      <c r="F12" s="427">
        <f>Input!I578</f>
        <v>0</v>
      </c>
      <c r="G12" s="211"/>
      <c r="H12" s="211"/>
      <c r="I12" s="211"/>
      <c r="J12" s="231"/>
      <c r="K12" s="231"/>
    </row>
    <row r="13" spans="2:13" x14ac:dyDescent="0.25">
      <c r="B13" s="491" t="str">
        <f>Input!F579</f>
        <v>Leased or Rented Equipment - Max Per Occurrence</v>
      </c>
      <c r="C13" s="398">
        <f>Input!G579</f>
        <v>100000</v>
      </c>
      <c r="D13" s="425">
        <f>Input!H579</f>
        <v>100000</v>
      </c>
      <c r="E13" s="414"/>
      <c r="F13" s="427">
        <f>Input!I579</f>
        <v>0</v>
      </c>
      <c r="G13" s="211"/>
      <c r="H13" s="211"/>
      <c r="I13" s="211"/>
      <c r="J13" s="231"/>
      <c r="K13" s="231"/>
    </row>
    <row r="14" spans="2:13" x14ac:dyDescent="0.25">
      <c r="B14" s="491" t="str">
        <f>Input!F580</f>
        <v>Leased or Rented Equipment - Max Per Item</v>
      </c>
      <c r="C14" s="398">
        <f>Input!G580</f>
        <v>50000</v>
      </c>
      <c r="D14" s="425">
        <f>Input!H580</f>
        <v>50000</v>
      </c>
      <c r="E14" s="414"/>
      <c r="F14" s="427">
        <f>Input!I580</f>
        <v>0</v>
      </c>
      <c r="G14" s="211"/>
      <c r="H14" s="211"/>
      <c r="I14" s="211"/>
      <c r="J14" s="231"/>
      <c r="K14" s="231"/>
    </row>
    <row r="15" spans="2:13" hidden="1" x14ac:dyDescent="0.25">
      <c r="B15" s="917" t="s">
        <v>1686</v>
      </c>
      <c r="C15" s="918"/>
      <c r="D15" s="919"/>
      <c r="E15" s="920"/>
      <c r="F15" s="921"/>
      <c r="G15" s="757"/>
      <c r="H15" s="757"/>
      <c r="I15" s="757"/>
      <c r="J15" s="922" t="s">
        <v>1687</v>
      </c>
      <c r="K15" s="231"/>
    </row>
    <row r="16" spans="2:13" x14ac:dyDescent="0.25">
      <c r="B16" s="491" t="str">
        <f>Input!F581</f>
        <v>Installation Floater</v>
      </c>
      <c r="C16" s="398">
        <f>Input!G581</f>
        <v>50000</v>
      </c>
      <c r="D16" s="425">
        <f>Input!H581</f>
        <v>50000</v>
      </c>
      <c r="F16" s="427">
        <f>Input!I581</f>
        <v>0</v>
      </c>
      <c r="G16" s="211"/>
      <c r="H16" s="211"/>
      <c r="I16" s="211"/>
      <c r="J16" s="231"/>
      <c r="K16" s="231"/>
    </row>
    <row r="17" spans="2:11" hidden="1" x14ac:dyDescent="0.25">
      <c r="B17" s="491" t="str">
        <f>Input!F582</f>
        <v>Continuing Lease or Rental Payments</v>
      </c>
      <c r="C17" s="398">
        <f>Input!G582</f>
        <v>0</v>
      </c>
      <c r="D17" s="425">
        <f>Input!H582</f>
        <v>0</v>
      </c>
      <c r="E17" s="238"/>
      <c r="F17" s="427">
        <f>Input!I582</f>
        <v>0</v>
      </c>
      <c r="G17" s="211"/>
      <c r="H17" s="211"/>
      <c r="I17" s="211"/>
      <c r="J17" s="231"/>
      <c r="K17" s="231"/>
    </row>
    <row r="18" spans="2:11" x14ac:dyDescent="0.25">
      <c r="B18" s="491" t="str">
        <f>Input!F583</f>
        <v>Expediting Expense</v>
      </c>
      <c r="C18" s="398">
        <f>Input!G583</f>
        <v>50000</v>
      </c>
      <c r="D18" s="425">
        <f>Input!H583</f>
        <v>50000</v>
      </c>
      <c r="E18" s="432"/>
      <c r="F18" s="427">
        <f>Input!I583</f>
        <v>0</v>
      </c>
      <c r="G18" s="211"/>
      <c r="H18" s="211"/>
      <c r="I18" s="211"/>
      <c r="J18" s="231"/>
      <c r="K18" s="231"/>
    </row>
    <row r="19" spans="2:11" x14ac:dyDescent="0.25">
      <c r="B19" s="491" t="str">
        <f>Input!F584</f>
        <v xml:space="preserve">Pollutant Clean Up </v>
      </c>
      <c r="C19" s="398">
        <f>Input!G584</f>
        <v>50000</v>
      </c>
      <c r="D19" s="425">
        <f>Input!H584</f>
        <v>50000</v>
      </c>
      <c r="E19" s="433"/>
      <c r="F19" s="427">
        <f>Input!I584</f>
        <v>0</v>
      </c>
      <c r="G19" s="211"/>
      <c r="H19" s="211"/>
      <c r="I19" s="211"/>
      <c r="J19" s="231"/>
      <c r="K19" s="231"/>
    </row>
    <row r="20" spans="2:11" hidden="1" x14ac:dyDescent="0.25">
      <c r="B20" s="491" t="str">
        <f>Input!F585</f>
        <v xml:space="preserve">Rental Reimbursement </v>
      </c>
      <c r="C20" s="398">
        <f>Input!G585</f>
        <v>0</v>
      </c>
      <c r="D20" s="425">
        <f>Input!H585</f>
        <v>0</v>
      </c>
      <c r="E20" s="434"/>
      <c r="F20" s="427">
        <f>Input!I585</f>
        <v>0</v>
      </c>
      <c r="G20" s="211"/>
      <c r="H20" s="211"/>
      <c r="I20" s="211"/>
      <c r="J20" s="231"/>
      <c r="K20" s="231"/>
    </row>
    <row r="21" spans="2:11" hidden="1" x14ac:dyDescent="0.25">
      <c r="B21" s="491" t="str">
        <f>Input!F586</f>
        <v>Newly Acquired Equipment</v>
      </c>
      <c r="C21" s="398">
        <f>Input!G586</f>
        <v>0</v>
      </c>
      <c r="D21" s="425">
        <f>Input!H586</f>
        <v>0</v>
      </c>
      <c r="F21" s="427">
        <f>Input!I586</f>
        <v>0</v>
      </c>
      <c r="G21" s="211"/>
      <c r="H21" s="211"/>
      <c r="I21" s="211"/>
      <c r="J21" s="231"/>
      <c r="K21" s="231"/>
    </row>
    <row r="22" spans="2:11" x14ac:dyDescent="0.25">
      <c r="B22" s="491" t="str">
        <f>Input!F587</f>
        <v>Waterborne Equipment</v>
      </c>
      <c r="C22" s="398">
        <f>Input!G587</f>
        <v>0</v>
      </c>
      <c r="D22" s="425">
        <f>Input!H587</f>
        <v>0</v>
      </c>
      <c r="F22" s="427">
        <f>Input!I587</f>
        <v>0</v>
      </c>
      <c r="G22" s="211"/>
      <c r="H22" s="211"/>
      <c r="I22" s="211"/>
      <c r="J22" s="231"/>
      <c r="K22" s="231"/>
    </row>
    <row r="23" spans="2:11" hidden="1" x14ac:dyDescent="0.25">
      <c r="B23" s="491" t="str">
        <f>Input!F588</f>
        <v>Flood</v>
      </c>
      <c r="C23" s="398">
        <f>Input!G588</f>
        <v>0</v>
      </c>
      <c r="D23" s="425">
        <f>Input!H588</f>
        <v>0</v>
      </c>
      <c r="E23" s="426"/>
      <c r="F23" s="427">
        <f>Input!I588</f>
        <v>0</v>
      </c>
      <c r="G23" s="211"/>
      <c r="H23" s="211"/>
      <c r="I23" s="211"/>
      <c r="J23" s="231"/>
      <c r="K23" s="231"/>
    </row>
    <row r="24" spans="2:11" hidden="1" x14ac:dyDescent="0.25">
      <c r="B24" s="491" t="str">
        <f>Input!F589</f>
        <v>Earthquake</v>
      </c>
      <c r="C24" s="398">
        <f>Input!G589</f>
        <v>0</v>
      </c>
      <c r="D24" s="425">
        <f>Input!H589</f>
        <v>0</v>
      </c>
      <c r="F24" s="427">
        <f>Input!I589</f>
        <v>0</v>
      </c>
      <c r="G24" s="211"/>
      <c r="H24" s="211"/>
      <c r="I24" s="211"/>
      <c r="J24" s="231"/>
      <c r="K24" s="231"/>
    </row>
    <row r="25" spans="2:11" hidden="1" x14ac:dyDescent="0.25">
      <c r="B25" s="491" t="str">
        <f>Input!F590</f>
        <v>Windstorm</v>
      </c>
      <c r="C25" s="398">
        <f>Input!G590</f>
        <v>0</v>
      </c>
      <c r="D25" s="425">
        <f>Input!H590</f>
        <v>0</v>
      </c>
      <c r="F25" s="427">
        <f>Input!I590</f>
        <v>0</v>
      </c>
      <c r="G25" s="211"/>
      <c r="H25" s="211"/>
      <c r="I25" s="211"/>
      <c r="J25" s="231"/>
      <c r="K25" s="231"/>
    </row>
    <row r="26" spans="2:11" hidden="1" x14ac:dyDescent="0.25">
      <c r="B26" s="491" t="str">
        <f>Input!F591</f>
        <v>Named Storm</v>
      </c>
      <c r="C26" s="398">
        <f>Input!G591</f>
        <v>0</v>
      </c>
      <c r="D26" s="425">
        <f>Input!H591</f>
        <v>0</v>
      </c>
      <c r="F26" s="427">
        <f>Input!I591</f>
        <v>0</v>
      </c>
      <c r="G26" s="211"/>
      <c r="H26" s="211"/>
      <c r="I26" s="211"/>
      <c r="J26" s="231"/>
      <c r="K26" s="231"/>
    </row>
    <row r="27" spans="2:11" x14ac:dyDescent="0.25">
      <c r="B27" s="479" t="s">
        <v>37</v>
      </c>
      <c r="C27" s="479"/>
      <c r="D27" s="479"/>
      <c r="F27" s="566"/>
      <c r="G27" s="211"/>
      <c r="H27" s="211"/>
      <c r="I27" s="211"/>
      <c r="J27" s="566"/>
      <c r="K27" s="566"/>
    </row>
    <row r="28" spans="2:11" x14ac:dyDescent="0.25">
      <c r="B28" s="402" t="str">
        <f>Input!F594</f>
        <v>All Other</v>
      </c>
      <c r="C28" s="403">
        <f>Input!G594</f>
        <v>2500</v>
      </c>
      <c r="D28" s="431">
        <f>Input!H594</f>
        <v>2500</v>
      </c>
      <c r="F28" s="430">
        <f>Input!I594</f>
        <v>0</v>
      </c>
      <c r="G28" s="211"/>
      <c r="H28" s="211"/>
      <c r="I28" s="211"/>
      <c r="J28" s="231"/>
      <c r="K28" s="231"/>
    </row>
    <row r="29" spans="2:11" hidden="1" x14ac:dyDescent="0.25">
      <c r="B29" s="402" t="str">
        <f>Input!F595</f>
        <v>Flood</v>
      </c>
      <c r="C29" s="403">
        <f>Input!G595</f>
        <v>2500</v>
      </c>
      <c r="D29" s="431">
        <f>Input!H595</f>
        <v>2500</v>
      </c>
      <c r="F29" s="430">
        <f>Input!I595</f>
        <v>0</v>
      </c>
      <c r="G29" s="211"/>
      <c r="H29" s="211"/>
      <c r="I29" s="211"/>
      <c r="J29" s="231"/>
      <c r="K29" s="231"/>
    </row>
    <row r="30" spans="2:11" hidden="1" x14ac:dyDescent="0.25">
      <c r="B30" s="402" t="str">
        <f>Input!F596</f>
        <v>Earthquake</v>
      </c>
      <c r="C30" s="403">
        <f>Input!G596</f>
        <v>2500</v>
      </c>
      <c r="D30" s="431">
        <f>Input!H596</f>
        <v>2500</v>
      </c>
      <c r="F30" s="430">
        <f>Input!I596</f>
        <v>0</v>
      </c>
      <c r="G30" s="211"/>
      <c r="H30" s="211"/>
      <c r="I30" s="211"/>
      <c r="J30" s="231"/>
      <c r="K30" s="231"/>
    </row>
    <row r="31" spans="2:11" hidden="1" x14ac:dyDescent="0.25">
      <c r="B31" s="402" t="str">
        <f>Input!F597</f>
        <v>Windstorm</v>
      </c>
      <c r="C31" s="403">
        <f>Input!G597</f>
        <v>0</v>
      </c>
      <c r="D31" s="431">
        <f>Input!H597</f>
        <v>0</v>
      </c>
      <c r="F31" s="430">
        <f>Input!I597</f>
        <v>0</v>
      </c>
      <c r="G31" s="211"/>
      <c r="H31" s="211"/>
      <c r="I31" s="211"/>
      <c r="J31" s="231"/>
      <c r="K31" s="231"/>
    </row>
    <row r="32" spans="2:11" hidden="1" x14ac:dyDescent="0.25">
      <c r="B32" s="402" t="str">
        <f>Input!F598</f>
        <v>Named Storm</v>
      </c>
      <c r="C32" s="403">
        <f>Input!G598</f>
        <v>0</v>
      </c>
      <c r="D32" s="431">
        <f>Input!H598</f>
        <v>0</v>
      </c>
      <c r="F32" s="430">
        <f>Input!I598</f>
        <v>0</v>
      </c>
      <c r="G32" s="211"/>
      <c r="H32" s="211"/>
      <c r="I32" s="211"/>
      <c r="J32" s="231"/>
      <c r="K32" s="231"/>
    </row>
    <row r="33" spans="2:11" x14ac:dyDescent="0.25">
      <c r="B33" s="409" t="s">
        <v>343</v>
      </c>
      <c r="C33" s="398">
        <f>Input!B560</f>
        <v>1327</v>
      </c>
      <c r="D33" s="425">
        <f>Input!D560</f>
        <v>1546</v>
      </c>
      <c r="F33" s="427"/>
      <c r="G33" s="211"/>
      <c r="H33" s="211"/>
      <c r="I33" s="211"/>
      <c r="J33" s="231"/>
      <c r="K33" s="231"/>
    </row>
    <row r="34" spans="2:11" ht="7.5" customHeight="1" x14ac:dyDescent="0.25">
      <c r="B34" s="310"/>
      <c r="C34" s="228"/>
      <c r="D34" s="228"/>
      <c r="F34" s="275"/>
      <c r="G34" s="211"/>
      <c r="H34" s="211"/>
      <c r="I34" s="211"/>
      <c r="J34" s="381"/>
    </row>
    <row r="35" spans="2:11" x14ac:dyDescent="0.25">
      <c r="B35" s="1274" t="s">
        <v>144</v>
      </c>
      <c r="C35" s="1274"/>
      <c r="D35" s="1274"/>
      <c r="F35" s="274"/>
      <c r="G35" s="211"/>
      <c r="H35" s="211"/>
      <c r="I35" s="211"/>
      <c r="J35" s="381"/>
    </row>
    <row r="36" spans="2:11" ht="29.25" customHeight="1" x14ac:dyDescent="0.25">
      <c r="B36" s="1275" t="s">
        <v>1958</v>
      </c>
      <c r="C36" s="1276"/>
      <c r="D36" s="1276"/>
      <c r="E36" s="1276"/>
      <c r="F36" s="1277"/>
      <c r="G36" s="211"/>
      <c r="H36" s="211"/>
      <c r="I36" s="211"/>
      <c r="J36" s="381"/>
    </row>
    <row r="37" spans="2:11" ht="7.5" customHeight="1" x14ac:dyDescent="0.25">
      <c r="B37" s="380"/>
      <c r="C37" s="238"/>
      <c r="D37" s="238"/>
      <c r="F37" s="275"/>
      <c r="G37" s="211"/>
      <c r="H37" s="211"/>
      <c r="I37" s="211"/>
      <c r="J37" s="381"/>
    </row>
    <row r="38" spans="2:11" x14ac:dyDescent="0.25">
      <c r="B38" s="1274" t="s">
        <v>145</v>
      </c>
      <c r="C38" s="1274"/>
      <c r="D38" s="1274"/>
      <c r="F38" s="275"/>
      <c r="G38" s="211"/>
      <c r="H38" s="211"/>
      <c r="I38" s="211"/>
      <c r="J38" s="381"/>
    </row>
    <row r="39" spans="2:11" x14ac:dyDescent="0.25">
      <c r="B39" s="1275" t="s">
        <v>1952</v>
      </c>
      <c r="C39" s="1276"/>
      <c r="D39" s="1276"/>
      <c r="E39" s="1276"/>
      <c r="F39" s="1277"/>
      <c r="G39" s="211"/>
      <c r="H39" s="211"/>
      <c r="I39" s="211"/>
      <c r="J39" s="381"/>
    </row>
    <row r="40" spans="2:11" ht="7.5" customHeight="1" x14ac:dyDescent="0.25">
      <c r="B40" s="310"/>
      <c r="C40" s="228"/>
      <c r="D40" s="228"/>
      <c r="F40" s="275"/>
      <c r="G40" s="211"/>
      <c r="H40" s="211"/>
      <c r="I40" s="211"/>
      <c r="J40" s="381"/>
    </row>
    <row r="41" spans="2:11" x14ac:dyDescent="0.25">
      <c r="B41" s="523" t="s">
        <v>72</v>
      </c>
      <c r="C41" s="524" t="s">
        <v>62</v>
      </c>
      <c r="D41" s="525" t="s">
        <v>63</v>
      </c>
      <c r="F41" s="526" t="s">
        <v>146</v>
      </c>
      <c r="G41" s="211"/>
      <c r="H41" s="211"/>
      <c r="I41" s="211"/>
      <c r="J41" s="527" t="s">
        <v>1002</v>
      </c>
      <c r="K41" s="527" t="s">
        <v>363</v>
      </c>
    </row>
    <row r="42" spans="2:11" x14ac:dyDescent="0.25">
      <c r="B42" s="400" t="s">
        <v>73</v>
      </c>
      <c r="C42" s="712" t="s">
        <v>1033</v>
      </c>
      <c r="D42" s="712" t="s">
        <v>1033</v>
      </c>
      <c r="F42" s="413"/>
      <c r="G42" s="228" t="str">
        <f t="shared" ref="G42:G76" si="0">IF(OR(TRIM(D42)&lt;&gt;"",TRIM(F42)&lt;&gt;""),IF(AND(TRIM(D42)&lt;&gt;"",TRIM(F42)&lt;&gt;""),IF(OR(TRIM(C42)&lt;&gt;TRIM(D42),TRIM(C42)&lt;&gt;TRIM(F42)),"_",""),IF(TRIM(C42)&lt;&gt;TRIM(D42), "_", "")),"")</f>
        <v/>
      </c>
      <c r="H42" s="211"/>
      <c r="I42" s="211"/>
      <c r="J42" s="231"/>
      <c r="K42" s="231"/>
    </row>
    <row r="43" spans="2:11" ht="57.75" customHeight="1" x14ac:dyDescent="0.25">
      <c r="B43" s="400" t="s">
        <v>74</v>
      </c>
      <c r="C43" s="712" t="s">
        <v>1676</v>
      </c>
      <c r="D43" s="712" t="s">
        <v>1676</v>
      </c>
      <c r="F43" s="413"/>
      <c r="G43" s="228" t="str">
        <f t="shared" si="0"/>
        <v/>
      </c>
      <c r="H43" s="211"/>
      <c r="I43" s="211"/>
      <c r="J43" s="231"/>
      <c r="K43" s="231"/>
    </row>
    <row r="44" spans="2:11" x14ac:dyDescent="0.25">
      <c r="B44" s="400" t="s">
        <v>151</v>
      </c>
      <c r="C44" s="712" t="s">
        <v>1035</v>
      </c>
      <c r="D44" s="712" t="s">
        <v>1035</v>
      </c>
      <c r="F44" s="413"/>
      <c r="G44" s="228" t="str">
        <f t="shared" si="0"/>
        <v/>
      </c>
      <c r="H44" s="211"/>
      <c r="I44" s="211"/>
      <c r="J44" s="231"/>
      <c r="K44" s="231"/>
    </row>
    <row r="45" spans="2:11" x14ac:dyDescent="0.25">
      <c r="B45" s="400" t="s">
        <v>152</v>
      </c>
      <c r="C45" s="712" t="s">
        <v>284</v>
      </c>
      <c r="D45" s="712" t="s">
        <v>284</v>
      </c>
      <c r="F45" s="413"/>
      <c r="G45" s="228" t="str">
        <f t="shared" si="0"/>
        <v/>
      </c>
      <c r="H45" s="211"/>
      <c r="I45" s="211"/>
      <c r="J45" s="231"/>
      <c r="K45" s="231"/>
    </row>
    <row r="46" spans="2:11" x14ac:dyDescent="0.25">
      <c r="B46" s="368" t="s">
        <v>77</v>
      </c>
      <c r="C46" s="746" t="s">
        <v>871</v>
      </c>
      <c r="D46" s="746" t="s">
        <v>871</v>
      </c>
      <c r="F46" s="436"/>
      <c r="G46" s="228" t="str">
        <f t="shared" si="0"/>
        <v/>
      </c>
      <c r="H46" s="211"/>
      <c r="I46" s="211"/>
      <c r="J46" s="232"/>
      <c r="K46" s="232"/>
    </row>
    <row r="47" spans="2:11" hidden="1" x14ac:dyDescent="0.2">
      <c r="B47" s="616" t="s">
        <v>532</v>
      </c>
      <c r="C47" s="439"/>
      <c r="D47" s="439"/>
      <c r="F47" s="440"/>
      <c r="G47" s="228" t="str">
        <f t="shared" si="0"/>
        <v/>
      </c>
      <c r="H47" s="211"/>
      <c r="I47" s="211"/>
      <c r="J47" s="447"/>
      <c r="K47" s="447"/>
    </row>
    <row r="48" spans="2:11" hidden="1" x14ac:dyDescent="0.2">
      <c r="B48" s="617" t="s">
        <v>380</v>
      </c>
      <c r="C48" s="439"/>
      <c r="D48" s="439"/>
      <c r="F48" s="440"/>
      <c r="G48" s="228" t="str">
        <f t="shared" si="0"/>
        <v/>
      </c>
      <c r="H48" s="211"/>
      <c r="I48" s="211"/>
      <c r="J48" s="447"/>
      <c r="K48" s="447"/>
    </row>
    <row r="49" spans="2:11" hidden="1" x14ac:dyDescent="0.2">
      <c r="B49" s="618" t="s">
        <v>769</v>
      </c>
      <c r="C49" s="599">
        <v>1</v>
      </c>
      <c r="D49" s="599">
        <v>1</v>
      </c>
      <c r="F49" s="599">
        <v>1</v>
      </c>
      <c r="G49" s="228" t="str">
        <f t="shared" si="0"/>
        <v/>
      </c>
      <c r="H49" s="211"/>
      <c r="I49" s="211"/>
      <c r="J49" s="447"/>
      <c r="K49" s="447"/>
    </row>
    <row r="50" spans="2:11" hidden="1" x14ac:dyDescent="0.2">
      <c r="B50" s="618" t="s">
        <v>388</v>
      </c>
      <c r="C50" s="602">
        <v>50000</v>
      </c>
      <c r="D50" s="602">
        <v>50000</v>
      </c>
      <c r="F50" s="602">
        <v>50000</v>
      </c>
      <c r="G50" s="228" t="str">
        <f t="shared" si="0"/>
        <v/>
      </c>
      <c r="H50" s="211"/>
      <c r="I50" s="211"/>
      <c r="J50" s="447"/>
      <c r="K50" s="447"/>
    </row>
    <row r="51" spans="2:11" hidden="1" x14ac:dyDescent="0.2">
      <c r="B51" s="617" t="s">
        <v>770</v>
      </c>
      <c r="C51" s="439"/>
      <c r="D51" s="439"/>
      <c r="F51" s="440"/>
      <c r="G51" s="228" t="str">
        <f t="shared" si="0"/>
        <v/>
      </c>
      <c r="H51" s="211"/>
      <c r="I51" s="211"/>
      <c r="J51" s="447"/>
      <c r="K51" s="447"/>
    </row>
    <row r="52" spans="2:11" hidden="1" x14ac:dyDescent="0.2">
      <c r="B52" s="618" t="s">
        <v>771</v>
      </c>
      <c r="C52" s="599">
        <v>1</v>
      </c>
      <c r="D52" s="599">
        <v>1</v>
      </c>
      <c r="F52" s="599">
        <v>1</v>
      </c>
      <c r="G52" s="228" t="str">
        <f t="shared" si="0"/>
        <v/>
      </c>
      <c r="H52" s="211"/>
      <c r="I52" s="211"/>
      <c r="J52" s="447"/>
      <c r="K52" s="447"/>
    </row>
    <row r="53" spans="2:11" hidden="1" x14ac:dyDescent="0.2">
      <c r="B53" s="618" t="s">
        <v>388</v>
      </c>
      <c r="C53" s="602">
        <v>50000</v>
      </c>
      <c r="D53" s="602">
        <v>50000</v>
      </c>
      <c r="F53" s="602">
        <v>50000</v>
      </c>
      <c r="G53" s="228" t="str">
        <f t="shared" si="0"/>
        <v/>
      </c>
      <c r="H53" s="211"/>
      <c r="I53" s="211"/>
      <c r="J53" s="447"/>
      <c r="K53" s="447"/>
    </row>
    <row r="54" spans="2:11" hidden="1" x14ac:dyDescent="0.2">
      <c r="B54" s="617" t="s">
        <v>772</v>
      </c>
      <c r="C54" s="439"/>
      <c r="D54" s="439"/>
      <c r="F54" s="440"/>
      <c r="G54" s="228" t="str">
        <f t="shared" si="0"/>
        <v/>
      </c>
      <c r="H54" s="211"/>
      <c r="I54" s="211"/>
      <c r="J54" s="447"/>
      <c r="K54" s="447"/>
    </row>
    <row r="55" spans="2:11" hidden="1" x14ac:dyDescent="0.2">
      <c r="B55" s="618" t="s">
        <v>769</v>
      </c>
      <c r="C55" s="869">
        <v>3.7999999999999999E-2</v>
      </c>
      <c r="D55" s="959">
        <v>3.7999999999999999E-2</v>
      </c>
      <c r="F55" s="599"/>
      <c r="G55" s="228" t="str">
        <f t="shared" si="0"/>
        <v/>
      </c>
      <c r="H55" s="211"/>
      <c r="I55" s="211"/>
      <c r="J55" s="447"/>
      <c r="K55" s="447"/>
    </row>
    <row r="56" spans="2:11" hidden="1" x14ac:dyDescent="0.2">
      <c r="B56" s="618" t="s">
        <v>388</v>
      </c>
      <c r="C56" s="602">
        <v>50000</v>
      </c>
      <c r="D56" s="602">
        <v>50000</v>
      </c>
      <c r="F56" s="602">
        <v>50000</v>
      </c>
      <c r="G56" s="228" t="str">
        <f t="shared" si="0"/>
        <v/>
      </c>
      <c r="H56" s="211"/>
      <c r="I56" s="211"/>
      <c r="J56" s="445"/>
      <c r="K56" s="445"/>
    </row>
    <row r="57" spans="2:11" x14ac:dyDescent="0.25">
      <c r="B57" s="400" t="s">
        <v>390</v>
      </c>
      <c r="C57" s="692" t="s">
        <v>157</v>
      </c>
      <c r="D57" s="692" t="s">
        <v>157</v>
      </c>
      <c r="F57" s="413"/>
      <c r="G57" s="228" t="str">
        <f t="shared" si="0"/>
        <v/>
      </c>
      <c r="H57" s="211"/>
      <c r="I57" s="211"/>
      <c r="J57" s="231"/>
      <c r="K57" s="231"/>
    </row>
    <row r="58" spans="2:11" x14ac:dyDescent="0.25">
      <c r="B58" s="673" t="s">
        <v>763</v>
      </c>
      <c r="C58" s="712" t="s">
        <v>1600</v>
      </c>
      <c r="D58" s="712" t="s">
        <v>1600</v>
      </c>
      <c r="F58" s="413"/>
      <c r="G58" s="228" t="str">
        <f t="shared" si="0"/>
        <v/>
      </c>
      <c r="H58" s="211"/>
      <c r="I58" s="211"/>
      <c r="J58" s="231"/>
      <c r="K58" s="231"/>
    </row>
    <row r="59" spans="2:11" x14ac:dyDescent="0.25">
      <c r="B59" s="400" t="s">
        <v>186</v>
      </c>
      <c r="C59" s="837">
        <v>0.8</v>
      </c>
      <c r="D59" s="837">
        <v>0.8</v>
      </c>
      <c r="F59" s="413"/>
      <c r="G59" s="228" t="str">
        <f t="shared" si="0"/>
        <v/>
      </c>
      <c r="H59" s="211"/>
      <c r="I59" s="211"/>
      <c r="J59" s="231"/>
      <c r="K59" s="231"/>
    </row>
    <row r="60" spans="2:11" hidden="1" x14ac:dyDescent="0.25">
      <c r="B60" s="923" t="s">
        <v>1688</v>
      </c>
      <c r="C60" s="924"/>
      <c r="D60" s="925"/>
      <c r="E60" s="926"/>
      <c r="F60" s="713"/>
      <c r="G60" s="228" t="str">
        <f t="shared" si="0"/>
        <v/>
      </c>
      <c r="H60" s="757"/>
      <c r="I60" s="757"/>
      <c r="J60" s="927" t="s">
        <v>1687</v>
      </c>
      <c r="K60" s="231"/>
    </row>
    <row r="61" spans="2:11" hidden="1" x14ac:dyDescent="0.25">
      <c r="B61" s="400" t="s">
        <v>762</v>
      </c>
      <c r="C61" s="412"/>
      <c r="D61" s="390"/>
      <c r="F61" s="413"/>
      <c r="G61" s="228" t="str">
        <f t="shared" si="0"/>
        <v/>
      </c>
      <c r="H61" s="211"/>
      <c r="I61" s="211"/>
      <c r="J61" s="231"/>
      <c r="K61" s="231"/>
    </row>
    <row r="62" spans="2:11" hidden="1" x14ac:dyDescent="0.25">
      <c r="B62" s="722" t="s">
        <v>1103</v>
      </c>
      <c r="C62" s="435"/>
      <c r="D62" s="391"/>
      <c r="E62" s="530"/>
      <c r="F62" s="436"/>
      <c r="G62" s="228" t="str">
        <f t="shared" si="0"/>
        <v/>
      </c>
      <c r="H62" s="16"/>
      <c r="I62" s="586"/>
      <c r="J62" s="232"/>
      <c r="K62" s="232"/>
    </row>
    <row r="63" spans="2:11" hidden="1" x14ac:dyDescent="0.25">
      <c r="B63" s="441" t="s">
        <v>712</v>
      </c>
      <c r="C63" s="438"/>
      <c r="D63" s="439"/>
      <c r="E63" s="530"/>
      <c r="F63" s="440"/>
      <c r="G63" s="228" t="str">
        <f t="shared" si="0"/>
        <v/>
      </c>
      <c r="H63" s="16"/>
      <c r="I63" s="586"/>
      <c r="J63" s="447"/>
      <c r="K63" s="447"/>
    </row>
    <row r="64" spans="2:11" ht="15" hidden="1" customHeight="1" x14ac:dyDescent="0.25">
      <c r="B64" s="441" t="s">
        <v>713</v>
      </c>
      <c r="C64" s="438"/>
      <c r="D64" s="439"/>
      <c r="E64" s="530"/>
      <c r="F64" s="440"/>
      <c r="G64" s="228" t="str">
        <f t="shared" si="0"/>
        <v/>
      </c>
      <c r="H64" s="16"/>
      <c r="I64" s="586"/>
      <c r="J64" s="447"/>
      <c r="K64" s="447"/>
    </row>
    <row r="65" spans="2:11" ht="15" hidden="1" customHeight="1" x14ac:dyDescent="0.25">
      <c r="B65" s="441"/>
      <c r="C65" s="438"/>
      <c r="D65" s="439"/>
      <c r="F65" s="440"/>
      <c r="G65" s="228" t="str">
        <f t="shared" si="0"/>
        <v/>
      </c>
      <c r="H65" s="16"/>
      <c r="I65" s="16"/>
      <c r="J65" s="447"/>
      <c r="K65" s="447"/>
    </row>
    <row r="66" spans="2:11" ht="12.75" hidden="1" customHeight="1" x14ac:dyDescent="0.25">
      <c r="B66" s="400" t="s">
        <v>706</v>
      </c>
      <c r="C66" s="412"/>
      <c r="D66" s="390"/>
      <c r="F66" s="413"/>
      <c r="G66" s="228" t="str">
        <f t="shared" si="0"/>
        <v/>
      </c>
      <c r="H66" s="211"/>
      <c r="I66" s="211"/>
      <c r="J66" s="231"/>
      <c r="K66" s="231"/>
    </row>
    <row r="67" spans="2:11" ht="24.75" hidden="1" customHeight="1" x14ac:dyDescent="0.25">
      <c r="B67" s="673" t="s">
        <v>1689</v>
      </c>
      <c r="C67" s="711"/>
      <c r="D67" s="712"/>
      <c r="E67" s="926"/>
      <c r="F67" s="713"/>
      <c r="G67" s="228" t="str">
        <f t="shared" si="0"/>
        <v/>
      </c>
      <c r="H67" s="757"/>
      <c r="I67" s="757"/>
      <c r="J67" s="927" t="s">
        <v>1687</v>
      </c>
    </row>
    <row r="68" spans="2:11" ht="10.5" customHeight="1" x14ac:dyDescent="0.25">
      <c r="B68" s="211"/>
      <c r="C68" s="228"/>
      <c r="D68" s="228"/>
      <c r="E68" s="926"/>
      <c r="F68" s="713"/>
      <c r="G68" s="228" t="str">
        <f t="shared" si="0"/>
        <v/>
      </c>
      <c r="H68" s="757"/>
      <c r="I68" s="757"/>
      <c r="J68" s="927"/>
    </row>
    <row r="69" spans="2:11" x14ac:dyDescent="0.25">
      <c r="B69" s="523" t="s">
        <v>103</v>
      </c>
      <c r="C69" s="524" t="s">
        <v>62</v>
      </c>
      <c r="D69" s="525" t="s">
        <v>63</v>
      </c>
      <c r="F69" s="526" t="s">
        <v>146</v>
      </c>
      <c r="G69" s="228" t="str">
        <f t="shared" si="0"/>
        <v>_</v>
      </c>
      <c r="H69" s="211"/>
      <c r="I69" s="211"/>
      <c r="J69" s="527" t="s">
        <v>1002</v>
      </c>
      <c r="K69" s="527" t="s">
        <v>363</v>
      </c>
    </row>
    <row r="70" spans="2:11" x14ac:dyDescent="0.25">
      <c r="B70" s="666" t="s">
        <v>185</v>
      </c>
      <c r="C70" s="828" t="s">
        <v>1053</v>
      </c>
      <c r="D70" s="828" t="s">
        <v>1053</v>
      </c>
      <c r="F70" s="443"/>
      <c r="G70" s="228" t="str">
        <f t="shared" si="0"/>
        <v/>
      </c>
      <c r="H70" s="211"/>
      <c r="I70" s="211"/>
      <c r="J70" s="231"/>
      <c r="K70" s="231"/>
    </row>
    <row r="71" spans="2:11" x14ac:dyDescent="0.25">
      <c r="B71" s="400"/>
      <c r="C71" s="412"/>
      <c r="D71" s="390"/>
      <c r="F71" s="413"/>
      <c r="G71" s="228" t="str">
        <f t="shared" si="0"/>
        <v/>
      </c>
      <c r="H71" s="211"/>
      <c r="I71" s="211"/>
      <c r="J71" s="231"/>
      <c r="K71" s="231"/>
    </row>
    <row r="72" spans="2:11" x14ac:dyDescent="0.25">
      <c r="B72" s="400"/>
      <c r="C72" s="412"/>
      <c r="D72" s="390"/>
      <c r="F72" s="413"/>
      <c r="G72" s="228" t="str">
        <f t="shared" si="0"/>
        <v/>
      </c>
      <c r="H72" s="211"/>
      <c r="I72" s="211"/>
      <c r="J72" s="231"/>
      <c r="K72" s="231"/>
    </row>
    <row r="73" spans="2:11" ht="7.5" customHeight="1" x14ac:dyDescent="0.25">
      <c r="B73" s="211"/>
      <c r="C73" s="228"/>
      <c r="D73" s="228"/>
      <c r="F73" s="228"/>
      <c r="G73" s="228" t="str">
        <f t="shared" si="0"/>
        <v/>
      </c>
      <c r="H73" s="211"/>
      <c r="I73" s="211"/>
      <c r="J73" s="381"/>
    </row>
    <row r="74" spans="2:11" x14ac:dyDescent="0.25">
      <c r="B74" s="528" t="s">
        <v>359</v>
      </c>
      <c r="C74" s="524" t="s">
        <v>62</v>
      </c>
      <c r="D74" s="525" t="s">
        <v>63</v>
      </c>
      <c r="F74" s="526" t="s">
        <v>146</v>
      </c>
      <c r="G74" s="228" t="str">
        <f t="shared" si="0"/>
        <v>_</v>
      </c>
      <c r="H74" s="211"/>
      <c r="I74" s="211"/>
      <c r="J74" s="527" t="s">
        <v>1002</v>
      </c>
      <c r="K74" s="527" t="s">
        <v>363</v>
      </c>
    </row>
    <row r="75" spans="2:11" x14ac:dyDescent="0.25">
      <c r="B75" s="400"/>
      <c r="C75" s="412"/>
      <c r="D75" s="390"/>
      <c r="F75" s="413"/>
      <c r="G75" s="228" t="str">
        <f t="shared" si="0"/>
        <v/>
      </c>
      <c r="H75" s="211"/>
      <c r="I75" s="211"/>
      <c r="J75" s="231"/>
      <c r="K75" s="231"/>
    </row>
    <row r="76" spans="2:11" x14ac:dyDescent="0.25">
      <c r="B76" s="368"/>
      <c r="C76" s="412"/>
      <c r="D76" s="390"/>
      <c r="F76" s="413"/>
      <c r="G76" s="228" t="str">
        <f t="shared" si="0"/>
        <v/>
      </c>
      <c r="H76" s="211"/>
      <c r="I76" s="211"/>
      <c r="J76" s="231"/>
      <c r="K76" s="231"/>
    </row>
    <row r="77" spans="2:11" x14ac:dyDescent="0.25">
      <c r="B77" s="368"/>
      <c r="C77" s="412"/>
      <c r="D77" s="390"/>
      <c r="F77" s="413"/>
      <c r="G77" s="228" t="str">
        <f t="shared" ref="G77:G92" si="1">IF(OR(TRIM(D77)&lt;&gt;"",TRIM(F77)&lt;&gt;""),IF(AND(TRIM(D77)&lt;&gt;"",TRIM(F77)&lt;&gt;""),IF(OR(TRIM(C77)&lt;&gt;TRIM(D77),TRIM(C77)&lt;&gt;TRIM(F77)),"_",""),IF(TRIM(C77)&lt;&gt;TRIM(D77), "_", "")),"")</f>
        <v/>
      </c>
      <c r="H77" s="211"/>
      <c r="I77" s="211"/>
      <c r="J77" s="231"/>
      <c r="K77" s="231"/>
    </row>
    <row r="78" spans="2:11" x14ac:dyDescent="0.25">
      <c r="B78" s="368"/>
      <c r="C78" s="412"/>
      <c r="D78" s="390"/>
      <c r="F78" s="413"/>
      <c r="G78" s="228" t="str">
        <f t="shared" si="1"/>
        <v/>
      </c>
      <c r="H78" s="211"/>
      <c r="I78" s="211"/>
      <c r="J78" s="231"/>
      <c r="K78" s="231"/>
    </row>
    <row r="79" spans="2:11" x14ac:dyDescent="0.25">
      <c r="B79" s="382"/>
      <c r="C79" s="412"/>
      <c r="D79" s="390"/>
      <c r="F79" s="413"/>
      <c r="G79" s="228" t="str">
        <f t="shared" si="1"/>
        <v/>
      </c>
      <c r="H79" s="211"/>
      <c r="I79" s="211"/>
      <c r="J79" s="231"/>
      <c r="K79" s="231"/>
    </row>
    <row r="80" spans="2:11" x14ac:dyDescent="0.25">
      <c r="B80" s="400"/>
      <c r="C80" s="412"/>
      <c r="D80" s="390"/>
      <c r="F80" s="413"/>
      <c r="G80" s="228" t="str">
        <f t="shared" si="1"/>
        <v/>
      </c>
      <c r="H80" s="211"/>
      <c r="I80" s="211"/>
      <c r="J80" s="231"/>
      <c r="K80" s="231"/>
    </row>
    <row r="81" spans="2:11" x14ac:dyDescent="0.25">
      <c r="B81" s="400"/>
      <c r="C81" s="412"/>
      <c r="D81" s="390"/>
      <c r="F81" s="413"/>
      <c r="G81" s="228" t="str">
        <f t="shared" si="1"/>
        <v/>
      </c>
      <c r="H81" s="211"/>
      <c r="I81" s="211"/>
      <c r="J81" s="231"/>
      <c r="K81" s="231"/>
    </row>
    <row r="82" spans="2:11" x14ac:dyDescent="0.25">
      <c r="B82" s="368"/>
      <c r="C82" s="412"/>
      <c r="D82" s="390"/>
      <c r="F82" s="413"/>
      <c r="G82" s="228" t="str">
        <f t="shared" si="1"/>
        <v/>
      </c>
      <c r="H82" s="211"/>
      <c r="I82" s="211"/>
      <c r="J82" s="231"/>
      <c r="K82" s="231"/>
    </row>
    <row r="83" spans="2:11" x14ac:dyDescent="0.25">
      <c r="B83" s="400"/>
      <c r="C83" s="412"/>
      <c r="D83" s="390"/>
      <c r="F83" s="413"/>
      <c r="G83" s="228" t="str">
        <f t="shared" si="1"/>
        <v/>
      </c>
      <c r="H83" s="211"/>
      <c r="I83" s="211"/>
      <c r="J83" s="231"/>
      <c r="K83" s="231"/>
    </row>
    <row r="84" spans="2:11" x14ac:dyDescent="0.25">
      <c r="B84" s="400"/>
      <c r="C84" s="412"/>
      <c r="D84" s="390"/>
      <c r="F84" s="413"/>
      <c r="G84" s="228" t="str">
        <f t="shared" si="1"/>
        <v/>
      </c>
      <c r="H84" s="211"/>
      <c r="I84" s="211"/>
      <c r="J84" s="231"/>
      <c r="K84" s="231"/>
    </row>
    <row r="85" spans="2:11" x14ac:dyDescent="0.25">
      <c r="B85" s="400"/>
      <c r="C85" s="412"/>
      <c r="D85" s="390"/>
      <c r="F85" s="413"/>
      <c r="G85" s="228" t="str">
        <f t="shared" si="1"/>
        <v/>
      </c>
      <c r="H85" s="211"/>
      <c r="I85" s="211"/>
      <c r="J85" s="231"/>
      <c r="K85" s="231"/>
    </row>
    <row r="86" spans="2:11" x14ac:dyDescent="0.25">
      <c r="B86" s="368"/>
      <c r="C86" s="412"/>
      <c r="D86" s="390"/>
      <c r="F86" s="413"/>
      <c r="G86" s="228" t="str">
        <f t="shared" si="1"/>
        <v/>
      </c>
      <c r="H86" s="211"/>
      <c r="I86" s="211"/>
      <c r="J86" s="231"/>
      <c r="K86" s="231"/>
    </row>
    <row r="87" spans="2:11" x14ac:dyDescent="0.25">
      <c r="B87" s="368"/>
      <c r="C87" s="412"/>
      <c r="D87" s="390"/>
      <c r="E87" s="16"/>
      <c r="F87" s="413"/>
      <c r="G87" s="228" t="str">
        <f t="shared" si="1"/>
        <v/>
      </c>
      <c r="H87" s="211"/>
      <c r="I87" s="211"/>
      <c r="J87" s="231"/>
      <c r="K87" s="231"/>
    </row>
    <row r="88" spans="2:11" x14ac:dyDescent="0.25">
      <c r="B88" s="400"/>
      <c r="C88" s="412"/>
      <c r="D88" s="390"/>
      <c r="E88" s="16"/>
      <c r="F88" s="413"/>
      <c r="G88" s="228" t="str">
        <f t="shared" si="1"/>
        <v/>
      </c>
      <c r="H88" s="211"/>
      <c r="I88" s="211"/>
      <c r="J88" s="231"/>
      <c r="K88" s="231"/>
    </row>
    <row r="89" spans="2:11" x14ac:dyDescent="0.25">
      <c r="B89" s="368"/>
      <c r="C89" s="412"/>
      <c r="D89" s="390"/>
      <c r="E89" s="16"/>
      <c r="F89" s="413"/>
      <c r="G89" s="228" t="str">
        <f t="shared" si="1"/>
        <v/>
      </c>
      <c r="H89" s="211"/>
      <c r="I89" s="211"/>
      <c r="J89" s="231"/>
      <c r="K89" s="231"/>
    </row>
    <row r="90" spans="2:11" x14ac:dyDescent="0.25">
      <c r="B90" s="368"/>
      <c r="C90" s="412"/>
      <c r="D90" s="390"/>
      <c r="E90" s="16"/>
      <c r="F90" s="413"/>
      <c r="G90" s="228" t="str">
        <f t="shared" si="1"/>
        <v/>
      </c>
      <c r="H90" s="211"/>
      <c r="I90" s="211"/>
      <c r="J90" s="231"/>
      <c r="K90" s="231"/>
    </row>
    <row r="91" spans="2:11" x14ac:dyDescent="0.25">
      <c r="B91" s="368"/>
      <c r="C91" s="412"/>
      <c r="D91" s="390"/>
      <c r="E91" s="16"/>
      <c r="F91" s="413"/>
      <c r="G91" s="228" t="str">
        <f t="shared" si="1"/>
        <v/>
      </c>
      <c r="H91" s="211"/>
      <c r="I91" s="211"/>
      <c r="J91" s="231"/>
      <c r="K91" s="231"/>
    </row>
    <row r="92" spans="2:11" x14ac:dyDescent="0.25">
      <c r="B92" s="400"/>
      <c r="C92" s="412"/>
      <c r="D92" s="390"/>
      <c r="E92" s="16"/>
      <c r="F92" s="413"/>
      <c r="G92" s="228" t="str">
        <f t="shared" si="1"/>
        <v/>
      </c>
      <c r="H92" s="211"/>
      <c r="I92" s="211"/>
      <c r="J92" s="231"/>
      <c r="K92" s="231"/>
    </row>
    <row r="93" spans="2:11" x14ac:dyDescent="0.25">
      <c r="E93" s="16"/>
    </row>
    <row r="94" spans="2:11" x14ac:dyDescent="0.25">
      <c r="E94" s="16"/>
    </row>
    <row r="95" spans="2:11" x14ac:dyDescent="0.25">
      <c r="E95" s="16"/>
    </row>
    <row r="96" spans="2:11"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row r="121" spans="5:5" x14ac:dyDescent="0.25">
      <c r="E121" s="16"/>
    </row>
    <row r="122" spans="5:5" x14ac:dyDescent="0.25">
      <c r="E122" s="16"/>
    </row>
    <row r="123" spans="5:5" x14ac:dyDescent="0.25">
      <c r="E123" s="16"/>
    </row>
    <row r="124" spans="5:5" x14ac:dyDescent="0.25">
      <c r="E124" s="16"/>
    </row>
    <row r="125" spans="5:5" x14ac:dyDescent="0.25">
      <c r="E125" s="16"/>
    </row>
    <row r="126" spans="5:5" x14ac:dyDescent="0.25">
      <c r="E126" s="16"/>
    </row>
  </sheetData>
  <mergeCells count="4">
    <mergeCell ref="B35:D35"/>
    <mergeCell ref="B38:D38"/>
    <mergeCell ref="B36:F36"/>
    <mergeCell ref="B39:F39"/>
  </mergeCells>
  <conditionalFormatting sqref="G93:G1048576 G1:G14 G16:G76">
    <cfRule type="cellIs" dxfId="228" priority="10" operator="equal">
      <formula>"_"</formula>
    </cfRule>
  </conditionalFormatting>
  <conditionalFormatting sqref="G77:G92">
    <cfRule type="cellIs" dxfId="227" priority="6" operator="equal">
      <formula>"_"</formula>
    </cfRule>
  </conditionalFormatting>
  <conditionalFormatting sqref="G15">
    <cfRule type="cellIs" dxfId="226" priority="4"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Inland Marine</oddHeader>
    <oddFooter>&amp;L&amp;G&amp;CPage &amp;P of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B1:M201"/>
  <sheetViews>
    <sheetView showGridLines="0" view="pageBreakPreview" topLeftCell="A96" zoomScale="90" zoomScaleNormal="100" zoomScaleSheetLayoutView="90" workbookViewId="0">
      <selection activeCell="G106" sqref="G106"/>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0.140625" style="16" customWidth="1"/>
    <col min="14" max="53" width="9.140625" style="16" customWidth="1"/>
    <col min="54" max="16384" width="9.140625" style="16"/>
  </cols>
  <sheetData>
    <row r="1" spans="2:13" ht="7.5" customHeight="1" x14ac:dyDescent="0.25">
      <c r="E1" s="450"/>
    </row>
    <row r="2" spans="2:13" ht="15.75" x14ac:dyDescent="0.25">
      <c r="B2" s="453" t="str">
        <f>Input!B444</f>
        <v>T5CS Business Auto</v>
      </c>
      <c r="E2" s="450"/>
      <c r="H2" s="454"/>
      <c r="I2" s="455"/>
      <c r="J2" s="455"/>
      <c r="L2" s="456" t="s">
        <v>391</v>
      </c>
      <c r="M2" s="381" t="s">
        <v>361</v>
      </c>
    </row>
    <row r="3" spans="2:13" x14ac:dyDescent="0.25">
      <c r="D3" s="455" t="str">
        <f xml:space="preserve"> IF(Input!D448=Input!G448,CHAR(254), "")</f>
        <v/>
      </c>
      <c r="E3" s="457"/>
      <c r="F3" s="458" t="str">
        <f xml:space="preserve"> IF(Input!E448=Input!G448,CHAR(254), "")</f>
        <v/>
      </c>
      <c r="L3" s="459" t="s">
        <v>157</v>
      </c>
      <c r="M3" s="211" t="s">
        <v>362</v>
      </c>
    </row>
    <row r="4" spans="2:13" x14ac:dyDescent="0.25">
      <c r="B4" s="523" t="s">
        <v>66</v>
      </c>
      <c r="C4" s="524" t="s">
        <v>62</v>
      </c>
      <c r="D4" s="525" t="s">
        <v>63</v>
      </c>
      <c r="E4" s="426"/>
      <c r="F4" s="526" t="s">
        <v>146</v>
      </c>
      <c r="G4" s="211"/>
      <c r="H4" s="211"/>
      <c r="I4" s="211"/>
      <c r="J4" s="527" t="s">
        <v>1002</v>
      </c>
      <c r="K4" s="527" t="s">
        <v>363</v>
      </c>
      <c r="L4" s="460"/>
      <c r="M4" s="211"/>
    </row>
    <row r="5" spans="2:13" ht="42" customHeight="1" x14ac:dyDescent="0.25">
      <c r="B5" s="409" t="s">
        <v>60</v>
      </c>
      <c r="C5" s="412" t="str">
        <f>Input!B449</f>
        <v>Continental Casualty Company (CNA)</v>
      </c>
      <c r="D5" s="390" t="str">
        <f>Input!D449</f>
        <v>Continental Casualty Company (CNA)</v>
      </c>
      <c r="F5" s="413" t="str">
        <f>Input!E449</f>
        <v>Continental Casualty Company (CNA)</v>
      </c>
      <c r="G5" s="211"/>
      <c r="H5" s="211"/>
      <c r="I5" s="211"/>
      <c r="J5" s="231"/>
      <c r="K5" s="231"/>
    </row>
    <row r="6" spans="2:13" x14ac:dyDescent="0.25">
      <c r="B6" s="409" t="s">
        <v>69</v>
      </c>
      <c r="C6" s="412" t="str">
        <f>Input!B451</f>
        <v>A: XV</v>
      </c>
      <c r="D6" s="390" t="str">
        <f>Input!D451</f>
        <v>A: XV</v>
      </c>
      <c r="F6" s="413" t="str">
        <f>Input!E451</f>
        <v>A: XV</v>
      </c>
      <c r="G6" s="211"/>
      <c r="H6" s="211"/>
      <c r="I6" s="211"/>
      <c r="J6" s="231"/>
      <c r="K6" s="231"/>
    </row>
    <row r="7" spans="2:13" x14ac:dyDescent="0.25">
      <c r="B7" s="409" t="str">
        <f>Input!B447</f>
        <v>Renewal Policy Number</v>
      </c>
      <c r="C7" s="412">
        <f>Input!C446</f>
        <v>6080917903</v>
      </c>
      <c r="D7" s="390">
        <f>Input!C447</f>
        <v>6080917903</v>
      </c>
      <c r="F7" s="413">
        <f>Input!C447</f>
        <v>6080917903</v>
      </c>
      <c r="G7" s="211"/>
      <c r="H7" s="211"/>
      <c r="I7" s="211"/>
      <c r="J7" s="231"/>
      <c r="K7" s="231"/>
    </row>
    <row r="8" spans="2:13" ht="15" customHeight="1" x14ac:dyDescent="0.25">
      <c r="B8" s="409" t="str">
        <f>Input!B6</f>
        <v>Renewal Policy Period</v>
      </c>
      <c r="C8" s="412" t="str">
        <f>Input!C5</f>
        <v>7/1/2022 - 7/1/2023</v>
      </c>
      <c r="D8" s="390" t="str">
        <f>Input!C6</f>
        <v>7/1/2023 - 7/1/2024</v>
      </c>
      <c r="F8" s="413" t="str">
        <f>Input!C6</f>
        <v>7/1/2023 - 7/1/2024</v>
      </c>
      <c r="G8" s="211"/>
      <c r="H8" s="211"/>
      <c r="I8" s="211"/>
      <c r="J8" s="231"/>
      <c r="K8" s="231"/>
    </row>
    <row r="9" spans="2:13" hidden="1" x14ac:dyDescent="0.25">
      <c r="B9" s="479" t="s">
        <v>16</v>
      </c>
      <c r="C9" s="480"/>
      <c r="D9" s="480"/>
      <c r="E9" s="414"/>
      <c r="F9" s="466"/>
      <c r="G9" s="211"/>
      <c r="H9" s="211"/>
      <c r="I9" s="211"/>
      <c r="J9" s="566"/>
      <c r="K9" s="566"/>
    </row>
    <row r="10" spans="2:13" hidden="1" x14ac:dyDescent="0.25">
      <c r="B10" s="409" t="str">
        <f>Input!B479</f>
        <v>Each Occurrence Limit</v>
      </c>
      <c r="C10" s="398">
        <f>Input!C479</f>
        <v>0</v>
      </c>
      <c r="D10" s="425">
        <f>Input!D479</f>
        <v>0</v>
      </c>
      <c r="E10" s="414"/>
      <c r="F10" s="427">
        <f>Input!E479</f>
        <v>0</v>
      </c>
      <c r="G10" s="211"/>
      <c r="H10" s="211"/>
      <c r="I10" s="211"/>
      <c r="J10" s="231"/>
      <c r="K10" s="231"/>
    </row>
    <row r="11" spans="2:13" hidden="1" x14ac:dyDescent="0.25">
      <c r="B11" s="409" t="str">
        <f>Input!B480</f>
        <v>Products / Completed Operations Aggregate Limit</v>
      </c>
      <c r="C11" s="398">
        <f>Input!C480</f>
        <v>0</v>
      </c>
      <c r="D11" s="425">
        <f>Input!D480</f>
        <v>0</v>
      </c>
      <c r="E11" s="414"/>
      <c r="F11" s="427">
        <f>Input!E480</f>
        <v>0</v>
      </c>
      <c r="G11" s="211"/>
      <c r="H11" s="211"/>
      <c r="I11" s="211"/>
      <c r="J11" s="231"/>
      <c r="K11" s="231"/>
    </row>
    <row r="12" spans="2:13" hidden="1" x14ac:dyDescent="0.25">
      <c r="B12" s="409" t="str">
        <f>Input!B481</f>
        <v>Personal and Advertising Injury Limit</v>
      </c>
      <c r="C12" s="398">
        <f>Input!C481</f>
        <v>0</v>
      </c>
      <c r="D12" s="425">
        <f>Input!D481</f>
        <v>0</v>
      </c>
      <c r="E12" s="414"/>
      <c r="F12" s="427">
        <f>Input!E481</f>
        <v>0</v>
      </c>
      <c r="G12" s="211"/>
      <c r="H12" s="211"/>
      <c r="I12" s="211"/>
      <c r="J12" s="231"/>
      <c r="K12" s="231"/>
    </row>
    <row r="13" spans="2:13" hidden="1" x14ac:dyDescent="0.25">
      <c r="B13" s="409" t="str">
        <f>Input!B482</f>
        <v>General Aggregate Limit</v>
      </c>
      <c r="C13" s="398">
        <f>Input!C482</f>
        <v>0</v>
      </c>
      <c r="D13" s="425">
        <f>Input!D482</f>
        <v>0</v>
      </c>
      <c r="E13" s="414"/>
      <c r="F13" s="427">
        <f>Input!E482</f>
        <v>0</v>
      </c>
      <c r="G13" s="211"/>
      <c r="H13" s="211"/>
      <c r="I13" s="211"/>
      <c r="J13" s="231"/>
      <c r="K13" s="231"/>
    </row>
    <row r="14" spans="2:13" hidden="1" x14ac:dyDescent="0.25">
      <c r="B14" s="409" t="str">
        <f>Input!B483</f>
        <v>Damage to Premises Rented to You Limit</v>
      </c>
      <c r="C14" s="398">
        <f>Input!C483</f>
        <v>0</v>
      </c>
      <c r="D14" s="425">
        <f>Input!D483</f>
        <v>0</v>
      </c>
      <c r="E14" s="414"/>
      <c r="F14" s="427">
        <f>Input!E483</f>
        <v>0</v>
      </c>
      <c r="G14" s="211"/>
      <c r="H14" s="211"/>
      <c r="I14" s="211"/>
      <c r="J14" s="231"/>
      <c r="K14" s="231"/>
    </row>
    <row r="15" spans="2:13" hidden="1" x14ac:dyDescent="0.25">
      <c r="B15" s="409" t="str">
        <f>Input!B484</f>
        <v>Medical Payments Limit</v>
      </c>
      <c r="C15" s="398">
        <f>Input!C484</f>
        <v>0</v>
      </c>
      <c r="D15" s="425">
        <f>Input!D484</f>
        <v>0</v>
      </c>
      <c r="F15" s="427">
        <f>Input!E484</f>
        <v>0</v>
      </c>
      <c r="G15" s="211"/>
      <c r="H15" s="211"/>
      <c r="I15" s="211"/>
      <c r="J15" s="231"/>
      <c r="K15" s="231"/>
    </row>
    <row r="16" spans="2:13" hidden="1" x14ac:dyDescent="0.25">
      <c r="B16" s="409" t="str">
        <f>Input!B485</f>
        <v>Deductible (per occurrence)</v>
      </c>
      <c r="C16" s="398">
        <f>Input!C485</f>
        <v>0</v>
      </c>
      <c r="D16" s="425">
        <f>Input!D485</f>
        <v>0</v>
      </c>
      <c r="E16" s="238"/>
      <c r="F16" s="427">
        <f>Input!E485</f>
        <v>0</v>
      </c>
      <c r="G16" s="211"/>
      <c r="H16" s="211"/>
      <c r="I16" s="211"/>
      <c r="J16" s="231"/>
      <c r="K16" s="231"/>
    </row>
    <row r="17" spans="2:11" hidden="1" x14ac:dyDescent="0.25">
      <c r="B17" s="423" t="s">
        <v>261</v>
      </c>
      <c r="C17" s="481"/>
      <c r="D17" s="481"/>
      <c r="E17" s="432"/>
      <c r="F17" s="466"/>
      <c r="G17" s="211"/>
      <c r="H17" s="211"/>
      <c r="I17" s="211"/>
      <c r="J17" s="566"/>
      <c r="K17" s="566"/>
    </row>
    <row r="18" spans="2:11" hidden="1" x14ac:dyDescent="0.25">
      <c r="B18" s="409" t="str">
        <f>Input!B489</f>
        <v>Each Employee Limit</v>
      </c>
      <c r="C18" s="398">
        <f>Input!C489</f>
        <v>0</v>
      </c>
      <c r="D18" s="425">
        <f>Input!D489</f>
        <v>0</v>
      </c>
      <c r="E18" s="433"/>
      <c r="F18" s="427">
        <f>Input!E489</f>
        <v>0</v>
      </c>
      <c r="G18" s="211"/>
      <c r="H18" s="211"/>
      <c r="I18" s="211"/>
      <c r="J18" s="231"/>
      <c r="K18" s="231"/>
    </row>
    <row r="19" spans="2:11" hidden="1" x14ac:dyDescent="0.25">
      <c r="B19" s="409" t="str">
        <f>Input!B490</f>
        <v>Aggregate Limit</v>
      </c>
      <c r="C19" s="398">
        <f>Input!C490</f>
        <v>0</v>
      </c>
      <c r="D19" s="425">
        <f>Input!D490</f>
        <v>0</v>
      </c>
      <c r="E19" s="434"/>
      <c r="F19" s="427">
        <f>Input!E490</f>
        <v>0</v>
      </c>
      <c r="G19" s="211"/>
      <c r="H19" s="211"/>
      <c r="I19" s="211"/>
      <c r="J19" s="231"/>
      <c r="K19" s="231"/>
    </row>
    <row r="20" spans="2:11" hidden="1" x14ac:dyDescent="0.25">
      <c r="B20" s="409" t="str">
        <f>Input!B491</f>
        <v>Deductible (Each Employee)</v>
      </c>
      <c r="C20" s="398">
        <f>Input!C491</f>
        <v>0</v>
      </c>
      <c r="D20" s="425">
        <f>Input!D491</f>
        <v>0</v>
      </c>
      <c r="F20" s="427">
        <f>Input!E491</f>
        <v>0</v>
      </c>
      <c r="G20" s="211"/>
      <c r="H20" s="211"/>
      <c r="I20" s="211"/>
      <c r="J20" s="231"/>
      <c r="K20" s="231"/>
    </row>
    <row r="21" spans="2:11" x14ac:dyDescent="0.25">
      <c r="B21" s="407" t="str">
        <f>Input!B493</f>
        <v>Business Auto</v>
      </c>
      <c r="C21" s="482"/>
      <c r="D21" s="482"/>
      <c r="F21" s="466"/>
      <c r="G21" s="211"/>
      <c r="H21" s="211"/>
      <c r="I21" s="211"/>
      <c r="J21" s="566"/>
      <c r="K21" s="566"/>
    </row>
    <row r="22" spans="2:11" x14ac:dyDescent="0.25">
      <c r="B22" s="400" t="str">
        <f>Input!B495</f>
        <v>Hired and Non-Owned Auto Liability Limit</v>
      </c>
      <c r="C22" s="398">
        <f>Input!C495</f>
        <v>1000000</v>
      </c>
      <c r="D22" s="425">
        <f>Input!D495</f>
        <v>1000000</v>
      </c>
      <c r="E22" s="426"/>
      <c r="F22" s="427">
        <f>Input!E495</f>
        <v>0</v>
      </c>
      <c r="G22" s="211"/>
      <c r="H22" s="211"/>
      <c r="I22" s="211"/>
      <c r="J22" s="231"/>
      <c r="K22" s="231"/>
    </row>
    <row r="23" spans="2:11" x14ac:dyDescent="0.25">
      <c r="B23" s="400" t="str">
        <f>Input!B496</f>
        <v xml:space="preserve">Hired and Non-Owned Auto Liability Deductible </v>
      </c>
      <c r="C23" s="398">
        <f>Input!C496</f>
        <v>0</v>
      </c>
      <c r="D23" s="425">
        <f>Input!D496</f>
        <v>0</v>
      </c>
      <c r="F23" s="430">
        <f>Input!E496</f>
        <v>0</v>
      </c>
      <c r="G23" s="211"/>
      <c r="H23" s="211"/>
      <c r="I23" s="211"/>
      <c r="J23" s="231"/>
      <c r="K23" s="231"/>
    </row>
    <row r="24" spans="2:11" ht="30" customHeight="1" x14ac:dyDescent="0.25">
      <c r="B24" s="400" t="str">
        <f>Input!B497</f>
        <v>Hired Auto Physical Damage Limit</v>
      </c>
      <c r="C24" s="398" t="str">
        <f>Input!C497</f>
        <v>ACV (Actual Cash Value)</v>
      </c>
      <c r="D24" s="425" t="str">
        <f>Input!D497</f>
        <v>ACV (Actual Cash Value)</v>
      </c>
      <c r="E24" s="426"/>
      <c r="F24" s="427">
        <f>Input!E497</f>
        <v>0</v>
      </c>
      <c r="G24" s="211"/>
      <c r="H24" s="211"/>
      <c r="I24" s="211"/>
      <c r="J24" s="231"/>
      <c r="K24" s="231"/>
    </row>
    <row r="25" spans="2:11" ht="30.75" customHeight="1" x14ac:dyDescent="0.25">
      <c r="B25" s="400" t="str">
        <f>Input!B498</f>
        <v xml:space="preserve">Hired Auto Physical Damage Deductible </v>
      </c>
      <c r="C25" s="398" t="str">
        <f>Input!C498</f>
        <v xml:space="preserve">Comp - $100; Coll - $1,000 </v>
      </c>
      <c r="D25" s="425" t="str">
        <f>Input!D498</f>
        <v xml:space="preserve">Comp - $100; Coll - $1,000 </v>
      </c>
      <c r="F25" s="430">
        <f>Input!E498</f>
        <v>0</v>
      </c>
      <c r="G25" s="211"/>
      <c r="H25" s="211"/>
      <c r="I25" s="211"/>
      <c r="J25" s="231"/>
      <c r="K25" s="231"/>
    </row>
    <row r="26" spans="2:11" hidden="1" x14ac:dyDescent="0.25">
      <c r="B26" s="407" t="str">
        <f>Input!B500</f>
        <v>Umbrella/Excess Liability</v>
      </c>
      <c r="C26" s="416"/>
      <c r="D26" s="416"/>
      <c r="F26" s="562"/>
      <c r="G26" s="211"/>
      <c r="H26" s="211"/>
      <c r="I26" s="211"/>
      <c r="J26" s="566"/>
      <c r="K26" s="566"/>
    </row>
    <row r="27" spans="2:11" hidden="1" x14ac:dyDescent="0.25">
      <c r="B27" s="400" t="str">
        <f>Input!B502</f>
        <v>Each Occurrence Limit</v>
      </c>
      <c r="C27" s="398">
        <f>Input!C502</f>
        <v>0</v>
      </c>
      <c r="D27" s="425">
        <f>Input!D502</f>
        <v>0</v>
      </c>
      <c r="F27" s="427">
        <f>Input!E502</f>
        <v>0</v>
      </c>
      <c r="G27" s="211"/>
      <c r="H27" s="211"/>
      <c r="I27" s="211"/>
      <c r="J27" s="231"/>
      <c r="K27" s="231"/>
    </row>
    <row r="28" spans="2:11" hidden="1" x14ac:dyDescent="0.25">
      <c r="B28" s="400" t="str">
        <f>Input!B503</f>
        <v>General Aggregate Limit</v>
      </c>
      <c r="C28" s="398">
        <f>Input!C503</f>
        <v>0</v>
      </c>
      <c r="D28" s="425">
        <f>Input!D503</f>
        <v>0</v>
      </c>
      <c r="F28" s="427">
        <f>Input!E503</f>
        <v>0</v>
      </c>
      <c r="G28" s="211"/>
      <c r="H28" s="211"/>
      <c r="I28" s="211"/>
      <c r="J28" s="231"/>
      <c r="K28" s="231"/>
    </row>
    <row r="29" spans="2:11" hidden="1" x14ac:dyDescent="0.25">
      <c r="B29" s="400" t="str">
        <f>Input!B504</f>
        <v>Products / Completed Operations Aggregate Limit</v>
      </c>
      <c r="C29" s="398">
        <f>Input!C504</f>
        <v>0</v>
      </c>
      <c r="D29" s="425">
        <f>Input!D504</f>
        <v>0</v>
      </c>
      <c r="F29" s="427">
        <f>Input!E504</f>
        <v>0</v>
      </c>
      <c r="G29" s="211"/>
      <c r="H29" s="211"/>
      <c r="I29" s="211"/>
      <c r="J29" s="231"/>
      <c r="K29" s="231"/>
    </row>
    <row r="30" spans="2:11" hidden="1" x14ac:dyDescent="0.25">
      <c r="B30" s="400" t="str">
        <f>Input!B505</f>
        <v>Self Insured Retention (each occurrence)</v>
      </c>
      <c r="C30" s="398">
        <f>Input!C505</f>
        <v>0</v>
      </c>
      <c r="D30" s="425">
        <f>Input!D505</f>
        <v>0</v>
      </c>
      <c r="F30" s="427">
        <f>Input!E505</f>
        <v>0</v>
      </c>
      <c r="G30" s="211"/>
      <c r="H30" s="211"/>
      <c r="I30" s="211"/>
      <c r="J30" s="231"/>
      <c r="K30" s="231"/>
    </row>
    <row r="31" spans="2:11" hidden="1" x14ac:dyDescent="0.25">
      <c r="B31" s="423" t="s">
        <v>260</v>
      </c>
      <c r="C31" s="483"/>
      <c r="D31" s="483"/>
      <c r="F31" s="466"/>
      <c r="G31" s="211"/>
      <c r="H31" s="211"/>
      <c r="I31" s="211"/>
      <c r="J31" s="566"/>
      <c r="K31" s="566"/>
    </row>
    <row r="32" spans="2:11" hidden="1" x14ac:dyDescent="0.25">
      <c r="B32" s="400" t="str">
        <f>Input!B509</f>
        <v>Building</v>
      </c>
      <c r="C32" s="398">
        <f>Input!C509</f>
        <v>0</v>
      </c>
      <c r="D32" s="425">
        <f>Input!D509</f>
        <v>0</v>
      </c>
      <c r="F32" s="430">
        <f>Input!E509</f>
        <v>0</v>
      </c>
      <c r="G32" s="211"/>
      <c r="H32" s="211"/>
      <c r="I32" s="211"/>
      <c r="J32" s="231"/>
      <c r="K32" s="231"/>
    </row>
    <row r="33" spans="2:11" hidden="1" x14ac:dyDescent="0.25">
      <c r="B33" s="400" t="str">
        <f>Input!B510</f>
        <v>Business Personal Property</v>
      </c>
      <c r="C33" s="398">
        <f>Input!C510</f>
        <v>0</v>
      </c>
      <c r="D33" s="425">
        <f>Input!D510</f>
        <v>0</v>
      </c>
      <c r="F33" s="430">
        <f>Input!E510</f>
        <v>0</v>
      </c>
      <c r="G33" s="211"/>
      <c r="H33" s="211"/>
      <c r="I33" s="211"/>
      <c r="J33" s="231"/>
      <c r="K33" s="231"/>
    </row>
    <row r="34" spans="2:11" hidden="1" x14ac:dyDescent="0.25">
      <c r="B34" s="400" t="str">
        <f>Input!B511</f>
        <v>Business Income &amp; Extra Expense</v>
      </c>
      <c r="C34" s="398">
        <f>Input!C511</f>
        <v>0</v>
      </c>
      <c r="D34" s="425">
        <f>Input!D511</f>
        <v>0</v>
      </c>
      <c r="F34" s="430">
        <f>Input!E511</f>
        <v>0</v>
      </c>
      <c r="G34" s="211"/>
      <c r="H34" s="211"/>
      <c r="I34" s="211"/>
      <c r="J34" s="231"/>
      <c r="K34" s="231"/>
    </row>
    <row r="35" spans="2:11" hidden="1" x14ac:dyDescent="0.25">
      <c r="B35" s="400" t="str">
        <f>Input!B512</f>
        <v>Valuable Papers</v>
      </c>
      <c r="C35" s="398">
        <f>Input!C512</f>
        <v>0</v>
      </c>
      <c r="D35" s="425">
        <f>Input!D512</f>
        <v>0</v>
      </c>
      <c r="F35" s="430">
        <f>Input!E512</f>
        <v>0</v>
      </c>
      <c r="G35" s="211"/>
      <c r="H35" s="211"/>
      <c r="I35" s="211"/>
      <c r="J35" s="231"/>
      <c r="K35" s="231"/>
    </row>
    <row r="36" spans="2:11" hidden="1" x14ac:dyDescent="0.25">
      <c r="B36" s="400" t="str">
        <f>Input!B513</f>
        <v>Accounts Receivable</v>
      </c>
      <c r="C36" s="398">
        <f>Input!C513</f>
        <v>0</v>
      </c>
      <c r="D36" s="425">
        <f>Input!D513</f>
        <v>0</v>
      </c>
      <c r="F36" s="430">
        <f>Input!E513</f>
        <v>0</v>
      </c>
      <c r="G36" s="211"/>
      <c r="H36" s="211"/>
      <c r="I36" s="211"/>
      <c r="J36" s="231"/>
      <c r="K36" s="231"/>
    </row>
    <row r="37" spans="2:11" hidden="1" x14ac:dyDescent="0.25">
      <c r="B37" s="400" t="str">
        <f>Input!B514</f>
        <v>Utility Service - Direct Damage</v>
      </c>
      <c r="C37" s="398">
        <f>Input!C514</f>
        <v>0</v>
      </c>
      <c r="D37" s="425">
        <f>Input!D514</f>
        <v>0</v>
      </c>
      <c r="F37" s="430">
        <f>Input!E514</f>
        <v>0</v>
      </c>
      <c r="G37" s="211"/>
      <c r="H37" s="211"/>
      <c r="I37" s="211"/>
      <c r="J37" s="231"/>
      <c r="K37" s="231"/>
    </row>
    <row r="38" spans="2:11" hidden="1" x14ac:dyDescent="0.25">
      <c r="B38" s="400" t="str">
        <f>Input!B515</f>
        <v>Utility Service - Time Element</v>
      </c>
      <c r="C38" s="398">
        <f>Input!C515</f>
        <v>0</v>
      </c>
      <c r="D38" s="425">
        <f>Input!D515</f>
        <v>0</v>
      </c>
      <c r="F38" s="430">
        <f>Input!E515</f>
        <v>0</v>
      </c>
      <c r="G38" s="211"/>
      <c r="H38" s="211"/>
      <c r="I38" s="211"/>
      <c r="J38" s="231"/>
      <c r="K38" s="231"/>
    </row>
    <row r="39" spans="2:11" hidden="1" x14ac:dyDescent="0.25">
      <c r="B39" s="400" t="str">
        <f>Input!B516</f>
        <v>Overhead Transmission Lines</v>
      </c>
      <c r="C39" s="398">
        <f>Input!C516</f>
        <v>0</v>
      </c>
      <c r="D39" s="425">
        <f>Input!D516</f>
        <v>0</v>
      </c>
      <c r="F39" s="430">
        <f>Input!E516</f>
        <v>0</v>
      </c>
      <c r="G39" s="211"/>
      <c r="H39" s="211"/>
      <c r="I39" s="211"/>
      <c r="J39" s="231"/>
      <c r="K39" s="231"/>
    </row>
    <row r="40" spans="2:11" hidden="1" x14ac:dyDescent="0.25">
      <c r="B40" s="400" t="str">
        <f>Input!B517</f>
        <v xml:space="preserve">Civil Authority </v>
      </c>
      <c r="C40" s="398">
        <f>Input!C517</f>
        <v>0</v>
      </c>
      <c r="D40" s="425">
        <f>Input!D517</f>
        <v>0</v>
      </c>
      <c r="F40" s="436">
        <f>Input!E517</f>
        <v>0</v>
      </c>
      <c r="G40" s="211"/>
      <c r="H40" s="211"/>
      <c r="I40" s="211"/>
      <c r="J40" s="231"/>
      <c r="K40" s="231"/>
    </row>
    <row r="41" spans="2:11" hidden="1" x14ac:dyDescent="0.25">
      <c r="B41" s="400" t="str">
        <f>Input!B518</f>
        <v>Ingress / Egress</v>
      </c>
      <c r="C41" s="398">
        <f>Input!C518</f>
        <v>0</v>
      </c>
      <c r="D41" s="425">
        <f>Input!D518</f>
        <v>0</v>
      </c>
      <c r="F41" s="436">
        <f>Input!E518</f>
        <v>0</v>
      </c>
      <c r="G41" s="211"/>
      <c r="H41" s="211"/>
      <c r="I41" s="211"/>
      <c r="J41" s="231"/>
      <c r="K41" s="231"/>
    </row>
    <row r="42" spans="2:11" hidden="1" x14ac:dyDescent="0.25">
      <c r="B42" s="400" t="str">
        <f>Input!B519</f>
        <v>Ordinance or Law</v>
      </c>
      <c r="C42" s="398">
        <f>Input!C519</f>
        <v>0</v>
      </c>
      <c r="D42" s="425">
        <f>Input!D519</f>
        <v>0</v>
      </c>
      <c r="F42" s="430">
        <f>Input!E519</f>
        <v>0</v>
      </c>
      <c r="G42" s="211"/>
      <c r="H42" s="211"/>
      <c r="I42" s="211"/>
      <c r="J42" s="231"/>
      <c r="K42" s="231"/>
    </row>
    <row r="43" spans="2:11" hidden="1" x14ac:dyDescent="0.25">
      <c r="B43" s="400" t="str">
        <f>Input!B520</f>
        <v>Newly Acquired Building</v>
      </c>
      <c r="C43" s="398">
        <f>Input!C520</f>
        <v>0</v>
      </c>
      <c r="D43" s="425">
        <f>Input!D520</f>
        <v>0</v>
      </c>
      <c r="F43" s="430">
        <f>Input!E520</f>
        <v>0</v>
      </c>
      <c r="G43" s="211"/>
      <c r="H43" s="211"/>
      <c r="I43" s="211"/>
      <c r="J43" s="231"/>
      <c r="K43" s="231"/>
    </row>
    <row r="44" spans="2:11" hidden="1" x14ac:dyDescent="0.25">
      <c r="B44" s="400" t="str">
        <f>Input!B521</f>
        <v>Newly Acquired Business Personal Property</v>
      </c>
      <c r="C44" s="398">
        <f>Input!C521</f>
        <v>0</v>
      </c>
      <c r="D44" s="425">
        <f>Input!D521</f>
        <v>0</v>
      </c>
      <c r="F44" s="430">
        <f>Input!E521</f>
        <v>0</v>
      </c>
      <c r="G44" s="211"/>
      <c r="H44" s="211"/>
      <c r="I44" s="211"/>
      <c r="J44" s="231"/>
      <c r="K44" s="231"/>
    </row>
    <row r="45" spans="2:11" hidden="1" x14ac:dyDescent="0.25">
      <c r="B45" s="400" t="str">
        <f>Input!B522</f>
        <v>Flood</v>
      </c>
      <c r="C45" s="398">
        <f>Input!C522</f>
        <v>0</v>
      </c>
      <c r="D45" s="425">
        <f>Input!D522</f>
        <v>0</v>
      </c>
      <c r="F45" s="430">
        <f>Input!E522</f>
        <v>0</v>
      </c>
      <c r="G45" s="211"/>
      <c r="H45" s="211"/>
      <c r="I45" s="211"/>
      <c r="J45" s="231"/>
      <c r="K45" s="231"/>
    </row>
    <row r="46" spans="2:11" hidden="1" x14ac:dyDescent="0.25">
      <c r="B46" s="400" t="str">
        <f>Input!B523</f>
        <v>Earthquake</v>
      </c>
      <c r="C46" s="398">
        <f>Input!C523</f>
        <v>0</v>
      </c>
      <c r="D46" s="425">
        <f>Input!D523</f>
        <v>0</v>
      </c>
      <c r="F46" s="430">
        <f>Input!E523</f>
        <v>0</v>
      </c>
      <c r="G46" s="211"/>
      <c r="H46" s="211"/>
      <c r="I46" s="211"/>
      <c r="J46" s="231"/>
      <c r="K46" s="231"/>
    </row>
    <row r="47" spans="2:11" hidden="1" x14ac:dyDescent="0.25">
      <c r="B47" s="400" t="str">
        <f>Input!B524</f>
        <v>Windstorm</v>
      </c>
      <c r="C47" s="398">
        <f>Input!C524</f>
        <v>0</v>
      </c>
      <c r="D47" s="425">
        <f>Input!D524</f>
        <v>0</v>
      </c>
      <c r="F47" s="430">
        <f>Input!E524</f>
        <v>0</v>
      </c>
      <c r="G47" s="211"/>
      <c r="H47" s="211"/>
      <c r="I47" s="211"/>
      <c r="J47" s="231"/>
      <c r="K47" s="231"/>
    </row>
    <row r="48" spans="2:11" hidden="1" x14ac:dyDescent="0.25">
      <c r="B48" s="400" t="str">
        <f>Input!B525</f>
        <v>Named Storm</v>
      </c>
      <c r="C48" s="398">
        <f>Input!C525</f>
        <v>0</v>
      </c>
      <c r="D48" s="425">
        <f>Input!D525</f>
        <v>0</v>
      </c>
      <c r="F48" s="430">
        <f>Input!E525</f>
        <v>0</v>
      </c>
      <c r="G48" s="211"/>
      <c r="H48" s="211"/>
      <c r="I48" s="211"/>
      <c r="J48" s="231"/>
      <c r="K48" s="231"/>
    </row>
    <row r="49" spans="2:11" hidden="1" x14ac:dyDescent="0.25">
      <c r="B49" s="484" t="s">
        <v>173</v>
      </c>
      <c r="C49" s="485"/>
      <c r="D49" s="485"/>
      <c r="F49" s="472"/>
      <c r="G49" s="211"/>
      <c r="H49" s="211"/>
      <c r="I49" s="211"/>
      <c r="J49" s="566"/>
      <c r="K49" s="566"/>
    </row>
    <row r="50" spans="2:11" hidden="1" x14ac:dyDescent="0.25">
      <c r="B50" s="400" t="str">
        <f>Input!B527</f>
        <v>All Other</v>
      </c>
      <c r="C50" s="398">
        <f>Input!C527</f>
        <v>0</v>
      </c>
      <c r="D50" s="425">
        <f>Input!D527</f>
        <v>0</v>
      </c>
      <c r="F50" s="430">
        <f>Input!E527</f>
        <v>0</v>
      </c>
      <c r="G50" s="211"/>
      <c r="H50" s="211"/>
      <c r="I50" s="211"/>
      <c r="J50" s="231"/>
      <c r="K50" s="231"/>
    </row>
    <row r="51" spans="2:11" hidden="1" x14ac:dyDescent="0.25">
      <c r="B51" s="400" t="str">
        <f>Input!B528</f>
        <v>Flood</v>
      </c>
      <c r="C51" s="398">
        <f>Input!C528</f>
        <v>0</v>
      </c>
      <c r="D51" s="425">
        <f>Input!D528</f>
        <v>0</v>
      </c>
      <c r="F51" s="430">
        <f>Input!E528</f>
        <v>0</v>
      </c>
      <c r="G51" s="211"/>
      <c r="H51" s="211"/>
      <c r="I51" s="211"/>
      <c r="J51" s="231"/>
      <c r="K51" s="231"/>
    </row>
    <row r="52" spans="2:11" hidden="1" x14ac:dyDescent="0.25">
      <c r="B52" s="400" t="str">
        <f>Input!B529</f>
        <v>Earthquake</v>
      </c>
      <c r="C52" s="398">
        <f>Input!C529</f>
        <v>0</v>
      </c>
      <c r="D52" s="425">
        <f>Input!D529</f>
        <v>0</v>
      </c>
      <c r="F52" s="430">
        <f>Input!E529</f>
        <v>0</v>
      </c>
      <c r="G52" s="211"/>
      <c r="H52" s="211"/>
      <c r="I52" s="211"/>
      <c r="J52" s="231"/>
      <c r="K52" s="231"/>
    </row>
    <row r="53" spans="2:11" hidden="1" x14ac:dyDescent="0.25">
      <c r="B53" s="400" t="str">
        <f>Input!B530</f>
        <v>Windstorm</v>
      </c>
      <c r="C53" s="398">
        <f>Input!C530</f>
        <v>0</v>
      </c>
      <c r="D53" s="425">
        <f>Input!D530</f>
        <v>0</v>
      </c>
      <c r="F53" s="430">
        <f>Input!E530</f>
        <v>0</v>
      </c>
      <c r="G53" s="211"/>
      <c r="H53" s="211"/>
      <c r="I53" s="211"/>
      <c r="J53" s="231"/>
      <c r="K53" s="231"/>
    </row>
    <row r="54" spans="2:11" hidden="1" x14ac:dyDescent="0.25">
      <c r="B54" s="400" t="str">
        <f>Input!B531</f>
        <v>Named Storm</v>
      </c>
      <c r="C54" s="398">
        <f>Input!C531</f>
        <v>0</v>
      </c>
      <c r="D54" s="425">
        <f>Input!D531</f>
        <v>0</v>
      </c>
      <c r="F54" s="430">
        <f>Input!E531</f>
        <v>0</v>
      </c>
      <c r="G54" s="211"/>
      <c r="H54" s="211"/>
      <c r="I54" s="211"/>
      <c r="J54" s="231"/>
      <c r="K54" s="231"/>
    </row>
    <row r="55" spans="2:11" hidden="1" x14ac:dyDescent="0.25">
      <c r="B55" s="479" t="s">
        <v>766</v>
      </c>
      <c r="C55" s="479"/>
      <c r="D55" s="479"/>
      <c r="F55" s="566"/>
      <c r="J55" s="566"/>
      <c r="K55" s="566"/>
    </row>
    <row r="56" spans="2:11" hidden="1" x14ac:dyDescent="0.25">
      <c r="B56" s="400" t="str">
        <f>Input!B533</f>
        <v>All Other</v>
      </c>
      <c r="C56" s="398">
        <f>Input!C533</f>
        <v>0</v>
      </c>
      <c r="D56" s="425">
        <f>Input!D533</f>
        <v>0</v>
      </c>
      <c r="F56" s="436">
        <f>Input!E533</f>
        <v>0</v>
      </c>
      <c r="G56" s="211"/>
      <c r="H56" s="211"/>
      <c r="I56" s="211"/>
      <c r="J56" s="231"/>
      <c r="K56" s="231"/>
    </row>
    <row r="57" spans="2:11" hidden="1" x14ac:dyDescent="0.25">
      <c r="B57" s="400" t="str">
        <f>Input!B534</f>
        <v xml:space="preserve">Civil Authority </v>
      </c>
      <c r="C57" s="398">
        <f>Input!C534</f>
        <v>0</v>
      </c>
      <c r="D57" s="425">
        <f>Input!D534</f>
        <v>0</v>
      </c>
      <c r="F57" s="436">
        <f>Input!E534</f>
        <v>0</v>
      </c>
      <c r="G57" s="211"/>
      <c r="H57" s="211"/>
      <c r="I57" s="211"/>
      <c r="J57" s="231"/>
      <c r="K57" s="231"/>
    </row>
    <row r="58" spans="2:11" hidden="1" x14ac:dyDescent="0.25">
      <c r="B58" s="400" t="str">
        <f>Input!B535</f>
        <v>Ingress / Egress</v>
      </c>
      <c r="C58" s="398">
        <f>Input!C535</f>
        <v>0</v>
      </c>
      <c r="D58" s="425">
        <f>Input!D535</f>
        <v>0</v>
      </c>
      <c r="F58" s="436">
        <f>Input!E535</f>
        <v>0</v>
      </c>
      <c r="G58" s="211"/>
      <c r="H58" s="211"/>
      <c r="I58" s="211"/>
      <c r="J58" s="231"/>
      <c r="K58" s="231"/>
    </row>
    <row r="59" spans="2:11" hidden="1" x14ac:dyDescent="0.25">
      <c r="B59" s="400" t="str">
        <f>Input!B536</f>
        <v>Flood</v>
      </c>
      <c r="C59" s="398">
        <f>Input!C536</f>
        <v>0</v>
      </c>
      <c r="D59" s="425">
        <f>Input!D536</f>
        <v>0</v>
      </c>
      <c r="F59" s="436">
        <f>Input!E536</f>
        <v>0</v>
      </c>
      <c r="G59" s="211"/>
      <c r="H59" s="211"/>
      <c r="I59" s="211"/>
      <c r="J59" s="231"/>
      <c r="K59" s="231"/>
    </row>
    <row r="60" spans="2:11" hidden="1" x14ac:dyDescent="0.25">
      <c r="B60" s="400" t="str">
        <f>Input!B537</f>
        <v>Earthquake</v>
      </c>
      <c r="C60" s="398">
        <f>Input!C537</f>
        <v>0</v>
      </c>
      <c r="D60" s="425">
        <f>Input!D537</f>
        <v>0</v>
      </c>
      <c r="F60" s="436">
        <f>Input!E537</f>
        <v>0</v>
      </c>
      <c r="G60" s="211"/>
      <c r="H60" s="211"/>
      <c r="I60" s="211"/>
      <c r="J60" s="231"/>
      <c r="K60" s="231"/>
    </row>
    <row r="61" spans="2:11" hidden="1" x14ac:dyDescent="0.25">
      <c r="B61" s="400" t="str">
        <f>Input!B538</f>
        <v>Windstorm</v>
      </c>
      <c r="C61" s="398">
        <f>Input!C538</f>
        <v>0</v>
      </c>
      <c r="D61" s="425">
        <f>Input!D538</f>
        <v>0</v>
      </c>
      <c r="F61" s="436">
        <f>Input!E538</f>
        <v>0</v>
      </c>
      <c r="G61" s="211"/>
      <c r="H61" s="211"/>
      <c r="I61" s="211"/>
      <c r="J61" s="231"/>
      <c r="K61" s="231"/>
    </row>
    <row r="62" spans="2:11" hidden="1" x14ac:dyDescent="0.25">
      <c r="B62" s="400" t="str">
        <f>Input!B539</f>
        <v>Named Storm</v>
      </c>
      <c r="C62" s="398">
        <f>Input!C539</f>
        <v>0</v>
      </c>
      <c r="D62" s="425">
        <f>Input!D539</f>
        <v>0</v>
      </c>
      <c r="F62" s="436">
        <f>Input!E539</f>
        <v>0</v>
      </c>
      <c r="G62" s="211"/>
      <c r="H62" s="211"/>
      <c r="I62" s="211"/>
      <c r="J62" s="231"/>
      <c r="K62" s="231"/>
    </row>
    <row r="63" spans="2:11" hidden="1" x14ac:dyDescent="0.25">
      <c r="B63" s="407" t="s">
        <v>171</v>
      </c>
      <c r="C63" s="463"/>
      <c r="D63" s="463"/>
      <c r="F63" s="466"/>
      <c r="G63" s="211"/>
      <c r="H63" s="211"/>
      <c r="I63" s="211"/>
      <c r="J63" s="566"/>
      <c r="K63" s="566"/>
    </row>
    <row r="64" spans="2:11" hidden="1" x14ac:dyDescent="0.25">
      <c r="B64" s="400" t="str">
        <f>Input!F509</f>
        <v>Scheduled Equipment</v>
      </c>
      <c r="C64" s="398">
        <f>Input!G509</f>
        <v>0</v>
      </c>
      <c r="D64" s="425">
        <f>Input!H509</f>
        <v>0</v>
      </c>
      <c r="F64" s="427">
        <f>Input!I509</f>
        <v>0</v>
      </c>
      <c r="G64" s="211"/>
      <c r="H64" s="211"/>
      <c r="I64" s="211"/>
      <c r="J64" s="231"/>
      <c r="K64" s="231"/>
    </row>
    <row r="65" spans="2:11" hidden="1" x14ac:dyDescent="0.25">
      <c r="B65" s="400" t="str">
        <f>Input!F510</f>
        <v>Unscheduled Equipment - Max Per Occurrence</v>
      </c>
      <c r="C65" s="398">
        <f>Input!G510</f>
        <v>0</v>
      </c>
      <c r="D65" s="425">
        <f>Input!H510</f>
        <v>0</v>
      </c>
      <c r="F65" s="427">
        <f>Input!I510</f>
        <v>0</v>
      </c>
      <c r="G65" s="211"/>
      <c r="H65" s="211"/>
      <c r="I65" s="211"/>
      <c r="J65" s="231"/>
      <c r="K65" s="231"/>
    </row>
    <row r="66" spans="2:11" hidden="1" x14ac:dyDescent="0.25">
      <c r="B66" s="400" t="str">
        <f>Input!F511</f>
        <v>Unscheduled Equipment - Max Per Item</v>
      </c>
      <c r="C66" s="398">
        <f>Input!G511</f>
        <v>0</v>
      </c>
      <c r="D66" s="425">
        <f>Input!H511</f>
        <v>0</v>
      </c>
      <c r="F66" s="427">
        <f>Input!I511</f>
        <v>0</v>
      </c>
      <c r="G66" s="211"/>
      <c r="H66" s="211"/>
      <c r="I66" s="211"/>
      <c r="J66" s="231"/>
      <c r="K66" s="231"/>
    </row>
    <row r="67" spans="2:11" hidden="1" x14ac:dyDescent="0.25">
      <c r="B67" s="400" t="str">
        <f>Input!F512</f>
        <v>Leased or Rented Equipment - Max Per Occurrence</v>
      </c>
      <c r="C67" s="398">
        <f>Input!G512</f>
        <v>0</v>
      </c>
      <c r="D67" s="425">
        <f>Input!H512</f>
        <v>0</v>
      </c>
      <c r="F67" s="427">
        <f>Input!I512</f>
        <v>0</v>
      </c>
      <c r="G67" s="211"/>
      <c r="H67" s="211"/>
      <c r="I67" s="211"/>
      <c r="J67" s="231"/>
      <c r="K67" s="231"/>
    </row>
    <row r="68" spans="2:11" hidden="1" x14ac:dyDescent="0.25">
      <c r="B68" s="400" t="str">
        <f>Input!F513</f>
        <v>Leased or Rented Equipment - Max Per Item</v>
      </c>
      <c r="C68" s="398">
        <f>Input!G513</f>
        <v>0</v>
      </c>
      <c r="D68" s="425">
        <f>Input!H513</f>
        <v>0</v>
      </c>
      <c r="F68" s="427">
        <f>Input!I513</f>
        <v>0</v>
      </c>
      <c r="G68" s="211"/>
      <c r="H68" s="211"/>
      <c r="I68" s="211"/>
      <c r="J68" s="231"/>
      <c r="K68" s="231"/>
    </row>
    <row r="69" spans="2:11" hidden="1" x14ac:dyDescent="0.25">
      <c r="B69" s="400" t="str">
        <f>Input!F514</f>
        <v>Contractor’s Employees Property</v>
      </c>
      <c r="C69" s="398">
        <f>Input!G514</f>
        <v>0</v>
      </c>
      <c r="D69" s="425">
        <f>Input!H514</f>
        <v>0</v>
      </c>
      <c r="F69" s="427">
        <f>Input!I514</f>
        <v>0</v>
      </c>
      <c r="G69" s="211"/>
      <c r="H69" s="211"/>
      <c r="I69" s="211"/>
      <c r="J69" s="231"/>
      <c r="K69" s="231"/>
    </row>
    <row r="70" spans="2:11" hidden="1" x14ac:dyDescent="0.25">
      <c r="B70" s="400" t="str">
        <f>Input!F515</f>
        <v>Continuing Lease or Rental Payments</v>
      </c>
      <c r="C70" s="398">
        <f>Input!G515</f>
        <v>0</v>
      </c>
      <c r="D70" s="425">
        <f>Input!H515</f>
        <v>0</v>
      </c>
      <c r="F70" s="427">
        <f>Input!I515</f>
        <v>0</v>
      </c>
      <c r="G70" s="211"/>
      <c r="H70" s="211"/>
      <c r="I70" s="211"/>
      <c r="J70" s="231"/>
      <c r="K70" s="231"/>
    </row>
    <row r="71" spans="2:11" hidden="1" x14ac:dyDescent="0.25">
      <c r="B71" s="400" t="str">
        <f>Input!F516</f>
        <v>Expediting Expense</v>
      </c>
      <c r="C71" s="398">
        <f>Input!G516</f>
        <v>0</v>
      </c>
      <c r="D71" s="425">
        <f>Input!H516</f>
        <v>0</v>
      </c>
      <c r="F71" s="427">
        <f>Input!I516</f>
        <v>0</v>
      </c>
      <c r="G71" s="211"/>
      <c r="H71" s="211"/>
      <c r="I71" s="211"/>
      <c r="J71" s="231"/>
      <c r="K71" s="231"/>
    </row>
    <row r="72" spans="2:11" hidden="1" x14ac:dyDescent="0.25">
      <c r="B72" s="400" t="str">
        <f>Input!F517</f>
        <v xml:space="preserve">Pollutant Clean Up </v>
      </c>
      <c r="C72" s="398">
        <f>Input!G517</f>
        <v>0</v>
      </c>
      <c r="D72" s="425">
        <f>Input!H517</f>
        <v>0</v>
      </c>
      <c r="F72" s="427">
        <f>Input!I517</f>
        <v>0</v>
      </c>
      <c r="G72" s="211"/>
      <c r="H72" s="211"/>
      <c r="I72" s="211"/>
      <c r="J72" s="231"/>
      <c r="K72" s="231"/>
    </row>
    <row r="73" spans="2:11" hidden="1" x14ac:dyDescent="0.25">
      <c r="B73" s="400" t="str">
        <f>Input!F518</f>
        <v xml:space="preserve">Rental Reimbursement </v>
      </c>
      <c r="C73" s="398">
        <f>Input!G518</f>
        <v>0</v>
      </c>
      <c r="D73" s="425">
        <f>Input!H518</f>
        <v>0</v>
      </c>
      <c r="F73" s="427">
        <f>Input!I518</f>
        <v>0</v>
      </c>
      <c r="G73" s="211"/>
      <c r="H73" s="211"/>
      <c r="I73" s="211"/>
      <c r="J73" s="231"/>
      <c r="K73" s="231"/>
    </row>
    <row r="74" spans="2:11" hidden="1" x14ac:dyDescent="0.25">
      <c r="B74" s="400" t="str">
        <f>Input!F519</f>
        <v>Newly Acquired Equipment</v>
      </c>
      <c r="C74" s="398">
        <f>Input!G519</f>
        <v>0</v>
      </c>
      <c r="D74" s="425">
        <f>Input!H519</f>
        <v>0</v>
      </c>
      <c r="F74" s="427">
        <f>Input!I519</f>
        <v>0</v>
      </c>
      <c r="G74" s="211"/>
      <c r="H74" s="211"/>
      <c r="I74" s="211"/>
      <c r="J74" s="231"/>
      <c r="K74" s="231"/>
    </row>
    <row r="75" spans="2:11" hidden="1" x14ac:dyDescent="0.25">
      <c r="B75" s="400" t="str">
        <f>Input!F520</f>
        <v>Waterborne Equipment</v>
      </c>
      <c r="C75" s="398">
        <f>Input!G520</f>
        <v>0</v>
      </c>
      <c r="D75" s="425">
        <f>Input!H520</f>
        <v>0</v>
      </c>
      <c r="F75" s="427">
        <f>Input!I520</f>
        <v>0</v>
      </c>
      <c r="G75" s="211"/>
      <c r="H75" s="211"/>
      <c r="I75" s="211"/>
      <c r="J75" s="231"/>
      <c r="K75" s="231"/>
    </row>
    <row r="76" spans="2:11" hidden="1" x14ac:dyDescent="0.25">
      <c r="B76" s="400" t="str">
        <f>Input!F521</f>
        <v>Flood</v>
      </c>
      <c r="C76" s="398">
        <f>Input!G521</f>
        <v>0</v>
      </c>
      <c r="D76" s="425">
        <f>Input!H521</f>
        <v>0</v>
      </c>
      <c r="F76" s="427">
        <f>Input!I521</f>
        <v>0</v>
      </c>
      <c r="G76" s="211"/>
      <c r="H76" s="211"/>
      <c r="I76" s="211"/>
      <c r="J76" s="231"/>
      <c r="K76" s="231"/>
    </row>
    <row r="77" spans="2:11" hidden="1" x14ac:dyDescent="0.25">
      <c r="B77" s="400" t="str">
        <f>Input!F522</f>
        <v>Earthquake</v>
      </c>
      <c r="C77" s="398">
        <f>Input!G522</f>
        <v>0</v>
      </c>
      <c r="D77" s="425">
        <f>Input!H522</f>
        <v>0</v>
      </c>
      <c r="F77" s="427">
        <f>Input!I522</f>
        <v>0</v>
      </c>
      <c r="G77" s="211"/>
      <c r="H77" s="211"/>
      <c r="I77" s="211"/>
      <c r="J77" s="231"/>
      <c r="K77" s="231"/>
    </row>
    <row r="78" spans="2:11" hidden="1" x14ac:dyDescent="0.25">
      <c r="B78" s="400" t="str">
        <f>Input!F523</f>
        <v>Windstorm</v>
      </c>
      <c r="C78" s="398">
        <f>Input!G523</f>
        <v>0</v>
      </c>
      <c r="D78" s="425">
        <f>Input!H523</f>
        <v>0</v>
      </c>
      <c r="F78" s="427">
        <f>Input!I523</f>
        <v>0</v>
      </c>
      <c r="G78" s="211"/>
      <c r="H78" s="211"/>
      <c r="I78" s="211"/>
      <c r="J78" s="231"/>
      <c r="K78" s="231"/>
    </row>
    <row r="79" spans="2:11" hidden="1" x14ac:dyDescent="0.25">
      <c r="B79" s="400" t="str">
        <f>Input!F524</f>
        <v>Named Storm</v>
      </c>
      <c r="C79" s="398">
        <f>Input!G524</f>
        <v>0</v>
      </c>
      <c r="D79" s="425">
        <f>Input!H524</f>
        <v>0</v>
      </c>
      <c r="F79" s="427">
        <f>Input!I524</f>
        <v>0</v>
      </c>
      <c r="G79" s="211"/>
      <c r="H79" s="211"/>
      <c r="I79" s="211"/>
      <c r="J79" s="231"/>
      <c r="K79" s="231"/>
    </row>
    <row r="80" spans="2:11" hidden="1" x14ac:dyDescent="0.25">
      <c r="B80" s="486" t="s">
        <v>175</v>
      </c>
      <c r="C80" s="487"/>
      <c r="D80" s="487"/>
      <c r="F80" s="466"/>
      <c r="G80" s="211"/>
      <c r="H80" s="211"/>
      <c r="I80" s="211"/>
      <c r="J80" s="566"/>
      <c r="K80" s="566"/>
    </row>
    <row r="81" spans="2:11" hidden="1" x14ac:dyDescent="0.25">
      <c r="B81" s="400" t="str">
        <f>Input!F527</f>
        <v>All Other</v>
      </c>
      <c r="C81" s="398">
        <f>Input!G527</f>
        <v>0</v>
      </c>
      <c r="D81" s="425">
        <f>Input!H527</f>
        <v>0</v>
      </c>
      <c r="F81" s="427">
        <f>Input!I527</f>
        <v>0</v>
      </c>
      <c r="G81" s="211"/>
      <c r="H81" s="211"/>
      <c r="I81" s="211"/>
      <c r="J81" s="231"/>
      <c r="K81" s="231"/>
    </row>
    <row r="82" spans="2:11" hidden="1" x14ac:dyDescent="0.25">
      <c r="B82" s="400" t="str">
        <f>Input!F528</f>
        <v>Flood</v>
      </c>
      <c r="C82" s="398">
        <f>Input!G528</f>
        <v>0</v>
      </c>
      <c r="D82" s="425">
        <f>Input!H528</f>
        <v>0</v>
      </c>
      <c r="E82" s="16"/>
      <c r="F82" s="427">
        <f>Input!I528</f>
        <v>0</v>
      </c>
      <c r="G82" s="211"/>
      <c r="H82" s="211"/>
      <c r="I82" s="211"/>
      <c r="J82" s="231"/>
      <c r="K82" s="231"/>
    </row>
    <row r="83" spans="2:11" hidden="1" x14ac:dyDescent="0.25">
      <c r="B83" s="400" t="str">
        <f>Input!F529</f>
        <v>Earthquake</v>
      </c>
      <c r="C83" s="398">
        <f>Input!G529</f>
        <v>0</v>
      </c>
      <c r="D83" s="425">
        <f>Input!H529</f>
        <v>0</v>
      </c>
      <c r="E83" s="16"/>
      <c r="F83" s="427">
        <f>Input!I529</f>
        <v>0</v>
      </c>
      <c r="G83" s="211"/>
      <c r="H83" s="211"/>
      <c r="I83" s="211"/>
      <c r="J83" s="231"/>
      <c r="K83" s="231"/>
    </row>
    <row r="84" spans="2:11" hidden="1" x14ac:dyDescent="0.25">
      <c r="B84" s="400" t="str">
        <f>Input!F530</f>
        <v>Windstorm</v>
      </c>
      <c r="C84" s="398">
        <f>Input!G530</f>
        <v>0</v>
      </c>
      <c r="D84" s="425">
        <f>Input!H530</f>
        <v>0</v>
      </c>
      <c r="E84" s="16"/>
      <c r="F84" s="427">
        <f>Input!I530</f>
        <v>0</v>
      </c>
      <c r="G84" s="211"/>
      <c r="H84" s="211"/>
      <c r="I84" s="211"/>
      <c r="J84" s="231"/>
      <c r="K84" s="231"/>
    </row>
    <row r="85" spans="2:11" hidden="1" x14ac:dyDescent="0.25">
      <c r="B85" s="368" t="str">
        <f>Input!F531</f>
        <v>Named Storm</v>
      </c>
      <c r="C85" s="403">
        <f>Input!G531</f>
        <v>0</v>
      </c>
      <c r="D85" s="431">
        <f>Input!H531</f>
        <v>0</v>
      </c>
      <c r="E85" s="16"/>
      <c r="F85" s="430">
        <f>Input!I531</f>
        <v>0</v>
      </c>
      <c r="G85" s="211"/>
      <c r="H85" s="211"/>
      <c r="I85" s="211"/>
      <c r="J85" s="231"/>
      <c r="K85" s="231"/>
    </row>
    <row r="86" spans="2:11" x14ac:dyDescent="0.25">
      <c r="B86" s="486" t="s">
        <v>367</v>
      </c>
      <c r="C86" s="486"/>
      <c r="D86" s="486"/>
      <c r="E86" s="16"/>
      <c r="F86" s="531"/>
      <c r="G86" s="211"/>
      <c r="H86" s="211"/>
      <c r="I86" s="211"/>
      <c r="J86" s="566"/>
      <c r="K86" s="566"/>
    </row>
    <row r="87" spans="2:11" x14ac:dyDescent="0.25">
      <c r="B87" s="402" t="s">
        <v>343</v>
      </c>
      <c r="C87" s="428">
        <f>Input!B453</f>
        <v>708</v>
      </c>
      <c r="D87" s="425">
        <f>Input!D453</f>
        <v>770</v>
      </c>
      <c r="E87" s="16"/>
      <c r="F87" s="427">
        <f>Input!E453</f>
        <v>770</v>
      </c>
      <c r="G87" s="211"/>
      <c r="H87" s="211"/>
      <c r="I87" s="211"/>
      <c r="J87" s="231"/>
      <c r="K87" s="231"/>
    </row>
    <row r="88" spans="2:11" x14ac:dyDescent="0.25">
      <c r="B88" s="402" t="s">
        <v>366</v>
      </c>
      <c r="C88" s="428">
        <f>Input!B459</f>
        <v>0</v>
      </c>
      <c r="D88" s="425">
        <f>Input!D459</f>
        <v>0</v>
      </c>
      <c r="E88" s="16"/>
      <c r="F88" s="427">
        <f>Input!E459</f>
        <v>0</v>
      </c>
      <c r="G88" s="211"/>
      <c r="H88" s="211"/>
      <c r="I88" s="211"/>
      <c r="J88" s="231"/>
      <c r="K88" s="231"/>
    </row>
    <row r="89" spans="2:11" x14ac:dyDescent="0.25">
      <c r="B89" s="402" t="s">
        <v>365</v>
      </c>
      <c r="C89" s="429">
        <f>Input!B461</f>
        <v>0</v>
      </c>
      <c r="D89" s="431">
        <f>Input!D461</f>
        <v>0</v>
      </c>
      <c r="E89" s="16"/>
      <c r="F89" s="430">
        <f>Input!E461</f>
        <v>0</v>
      </c>
      <c r="G89" s="211"/>
      <c r="H89" s="211"/>
      <c r="I89" s="211"/>
      <c r="J89" s="231"/>
      <c r="K89" s="231"/>
    </row>
    <row r="90" spans="2:11" x14ac:dyDescent="0.25">
      <c r="B90" s="409" t="s">
        <v>368</v>
      </c>
      <c r="C90" s="428">
        <f>Input!B463</f>
        <v>708</v>
      </c>
      <c r="D90" s="425">
        <f>Input!D463</f>
        <v>770</v>
      </c>
      <c r="E90" s="16"/>
      <c r="F90" s="427">
        <f>Input!E463</f>
        <v>770</v>
      </c>
      <c r="G90" s="211"/>
      <c r="H90" s="211"/>
      <c r="I90" s="211"/>
      <c r="J90" s="231"/>
      <c r="K90" s="231"/>
    </row>
    <row r="91" spans="2:11" ht="7.5" customHeight="1" x14ac:dyDescent="0.25">
      <c r="B91" s="211"/>
      <c r="C91" s="414"/>
      <c r="D91" s="228"/>
      <c r="E91" s="16"/>
      <c r="F91" s="275"/>
      <c r="G91" s="211"/>
      <c r="H91" s="211"/>
      <c r="I91" s="211"/>
      <c r="J91" s="381"/>
    </row>
    <row r="92" spans="2:11" x14ac:dyDescent="0.25">
      <c r="B92" s="1274" t="s">
        <v>144</v>
      </c>
      <c r="C92" s="1274"/>
      <c r="D92" s="1274"/>
      <c r="E92" s="16"/>
      <c r="F92" s="274"/>
      <c r="G92" s="211"/>
      <c r="H92" s="211"/>
      <c r="I92" s="211"/>
      <c r="J92" s="381"/>
    </row>
    <row r="93" spans="2:11" ht="27" customHeight="1" x14ac:dyDescent="0.25">
      <c r="B93" s="1275" t="s">
        <v>1960</v>
      </c>
      <c r="C93" s="1275"/>
      <c r="D93" s="1275"/>
      <c r="E93" s="1050"/>
      <c r="F93" s="1051"/>
      <c r="G93" s="211"/>
      <c r="H93" s="211"/>
      <c r="I93" s="211"/>
      <c r="J93" s="381"/>
    </row>
    <row r="94" spans="2:11" ht="7.5" customHeight="1" x14ac:dyDescent="0.25">
      <c r="B94" s="380"/>
      <c r="C94" s="238"/>
      <c r="D94" s="238"/>
      <c r="E94" s="16"/>
      <c r="F94" s="275"/>
      <c r="G94" s="211"/>
      <c r="H94" s="211"/>
      <c r="I94" s="211"/>
      <c r="J94" s="381"/>
    </row>
    <row r="95" spans="2:11" x14ac:dyDescent="0.25">
      <c r="B95" s="1274" t="s">
        <v>145</v>
      </c>
      <c r="C95" s="1274"/>
      <c r="D95" s="1274"/>
      <c r="E95" s="16"/>
      <c r="F95" s="275"/>
      <c r="G95" s="211"/>
      <c r="H95" s="211"/>
      <c r="I95" s="211"/>
      <c r="J95" s="381"/>
    </row>
    <row r="96" spans="2:11" x14ac:dyDescent="0.25">
      <c r="B96" s="1275" t="s">
        <v>1961</v>
      </c>
      <c r="C96" s="1276"/>
      <c r="D96" s="1276"/>
      <c r="E96" s="1276"/>
      <c r="F96" s="1277"/>
      <c r="G96" s="211"/>
      <c r="H96" s="211"/>
      <c r="I96" s="211"/>
      <c r="J96" s="381"/>
    </row>
    <row r="97" spans="2:11" ht="7.5" customHeight="1" x14ac:dyDescent="0.25">
      <c r="B97" s="310"/>
      <c r="C97" s="228"/>
      <c r="D97" s="228"/>
      <c r="E97" s="16"/>
      <c r="F97" s="275"/>
      <c r="G97" s="211"/>
      <c r="H97" s="211"/>
      <c r="I97" s="211"/>
      <c r="J97" s="381"/>
    </row>
    <row r="98" spans="2:11" x14ac:dyDescent="0.25">
      <c r="B98" s="523" t="s">
        <v>72</v>
      </c>
      <c r="C98" s="524" t="s">
        <v>62</v>
      </c>
      <c r="D98" s="525" t="s">
        <v>63</v>
      </c>
      <c r="E98" s="16"/>
      <c r="F98" s="526" t="s">
        <v>146</v>
      </c>
      <c r="G98" s="211"/>
      <c r="H98" s="211"/>
      <c r="I98" s="211"/>
      <c r="J98" s="527" t="s">
        <v>1002</v>
      </c>
      <c r="K98" s="527" t="s">
        <v>363</v>
      </c>
    </row>
    <row r="99" spans="2:11" x14ac:dyDescent="0.25">
      <c r="B99" s="400" t="s">
        <v>73</v>
      </c>
      <c r="C99" s="711" t="s">
        <v>1033</v>
      </c>
      <c r="D99" s="390" t="s">
        <v>1033</v>
      </c>
      <c r="F99" s="413"/>
      <c r="G99" s="228" t="str">
        <f t="shared" ref="G99:G164" si="0">IF(OR(TRIM(D99)&lt;&gt;"",TRIM(F99)&lt;&gt;""),IF(AND(TRIM(D99)&lt;&gt;"",TRIM(F99)&lt;&gt;""),IF(OR(TRIM(C99)&lt;&gt;TRIM(D99),TRIM(C99)&lt;&gt;TRIM(F99)),"_",""),IF(TRIM(C99)&lt;&gt;TRIM(D99), "_", "")),"")</f>
        <v/>
      </c>
      <c r="H99" s="211"/>
      <c r="I99" s="211"/>
      <c r="J99" s="231"/>
      <c r="K99" s="231"/>
    </row>
    <row r="100" spans="2:11" s="452" customFormat="1" x14ac:dyDescent="0.25">
      <c r="B100" s="400" t="s">
        <v>74</v>
      </c>
      <c r="C100" s="711" t="s">
        <v>1955</v>
      </c>
      <c r="D100" s="712" t="s">
        <v>1955</v>
      </c>
      <c r="E100" s="16"/>
      <c r="F100" s="413"/>
      <c r="G100" s="228" t="str">
        <f t="shared" si="0"/>
        <v/>
      </c>
      <c r="J100" s="231"/>
      <c r="K100" s="231"/>
    </row>
    <row r="101" spans="2:11" s="452" customFormat="1" x14ac:dyDescent="0.25">
      <c r="B101" s="400" t="s">
        <v>151</v>
      </c>
      <c r="C101" s="711" t="s">
        <v>1035</v>
      </c>
      <c r="D101" s="390" t="s">
        <v>1035</v>
      </c>
      <c r="E101" s="16"/>
      <c r="F101" s="413"/>
      <c r="G101" s="228" t="str">
        <f t="shared" si="0"/>
        <v/>
      </c>
      <c r="J101" s="231"/>
      <c r="K101" s="231"/>
    </row>
    <row r="102" spans="2:11" s="452" customFormat="1" x14ac:dyDescent="0.25">
      <c r="B102" s="400" t="s">
        <v>152</v>
      </c>
      <c r="C102" s="711" t="s">
        <v>284</v>
      </c>
      <c r="D102" s="390" t="s">
        <v>284</v>
      </c>
      <c r="E102" s="16"/>
      <c r="F102" s="413"/>
      <c r="G102" s="228" t="str">
        <f t="shared" si="0"/>
        <v/>
      </c>
      <c r="J102" s="231"/>
      <c r="K102" s="231"/>
    </row>
    <row r="103" spans="2:11" x14ac:dyDescent="0.25">
      <c r="B103" s="722" t="s">
        <v>77</v>
      </c>
      <c r="C103" s="802" t="s">
        <v>1036</v>
      </c>
      <c r="D103" s="391" t="s">
        <v>1036</v>
      </c>
      <c r="E103" s="530"/>
      <c r="F103" s="436"/>
      <c r="G103" s="228" t="str">
        <f t="shared" si="0"/>
        <v/>
      </c>
      <c r="H103" s="16"/>
      <c r="I103" s="586"/>
      <c r="J103" s="232"/>
      <c r="K103" s="232"/>
    </row>
    <row r="104" spans="2:11" ht="25.5" hidden="1" x14ac:dyDescent="0.25">
      <c r="B104" s="441" t="s">
        <v>1285</v>
      </c>
      <c r="C104" s="438"/>
      <c r="D104" s="439"/>
      <c r="E104" s="530"/>
      <c r="F104" s="440"/>
      <c r="G104" s="228" t="str">
        <f t="shared" si="0"/>
        <v/>
      </c>
      <c r="H104" s="16"/>
      <c r="I104" s="586"/>
      <c r="J104" s="447"/>
      <c r="K104" s="447"/>
    </row>
    <row r="105" spans="2:11" hidden="1" x14ac:dyDescent="0.25">
      <c r="B105" s="441" t="s">
        <v>703</v>
      </c>
      <c r="C105" s="438"/>
      <c r="D105" s="439"/>
      <c r="E105" s="530"/>
      <c r="F105" s="440"/>
      <c r="G105" s="228" t="str">
        <f t="shared" si="0"/>
        <v/>
      </c>
      <c r="H105" s="16"/>
      <c r="I105" s="586"/>
      <c r="J105" s="447"/>
      <c r="K105" s="447"/>
    </row>
    <row r="106" spans="2:11" x14ac:dyDescent="0.25">
      <c r="B106" s="368" t="s">
        <v>388</v>
      </c>
      <c r="C106" s="802" t="s">
        <v>1036</v>
      </c>
      <c r="D106" s="391" t="s">
        <v>1036</v>
      </c>
      <c r="F106" s="436"/>
      <c r="G106" s="228" t="str">
        <f t="shared" si="0"/>
        <v/>
      </c>
      <c r="H106" s="211"/>
      <c r="I106" s="211"/>
      <c r="J106" s="232"/>
      <c r="K106" s="232"/>
    </row>
    <row r="107" spans="2:11" x14ac:dyDescent="0.25">
      <c r="B107" s="400" t="s">
        <v>390</v>
      </c>
      <c r="C107" s="456" t="s">
        <v>391</v>
      </c>
      <c r="D107" s="797" t="s">
        <v>391</v>
      </c>
      <c r="F107" s="440"/>
      <c r="G107" s="228" t="str">
        <f t="shared" si="0"/>
        <v/>
      </c>
      <c r="H107" s="211"/>
      <c r="I107" s="211"/>
      <c r="J107" s="447"/>
      <c r="K107" s="447"/>
    </row>
    <row r="108" spans="2:11" x14ac:dyDescent="0.25">
      <c r="B108" s="400" t="s">
        <v>707</v>
      </c>
      <c r="C108" s="459" t="s">
        <v>157</v>
      </c>
      <c r="D108" s="692" t="s">
        <v>157</v>
      </c>
      <c r="F108" s="440"/>
      <c r="G108" s="228" t="str">
        <f t="shared" si="0"/>
        <v/>
      </c>
      <c r="H108" s="211"/>
      <c r="I108" s="211"/>
      <c r="J108" s="447"/>
      <c r="K108" s="447"/>
    </row>
    <row r="109" spans="2:11" x14ac:dyDescent="0.25">
      <c r="B109" s="400" t="s">
        <v>708</v>
      </c>
      <c r="C109" s="459" t="s">
        <v>157</v>
      </c>
      <c r="D109" s="692" t="s">
        <v>157</v>
      </c>
      <c r="F109" s="443"/>
      <c r="G109" s="228" t="str">
        <f t="shared" si="0"/>
        <v/>
      </c>
      <c r="H109" s="211"/>
      <c r="I109" s="211"/>
      <c r="J109" s="445"/>
      <c r="K109" s="445"/>
    </row>
    <row r="110" spans="2:11" x14ac:dyDescent="0.25">
      <c r="B110" s="400" t="s">
        <v>401</v>
      </c>
      <c r="C110" s="459" t="s">
        <v>157</v>
      </c>
      <c r="D110" s="692" t="s">
        <v>157</v>
      </c>
      <c r="E110" s="16"/>
      <c r="F110" s="613"/>
      <c r="G110" s="228" t="str">
        <f t="shared" si="0"/>
        <v/>
      </c>
      <c r="H110" s="211"/>
      <c r="I110" s="211"/>
      <c r="J110" s="613"/>
      <c r="K110" s="613"/>
    </row>
    <row r="111" spans="2:11" x14ac:dyDescent="0.25">
      <c r="B111" s="400" t="s">
        <v>164</v>
      </c>
      <c r="C111" s="459" t="s">
        <v>157</v>
      </c>
      <c r="D111" s="692" t="s">
        <v>157</v>
      </c>
      <c r="F111" s="436"/>
      <c r="G111" s="228" t="str">
        <f t="shared" si="0"/>
        <v/>
      </c>
      <c r="H111" s="211"/>
      <c r="I111" s="211"/>
      <c r="J111" s="232"/>
      <c r="K111" s="232"/>
    </row>
    <row r="112" spans="2:11" ht="30.75" customHeight="1" x14ac:dyDescent="0.25">
      <c r="B112" s="400" t="s">
        <v>153</v>
      </c>
      <c r="C112" s="459" t="s">
        <v>157</v>
      </c>
      <c r="D112" s="692" t="s">
        <v>157</v>
      </c>
      <c r="F112" s="440"/>
      <c r="G112" s="228" t="str">
        <f t="shared" si="0"/>
        <v/>
      </c>
      <c r="H112" s="211"/>
      <c r="I112" s="211"/>
      <c r="J112" s="447"/>
      <c r="K112" s="447"/>
    </row>
    <row r="113" spans="2:11" ht="45" customHeight="1" x14ac:dyDescent="0.25">
      <c r="B113" s="873" t="s">
        <v>1286</v>
      </c>
      <c r="C113" s="848" t="s">
        <v>157</v>
      </c>
      <c r="D113" s="862" t="s">
        <v>157</v>
      </c>
      <c r="F113" s="443"/>
      <c r="G113" s="228" t="str">
        <f t="shared" si="0"/>
        <v/>
      </c>
      <c r="H113" s="211"/>
      <c r="I113" s="211"/>
      <c r="J113" s="445"/>
      <c r="K113" s="445"/>
    </row>
    <row r="114" spans="2:11" x14ac:dyDescent="0.25">
      <c r="B114" s="593" t="s">
        <v>715</v>
      </c>
      <c r="C114" s="530"/>
      <c r="D114" s="228"/>
      <c r="F114" s="436"/>
      <c r="G114" s="228" t="str">
        <f t="shared" si="0"/>
        <v/>
      </c>
      <c r="H114" s="211"/>
      <c r="I114" s="211"/>
      <c r="J114" s="232"/>
      <c r="K114" s="232"/>
    </row>
    <row r="115" spans="2:11" x14ac:dyDescent="0.25">
      <c r="B115" s="590" t="s">
        <v>712</v>
      </c>
      <c r="C115" s="804" t="s">
        <v>1287</v>
      </c>
      <c r="D115" s="433" t="s">
        <v>1287</v>
      </c>
      <c r="F115" s="440"/>
      <c r="G115" s="228" t="str">
        <f t="shared" si="0"/>
        <v/>
      </c>
      <c r="H115" s="211"/>
      <c r="I115" s="211"/>
      <c r="J115" s="447"/>
      <c r="K115" s="447"/>
    </row>
    <row r="116" spans="2:11" x14ac:dyDescent="0.25">
      <c r="B116" s="591" t="s">
        <v>713</v>
      </c>
      <c r="C116" s="805" t="s">
        <v>391</v>
      </c>
      <c r="D116" s="861" t="s">
        <v>391</v>
      </c>
      <c r="F116" s="443"/>
      <c r="G116" s="228" t="str">
        <f t="shared" si="0"/>
        <v/>
      </c>
      <c r="H116" s="211"/>
      <c r="I116" s="211"/>
      <c r="J116" s="445"/>
      <c r="K116" s="445"/>
    </row>
    <row r="117" spans="2:11" x14ac:dyDescent="0.25">
      <c r="B117" s="400" t="s">
        <v>165</v>
      </c>
      <c r="C117" s="459" t="s">
        <v>157</v>
      </c>
      <c r="D117" s="692" t="s">
        <v>157</v>
      </c>
      <c r="F117" s="443"/>
      <c r="G117" s="228" t="str">
        <f t="shared" si="0"/>
        <v/>
      </c>
      <c r="H117" s="211"/>
      <c r="I117" s="211"/>
      <c r="J117" s="445"/>
      <c r="K117" s="445"/>
    </row>
    <row r="118" spans="2:11" x14ac:dyDescent="0.25">
      <c r="B118" s="400" t="s">
        <v>166</v>
      </c>
      <c r="C118" s="459" t="s">
        <v>157</v>
      </c>
      <c r="D118" s="692" t="s">
        <v>157</v>
      </c>
      <c r="F118" s="443"/>
      <c r="G118" s="228" t="str">
        <f t="shared" si="0"/>
        <v/>
      </c>
      <c r="H118" s="211"/>
      <c r="I118" s="211"/>
      <c r="J118" s="445"/>
      <c r="K118" s="445"/>
    </row>
    <row r="119" spans="2:11" ht="30" customHeight="1" x14ac:dyDescent="0.25">
      <c r="B119" s="400" t="s">
        <v>167</v>
      </c>
      <c r="C119" s="456" t="s">
        <v>391</v>
      </c>
      <c r="D119" s="797" t="s">
        <v>391</v>
      </c>
      <c r="F119" s="413"/>
      <c r="G119" s="228" t="str">
        <f t="shared" si="0"/>
        <v/>
      </c>
      <c r="H119" s="211"/>
      <c r="I119" s="211"/>
      <c r="J119" s="231"/>
      <c r="K119" s="231"/>
    </row>
    <row r="120" spans="2:11" ht="15" hidden="1" customHeight="1" x14ac:dyDescent="0.25">
      <c r="B120" s="400" t="s">
        <v>163</v>
      </c>
      <c r="C120" s="412"/>
      <c r="D120" s="390"/>
      <c r="F120" s="413"/>
      <c r="G120" s="228" t="str">
        <f t="shared" si="0"/>
        <v/>
      </c>
      <c r="H120" s="211"/>
      <c r="I120" s="211"/>
      <c r="J120" s="231"/>
      <c r="K120" s="231"/>
    </row>
    <row r="121" spans="2:11" hidden="1" x14ac:dyDescent="0.25">
      <c r="B121" s="400" t="s">
        <v>402</v>
      </c>
      <c r="C121" s="412"/>
      <c r="D121" s="390"/>
      <c r="F121" s="413"/>
      <c r="G121" s="228" t="str">
        <f t="shared" si="0"/>
        <v/>
      </c>
      <c r="H121" s="211"/>
      <c r="I121" s="211"/>
      <c r="J121" s="231"/>
      <c r="K121" s="231"/>
    </row>
    <row r="122" spans="2:11" hidden="1" x14ac:dyDescent="0.25">
      <c r="B122" s="400" t="s">
        <v>403</v>
      </c>
      <c r="C122" s="412"/>
      <c r="D122" s="390"/>
      <c r="F122" s="413"/>
      <c r="G122" s="228" t="str">
        <f t="shared" si="0"/>
        <v/>
      </c>
      <c r="H122" s="211"/>
      <c r="I122" s="211"/>
      <c r="J122" s="231"/>
      <c r="K122" s="231"/>
    </row>
    <row r="123" spans="2:11" ht="25.5" hidden="1" x14ac:dyDescent="0.25">
      <c r="B123" s="400" t="s">
        <v>748</v>
      </c>
      <c r="C123" s="412"/>
      <c r="D123" s="390"/>
      <c r="F123" s="413"/>
      <c r="G123" s="228" t="str">
        <f t="shared" si="0"/>
        <v/>
      </c>
      <c r="H123" s="211"/>
      <c r="I123" s="211"/>
      <c r="J123" s="231"/>
      <c r="K123" s="231"/>
    </row>
    <row r="124" spans="2:11" hidden="1" x14ac:dyDescent="0.25">
      <c r="B124" s="400" t="s">
        <v>163</v>
      </c>
      <c r="C124" s="412"/>
      <c r="D124" s="390"/>
      <c r="F124" s="413"/>
      <c r="G124" s="228" t="str">
        <f t="shared" si="0"/>
        <v/>
      </c>
      <c r="H124" s="211"/>
      <c r="I124" s="211"/>
      <c r="J124" s="231"/>
      <c r="K124" s="231"/>
    </row>
    <row r="125" spans="2:11" hidden="1" x14ac:dyDescent="0.25">
      <c r="B125" s="400" t="s">
        <v>154</v>
      </c>
      <c r="C125" s="412"/>
      <c r="D125" s="390"/>
      <c r="F125" s="413"/>
      <c r="G125" s="228" t="str">
        <f t="shared" si="0"/>
        <v/>
      </c>
      <c r="H125" s="211"/>
      <c r="I125" s="211"/>
      <c r="J125" s="231"/>
      <c r="K125" s="231"/>
    </row>
    <row r="126" spans="2:11" ht="25.5" hidden="1" x14ac:dyDescent="0.25">
      <c r="B126" s="400" t="s">
        <v>155</v>
      </c>
      <c r="C126" s="412"/>
      <c r="D126" s="390"/>
      <c r="F126" s="413"/>
      <c r="G126" s="228" t="str">
        <f t="shared" si="0"/>
        <v/>
      </c>
      <c r="H126" s="211"/>
      <c r="I126" s="211"/>
      <c r="J126" s="231"/>
      <c r="K126" s="231"/>
    </row>
    <row r="127" spans="2:11" hidden="1" x14ac:dyDescent="0.25">
      <c r="B127" s="368" t="s">
        <v>716</v>
      </c>
      <c r="C127" s="435"/>
      <c r="D127" s="391"/>
      <c r="F127" s="436"/>
      <c r="G127" s="228" t="str">
        <f t="shared" si="0"/>
        <v/>
      </c>
      <c r="H127" s="211"/>
      <c r="I127" s="211"/>
      <c r="J127" s="232"/>
      <c r="K127" s="232"/>
    </row>
    <row r="128" spans="2:11" hidden="1" x14ac:dyDescent="0.25">
      <c r="B128" s="444" t="s">
        <v>697</v>
      </c>
      <c r="C128" s="396"/>
      <c r="D128" s="424"/>
      <c r="F128" s="443"/>
      <c r="G128" s="228" t="str">
        <f t="shared" si="0"/>
        <v/>
      </c>
      <c r="H128" s="211"/>
      <c r="I128" s="211"/>
      <c r="J128" s="445"/>
      <c r="K128" s="445"/>
    </row>
    <row r="129" spans="2:11" hidden="1" x14ac:dyDescent="0.25">
      <c r="B129" s="486" t="str">
        <f>Input!B500</f>
        <v>Umbrella/Excess Liability</v>
      </c>
      <c r="C129" s="480"/>
      <c r="D129" s="480"/>
      <c r="E129" s="16"/>
      <c r="F129" s="613"/>
      <c r="G129" s="228" t="str">
        <f t="shared" si="0"/>
        <v/>
      </c>
      <c r="H129" s="211"/>
      <c r="I129" s="211"/>
      <c r="J129" s="613"/>
      <c r="K129" s="613"/>
    </row>
    <row r="130" spans="2:11" s="452" customFormat="1" hidden="1" x14ac:dyDescent="0.25">
      <c r="B130" s="400" t="s">
        <v>74</v>
      </c>
      <c r="C130" s="412"/>
      <c r="D130" s="390"/>
      <c r="E130" s="16"/>
      <c r="F130" s="413"/>
      <c r="G130" s="228" t="str">
        <f t="shared" si="0"/>
        <v/>
      </c>
      <c r="J130" s="231"/>
      <c r="K130" s="231"/>
    </row>
    <row r="131" spans="2:11" s="452" customFormat="1" hidden="1" x14ac:dyDescent="0.25">
      <c r="B131" s="400" t="s">
        <v>151</v>
      </c>
      <c r="C131" s="412"/>
      <c r="D131" s="390"/>
      <c r="E131" s="16"/>
      <c r="F131" s="413"/>
      <c r="G131" s="228" t="str">
        <f t="shared" si="0"/>
        <v/>
      </c>
      <c r="J131" s="231"/>
      <c r="K131" s="231"/>
    </row>
    <row r="132" spans="2:11" s="452" customFormat="1" hidden="1" x14ac:dyDescent="0.25">
      <c r="B132" s="400" t="s">
        <v>754</v>
      </c>
      <c r="C132" s="412"/>
      <c r="D132" s="390"/>
      <c r="E132" s="16"/>
      <c r="F132" s="413"/>
      <c r="G132" s="228" t="str">
        <f t="shared" si="0"/>
        <v/>
      </c>
      <c r="J132" s="231"/>
      <c r="K132" s="231"/>
    </row>
    <row r="133" spans="2:11" s="452" customFormat="1" hidden="1" x14ac:dyDescent="0.25">
      <c r="B133" s="400" t="s">
        <v>168</v>
      </c>
      <c r="C133" s="412"/>
      <c r="D133" s="390"/>
      <c r="E133" s="16"/>
      <c r="F133" s="413"/>
      <c r="G133" s="228" t="str">
        <f t="shared" si="0"/>
        <v/>
      </c>
      <c r="J133" s="231"/>
      <c r="K133" s="231"/>
    </row>
    <row r="134" spans="2:11" s="452" customFormat="1" hidden="1" x14ac:dyDescent="0.25">
      <c r="B134" s="400" t="s">
        <v>169</v>
      </c>
      <c r="C134" s="412"/>
      <c r="D134" s="390"/>
      <c r="E134" s="16"/>
      <c r="F134" s="413"/>
      <c r="G134" s="228" t="str">
        <f t="shared" si="0"/>
        <v/>
      </c>
      <c r="J134" s="231"/>
      <c r="K134" s="231"/>
    </row>
    <row r="135" spans="2:11" s="452" customFormat="1" hidden="1" x14ac:dyDescent="0.25">
      <c r="B135" s="400" t="s">
        <v>170</v>
      </c>
      <c r="C135" s="412"/>
      <c r="D135" s="390"/>
      <c r="E135" s="16"/>
      <c r="F135" s="413"/>
      <c r="G135" s="228" t="str">
        <f t="shared" si="0"/>
        <v/>
      </c>
      <c r="J135" s="231"/>
      <c r="K135" s="231"/>
    </row>
    <row r="136" spans="2:11" ht="15" hidden="1" customHeight="1" x14ac:dyDescent="0.25">
      <c r="B136" s="368" t="s">
        <v>707</v>
      </c>
      <c r="C136" s="435"/>
      <c r="D136" s="391"/>
      <c r="F136" s="436"/>
      <c r="G136" s="228" t="str">
        <f t="shared" si="0"/>
        <v/>
      </c>
      <c r="H136" s="211"/>
      <c r="I136" s="211"/>
      <c r="J136" s="232"/>
      <c r="K136" s="232"/>
    </row>
    <row r="137" spans="2:11" hidden="1" x14ac:dyDescent="0.25">
      <c r="B137" s="441" t="s">
        <v>704</v>
      </c>
      <c r="C137" s="438"/>
      <c r="D137" s="439"/>
      <c r="F137" s="440"/>
      <c r="G137" s="228" t="str">
        <f t="shared" si="0"/>
        <v/>
      </c>
      <c r="H137" s="211"/>
      <c r="I137" s="211"/>
      <c r="J137" s="447"/>
      <c r="K137" s="447"/>
    </row>
    <row r="138" spans="2:11" hidden="1" x14ac:dyDescent="0.25">
      <c r="B138" s="442" t="s">
        <v>705</v>
      </c>
      <c r="C138" s="396"/>
      <c r="D138" s="424"/>
      <c r="F138" s="443"/>
      <c r="G138" s="228" t="str">
        <f t="shared" si="0"/>
        <v/>
      </c>
      <c r="H138" s="211"/>
      <c r="I138" s="211"/>
      <c r="J138" s="445"/>
      <c r="K138" s="445"/>
    </row>
    <row r="139" spans="2:11" hidden="1" x14ac:dyDescent="0.25">
      <c r="B139" s="400" t="s">
        <v>708</v>
      </c>
      <c r="C139" s="412"/>
      <c r="D139" s="390"/>
      <c r="F139" s="413"/>
      <c r="G139" s="228" t="str">
        <f t="shared" si="0"/>
        <v/>
      </c>
      <c r="H139" s="211"/>
      <c r="I139" s="211"/>
      <c r="J139" s="231"/>
      <c r="K139" s="231"/>
    </row>
    <row r="140" spans="2:11" ht="15" hidden="1" customHeight="1" x14ac:dyDescent="0.25">
      <c r="B140" s="400" t="s">
        <v>706</v>
      </c>
      <c r="C140" s="412"/>
      <c r="D140" s="390"/>
      <c r="F140" s="413"/>
      <c r="G140" s="228" t="str">
        <f t="shared" si="0"/>
        <v/>
      </c>
      <c r="H140" s="211"/>
      <c r="I140" s="211"/>
      <c r="J140" s="231"/>
      <c r="K140" s="231"/>
    </row>
    <row r="141" spans="2:11" hidden="1" x14ac:dyDescent="0.25">
      <c r="B141" s="400" t="s">
        <v>709</v>
      </c>
      <c r="C141" s="412"/>
      <c r="D141" s="390"/>
      <c r="F141" s="413"/>
      <c r="G141" s="228" t="str">
        <f t="shared" si="0"/>
        <v/>
      </c>
      <c r="H141" s="211"/>
      <c r="I141" s="211"/>
      <c r="J141" s="231"/>
      <c r="K141" s="231"/>
    </row>
    <row r="142" spans="2:11" hidden="1" x14ac:dyDescent="0.25">
      <c r="B142" s="400" t="s">
        <v>710</v>
      </c>
      <c r="C142" s="412"/>
      <c r="D142" s="390"/>
      <c r="F142" s="413"/>
      <c r="G142" s="228" t="str">
        <f t="shared" si="0"/>
        <v/>
      </c>
      <c r="H142" s="211"/>
      <c r="I142" s="211"/>
      <c r="J142" s="231"/>
      <c r="K142" s="231"/>
    </row>
    <row r="143" spans="2:11" hidden="1" x14ac:dyDescent="0.25">
      <c r="B143" s="400" t="s">
        <v>418</v>
      </c>
      <c r="C143" s="412"/>
      <c r="D143" s="390"/>
      <c r="F143" s="413"/>
      <c r="G143" s="228" t="str">
        <f t="shared" si="0"/>
        <v/>
      </c>
      <c r="H143" s="211"/>
      <c r="I143" s="211"/>
      <c r="J143" s="231"/>
      <c r="K143" s="231"/>
    </row>
    <row r="144" spans="2:11" hidden="1" x14ac:dyDescent="0.25">
      <c r="B144" s="400" t="s">
        <v>154</v>
      </c>
      <c r="C144" s="412"/>
      <c r="D144" s="390"/>
      <c r="F144" s="413"/>
      <c r="G144" s="228" t="str">
        <f t="shared" si="0"/>
        <v/>
      </c>
      <c r="H144" s="211"/>
      <c r="I144" s="211"/>
      <c r="J144" s="231"/>
      <c r="K144" s="231"/>
    </row>
    <row r="145" spans="2:11" ht="25.5" hidden="1" x14ac:dyDescent="0.25">
      <c r="B145" s="400" t="s">
        <v>155</v>
      </c>
      <c r="C145" s="412"/>
      <c r="D145" s="390"/>
      <c r="F145" s="413"/>
      <c r="G145" s="228" t="str">
        <f t="shared" si="0"/>
        <v/>
      </c>
      <c r="H145" s="211"/>
      <c r="I145" s="211"/>
      <c r="J145" s="231"/>
      <c r="K145" s="231"/>
    </row>
    <row r="146" spans="2:11" hidden="1" x14ac:dyDescent="0.25">
      <c r="B146" s="400" t="s">
        <v>163</v>
      </c>
      <c r="C146" s="412"/>
      <c r="D146" s="390"/>
      <c r="F146" s="413"/>
      <c r="G146" s="228" t="str">
        <f t="shared" si="0"/>
        <v/>
      </c>
      <c r="H146" s="211"/>
      <c r="I146" s="211"/>
      <c r="J146" s="231"/>
      <c r="K146" s="231"/>
    </row>
    <row r="147" spans="2:11" hidden="1" x14ac:dyDescent="0.25">
      <c r="B147" s="368" t="s">
        <v>716</v>
      </c>
      <c r="C147" s="435"/>
      <c r="D147" s="391"/>
      <c r="F147" s="436"/>
      <c r="G147" s="228" t="str">
        <f t="shared" si="0"/>
        <v/>
      </c>
      <c r="H147" s="211"/>
      <c r="I147" s="211"/>
      <c r="J147" s="232"/>
      <c r="K147" s="232"/>
    </row>
    <row r="148" spans="2:11" hidden="1" x14ac:dyDescent="0.25">
      <c r="B148" s="444" t="s">
        <v>697</v>
      </c>
      <c r="C148" s="396"/>
      <c r="D148" s="424"/>
      <c r="F148" s="443"/>
      <c r="G148" s="228" t="str">
        <f t="shared" si="0"/>
        <v/>
      </c>
      <c r="H148" s="211"/>
      <c r="I148" s="211"/>
      <c r="J148" s="445"/>
      <c r="K148" s="445"/>
    </row>
    <row r="149" spans="2:11" hidden="1" x14ac:dyDescent="0.25">
      <c r="B149" s="486" t="s">
        <v>189</v>
      </c>
      <c r="C149" s="480"/>
      <c r="D149" s="480"/>
      <c r="F149" s="613"/>
      <c r="G149" s="228" t="str">
        <f t="shared" si="0"/>
        <v/>
      </c>
      <c r="H149" s="211"/>
      <c r="I149" s="211"/>
      <c r="J149" s="613"/>
      <c r="K149" s="613"/>
    </row>
    <row r="150" spans="2:11" hidden="1" x14ac:dyDescent="0.25">
      <c r="B150" s="400" t="s">
        <v>74</v>
      </c>
      <c r="C150" s="412"/>
      <c r="D150" s="390"/>
      <c r="F150" s="413"/>
      <c r="G150" s="228" t="str">
        <f t="shared" si="0"/>
        <v/>
      </c>
      <c r="H150" s="211"/>
      <c r="I150" s="211"/>
      <c r="J150" s="231"/>
      <c r="K150" s="231"/>
    </row>
    <row r="151" spans="2:11" hidden="1" x14ac:dyDescent="0.25">
      <c r="B151" s="400" t="s">
        <v>151</v>
      </c>
      <c r="C151" s="412"/>
      <c r="D151" s="390"/>
      <c r="F151" s="413"/>
      <c r="G151" s="228" t="str">
        <f t="shared" si="0"/>
        <v/>
      </c>
      <c r="H151" s="211"/>
      <c r="I151" s="211"/>
      <c r="J151" s="231"/>
      <c r="K151" s="231"/>
    </row>
    <row r="152" spans="2:11" hidden="1" x14ac:dyDescent="0.25">
      <c r="B152" s="368" t="s">
        <v>761</v>
      </c>
      <c r="C152" s="435"/>
      <c r="D152" s="391"/>
      <c r="F152" s="436"/>
      <c r="G152" s="228" t="str">
        <f t="shared" si="0"/>
        <v/>
      </c>
      <c r="H152" s="211"/>
      <c r="I152" s="211"/>
      <c r="J152" s="232"/>
      <c r="K152" s="232"/>
    </row>
    <row r="153" spans="2:11" hidden="1" x14ac:dyDescent="0.25">
      <c r="B153" s="441" t="s">
        <v>764</v>
      </c>
      <c r="C153" s="438"/>
      <c r="D153" s="439"/>
      <c r="F153" s="440"/>
      <c r="G153" s="228" t="str">
        <f t="shared" si="0"/>
        <v/>
      </c>
      <c r="H153" s="211"/>
      <c r="I153" s="211"/>
      <c r="J153" s="447"/>
      <c r="K153" s="447"/>
    </row>
    <row r="154" spans="2:11" hidden="1" x14ac:dyDescent="0.25">
      <c r="B154" s="442" t="s">
        <v>765</v>
      </c>
      <c r="C154" s="396"/>
      <c r="D154" s="424"/>
      <c r="F154" s="443"/>
      <c r="G154" s="228" t="str">
        <f t="shared" si="0"/>
        <v/>
      </c>
      <c r="H154" s="211"/>
      <c r="I154" s="211"/>
      <c r="J154" s="445"/>
      <c r="K154" s="445"/>
    </row>
    <row r="155" spans="2:11" hidden="1" x14ac:dyDescent="0.25">
      <c r="B155" s="400" t="s">
        <v>186</v>
      </c>
      <c r="C155" s="412"/>
      <c r="D155" s="390"/>
      <c r="F155" s="413"/>
      <c r="G155" s="228" t="str">
        <f t="shared" si="0"/>
        <v/>
      </c>
      <c r="H155" s="211"/>
      <c r="I155" s="211"/>
      <c r="J155" s="231"/>
      <c r="K155" s="231"/>
    </row>
    <row r="156" spans="2:11" hidden="1" x14ac:dyDescent="0.25">
      <c r="B156" s="400" t="s">
        <v>760</v>
      </c>
      <c r="C156" s="412"/>
      <c r="D156" s="390"/>
      <c r="F156" s="413"/>
      <c r="G156" s="228" t="str">
        <f t="shared" si="0"/>
        <v/>
      </c>
      <c r="H156" s="211"/>
      <c r="I156" s="211"/>
      <c r="J156" s="231"/>
      <c r="K156" s="231"/>
    </row>
    <row r="157" spans="2:11" ht="15" hidden="1" customHeight="1" x14ac:dyDescent="0.25">
      <c r="B157" s="400" t="s">
        <v>706</v>
      </c>
      <c r="C157" s="412"/>
      <c r="D157" s="390"/>
      <c r="F157" s="413"/>
      <c r="G157" s="228" t="str">
        <f t="shared" si="0"/>
        <v/>
      </c>
      <c r="H157" s="211"/>
      <c r="I157" s="211"/>
      <c r="J157" s="231"/>
      <c r="K157" s="231"/>
    </row>
    <row r="158" spans="2:11" hidden="1" x14ac:dyDescent="0.25">
      <c r="B158" s="400" t="s">
        <v>762</v>
      </c>
      <c r="C158" s="412"/>
      <c r="D158" s="390"/>
      <c r="F158" s="413"/>
      <c r="G158" s="228" t="str">
        <f t="shared" si="0"/>
        <v/>
      </c>
      <c r="H158" s="211"/>
      <c r="I158" s="211"/>
      <c r="J158" s="231"/>
      <c r="K158" s="231"/>
    </row>
    <row r="159" spans="2:11" hidden="1" x14ac:dyDescent="0.25">
      <c r="B159" s="486" t="s">
        <v>171</v>
      </c>
      <c r="C159" s="480"/>
      <c r="D159" s="480"/>
      <c r="F159" s="466"/>
      <c r="G159" s="228" t="str">
        <f t="shared" si="0"/>
        <v/>
      </c>
      <c r="H159" s="211"/>
      <c r="I159" s="211"/>
      <c r="J159" s="613"/>
      <c r="K159" s="613"/>
    </row>
    <row r="160" spans="2:11" hidden="1" x14ac:dyDescent="0.25">
      <c r="B160" s="400" t="s">
        <v>74</v>
      </c>
      <c r="C160" s="412"/>
      <c r="D160" s="390"/>
      <c r="F160" s="413"/>
      <c r="G160" s="228" t="str">
        <f t="shared" si="0"/>
        <v/>
      </c>
      <c r="H160" s="211"/>
      <c r="I160" s="211"/>
      <c r="J160" s="231"/>
      <c r="K160" s="231"/>
    </row>
    <row r="161" spans="2:11" hidden="1" x14ac:dyDescent="0.25">
      <c r="B161" s="400" t="s">
        <v>151</v>
      </c>
      <c r="C161" s="412"/>
      <c r="D161" s="390"/>
      <c r="F161" s="413"/>
      <c r="G161" s="228" t="str">
        <f t="shared" si="0"/>
        <v/>
      </c>
      <c r="H161" s="211"/>
      <c r="I161" s="211"/>
      <c r="J161" s="231"/>
      <c r="K161" s="231"/>
    </row>
    <row r="162" spans="2:11" hidden="1" x14ac:dyDescent="0.25">
      <c r="B162" s="400" t="s">
        <v>763</v>
      </c>
      <c r="C162" s="412"/>
      <c r="D162" s="390"/>
      <c r="F162" s="413"/>
      <c r="G162" s="228" t="str">
        <f t="shared" si="0"/>
        <v/>
      </c>
      <c r="H162" s="211"/>
      <c r="I162" s="211"/>
      <c r="J162" s="231"/>
      <c r="K162" s="231"/>
    </row>
    <row r="163" spans="2:11" hidden="1" x14ac:dyDescent="0.25">
      <c r="B163" s="400" t="s">
        <v>186</v>
      </c>
      <c r="C163" s="412"/>
      <c r="D163" s="390"/>
      <c r="F163" s="413"/>
      <c r="G163" s="228" t="str">
        <f t="shared" si="0"/>
        <v/>
      </c>
      <c r="H163" s="211"/>
      <c r="I163" s="211"/>
      <c r="J163" s="231"/>
      <c r="K163" s="231"/>
    </row>
    <row r="164" spans="2:11" hidden="1" x14ac:dyDescent="0.25">
      <c r="B164" s="400" t="s">
        <v>187</v>
      </c>
      <c r="C164" s="412"/>
      <c r="D164" s="390"/>
      <c r="F164" s="413"/>
      <c r="G164" s="228" t="str">
        <f t="shared" si="0"/>
        <v/>
      </c>
      <c r="H164" s="211"/>
      <c r="I164" s="211"/>
      <c r="J164" s="231"/>
      <c r="K164" s="231"/>
    </row>
    <row r="165" spans="2:11" hidden="1" x14ac:dyDescent="0.25">
      <c r="B165" s="400" t="s">
        <v>188</v>
      </c>
      <c r="C165" s="412"/>
      <c r="D165" s="390"/>
      <c r="F165" s="413"/>
      <c r="G165" s="228" t="str">
        <f t="shared" ref="G165:G201" si="1">IF(OR(TRIM(D165)&lt;&gt;"",TRIM(F165)&lt;&gt;""),IF(AND(TRIM(D165)&lt;&gt;"",TRIM(F165)&lt;&gt;""),IF(OR(TRIM(C165)&lt;&gt;TRIM(D165),TRIM(C165)&lt;&gt;TRIM(F165)),"_",""),IF(TRIM(C165)&lt;&gt;TRIM(D165), "_", "")),"")</f>
        <v/>
      </c>
      <c r="H165" s="211"/>
      <c r="I165" s="211"/>
      <c r="J165" s="231"/>
      <c r="K165" s="231"/>
    </row>
    <row r="166" spans="2:11" ht="7.5" customHeight="1" x14ac:dyDescent="0.25">
      <c r="B166" s="211"/>
      <c r="C166" s="228"/>
      <c r="D166" s="228"/>
      <c r="F166" s="275"/>
      <c r="G166" s="228" t="str">
        <f t="shared" si="1"/>
        <v/>
      </c>
      <c r="H166" s="211"/>
      <c r="I166" s="211"/>
      <c r="J166" s="381"/>
    </row>
    <row r="167" spans="2:11" x14ac:dyDescent="0.25">
      <c r="B167" s="523" t="s">
        <v>103</v>
      </c>
      <c r="C167" s="524" t="s">
        <v>62</v>
      </c>
      <c r="D167" s="525" t="s">
        <v>63</v>
      </c>
      <c r="F167" s="526" t="s">
        <v>146</v>
      </c>
      <c r="G167" s="228" t="str">
        <f t="shared" si="1"/>
        <v>_</v>
      </c>
      <c r="H167" s="211"/>
      <c r="I167" s="211"/>
      <c r="J167" s="527" t="s">
        <v>1002</v>
      </c>
      <c r="K167" s="527" t="s">
        <v>363</v>
      </c>
    </row>
    <row r="168" spans="2:11" hidden="1" x14ac:dyDescent="0.25">
      <c r="B168" s="722" t="s">
        <v>1104</v>
      </c>
      <c r="C168" s="435"/>
      <c r="D168" s="391"/>
      <c r="F168" s="436"/>
      <c r="G168" s="228" t="str">
        <f t="shared" si="1"/>
        <v/>
      </c>
      <c r="H168" s="211"/>
      <c r="I168" s="211"/>
      <c r="J168" s="232"/>
      <c r="K168" s="232"/>
    </row>
    <row r="169" spans="2:11" hidden="1" x14ac:dyDescent="0.25">
      <c r="B169" s="441" t="s">
        <v>1105</v>
      </c>
      <c r="C169" s="438"/>
      <c r="D169" s="439"/>
      <c r="F169" s="440"/>
      <c r="G169" s="228" t="str">
        <f t="shared" si="1"/>
        <v/>
      </c>
      <c r="H169" s="211"/>
      <c r="I169" s="211"/>
      <c r="J169" s="447"/>
      <c r="K169" s="447"/>
    </row>
    <row r="170" spans="2:11" hidden="1" x14ac:dyDescent="0.25">
      <c r="B170" s="441" t="s">
        <v>1106</v>
      </c>
      <c r="C170" s="438"/>
      <c r="D170" s="439"/>
      <c r="F170" s="440"/>
      <c r="G170" s="228" t="str">
        <f t="shared" si="1"/>
        <v/>
      </c>
      <c r="H170" s="211"/>
      <c r="I170" s="211"/>
      <c r="J170" s="447"/>
      <c r="K170" s="447"/>
    </row>
    <row r="171" spans="2:11" ht="15" hidden="1" customHeight="1" x14ac:dyDescent="0.25">
      <c r="B171" s="441" t="s">
        <v>1107</v>
      </c>
      <c r="C171" s="438"/>
      <c r="D171" s="439"/>
      <c r="F171" s="440"/>
      <c r="G171" s="228" t="str">
        <f t="shared" si="1"/>
        <v/>
      </c>
      <c r="H171" s="211"/>
      <c r="I171" s="211"/>
      <c r="J171" s="447"/>
      <c r="K171" s="447"/>
    </row>
    <row r="172" spans="2:11" ht="25.5" hidden="1" x14ac:dyDescent="0.25">
      <c r="B172" s="441" t="s">
        <v>1108</v>
      </c>
      <c r="C172" s="438"/>
      <c r="D172" s="439"/>
      <c r="F172" s="440"/>
      <c r="G172" s="228" t="str">
        <f t="shared" si="1"/>
        <v/>
      </c>
      <c r="H172" s="211"/>
      <c r="I172" s="211"/>
      <c r="J172" s="447"/>
      <c r="K172" s="447"/>
    </row>
    <row r="173" spans="2:11" hidden="1" x14ac:dyDescent="0.25">
      <c r="B173" s="441" t="s">
        <v>1109</v>
      </c>
      <c r="C173" s="438"/>
      <c r="D173" s="439"/>
      <c r="F173" s="440"/>
      <c r="G173" s="228" t="str">
        <f t="shared" si="1"/>
        <v/>
      </c>
      <c r="H173" s="211"/>
      <c r="I173" s="211"/>
      <c r="J173" s="447"/>
      <c r="K173" s="447"/>
    </row>
    <row r="174" spans="2:11" hidden="1" x14ac:dyDescent="0.25">
      <c r="B174" s="442" t="s">
        <v>676</v>
      </c>
      <c r="C174" s="396"/>
      <c r="D174" s="424"/>
      <c r="F174" s="443"/>
      <c r="G174" s="228" t="str">
        <f t="shared" si="1"/>
        <v/>
      </c>
      <c r="H174" s="211"/>
      <c r="I174" s="211"/>
      <c r="J174" s="445"/>
      <c r="K174" s="445"/>
    </row>
    <row r="175" spans="2:11" x14ac:dyDescent="0.25">
      <c r="B175" s="673" t="s">
        <v>850</v>
      </c>
      <c r="C175" s="707" t="s">
        <v>1052</v>
      </c>
      <c r="D175" s="708" t="s">
        <v>1052</v>
      </c>
      <c r="F175" s="413"/>
      <c r="G175" s="228" t="str">
        <f t="shared" si="1"/>
        <v/>
      </c>
      <c r="H175" s="211"/>
      <c r="I175" s="211"/>
      <c r="J175" s="231"/>
      <c r="K175" s="231"/>
    </row>
    <row r="176" spans="2:11" x14ac:dyDescent="0.25">
      <c r="B176" s="400" t="s">
        <v>878</v>
      </c>
      <c r="C176" s="709" t="s">
        <v>1053</v>
      </c>
      <c r="D176" s="710" t="s">
        <v>1053</v>
      </c>
      <c r="F176" s="413"/>
      <c r="G176" s="228" t="str">
        <f t="shared" si="1"/>
        <v/>
      </c>
      <c r="H176" s="211"/>
      <c r="I176" s="211"/>
      <c r="J176" s="231"/>
      <c r="K176" s="231"/>
    </row>
    <row r="177" spans="2:11" x14ac:dyDescent="0.25">
      <c r="B177" s="400" t="s">
        <v>851</v>
      </c>
      <c r="C177" s="709" t="s">
        <v>1053</v>
      </c>
      <c r="D177" s="710" t="s">
        <v>1053</v>
      </c>
      <c r="F177" s="413"/>
      <c r="G177" s="228" t="str">
        <f t="shared" si="1"/>
        <v/>
      </c>
      <c r="H177" s="211"/>
      <c r="I177" s="211"/>
      <c r="J177" s="231"/>
      <c r="K177" s="231"/>
    </row>
    <row r="178" spans="2:11" hidden="1" x14ac:dyDescent="0.25">
      <c r="B178" s="400" t="s">
        <v>529</v>
      </c>
      <c r="C178" s="412"/>
      <c r="D178" s="390"/>
      <c r="F178" s="413"/>
      <c r="G178" s="228" t="str">
        <f t="shared" si="1"/>
        <v/>
      </c>
      <c r="H178" s="211"/>
      <c r="I178" s="211"/>
      <c r="J178" s="231"/>
      <c r="K178" s="231"/>
    </row>
    <row r="179" spans="2:11" hidden="1" x14ac:dyDescent="0.25">
      <c r="B179" s="400" t="s">
        <v>525</v>
      </c>
      <c r="C179" s="412"/>
      <c r="D179" s="390"/>
      <c r="F179" s="413"/>
      <c r="G179" s="228" t="str">
        <f t="shared" si="1"/>
        <v/>
      </c>
      <c r="H179" s="211"/>
      <c r="I179" s="211"/>
      <c r="J179" s="231"/>
      <c r="K179" s="231"/>
    </row>
    <row r="180" spans="2:11" hidden="1" x14ac:dyDescent="0.25">
      <c r="B180" s="400" t="s">
        <v>528</v>
      </c>
      <c r="C180" s="412"/>
      <c r="D180" s="390"/>
      <c r="F180" s="413"/>
      <c r="G180" s="228" t="str">
        <f t="shared" si="1"/>
        <v/>
      </c>
      <c r="H180" s="211"/>
      <c r="I180" s="211"/>
      <c r="J180" s="231"/>
      <c r="K180" s="231"/>
    </row>
    <row r="181" spans="2:11" hidden="1" x14ac:dyDescent="0.25">
      <c r="B181" s="400" t="s">
        <v>527</v>
      </c>
      <c r="C181" s="412"/>
      <c r="D181" s="390"/>
      <c r="F181" s="413"/>
      <c r="G181" s="228" t="str">
        <f t="shared" si="1"/>
        <v/>
      </c>
      <c r="H181" s="211"/>
      <c r="I181" s="211"/>
      <c r="J181" s="231"/>
      <c r="K181" s="231"/>
    </row>
    <row r="182" spans="2:11" hidden="1" x14ac:dyDescent="0.25">
      <c r="B182" s="368" t="s">
        <v>718</v>
      </c>
      <c r="C182" s="435"/>
      <c r="D182" s="391"/>
      <c r="F182" s="436"/>
      <c r="G182" s="228" t="str">
        <f t="shared" si="1"/>
        <v/>
      </c>
      <c r="H182" s="211"/>
      <c r="I182" s="211"/>
      <c r="J182" s="232"/>
      <c r="K182" s="232"/>
    </row>
    <row r="183" spans="2:11" ht="45" hidden="1" customHeight="1" x14ac:dyDescent="0.25">
      <c r="B183" s="596" t="s">
        <v>727</v>
      </c>
      <c r="C183" s="396"/>
      <c r="D183" s="424"/>
      <c r="F183" s="443"/>
      <c r="G183" s="228" t="str">
        <f t="shared" si="1"/>
        <v/>
      </c>
      <c r="H183" s="211"/>
      <c r="I183" s="211"/>
      <c r="J183" s="445"/>
      <c r="K183" s="445"/>
    </row>
    <row r="184" spans="2:11" hidden="1" x14ac:dyDescent="0.25">
      <c r="B184" s="368" t="s">
        <v>253</v>
      </c>
      <c r="C184" s="435"/>
      <c r="D184" s="391"/>
      <c r="F184" s="436"/>
      <c r="G184" s="228" t="str">
        <f t="shared" si="1"/>
        <v/>
      </c>
      <c r="H184" s="211"/>
      <c r="I184" s="211"/>
      <c r="J184" s="232"/>
      <c r="K184" s="232"/>
    </row>
    <row r="185" spans="2:11" hidden="1" x14ac:dyDescent="0.25">
      <c r="B185" s="442" t="s">
        <v>983</v>
      </c>
      <c r="C185" s="396"/>
      <c r="D185" s="424"/>
      <c r="F185" s="443"/>
      <c r="G185" s="228" t="str">
        <f t="shared" si="1"/>
        <v/>
      </c>
      <c r="H185" s="211"/>
      <c r="I185" s="211"/>
      <c r="J185" s="445"/>
      <c r="K185" s="445"/>
    </row>
    <row r="186" spans="2:11" hidden="1" x14ac:dyDescent="0.25">
      <c r="B186" s="400" t="s">
        <v>721</v>
      </c>
      <c r="C186" s="412"/>
      <c r="D186" s="390"/>
      <c r="F186" s="413"/>
      <c r="G186" s="228" t="str">
        <f t="shared" si="1"/>
        <v/>
      </c>
      <c r="H186" s="211"/>
      <c r="I186" s="211"/>
      <c r="J186" s="231"/>
      <c r="K186" s="231"/>
    </row>
    <row r="187" spans="2:11" ht="38.25" hidden="1" x14ac:dyDescent="0.25">
      <c r="B187" s="400" t="s">
        <v>156</v>
      </c>
      <c r="C187" s="412"/>
      <c r="D187" s="390"/>
      <c r="F187" s="413"/>
      <c r="G187" s="228" t="str">
        <f t="shared" si="1"/>
        <v/>
      </c>
      <c r="H187" s="211"/>
      <c r="I187" s="211"/>
      <c r="J187" s="231"/>
      <c r="K187" s="231"/>
    </row>
    <row r="188" spans="2:11" hidden="1" x14ac:dyDescent="0.25">
      <c r="B188" s="722" t="s">
        <v>1111</v>
      </c>
      <c r="C188" s="435"/>
      <c r="D188" s="391"/>
      <c r="F188" s="436"/>
      <c r="G188" s="228" t="str">
        <f t="shared" si="1"/>
        <v/>
      </c>
      <c r="H188" s="211"/>
      <c r="I188" s="211"/>
      <c r="J188" s="232"/>
      <c r="K188" s="232"/>
    </row>
    <row r="189" spans="2:11" hidden="1" x14ac:dyDescent="0.25">
      <c r="B189" s="441" t="s">
        <v>1112</v>
      </c>
      <c r="C189" s="438"/>
      <c r="D189" s="439"/>
      <c r="F189" s="440"/>
      <c r="G189" s="228" t="str">
        <f t="shared" si="1"/>
        <v/>
      </c>
      <c r="H189" s="211"/>
      <c r="I189" s="211"/>
      <c r="J189" s="447"/>
      <c r="K189" s="447"/>
    </row>
    <row r="190" spans="2:11" hidden="1" x14ac:dyDescent="0.25">
      <c r="B190" s="442" t="s">
        <v>1113</v>
      </c>
      <c r="C190" s="396"/>
      <c r="D190" s="424"/>
      <c r="F190" s="443"/>
      <c r="G190" s="228" t="str">
        <f t="shared" si="1"/>
        <v/>
      </c>
      <c r="H190" s="211"/>
      <c r="I190" s="211"/>
      <c r="J190" s="445"/>
      <c r="K190" s="445"/>
    </row>
    <row r="191" spans="2:11" ht="7.5" customHeight="1" x14ac:dyDescent="0.25">
      <c r="G191" s="228" t="str">
        <f t="shared" si="1"/>
        <v/>
      </c>
      <c r="J191" s="381"/>
    </row>
    <row r="192" spans="2:11" x14ac:dyDescent="0.25">
      <c r="B192" s="528" t="s">
        <v>359</v>
      </c>
      <c r="C192" s="524" t="s">
        <v>62</v>
      </c>
      <c r="D192" s="525" t="s">
        <v>63</v>
      </c>
      <c r="F192" s="526" t="s">
        <v>146</v>
      </c>
      <c r="G192" s="228" t="str">
        <f t="shared" si="1"/>
        <v>_</v>
      </c>
      <c r="H192" s="211"/>
      <c r="I192" s="211"/>
      <c r="J192" s="527" t="s">
        <v>1002</v>
      </c>
      <c r="K192" s="527" t="s">
        <v>363</v>
      </c>
    </row>
    <row r="193" spans="2:11" x14ac:dyDescent="0.25">
      <c r="B193" s="400" t="s">
        <v>1288</v>
      </c>
      <c r="C193" s="711" t="s">
        <v>1716</v>
      </c>
      <c r="D193" s="712" t="s">
        <v>1716</v>
      </c>
      <c r="F193" s="413"/>
      <c r="G193" s="228" t="str">
        <f t="shared" si="1"/>
        <v/>
      </c>
      <c r="H193" s="211"/>
      <c r="I193" s="211"/>
      <c r="J193" s="231"/>
      <c r="K193" s="231"/>
    </row>
    <row r="194" spans="2:11" x14ac:dyDescent="0.25">
      <c r="B194" s="722" t="s">
        <v>165</v>
      </c>
      <c r="C194" s="711" t="s">
        <v>1717</v>
      </c>
      <c r="D194" s="712" t="s">
        <v>1717</v>
      </c>
      <c r="F194" s="413"/>
      <c r="G194" s="228" t="str">
        <f t="shared" si="1"/>
        <v/>
      </c>
      <c r="H194" s="211"/>
      <c r="I194" s="211"/>
      <c r="J194" s="231"/>
      <c r="K194" s="231"/>
    </row>
    <row r="195" spans="2:11" x14ac:dyDescent="0.25">
      <c r="B195" s="722" t="s">
        <v>1381</v>
      </c>
      <c r="C195" s="711" t="s">
        <v>1718</v>
      </c>
      <c r="D195" s="712" t="s">
        <v>1718</v>
      </c>
      <c r="F195" s="413"/>
      <c r="G195" s="228" t="str">
        <f t="shared" si="1"/>
        <v/>
      </c>
      <c r="H195" s="211"/>
      <c r="I195" s="211"/>
      <c r="J195" s="231"/>
      <c r="K195" s="231"/>
    </row>
    <row r="196" spans="2:11" ht="15" customHeight="1" x14ac:dyDescent="0.25">
      <c r="B196" s="722" t="s">
        <v>1384</v>
      </c>
      <c r="C196" s="711" t="s">
        <v>1290</v>
      </c>
      <c r="D196" s="390" t="s">
        <v>1290</v>
      </c>
      <c r="F196" s="413"/>
      <c r="G196" s="228" t="str">
        <f t="shared" si="1"/>
        <v/>
      </c>
      <c r="H196" s="211"/>
      <c r="I196" s="211"/>
      <c r="J196" s="231"/>
      <c r="K196" s="231"/>
    </row>
    <row r="197" spans="2:11" x14ac:dyDescent="0.25">
      <c r="B197" s="771" t="s">
        <v>1289</v>
      </c>
      <c r="C197" s="711" t="s">
        <v>1291</v>
      </c>
      <c r="D197" s="390" t="s">
        <v>1291</v>
      </c>
      <c r="F197" s="413"/>
      <c r="G197" s="228" t="str">
        <f t="shared" si="1"/>
        <v/>
      </c>
      <c r="H197" s="211"/>
      <c r="I197" s="211"/>
      <c r="J197" s="231"/>
      <c r="K197" s="231"/>
    </row>
    <row r="198" spans="2:11" ht="15" customHeight="1" x14ac:dyDescent="0.25">
      <c r="B198" s="771" t="s">
        <v>1719</v>
      </c>
      <c r="C198" s="711" t="s">
        <v>1720</v>
      </c>
      <c r="D198" s="390" t="s">
        <v>1720</v>
      </c>
      <c r="F198" s="413"/>
      <c r="G198" s="228" t="str">
        <f t="shared" si="1"/>
        <v/>
      </c>
      <c r="H198" s="211"/>
      <c r="I198" s="211"/>
      <c r="J198" s="231"/>
      <c r="K198" s="231"/>
    </row>
    <row r="199" spans="2:11" x14ac:dyDescent="0.25">
      <c r="B199" s="673" t="s">
        <v>1331</v>
      </c>
      <c r="C199" s="711" t="s">
        <v>1292</v>
      </c>
      <c r="D199" s="390" t="s">
        <v>1292</v>
      </c>
      <c r="F199" s="413"/>
      <c r="G199" s="228" t="str">
        <f t="shared" si="1"/>
        <v/>
      </c>
      <c r="H199" s="211"/>
      <c r="I199" s="211"/>
      <c r="J199" s="231"/>
      <c r="K199" s="231"/>
    </row>
    <row r="200" spans="2:11" x14ac:dyDescent="0.25">
      <c r="B200" s="673" t="s">
        <v>1382</v>
      </c>
      <c r="C200" s="711" t="s">
        <v>1293</v>
      </c>
      <c r="D200" s="390" t="s">
        <v>1293</v>
      </c>
      <c r="F200" s="413"/>
      <c r="G200" s="228" t="str">
        <f t="shared" si="1"/>
        <v/>
      </c>
      <c r="H200" s="211"/>
      <c r="I200" s="211"/>
      <c r="J200" s="231"/>
      <c r="K200" s="231"/>
    </row>
    <row r="201" spans="2:11" x14ac:dyDescent="0.25">
      <c r="G201" s="228" t="str">
        <f t="shared" si="1"/>
        <v/>
      </c>
    </row>
  </sheetData>
  <mergeCells count="4">
    <mergeCell ref="B92:D92"/>
    <mergeCell ref="B95:D95"/>
    <mergeCell ref="B96:F96"/>
    <mergeCell ref="B93:D93"/>
  </mergeCells>
  <conditionalFormatting sqref="G1:G23 G26:G54 G56:G1048576">
    <cfRule type="cellIs" dxfId="225" priority="29" operator="equal">
      <formula>"_"</formula>
    </cfRule>
  </conditionalFormatting>
  <conditionalFormatting sqref="G24:G25">
    <cfRule type="cellIs" dxfId="224" priority="21" operator="equal">
      <formula>"_"</formula>
    </cfRule>
  </conditionalFormatting>
  <conditionalFormatting sqref="G55">
    <cfRule type="cellIs" dxfId="223" priority="3"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Business Auto</oddHeader>
    <oddFooter>&amp;L&amp;G&amp;CPage &amp;P of &amp;N</oddFooter>
  </headerFooter>
  <rowBreaks count="1" manualBreakCount="1">
    <brk id="111" min="1" max="3" man="1"/>
  </row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B1:M146"/>
  <sheetViews>
    <sheetView showGridLines="0" view="pageBreakPreview" zoomScale="115" zoomScaleNormal="100" zoomScaleSheetLayoutView="115" workbookViewId="0">
      <selection activeCell="K91" sqref="K91"/>
    </sheetView>
  </sheetViews>
  <sheetFormatPr defaultColWidth="9.140625" defaultRowHeight="15" x14ac:dyDescent="0.25"/>
  <cols>
    <col min="1" max="1" width="2.28515625" style="452" customWidth="1"/>
    <col min="2" max="2" width="46.42578125" style="452"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452" customWidth="1"/>
    <col min="13" max="13" width="24" style="452" customWidth="1"/>
    <col min="14" max="53" width="9.140625" style="452" customWidth="1"/>
    <col min="54" max="16384" width="9.140625" style="452"/>
  </cols>
  <sheetData>
    <row r="1" spans="2:13" ht="7.5" customHeight="1" x14ac:dyDescent="0.25">
      <c r="E1" s="450"/>
    </row>
    <row r="2" spans="2:13" ht="15.75" x14ac:dyDescent="0.2">
      <c r="B2" s="607" t="str">
        <f>Input!B359</f>
        <v>T5CS Umbrella</v>
      </c>
      <c r="C2" s="577"/>
      <c r="E2" s="450"/>
      <c r="H2" s="454"/>
      <c r="I2" s="455"/>
      <c r="J2" s="455"/>
      <c r="L2" s="456" t="s">
        <v>391</v>
      </c>
      <c r="M2" s="381" t="s">
        <v>361</v>
      </c>
    </row>
    <row r="3" spans="2:13" x14ac:dyDescent="0.25">
      <c r="D3" s="455" t="str">
        <f xml:space="preserve"> IF(Input!D363=Input!G363,CHAR(254), "")</f>
        <v/>
      </c>
      <c r="E3" s="457"/>
      <c r="F3" s="458" t="str">
        <f xml:space="preserve"> IF(Input!E363=Input!G363,CHAR(254), "")</f>
        <v/>
      </c>
      <c r="L3" s="459" t="s">
        <v>157</v>
      </c>
      <c r="M3" s="211" t="s">
        <v>362</v>
      </c>
    </row>
    <row r="4" spans="2:13" x14ac:dyDescent="0.25">
      <c r="B4" s="528" t="s">
        <v>66</v>
      </c>
      <c r="C4" s="524" t="s">
        <v>62</v>
      </c>
      <c r="D4" s="525" t="s">
        <v>63</v>
      </c>
      <c r="E4" s="426"/>
      <c r="F4" s="526" t="s">
        <v>146</v>
      </c>
      <c r="J4" s="527" t="s">
        <v>1002</v>
      </c>
      <c r="K4" s="527" t="s">
        <v>363</v>
      </c>
      <c r="L4" s="460"/>
      <c r="M4" s="211"/>
    </row>
    <row r="5" spans="2:13" ht="45" customHeight="1" x14ac:dyDescent="0.25">
      <c r="B5" s="400" t="s">
        <v>60</v>
      </c>
      <c r="C5" s="412" t="str">
        <f>Input!B364</f>
        <v>The Continental Insurance Company (CNA)</v>
      </c>
      <c r="D5" s="390" t="str">
        <f>Input!D364</f>
        <v>The Continental Insurance Company (CNA)</v>
      </c>
      <c r="F5" s="413" t="str">
        <f>Input!E364</f>
        <v>The Continental Insurance Company (CNA)</v>
      </c>
      <c r="J5" s="231"/>
      <c r="K5" s="231"/>
    </row>
    <row r="6" spans="2:13" x14ac:dyDescent="0.25">
      <c r="B6" s="400" t="s">
        <v>69</v>
      </c>
      <c r="C6" s="412" t="str">
        <f>Input!B366</f>
        <v>A: XV</v>
      </c>
      <c r="D6" s="390" t="str">
        <f>Input!D366</f>
        <v>A: XV</v>
      </c>
      <c r="F6" s="413" t="str">
        <f>Input!E366</f>
        <v>A: XV</v>
      </c>
      <c r="J6" s="231"/>
      <c r="K6" s="231"/>
    </row>
    <row r="7" spans="2:13" x14ac:dyDescent="0.25">
      <c r="B7" s="400" t="str">
        <f>Input!B362</f>
        <v>Renewal Policy Number</v>
      </c>
      <c r="C7" s="412">
        <f>Input!C361</f>
        <v>6080930229</v>
      </c>
      <c r="D7" s="390">
        <f>Input!C362</f>
        <v>6080930229</v>
      </c>
      <c r="F7" s="413">
        <f>Input!C362</f>
        <v>6080930229</v>
      </c>
      <c r="J7" s="231"/>
      <c r="K7" s="231"/>
    </row>
    <row r="8" spans="2:13" ht="15" customHeight="1" x14ac:dyDescent="0.25">
      <c r="B8" s="400" t="str">
        <f>Input!B6</f>
        <v>Renewal Policy Period</v>
      </c>
      <c r="C8" s="412" t="str">
        <f>Input!C5</f>
        <v>7/1/2022 - 7/1/2023</v>
      </c>
      <c r="D8" s="390" t="str">
        <f>Input!C6</f>
        <v>7/1/2023 - 7/1/2024</v>
      </c>
      <c r="F8" s="413" t="str">
        <f>Input!C6</f>
        <v>7/1/2023 - 7/1/2024</v>
      </c>
      <c r="J8" s="231"/>
      <c r="K8" s="231"/>
    </row>
    <row r="9" spans="2:13" x14ac:dyDescent="0.25">
      <c r="B9" s="400" t="s">
        <v>18</v>
      </c>
      <c r="C9" s="398">
        <f>Input!I385</f>
        <v>10000000</v>
      </c>
      <c r="D9" s="425">
        <f>Input!I386</f>
        <v>10000000</v>
      </c>
      <c r="E9" s="414"/>
      <c r="F9" s="427">
        <f>Input!I387</f>
        <v>0</v>
      </c>
      <c r="J9" s="231"/>
      <c r="K9" s="231"/>
    </row>
    <row r="10" spans="2:13" x14ac:dyDescent="0.25">
      <c r="B10" s="400" t="s">
        <v>71</v>
      </c>
      <c r="C10" s="398">
        <f>Input!J385</f>
        <v>10000000</v>
      </c>
      <c r="D10" s="425">
        <f>Input!J386</f>
        <v>10000000</v>
      </c>
      <c r="E10" s="414"/>
      <c r="F10" s="427">
        <f>Input!J387</f>
        <v>0</v>
      </c>
      <c r="J10" s="231"/>
      <c r="K10" s="231"/>
    </row>
    <row r="11" spans="2:13" x14ac:dyDescent="0.25">
      <c r="B11" s="474" t="str">
        <f>Input!K383</f>
        <v>Self-Insured Retention</v>
      </c>
      <c r="C11" s="403">
        <f>Input!K385</f>
        <v>10000</v>
      </c>
      <c r="D11" s="431">
        <f>Input!K386</f>
        <v>10000</v>
      </c>
      <c r="E11" s="414"/>
      <c r="F11" s="430">
        <f>Input!K387</f>
        <v>0</v>
      </c>
      <c r="J11" s="231"/>
      <c r="K11" s="231"/>
    </row>
    <row r="12" spans="2:13" s="16" customFormat="1" x14ac:dyDescent="0.25">
      <c r="B12" s="479" t="s">
        <v>367</v>
      </c>
      <c r="C12" s="479"/>
      <c r="D12" s="479"/>
      <c r="E12" s="228"/>
      <c r="F12" s="562"/>
      <c r="G12" s="211"/>
      <c r="H12" s="211"/>
      <c r="I12" s="211"/>
      <c r="J12" s="566"/>
      <c r="K12" s="566"/>
    </row>
    <row r="13" spans="2:13" x14ac:dyDescent="0.25">
      <c r="B13" s="368" t="s">
        <v>343</v>
      </c>
      <c r="C13" s="428">
        <f>Input!B368</f>
        <v>50817</v>
      </c>
      <c r="D13" s="425">
        <f>Input!D368</f>
        <v>47374</v>
      </c>
      <c r="E13" s="414"/>
      <c r="F13" s="427">
        <f>Input!E368</f>
        <v>47374</v>
      </c>
      <c r="J13" s="231"/>
      <c r="K13" s="231"/>
    </row>
    <row r="14" spans="2:13" x14ac:dyDescent="0.25">
      <c r="B14" s="368" t="s">
        <v>366</v>
      </c>
      <c r="C14" s="428">
        <f>Input!B374</f>
        <v>0</v>
      </c>
      <c r="D14" s="425">
        <f>Input!D374</f>
        <v>0</v>
      </c>
      <c r="E14" s="414"/>
      <c r="F14" s="427">
        <f>Input!E374</f>
        <v>0</v>
      </c>
      <c r="J14" s="231"/>
      <c r="K14" s="231"/>
    </row>
    <row r="15" spans="2:13" x14ac:dyDescent="0.25">
      <c r="B15" s="368" t="s">
        <v>365</v>
      </c>
      <c r="C15" s="429">
        <f>Input!B376</f>
        <v>0</v>
      </c>
      <c r="D15" s="431">
        <f>Input!D376</f>
        <v>0</v>
      </c>
      <c r="E15" s="414"/>
      <c r="F15" s="430">
        <f>Input!E376</f>
        <v>0</v>
      </c>
      <c r="J15" s="231"/>
      <c r="K15" s="231"/>
    </row>
    <row r="16" spans="2:13" x14ac:dyDescent="0.25">
      <c r="B16" s="400" t="s">
        <v>368</v>
      </c>
      <c r="C16" s="428">
        <f>Input!B378</f>
        <v>50817</v>
      </c>
      <c r="D16" s="425">
        <f>Input!D378</f>
        <v>47374</v>
      </c>
      <c r="F16" s="427">
        <f>Input!E378</f>
        <v>47374</v>
      </c>
      <c r="J16" s="231"/>
      <c r="K16" s="231"/>
    </row>
    <row r="17" spans="2:11" ht="7.5" customHeight="1" x14ac:dyDescent="0.25">
      <c r="B17" s="211"/>
      <c r="C17" s="414"/>
      <c r="D17" s="414"/>
      <c r="E17" s="238"/>
      <c r="F17" s="461"/>
      <c r="J17" s="381"/>
    </row>
    <row r="18" spans="2:11" x14ac:dyDescent="0.25">
      <c r="B18" s="475" t="str">
        <f>Input!B389</f>
        <v>Schedule of Underlying Insurance</v>
      </c>
      <c r="C18" s="414"/>
      <c r="D18" s="414"/>
      <c r="E18" s="432"/>
      <c r="F18" s="461"/>
      <c r="J18" s="381"/>
    </row>
    <row r="19" spans="2:11" x14ac:dyDescent="0.25">
      <c r="B19" s="486" t="str">
        <f>Input!B391</f>
        <v>Commercial General Liability</v>
      </c>
      <c r="C19" s="560"/>
      <c r="D19" s="560"/>
      <c r="E19" s="433"/>
      <c r="F19" s="529"/>
      <c r="J19" s="566"/>
      <c r="K19" s="566"/>
    </row>
    <row r="20" spans="2:11" x14ac:dyDescent="0.25">
      <c r="B20" s="383" t="str">
        <f>Input!G390</f>
        <v>Policy Number</v>
      </c>
      <c r="C20" s="424">
        <f>Input!C391</f>
        <v>6080912085</v>
      </c>
      <c r="D20" s="424">
        <f>Input!G391</f>
        <v>6080912085</v>
      </c>
      <c r="E20" s="434"/>
      <c r="F20" s="424">
        <f>Input!G391</f>
        <v>6080912085</v>
      </c>
      <c r="J20" s="231"/>
      <c r="K20" s="231"/>
    </row>
    <row r="21" spans="2:11" x14ac:dyDescent="0.25">
      <c r="B21" s="294" t="str">
        <f>Input!H390</f>
        <v>Limits of Liability</v>
      </c>
      <c r="C21" s="425">
        <f>Input!D391</f>
        <v>1000000</v>
      </c>
      <c r="D21" s="425">
        <f>Input!H391</f>
        <v>1000000</v>
      </c>
      <c r="F21" s="425">
        <f>D21</f>
        <v>1000000</v>
      </c>
      <c r="J21" s="231"/>
      <c r="K21" s="231"/>
    </row>
    <row r="22" spans="2:11" ht="30" customHeight="1" x14ac:dyDescent="0.25">
      <c r="B22" s="294" t="str">
        <f>Input!I390</f>
        <v>Insurer</v>
      </c>
      <c r="C22" s="390" t="str">
        <f>Input!E391</f>
        <v>Continental Insurance Company (CNA)</v>
      </c>
      <c r="D22" s="390" t="str">
        <f>Input!I391</f>
        <v>Continental Insurance Company (CNA)</v>
      </c>
      <c r="F22" s="390" t="str">
        <f>D22</f>
        <v>Continental Insurance Company (CNA)</v>
      </c>
      <c r="J22" s="231"/>
      <c r="K22" s="231"/>
    </row>
    <row r="23" spans="2:11" ht="15" customHeight="1" x14ac:dyDescent="0.25">
      <c r="B23" s="382" t="str">
        <f>Input!J390</f>
        <v>Policy Period</v>
      </c>
      <c r="C23" s="391" t="str">
        <f>Input!F391</f>
        <v>7/1/2022 - 7/1/2023</v>
      </c>
      <c r="D23" s="391" t="str">
        <f>Input!J391</f>
        <v>7/1/2023 - 7/1/2024</v>
      </c>
      <c r="E23" s="426"/>
      <c r="F23" s="391" t="str">
        <f>Input!J391</f>
        <v>7/1/2023 - 7/1/2024</v>
      </c>
      <c r="J23" s="231"/>
      <c r="K23" s="231"/>
    </row>
    <row r="24" spans="2:11" hidden="1" x14ac:dyDescent="0.25">
      <c r="B24" s="486" t="str">
        <f>Input!B392</f>
        <v>Employee Benefits Liability</v>
      </c>
      <c r="C24" s="560"/>
      <c r="D24" s="560"/>
      <c r="F24" s="529"/>
      <c r="J24" s="566"/>
      <c r="K24" s="566"/>
    </row>
    <row r="25" spans="2:11" hidden="1" x14ac:dyDescent="0.25">
      <c r="B25" s="383" t="str">
        <f>Input!G390</f>
        <v>Policy Number</v>
      </c>
      <c r="C25" s="424">
        <f>Input!C392</f>
        <v>6080912085</v>
      </c>
      <c r="D25" s="424">
        <f>Input!G392</f>
        <v>6080912085</v>
      </c>
      <c r="F25" s="424">
        <f>Input!G392</f>
        <v>6080912085</v>
      </c>
      <c r="J25" s="231"/>
      <c r="K25" s="231"/>
    </row>
    <row r="26" spans="2:11" hidden="1" x14ac:dyDescent="0.25">
      <c r="B26" s="383" t="str">
        <f>Input!H390</f>
        <v>Limits of Liability</v>
      </c>
      <c r="C26" s="476">
        <f>Input!D392</f>
        <v>1000000</v>
      </c>
      <c r="D26" s="425">
        <f>Input!H392</f>
        <v>1000000</v>
      </c>
      <c r="F26" s="425">
        <f>D26</f>
        <v>1000000</v>
      </c>
      <c r="J26" s="231"/>
      <c r="K26" s="231"/>
    </row>
    <row r="27" spans="2:11" ht="38.25" hidden="1" x14ac:dyDescent="0.25">
      <c r="B27" s="383" t="str">
        <f>Input!I390</f>
        <v>Insurer</v>
      </c>
      <c r="C27" s="424" t="str">
        <f>Input!E392</f>
        <v>Continental Insurance Company (CNA)</v>
      </c>
      <c r="D27" s="390" t="str">
        <f>Input!I392</f>
        <v>Continental Insurance Company (CNA)</v>
      </c>
      <c r="F27" s="390" t="str">
        <f>D27</f>
        <v>Continental Insurance Company (CNA)</v>
      </c>
      <c r="J27" s="231"/>
      <c r="K27" s="231"/>
    </row>
    <row r="28" spans="2:11" ht="15" hidden="1" customHeight="1" x14ac:dyDescent="0.25">
      <c r="B28" s="384" t="str">
        <f>Input!J390</f>
        <v>Policy Period</v>
      </c>
      <c r="C28" s="391" t="str">
        <f>Input!F392</f>
        <v>7/1/2022 - 7/1/2023</v>
      </c>
      <c r="D28" s="391" t="str">
        <f>Input!J392</f>
        <v>7/1/2023 - 7/1/2024</v>
      </c>
      <c r="F28" s="391" t="str">
        <f>Input!J392</f>
        <v>7/1/2023 - 7/1/2024</v>
      </c>
      <c r="J28" s="231"/>
      <c r="K28" s="231"/>
    </row>
    <row r="29" spans="2:11" hidden="1" x14ac:dyDescent="0.25">
      <c r="B29" s="486" t="str">
        <f>Input!B393</f>
        <v>Employer's Liability</v>
      </c>
      <c r="C29" s="560"/>
      <c r="D29" s="560"/>
      <c r="F29" s="529"/>
      <c r="J29" s="566"/>
      <c r="K29" s="566"/>
    </row>
    <row r="30" spans="2:11" hidden="1" x14ac:dyDescent="0.25">
      <c r="B30" s="383" t="str">
        <f>Input!G390</f>
        <v>Policy Number</v>
      </c>
      <c r="C30" s="424">
        <f>Input!C393</f>
        <v>6080910403</v>
      </c>
      <c r="D30" s="424">
        <f>Input!G393</f>
        <v>6080910403</v>
      </c>
      <c r="F30" s="424">
        <f>Input!G393</f>
        <v>6080910403</v>
      </c>
      <c r="J30" s="231"/>
      <c r="K30" s="231"/>
    </row>
    <row r="31" spans="2:11" hidden="1" x14ac:dyDescent="0.25">
      <c r="B31" s="383" t="str">
        <f>Input!H390</f>
        <v>Limits of Liability</v>
      </c>
      <c r="C31" s="476">
        <f>Input!D393</f>
        <v>1000000</v>
      </c>
      <c r="D31" s="425">
        <f>Input!H393</f>
        <v>1000000</v>
      </c>
      <c r="F31" s="425">
        <f>D31</f>
        <v>1000000</v>
      </c>
      <c r="J31" s="231"/>
      <c r="K31" s="231"/>
    </row>
    <row r="32" spans="2:11" ht="38.25" hidden="1" x14ac:dyDescent="0.25">
      <c r="B32" s="383" t="str">
        <f>Input!I390</f>
        <v>Insurer</v>
      </c>
      <c r="C32" s="424" t="str">
        <f>Input!E393</f>
        <v>The Continental Insurance Company (CNA)</v>
      </c>
      <c r="D32" s="390" t="str">
        <f>Input!I393</f>
        <v>American Casualty Company Of Reading, PA</v>
      </c>
      <c r="F32" s="390" t="str">
        <f>D32</f>
        <v>American Casualty Company Of Reading, PA</v>
      </c>
      <c r="J32" s="231"/>
      <c r="K32" s="231"/>
    </row>
    <row r="33" spans="2:11" ht="15" hidden="1" customHeight="1" x14ac:dyDescent="0.25">
      <c r="B33" s="384" t="str">
        <f>Input!J390</f>
        <v>Policy Period</v>
      </c>
      <c r="C33" s="391" t="str">
        <f>Input!F393</f>
        <v>7/1/2022 - 7/1/2023</v>
      </c>
      <c r="D33" s="391" t="str">
        <f>Input!J393</f>
        <v>7/1/2023 - 7/1/2024</v>
      </c>
      <c r="F33" s="391" t="str">
        <f>Input!J393</f>
        <v>7/1/2023 - 7/1/2024</v>
      </c>
      <c r="J33" s="231"/>
      <c r="K33" s="231"/>
    </row>
    <row r="34" spans="2:11" hidden="1" x14ac:dyDescent="0.25">
      <c r="B34" s="486" t="str">
        <f>Input!B394</f>
        <v>Stop Gap</v>
      </c>
      <c r="C34" s="560"/>
      <c r="D34" s="560"/>
      <c r="F34" s="529"/>
      <c r="J34" s="566"/>
      <c r="K34" s="566"/>
    </row>
    <row r="35" spans="2:11" hidden="1" x14ac:dyDescent="0.25">
      <c r="B35" s="383" t="str">
        <f>Input!C390</f>
        <v>Policy Number</v>
      </c>
      <c r="C35" s="424">
        <f>Input!C394</f>
        <v>0</v>
      </c>
      <c r="D35" s="424">
        <f>Input!G394</f>
        <v>0</v>
      </c>
      <c r="F35" s="424">
        <f>Input!G394</f>
        <v>0</v>
      </c>
      <c r="J35" s="231"/>
      <c r="K35" s="231"/>
    </row>
    <row r="36" spans="2:11" hidden="1" x14ac:dyDescent="0.25">
      <c r="B36" s="383" t="str">
        <f>Input!D390</f>
        <v>Limits of Liability</v>
      </c>
      <c r="C36" s="476">
        <f>Input!D394</f>
        <v>0</v>
      </c>
      <c r="D36" s="425">
        <f>Input!H394</f>
        <v>0</v>
      </c>
      <c r="F36" s="425">
        <f>Input!H394</f>
        <v>0</v>
      </c>
      <c r="J36" s="231"/>
      <c r="K36" s="231"/>
    </row>
    <row r="37" spans="2:11" hidden="1" x14ac:dyDescent="0.25">
      <c r="B37" s="383" t="str">
        <f>Input!E390</f>
        <v>Insurer</v>
      </c>
      <c r="C37" s="424">
        <f>Input!E394</f>
        <v>0</v>
      </c>
      <c r="D37" s="390">
        <f>Input!I394</f>
        <v>0</v>
      </c>
      <c r="F37" s="390">
        <f>Input!I394</f>
        <v>0</v>
      </c>
      <c r="J37" s="231"/>
      <c r="K37" s="231"/>
    </row>
    <row r="38" spans="2:11" ht="15" hidden="1" customHeight="1" x14ac:dyDescent="0.25">
      <c r="B38" s="384" t="str">
        <f>Input!F390</f>
        <v>Policy Period</v>
      </c>
      <c r="C38" s="813" t="str">
        <f>Input!F394</f>
        <v>7/1/2023 - 7/1/2024</v>
      </c>
      <c r="D38" s="391" t="str">
        <f>Input!J394</f>
        <v>7/1/2022 - 7/1/2023</v>
      </c>
      <c r="F38" s="391" t="str">
        <f>Input!J394</f>
        <v>7/1/2022 - 7/1/2023</v>
      </c>
      <c r="J38" s="231"/>
      <c r="K38" s="231"/>
    </row>
    <row r="39" spans="2:11" x14ac:dyDescent="0.25">
      <c r="B39" s="486" t="str">
        <f>Input!B395</f>
        <v>Auto Liability</v>
      </c>
      <c r="C39" s="560"/>
      <c r="D39" s="560"/>
      <c r="F39" s="529"/>
      <c r="J39" s="566"/>
      <c r="K39" s="566"/>
    </row>
    <row r="40" spans="2:11" x14ac:dyDescent="0.25">
      <c r="B40" s="383" t="str">
        <f>Input!G390</f>
        <v>Policy Number</v>
      </c>
      <c r="C40" s="424">
        <f>Input!C395</f>
        <v>6081081573</v>
      </c>
      <c r="D40" s="424">
        <f>Input!C447</f>
        <v>6080917903</v>
      </c>
      <c r="F40" s="424">
        <f>Input!G395</f>
        <v>6081081573</v>
      </c>
      <c r="J40" s="231"/>
      <c r="K40" s="231"/>
    </row>
    <row r="41" spans="2:11" x14ac:dyDescent="0.25">
      <c r="B41" s="383" t="str">
        <f>Input!H390</f>
        <v>Limits of Liability</v>
      </c>
      <c r="C41" s="476">
        <f>Input!D395</f>
        <v>1000000</v>
      </c>
      <c r="D41" s="425">
        <f>Input!H395</f>
        <v>1000000</v>
      </c>
      <c r="F41" s="425">
        <f>D41</f>
        <v>1000000</v>
      </c>
      <c r="J41" s="231"/>
      <c r="K41" s="231"/>
    </row>
    <row r="42" spans="2:11" ht="45.75" customHeight="1" x14ac:dyDescent="0.25">
      <c r="B42" s="383" t="str">
        <f>Input!I390</f>
        <v>Insurer</v>
      </c>
      <c r="C42" s="424" t="str">
        <f>Input!E395</f>
        <v>Valley Forge Insurance Company (CNA)</v>
      </c>
      <c r="D42" s="390" t="str">
        <f>Input!I395</f>
        <v>Valley Forge Insurance Company (CNA)</v>
      </c>
      <c r="F42" s="390" t="str">
        <f>D42</f>
        <v>Valley Forge Insurance Company (CNA)</v>
      </c>
      <c r="J42" s="231"/>
      <c r="K42" s="231"/>
    </row>
    <row r="43" spans="2:11" ht="15" customHeight="1" x14ac:dyDescent="0.25">
      <c r="B43" s="294" t="str">
        <f>Input!J390</f>
        <v>Policy Period</v>
      </c>
      <c r="C43" s="390" t="str">
        <f>Input!F395</f>
        <v>7/1/2022 - 7/1/2023</v>
      </c>
      <c r="D43" s="390" t="str">
        <f>Input!J395</f>
        <v>7/1/2023 - 7/1/2024</v>
      </c>
      <c r="F43" s="391" t="str">
        <f>Input!J395</f>
        <v>7/1/2023 - 7/1/2024</v>
      </c>
      <c r="J43" s="231"/>
      <c r="K43" s="231"/>
    </row>
    <row r="44" spans="2:11" x14ac:dyDescent="0.25">
      <c r="B44" s="486" t="str">
        <f>Input!B396</f>
        <v>Foreign General Liability</v>
      </c>
      <c r="C44" s="560"/>
      <c r="D44" s="560"/>
      <c r="F44" s="529"/>
      <c r="J44" s="566"/>
      <c r="K44" s="566"/>
    </row>
    <row r="45" spans="2:11" x14ac:dyDescent="0.25">
      <c r="B45" s="383" t="str">
        <f>Input!G390</f>
        <v>Policy Number</v>
      </c>
      <c r="C45" s="424" t="str">
        <f>Input!C396</f>
        <v>PST 67 337 8561</v>
      </c>
      <c r="D45" s="424" t="str">
        <f>Input!G396</f>
        <v>PST 73 488 5104</v>
      </c>
      <c r="F45" s="424" t="str">
        <f>Input!G396</f>
        <v>PST 73 488 5104</v>
      </c>
      <c r="J45" s="231"/>
      <c r="K45" s="231"/>
    </row>
    <row r="46" spans="2:11" x14ac:dyDescent="0.25">
      <c r="B46" s="383" t="str">
        <f>Input!H390</f>
        <v>Limits of Liability</v>
      </c>
      <c r="C46" s="476">
        <f>Input!D396</f>
        <v>1000000</v>
      </c>
      <c r="D46" s="425">
        <f>Input!H396</f>
        <v>1000000</v>
      </c>
      <c r="F46" s="425">
        <f>D46</f>
        <v>1000000</v>
      </c>
      <c r="J46" s="231"/>
      <c r="K46" s="231"/>
    </row>
    <row r="47" spans="2:11" ht="45" customHeight="1" x14ac:dyDescent="0.25">
      <c r="B47" s="383" t="str">
        <f>Input!I390</f>
        <v>Insurer</v>
      </c>
      <c r="C47" s="424" t="str">
        <f>Input!E396</f>
        <v>The Continental Insurance Company (CNA)</v>
      </c>
      <c r="D47" s="390" t="str">
        <f>Input!I396</f>
        <v>The Continental Insurance Company (CNA)</v>
      </c>
      <c r="F47" s="390" t="str">
        <f>D47</f>
        <v>The Continental Insurance Company (CNA)</v>
      </c>
      <c r="J47" s="231"/>
      <c r="K47" s="231"/>
    </row>
    <row r="48" spans="2:11" ht="30" customHeight="1" x14ac:dyDescent="0.25">
      <c r="B48" s="384" t="str">
        <f>Input!J390</f>
        <v>Policy Period</v>
      </c>
      <c r="C48" s="391" t="str">
        <f>Input!F396</f>
        <v>10/16/2020 - 10/16/2021</v>
      </c>
      <c r="D48" s="391" t="str">
        <f>Input!J396</f>
        <v>10/16/2020 - 10/16/2021</v>
      </c>
      <c r="F48" s="391" t="str">
        <f>Input!J396</f>
        <v>10/16/2020 - 10/16/2021</v>
      </c>
      <c r="J48" s="231"/>
      <c r="K48" s="231"/>
    </row>
    <row r="49" spans="2:11" x14ac:dyDescent="0.25">
      <c r="B49" s="486" t="str">
        <f>Input!B397</f>
        <v>Foreign Employee Benefits Liability</v>
      </c>
      <c r="C49" s="560"/>
      <c r="D49" s="560"/>
      <c r="F49" s="529"/>
      <c r="J49" s="566"/>
      <c r="K49" s="566"/>
    </row>
    <row r="50" spans="2:11" x14ac:dyDescent="0.25">
      <c r="B50" s="383" t="str">
        <f>Input!G390</f>
        <v>Policy Number</v>
      </c>
      <c r="C50" s="424" t="str">
        <f>Input!C397</f>
        <v>PST 67 337 8561</v>
      </c>
      <c r="D50" s="424" t="str">
        <f>Input!G397</f>
        <v>PST 73 488 5104</v>
      </c>
      <c r="F50" s="424" t="str">
        <f>Input!G397</f>
        <v>PST 73 488 5104</v>
      </c>
      <c r="J50" s="231"/>
      <c r="K50" s="231"/>
    </row>
    <row r="51" spans="2:11" x14ac:dyDescent="0.25">
      <c r="B51" s="383" t="str">
        <f>Input!H390</f>
        <v>Limits of Liability</v>
      </c>
      <c r="C51" s="476">
        <f>Input!D397</f>
        <v>1000000</v>
      </c>
      <c r="D51" s="425">
        <f>Input!H397</f>
        <v>1000000</v>
      </c>
      <c r="F51" s="425">
        <f>D51</f>
        <v>1000000</v>
      </c>
      <c r="J51" s="231"/>
      <c r="K51" s="231"/>
    </row>
    <row r="52" spans="2:11" ht="45" customHeight="1" x14ac:dyDescent="0.25">
      <c r="B52" s="383" t="str">
        <f>Input!I390</f>
        <v>Insurer</v>
      </c>
      <c r="C52" s="424" t="str">
        <f>Input!E397</f>
        <v>The Continental Insurance Company (CNA)</v>
      </c>
      <c r="D52" s="390" t="str">
        <f>Input!I397</f>
        <v>The Continental Insurance Company (CNA)</v>
      </c>
      <c r="F52" s="390" t="str">
        <f>D52</f>
        <v>The Continental Insurance Company (CNA)</v>
      </c>
      <c r="J52" s="231"/>
      <c r="K52" s="231"/>
    </row>
    <row r="53" spans="2:11" ht="30" customHeight="1" x14ac:dyDescent="0.25">
      <c r="B53" s="384" t="str">
        <f>Input!J390</f>
        <v>Policy Period</v>
      </c>
      <c r="C53" s="391" t="str">
        <f>Input!F397</f>
        <v>10/16/2020 - 10/16/2021</v>
      </c>
      <c r="D53" s="391" t="str">
        <f>Input!J397</f>
        <v>10/16/2020 - 10/16/2021</v>
      </c>
      <c r="F53" s="391" t="str">
        <f>Input!J397</f>
        <v>10/16/2020 - 10/16/2021</v>
      </c>
      <c r="J53" s="231"/>
      <c r="K53" s="231"/>
    </row>
    <row r="54" spans="2:11" x14ac:dyDescent="0.25">
      <c r="B54" s="486" t="str">
        <f>Input!B398</f>
        <v>Foreign Employer's Liability</v>
      </c>
      <c r="C54" s="560"/>
      <c r="D54" s="560"/>
      <c r="F54" s="529"/>
      <c r="J54" s="566"/>
      <c r="K54" s="566"/>
    </row>
    <row r="55" spans="2:11" x14ac:dyDescent="0.25">
      <c r="B55" s="383" t="str">
        <f>Input!G390</f>
        <v>Policy Number</v>
      </c>
      <c r="C55" s="424" t="str">
        <f>Input!C398</f>
        <v>PST 67 337 8561</v>
      </c>
      <c r="D55" s="424" t="str">
        <f>Input!G398</f>
        <v>PST 73 488 5104</v>
      </c>
      <c r="F55" s="424" t="str">
        <f>Input!G398</f>
        <v>PST 73 488 5104</v>
      </c>
      <c r="J55" s="231"/>
      <c r="K55" s="231"/>
    </row>
    <row r="56" spans="2:11" x14ac:dyDescent="0.25">
      <c r="B56" s="383" t="str">
        <f>Input!H390</f>
        <v>Limits of Liability</v>
      </c>
      <c r="C56" s="476">
        <f>Input!D398</f>
        <v>1000000</v>
      </c>
      <c r="D56" s="425">
        <f>Input!H398</f>
        <v>1000000</v>
      </c>
      <c r="F56" s="425">
        <f>D56</f>
        <v>1000000</v>
      </c>
      <c r="J56" s="231"/>
      <c r="K56" s="231"/>
    </row>
    <row r="57" spans="2:11" ht="45" customHeight="1" x14ac:dyDescent="0.25">
      <c r="B57" s="383" t="str">
        <f>Input!I390</f>
        <v>Insurer</v>
      </c>
      <c r="C57" s="424" t="str">
        <f>Input!E398</f>
        <v>The Continental Insurance Company (CNA)</v>
      </c>
      <c r="D57" s="390" t="str">
        <f>Input!I398</f>
        <v>The Continental Insurance Company (CNA)</v>
      </c>
      <c r="F57" s="390" t="str">
        <f>D57</f>
        <v>The Continental Insurance Company (CNA)</v>
      </c>
      <c r="J57" s="231"/>
      <c r="K57" s="231"/>
    </row>
    <row r="58" spans="2:11" ht="15" customHeight="1" x14ac:dyDescent="0.25">
      <c r="B58" s="384" t="str">
        <f>Input!J390</f>
        <v>Policy Period</v>
      </c>
      <c r="C58" s="391" t="str">
        <f>Input!F398</f>
        <v>10/16/2020 - 10/16/2021</v>
      </c>
      <c r="D58" s="391" t="str">
        <f>Input!J398</f>
        <v>10/16/2020 - 10/16/2021</v>
      </c>
      <c r="F58" s="391" t="str">
        <f>Input!J398</f>
        <v>10/16/2020 - 10/16/2021</v>
      </c>
      <c r="J58" s="231"/>
      <c r="K58" s="231"/>
    </row>
    <row r="59" spans="2:11" x14ac:dyDescent="0.25">
      <c r="B59" s="486" t="str">
        <f>Input!B399</f>
        <v>Foreign Auto Liability</v>
      </c>
      <c r="C59" s="560"/>
      <c r="D59" s="560"/>
      <c r="F59" s="529"/>
      <c r="J59" s="566"/>
      <c r="K59" s="566"/>
    </row>
    <row r="60" spans="2:11" x14ac:dyDescent="0.25">
      <c r="B60" s="383" t="str">
        <f>Input!G390</f>
        <v>Policy Number</v>
      </c>
      <c r="C60" s="424" t="str">
        <f>Input!C399</f>
        <v>PST 67 337 8561</v>
      </c>
      <c r="D60" s="424" t="str">
        <f>Input!G399</f>
        <v>PST 73 488 5104</v>
      </c>
      <c r="F60" s="424" t="str">
        <f>Input!G399</f>
        <v>PST 73 488 5104</v>
      </c>
      <c r="J60" s="231"/>
      <c r="K60" s="231"/>
    </row>
    <row r="61" spans="2:11" x14ac:dyDescent="0.25">
      <c r="B61" s="383" t="str">
        <f>Input!H390</f>
        <v>Limits of Liability</v>
      </c>
      <c r="C61" s="476">
        <f>Input!D399</f>
        <v>1000000</v>
      </c>
      <c r="D61" s="425">
        <f>Input!H399</f>
        <v>1000000</v>
      </c>
      <c r="F61" s="425">
        <f>D61</f>
        <v>1000000</v>
      </c>
      <c r="J61" s="231"/>
      <c r="K61" s="231"/>
    </row>
    <row r="62" spans="2:11" ht="45" customHeight="1" x14ac:dyDescent="0.25">
      <c r="B62" s="383" t="str">
        <f>Input!I390</f>
        <v>Insurer</v>
      </c>
      <c r="C62" s="424" t="str">
        <f>Input!E399</f>
        <v>The Continental Insurance Company (CNA)</v>
      </c>
      <c r="D62" s="390" t="str">
        <f>Input!I399</f>
        <v>The Continental Insurance Company (CNA)</v>
      </c>
      <c r="F62" s="390" t="str">
        <f>D62</f>
        <v>The Continental Insurance Company (CNA)</v>
      </c>
      <c r="J62" s="231"/>
      <c r="K62" s="231"/>
    </row>
    <row r="63" spans="2:11" ht="30" customHeight="1" x14ac:dyDescent="0.25">
      <c r="B63" s="294" t="str">
        <f>Input!J390</f>
        <v>Policy Period</v>
      </c>
      <c r="C63" s="390" t="str">
        <f>Input!F399</f>
        <v>10/16/2020 - 10/16/2021</v>
      </c>
      <c r="D63" s="390" t="str">
        <f>Input!J399</f>
        <v>10/16/2020 - 10/16/2021</v>
      </c>
      <c r="F63" s="391" t="str">
        <f>Input!J399</f>
        <v>10/16/2020 - 10/16/2021</v>
      </c>
      <c r="J63" s="231"/>
      <c r="K63" s="231"/>
    </row>
    <row r="64" spans="2:11" hidden="1" x14ac:dyDescent="0.25">
      <c r="B64" s="486" t="str">
        <f>Input!B400</f>
        <v>Watercraft Liability</v>
      </c>
      <c r="C64" s="560"/>
      <c r="D64" s="560"/>
      <c r="F64" s="529"/>
      <c r="J64" s="566"/>
      <c r="K64" s="566"/>
    </row>
    <row r="65" spans="2:11" hidden="1" x14ac:dyDescent="0.25">
      <c r="B65" s="383" t="str">
        <f>Input!G390</f>
        <v>Policy Number</v>
      </c>
      <c r="C65" s="424">
        <f>Input!C400</f>
        <v>0</v>
      </c>
      <c r="D65" s="424" t="str">
        <f>Input!G400</f>
        <v>TBD</v>
      </c>
      <c r="F65" s="424" t="str">
        <f>Input!G400</f>
        <v>TBD</v>
      </c>
      <c r="J65" s="231"/>
      <c r="K65" s="231"/>
    </row>
    <row r="66" spans="2:11" hidden="1" x14ac:dyDescent="0.25">
      <c r="B66" s="383" t="str">
        <f>Input!H390</f>
        <v>Limits of Liability</v>
      </c>
      <c r="C66" s="431">
        <f>Input!D400</f>
        <v>1000000</v>
      </c>
      <c r="D66" s="425">
        <f>Input!H400</f>
        <v>1000000</v>
      </c>
      <c r="F66" s="425">
        <f>D66</f>
        <v>1000000</v>
      </c>
      <c r="J66" s="231"/>
      <c r="K66" s="231"/>
    </row>
    <row r="67" spans="2:11" ht="38.25" hidden="1" x14ac:dyDescent="0.25">
      <c r="B67" s="383" t="str">
        <f>Input!I390</f>
        <v>Insurer</v>
      </c>
      <c r="C67" s="391" t="str">
        <f>Input!E400</f>
        <v>Houston Specialty Insurance Company</v>
      </c>
      <c r="D67" s="390" t="str">
        <f>Input!I400</f>
        <v>Houston Specialty Insurance Company</v>
      </c>
      <c r="F67" s="390" t="str">
        <f>D67</f>
        <v>Houston Specialty Insurance Company</v>
      </c>
      <c r="J67" s="231"/>
      <c r="K67" s="231"/>
    </row>
    <row r="68" spans="2:11" ht="14.25" hidden="1" customHeight="1" x14ac:dyDescent="0.25">
      <c r="B68" s="294" t="str">
        <f>Input!J390</f>
        <v>Policy Period</v>
      </c>
      <c r="C68" s="390" t="str">
        <f>Input!F400</f>
        <v>7/1/2022 - 7/1/2023</v>
      </c>
      <c r="D68" s="390" t="str">
        <f>Input!J400</f>
        <v>7/1/2023 - 7/1/2024</v>
      </c>
      <c r="F68" s="390" t="str">
        <f>Input!J400</f>
        <v>7/1/2023 - 7/1/2024</v>
      </c>
      <c r="J68" s="231"/>
      <c r="K68" s="231"/>
    </row>
    <row r="69" spans="2:11" hidden="1" x14ac:dyDescent="0.25">
      <c r="B69" s="486" t="str">
        <f>Input!B401</f>
        <v>Aircraft (Drone) Liability</v>
      </c>
      <c r="C69" s="560"/>
      <c r="D69" s="560"/>
      <c r="F69" s="529"/>
      <c r="J69" s="566"/>
      <c r="K69" s="566"/>
    </row>
    <row r="70" spans="2:11" hidden="1" x14ac:dyDescent="0.25">
      <c r="B70" s="383" t="str">
        <f>Input!C390</f>
        <v>Policy Number</v>
      </c>
      <c r="C70" s="424">
        <f>Input!C401</f>
        <v>0</v>
      </c>
      <c r="D70" s="424" t="str">
        <f>Input!G401</f>
        <v>TBD</v>
      </c>
      <c r="F70" s="424" t="str">
        <f>Input!G401</f>
        <v>TBD</v>
      </c>
      <c r="J70" s="231"/>
      <c r="K70" s="231"/>
    </row>
    <row r="71" spans="2:11" hidden="1" x14ac:dyDescent="0.25">
      <c r="B71" s="383" t="str">
        <f>Input!D390</f>
        <v>Limits of Liability</v>
      </c>
      <c r="C71" s="431">
        <f>Input!D401</f>
        <v>0</v>
      </c>
      <c r="D71" s="425">
        <f>Input!H401</f>
        <v>0</v>
      </c>
      <c r="F71" s="425">
        <f>Input!H401</f>
        <v>0</v>
      </c>
      <c r="J71" s="231"/>
      <c r="K71" s="231"/>
    </row>
    <row r="72" spans="2:11" hidden="1" x14ac:dyDescent="0.25">
      <c r="B72" s="383" t="str">
        <f>Input!E390</f>
        <v>Insurer</v>
      </c>
      <c r="C72" s="391" t="str">
        <f>Input!E401</f>
        <v>Global Aerospace</v>
      </c>
      <c r="D72" s="390" t="str">
        <f>Input!I401</f>
        <v>Global Aerospace</v>
      </c>
      <c r="F72" s="390" t="str">
        <f>Input!I401</f>
        <v>Global Aerospace</v>
      </c>
      <c r="J72" s="231"/>
      <c r="K72" s="231"/>
    </row>
    <row r="73" spans="2:11" ht="15" hidden="1" customHeight="1" x14ac:dyDescent="0.25">
      <c r="B73" s="294" t="str">
        <f>Input!F390</f>
        <v>Policy Period</v>
      </c>
      <c r="C73" s="390" t="str">
        <f>Input!F401</f>
        <v>7/1/2023 - 7/1/2024</v>
      </c>
      <c r="D73" s="612" t="str">
        <f>Input!J401</f>
        <v>7/1/2023 - 7/1/2024</v>
      </c>
      <c r="F73" s="612" t="str">
        <f>Input!J401</f>
        <v>7/1/2023 - 7/1/2024</v>
      </c>
      <c r="J73" s="231"/>
      <c r="K73" s="231"/>
    </row>
    <row r="74" spans="2:11" ht="7.5" customHeight="1" x14ac:dyDescent="0.25">
      <c r="B74" s="211"/>
      <c r="C74" s="228"/>
      <c r="D74" s="228"/>
      <c r="F74" s="275"/>
      <c r="J74" s="381"/>
    </row>
    <row r="75" spans="2:11" x14ac:dyDescent="0.25">
      <c r="B75" s="1278" t="s">
        <v>144</v>
      </c>
      <c r="C75" s="1278"/>
      <c r="D75" s="1278"/>
      <c r="F75" s="274"/>
      <c r="J75" s="381"/>
    </row>
    <row r="76" spans="2:11" x14ac:dyDescent="0.25">
      <c r="B76" s="1275" t="s">
        <v>1959</v>
      </c>
      <c r="C76" s="1276"/>
      <c r="D76" s="1276"/>
      <c r="E76" s="1276"/>
      <c r="F76" s="1277"/>
      <c r="J76" s="381"/>
    </row>
    <row r="77" spans="2:11" ht="7.5" customHeight="1" x14ac:dyDescent="0.25">
      <c r="B77" s="988"/>
      <c r="C77" s="238"/>
      <c r="D77" s="238"/>
      <c r="F77" s="275"/>
      <c r="J77" s="381"/>
    </row>
    <row r="78" spans="2:11" x14ac:dyDescent="0.25">
      <c r="B78" s="1278" t="s">
        <v>145</v>
      </c>
      <c r="C78" s="1278"/>
      <c r="D78" s="1278"/>
      <c r="F78" s="275"/>
      <c r="J78" s="381"/>
    </row>
    <row r="79" spans="2:11" x14ac:dyDescent="0.25">
      <c r="B79" s="1275" t="s">
        <v>1952</v>
      </c>
      <c r="C79" s="1276"/>
      <c r="D79" s="1276"/>
      <c r="E79" s="1276"/>
      <c r="F79" s="1277"/>
      <c r="J79" s="381"/>
    </row>
    <row r="80" spans="2:11" ht="7.5" customHeight="1" x14ac:dyDescent="0.25">
      <c r="B80" s="211"/>
      <c r="C80" s="228"/>
      <c r="D80" s="228"/>
      <c r="F80" s="275"/>
      <c r="J80" s="381"/>
    </row>
    <row r="81" spans="2:11" x14ac:dyDescent="0.25">
      <c r="B81" s="528" t="s">
        <v>72</v>
      </c>
      <c r="C81" s="524" t="s">
        <v>62</v>
      </c>
      <c r="D81" s="525" t="s">
        <v>63</v>
      </c>
      <c r="F81" s="526" t="s">
        <v>146</v>
      </c>
      <c r="J81" s="527" t="s">
        <v>1002</v>
      </c>
      <c r="K81" s="527" t="s">
        <v>363</v>
      </c>
    </row>
    <row r="82" spans="2:11" x14ac:dyDescent="0.25">
      <c r="B82" s="400" t="s">
        <v>73</v>
      </c>
      <c r="C82" s="711" t="s">
        <v>1033</v>
      </c>
      <c r="D82" s="712" t="s">
        <v>1033</v>
      </c>
      <c r="E82" s="16"/>
      <c r="F82" s="413"/>
      <c r="G82" s="450" t="str">
        <f t="shared" ref="G82:G138" si="0">IF(OR(TRIM(D82)&lt;&gt;"",TRIM(F82)&lt;&gt;""),IF(AND(TRIM(D82)&lt;&gt;"",TRIM(F82)&lt;&gt;""),IF(OR(TRIM(C82)&lt;&gt;TRIM(D82),TRIM(C82)&lt;&gt;TRIM(F82)),"_",""),IF(TRIM(C82)&lt;&gt;TRIM(D82), "_", "")),"")</f>
        <v/>
      </c>
      <c r="J82" s="231"/>
      <c r="K82" s="231"/>
    </row>
    <row r="83" spans="2:11" ht="15" customHeight="1" x14ac:dyDescent="0.25">
      <c r="B83" s="400" t="s">
        <v>74</v>
      </c>
      <c r="C83" s="711" t="s">
        <v>1332</v>
      </c>
      <c r="D83" s="712" t="s">
        <v>1332</v>
      </c>
      <c r="E83" s="16"/>
      <c r="F83" s="413"/>
      <c r="G83" s="450" t="str">
        <f t="shared" si="0"/>
        <v/>
      </c>
      <c r="J83" s="231"/>
      <c r="K83" s="231"/>
    </row>
    <row r="84" spans="2:11" x14ac:dyDescent="0.25">
      <c r="B84" s="400" t="s">
        <v>151</v>
      </c>
      <c r="C84" s="711" t="s">
        <v>1035</v>
      </c>
      <c r="D84" s="712" t="s">
        <v>1035</v>
      </c>
      <c r="E84" s="16"/>
      <c r="F84" s="413"/>
      <c r="G84" s="450" t="str">
        <f t="shared" si="0"/>
        <v/>
      </c>
      <c r="J84" s="231"/>
      <c r="K84" s="231"/>
    </row>
    <row r="85" spans="2:11" x14ac:dyDescent="0.25">
      <c r="B85" s="400" t="s">
        <v>152</v>
      </c>
      <c r="C85" s="711" t="s">
        <v>284</v>
      </c>
      <c r="D85" s="712" t="s">
        <v>284</v>
      </c>
      <c r="E85" s="16"/>
      <c r="F85" s="413"/>
      <c r="G85" s="450" t="str">
        <f t="shared" si="0"/>
        <v/>
      </c>
      <c r="J85" s="231"/>
      <c r="K85" s="231"/>
    </row>
    <row r="86" spans="2:11" x14ac:dyDescent="0.25">
      <c r="B86" s="400" t="s">
        <v>77</v>
      </c>
      <c r="C86" s="711" t="s">
        <v>1036</v>
      </c>
      <c r="D86" s="712" t="s">
        <v>1036</v>
      </c>
      <c r="E86" s="16"/>
      <c r="F86" s="413"/>
      <c r="G86" s="450" t="str">
        <f t="shared" si="0"/>
        <v/>
      </c>
      <c r="J86" s="231"/>
      <c r="K86" s="231"/>
    </row>
    <row r="87" spans="2:11" x14ac:dyDescent="0.25">
      <c r="B87" s="446" t="s">
        <v>390</v>
      </c>
      <c r="C87" s="808" t="s">
        <v>157</v>
      </c>
      <c r="D87" s="749" t="s">
        <v>157</v>
      </c>
      <c r="E87" s="16"/>
      <c r="F87" s="413"/>
      <c r="G87" s="450" t="str">
        <f t="shared" si="0"/>
        <v/>
      </c>
      <c r="J87" s="231"/>
      <c r="K87" s="231"/>
    </row>
    <row r="88" spans="2:11" x14ac:dyDescent="0.25">
      <c r="B88" s="400" t="s">
        <v>754</v>
      </c>
      <c r="C88" s="459" t="s">
        <v>157</v>
      </c>
      <c r="D88" s="692" t="s">
        <v>157</v>
      </c>
      <c r="E88" s="16"/>
      <c r="F88" s="413"/>
      <c r="G88" s="450" t="str">
        <f t="shared" si="0"/>
        <v/>
      </c>
      <c r="J88" s="231"/>
      <c r="K88" s="231"/>
    </row>
    <row r="89" spans="2:11" hidden="1" x14ac:dyDescent="0.25">
      <c r="B89" s="874" t="s">
        <v>168</v>
      </c>
      <c r="C89" s="773"/>
      <c r="D89" s="784"/>
      <c r="E89" s="16"/>
      <c r="F89" s="413"/>
      <c r="G89" s="450" t="str">
        <f t="shared" si="0"/>
        <v/>
      </c>
      <c r="J89" s="231"/>
      <c r="K89" s="231"/>
    </row>
    <row r="90" spans="2:11" x14ac:dyDescent="0.25">
      <c r="B90" s="400" t="s">
        <v>169</v>
      </c>
      <c r="C90" s="456" t="s">
        <v>391</v>
      </c>
      <c r="D90" s="797" t="s">
        <v>391</v>
      </c>
      <c r="E90" s="16"/>
      <c r="F90" s="413"/>
      <c r="G90" s="450" t="str">
        <f t="shared" si="0"/>
        <v/>
      </c>
      <c r="J90" s="231"/>
      <c r="K90" s="231"/>
    </row>
    <row r="91" spans="2:11" x14ac:dyDescent="0.25">
      <c r="B91" s="400" t="s">
        <v>170</v>
      </c>
      <c r="C91" s="459" t="s">
        <v>157</v>
      </c>
      <c r="D91" s="692" t="s">
        <v>157</v>
      </c>
      <c r="E91" s="16"/>
      <c r="F91" s="413"/>
      <c r="G91" s="450" t="str">
        <f t="shared" si="0"/>
        <v/>
      </c>
      <c r="J91" s="231"/>
      <c r="K91" s="231"/>
    </row>
    <row r="92" spans="2:11" s="16" customFormat="1" ht="15" customHeight="1" x14ac:dyDescent="0.25">
      <c r="B92" s="368" t="s">
        <v>707</v>
      </c>
      <c r="C92" s="459" t="s">
        <v>157</v>
      </c>
      <c r="D92" s="692" t="s">
        <v>157</v>
      </c>
      <c r="E92" s="228"/>
      <c r="F92" s="436"/>
      <c r="G92" s="450" t="str">
        <f t="shared" si="0"/>
        <v/>
      </c>
      <c r="H92" s="211"/>
      <c r="I92" s="211"/>
      <c r="J92" s="232"/>
      <c r="K92" s="232"/>
    </row>
    <row r="93" spans="2:11" s="16" customFormat="1" hidden="1" x14ac:dyDescent="0.25">
      <c r="B93" s="441" t="s">
        <v>704</v>
      </c>
      <c r="C93" s="438"/>
      <c r="D93" s="439"/>
      <c r="E93" s="228"/>
      <c r="F93" s="440"/>
      <c r="G93" s="450" t="str">
        <f t="shared" si="0"/>
        <v/>
      </c>
      <c r="H93" s="211"/>
      <c r="I93" s="211"/>
      <c r="J93" s="447"/>
      <c r="K93" s="447"/>
    </row>
    <row r="94" spans="2:11" s="16" customFormat="1" hidden="1" x14ac:dyDescent="0.25">
      <c r="B94" s="442" t="s">
        <v>705</v>
      </c>
      <c r="C94" s="396"/>
      <c r="D94" s="424"/>
      <c r="E94" s="228"/>
      <c r="F94" s="443"/>
      <c r="G94" s="450" t="str">
        <f t="shared" si="0"/>
        <v/>
      </c>
      <c r="H94" s="211"/>
      <c r="I94" s="211"/>
      <c r="J94" s="445"/>
      <c r="K94" s="445"/>
    </row>
    <row r="95" spans="2:11" s="16" customFormat="1" x14ac:dyDescent="0.25">
      <c r="B95" s="400" t="s">
        <v>708</v>
      </c>
      <c r="C95" s="459" t="s">
        <v>157</v>
      </c>
      <c r="D95" s="692" t="s">
        <v>157</v>
      </c>
      <c r="E95" s="228"/>
      <c r="F95" s="413"/>
      <c r="G95" s="450" t="str">
        <f t="shared" si="0"/>
        <v/>
      </c>
      <c r="H95" s="211"/>
      <c r="I95" s="211"/>
      <c r="J95" s="231"/>
      <c r="K95" s="231"/>
    </row>
    <row r="96" spans="2:11" s="16" customFormat="1" ht="15" customHeight="1" x14ac:dyDescent="0.25">
      <c r="B96" s="400" t="s">
        <v>706</v>
      </c>
      <c r="C96" s="459" t="s">
        <v>157</v>
      </c>
      <c r="D96" s="692" t="s">
        <v>157</v>
      </c>
      <c r="E96" s="228"/>
      <c r="F96" s="413"/>
      <c r="G96" s="450" t="str">
        <f t="shared" si="0"/>
        <v/>
      </c>
      <c r="H96" s="211"/>
      <c r="I96" s="211"/>
      <c r="J96" s="231"/>
      <c r="K96" s="231"/>
    </row>
    <row r="97" spans="2:11" s="16" customFormat="1" x14ac:dyDescent="0.25">
      <c r="B97" s="400" t="s">
        <v>709</v>
      </c>
      <c r="C97" s="456" t="s">
        <v>391</v>
      </c>
      <c r="D97" s="797" t="s">
        <v>391</v>
      </c>
      <c r="E97" s="228"/>
      <c r="F97" s="413"/>
      <c r="G97" s="450" t="str">
        <f t="shared" si="0"/>
        <v/>
      </c>
      <c r="H97" s="211"/>
      <c r="I97" s="211"/>
      <c r="J97" s="231"/>
      <c r="K97" s="231"/>
    </row>
    <row r="98" spans="2:11" s="16" customFormat="1" x14ac:dyDescent="0.25">
      <c r="B98" s="400" t="s">
        <v>710</v>
      </c>
      <c r="C98" s="456" t="s">
        <v>391</v>
      </c>
      <c r="D98" s="797" t="s">
        <v>391</v>
      </c>
      <c r="E98" s="228"/>
      <c r="F98" s="413"/>
      <c r="G98" s="450" t="str">
        <f t="shared" si="0"/>
        <v/>
      </c>
      <c r="H98" s="211"/>
      <c r="I98" s="211"/>
      <c r="J98" s="231"/>
      <c r="K98" s="231"/>
    </row>
    <row r="99" spans="2:11" s="16" customFormat="1" x14ac:dyDescent="0.25">
      <c r="B99" s="400" t="s">
        <v>418</v>
      </c>
      <c r="C99" s="456" t="s">
        <v>391</v>
      </c>
      <c r="D99" s="797" t="s">
        <v>391</v>
      </c>
      <c r="E99" s="228"/>
      <c r="F99" s="413"/>
      <c r="G99" s="450" t="str">
        <f t="shared" si="0"/>
        <v/>
      </c>
      <c r="H99" s="211"/>
      <c r="I99" s="211"/>
      <c r="J99" s="231"/>
      <c r="K99" s="231"/>
    </row>
    <row r="100" spans="2:11" s="16" customFormat="1" x14ac:dyDescent="0.25">
      <c r="B100" s="400" t="s">
        <v>154</v>
      </c>
      <c r="C100" s="456" t="s">
        <v>391</v>
      </c>
      <c r="D100" s="797" t="s">
        <v>391</v>
      </c>
      <c r="E100" s="228"/>
      <c r="F100" s="413"/>
      <c r="G100" s="450" t="str">
        <f t="shared" si="0"/>
        <v/>
      </c>
      <c r="H100" s="211"/>
      <c r="I100" s="211"/>
      <c r="J100" s="231"/>
      <c r="K100" s="231"/>
    </row>
    <row r="101" spans="2:11" s="16" customFormat="1" ht="15" customHeight="1" x14ac:dyDescent="0.25">
      <c r="B101" s="673" t="s">
        <v>1620</v>
      </c>
      <c r="C101" s="459" t="s">
        <v>157</v>
      </c>
      <c r="D101" s="692" t="s">
        <v>157</v>
      </c>
      <c r="E101" s="228"/>
      <c r="F101" s="413"/>
      <c r="G101" s="450" t="str">
        <f t="shared" si="0"/>
        <v/>
      </c>
      <c r="H101" s="211"/>
      <c r="I101" s="211"/>
      <c r="J101" s="231"/>
      <c r="K101" s="231"/>
    </row>
    <row r="102" spans="2:11" s="16" customFormat="1" x14ac:dyDescent="0.25">
      <c r="B102" s="400" t="s">
        <v>163</v>
      </c>
      <c r="C102" s="459" t="s">
        <v>157</v>
      </c>
      <c r="D102" s="692" t="s">
        <v>157</v>
      </c>
      <c r="E102" s="228"/>
      <c r="F102" s="413"/>
      <c r="G102" s="450" t="str">
        <f t="shared" si="0"/>
        <v/>
      </c>
      <c r="H102" s="211"/>
      <c r="I102" s="211"/>
      <c r="J102" s="231"/>
      <c r="K102" s="231"/>
    </row>
    <row r="103" spans="2:11" s="16" customFormat="1" hidden="1" x14ac:dyDescent="0.25">
      <c r="B103" s="722" t="s">
        <v>1103</v>
      </c>
      <c r="C103" s="435"/>
      <c r="D103" s="391"/>
      <c r="E103" s="530"/>
      <c r="F103" s="436"/>
      <c r="G103" s="450" t="str">
        <f t="shared" si="0"/>
        <v/>
      </c>
      <c r="I103" s="586"/>
      <c r="J103" s="232"/>
      <c r="K103" s="232"/>
    </row>
    <row r="104" spans="2:11" s="16" customFormat="1" hidden="1" x14ac:dyDescent="0.25">
      <c r="B104" s="441" t="s">
        <v>712</v>
      </c>
      <c r="C104" s="438"/>
      <c r="D104" s="439"/>
      <c r="E104" s="530"/>
      <c r="F104" s="440"/>
      <c r="G104" s="450" t="str">
        <f t="shared" si="0"/>
        <v/>
      </c>
      <c r="I104" s="586"/>
      <c r="J104" s="447"/>
      <c r="K104" s="447"/>
    </row>
    <row r="105" spans="2:11" s="16" customFormat="1" hidden="1" x14ac:dyDescent="0.25">
      <c r="B105" s="441" t="s">
        <v>713</v>
      </c>
      <c r="C105" s="438"/>
      <c r="D105" s="439"/>
      <c r="E105" s="530"/>
      <c r="F105" s="440"/>
      <c r="G105" s="450" t="str">
        <f t="shared" si="0"/>
        <v/>
      </c>
      <c r="I105" s="586"/>
      <c r="J105" s="447"/>
      <c r="K105" s="447"/>
    </row>
    <row r="106" spans="2:11" s="16" customFormat="1" x14ac:dyDescent="0.25">
      <c r="B106" s="368" t="s">
        <v>715</v>
      </c>
      <c r="C106" s="435"/>
      <c r="D106" s="391"/>
      <c r="E106" s="228"/>
      <c r="F106" s="436"/>
      <c r="G106" s="450" t="str">
        <f t="shared" si="0"/>
        <v/>
      </c>
      <c r="H106" s="211"/>
      <c r="I106" s="211"/>
      <c r="J106" s="232"/>
      <c r="K106" s="232"/>
    </row>
    <row r="107" spans="2:11" s="16" customFormat="1" x14ac:dyDescent="0.25">
      <c r="B107" s="441" t="s">
        <v>712</v>
      </c>
      <c r="C107" s="806" t="s">
        <v>391</v>
      </c>
      <c r="D107" s="776" t="s">
        <v>391</v>
      </c>
      <c r="E107" s="228"/>
      <c r="F107" s="440"/>
      <c r="G107" s="450" t="str">
        <f t="shared" si="0"/>
        <v/>
      </c>
      <c r="H107" s="211"/>
      <c r="I107" s="211"/>
      <c r="J107" s="447"/>
      <c r="K107" s="447"/>
    </row>
    <row r="108" spans="2:11" s="16" customFormat="1" x14ac:dyDescent="0.25">
      <c r="B108" s="441" t="s">
        <v>713</v>
      </c>
      <c r="C108" s="807" t="s">
        <v>391</v>
      </c>
      <c r="D108" s="787" t="s">
        <v>391</v>
      </c>
      <c r="E108" s="228"/>
      <c r="F108" s="440"/>
      <c r="G108" s="450" t="str">
        <f t="shared" si="0"/>
        <v/>
      </c>
      <c r="H108" s="211"/>
      <c r="I108" s="211"/>
      <c r="J108" s="447"/>
      <c r="K108" s="447"/>
    </row>
    <row r="109" spans="2:11" s="16" customFormat="1" hidden="1" x14ac:dyDescent="0.25">
      <c r="B109" s="442" t="s">
        <v>714</v>
      </c>
      <c r="C109" s="396"/>
      <c r="D109" s="424"/>
      <c r="E109" s="228"/>
      <c r="F109" s="443"/>
      <c r="G109" s="450" t="str">
        <f t="shared" si="0"/>
        <v/>
      </c>
      <c r="H109" s="211"/>
      <c r="I109" s="211"/>
      <c r="J109" s="445"/>
      <c r="K109" s="445"/>
    </row>
    <row r="110" spans="2:11" s="16" customFormat="1" x14ac:dyDescent="0.25">
      <c r="B110" s="400" t="s">
        <v>716</v>
      </c>
      <c r="C110" s="459" t="s">
        <v>157</v>
      </c>
      <c r="D110" s="692" t="s">
        <v>157</v>
      </c>
      <c r="E110" s="228"/>
      <c r="F110" s="436"/>
      <c r="G110" s="450" t="str">
        <f t="shared" si="0"/>
        <v/>
      </c>
      <c r="H110" s="211"/>
      <c r="I110" s="211"/>
      <c r="J110" s="232"/>
      <c r="K110" s="232"/>
    </row>
    <row r="111" spans="2:11" s="16" customFormat="1" hidden="1" x14ac:dyDescent="0.25">
      <c r="B111" s="444" t="s">
        <v>697</v>
      </c>
      <c r="C111" s="396"/>
      <c r="D111" s="424"/>
      <c r="E111" s="228"/>
      <c r="F111" s="443"/>
      <c r="G111" s="450" t="str">
        <f t="shared" si="0"/>
        <v/>
      </c>
      <c r="H111" s="211"/>
      <c r="I111" s="211"/>
      <c r="J111" s="445"/>
      <c r="K111" s="445"/>
    </row>
    <row r="112" spans="2:11" ht="7.5" customHeight="1" x14ac:dyDescent="0.25">
      <c r="B112" s="211"/>
      <c r="C112" s="228"/>
      <c r="D112" s="228"/>
      <c r="E112" s="16"/>
      <c r="F112" s="275"/>
      <c r="G112" s="450" t="str">
        <f t="shared" si="0"/>
        <v/>
      </c>
      <c r="J112" s="381"/>
    </row>
    <row r="113" spans="2:11" x14ac:dyDescent="0.25">
      <c r="B113" s="528" t="s">
        <v>103</v>
      </c>
      <c r="C113" s="524" t="s">
        <v>62</v>
      </c>
      <c r="D113" s="525" t="s">
        <v>63</v>
      </c>
      <c r="E113" s="16"/>
      <c r="F113" s="526" t="s">
        <v>146</v>
      </c>
      <c r="G113" s="450" t="str">
        <f t="shared" si="0"/>
        <v>_</v>
      </c>
      <c r="J113" s="527" t="s">
        <v>1002</v>
      </c>
      <c r="K113" s="527" t="s">
        <v>363</v>
      </c>
    </row>
    <row r="114" spans="2:11" x14ac:dyDescent="0.25">
      <c r="B114" s="691" t="s">
        <v>1690</v>
      </c>
      <c r="C114" s="459" t="s">
        <v>157</v>
      </c>
      <c r="D114" s="692" t="s">
        <v>157</v>
      </c>
      <c r="E114" s="16"/>
      <c r="F114" s="526"/>
      <c r="G114" s="450" t="str">
        <f t="shared" si="0"/>
        <v/>
      </c>
      <c r="J114" s="527"/>
      <c r="K114" s="527"/>
    </row>
    <row r="115" spans="2:11" s="16" customFormat="1" x14ac:dyDescent="0.25">
      <c r="B115" s="400" t="s">
        <v>676</v>
      </c>
      <c r="C115" s="709" t="s">
        <v>1053</v>
      </c>
      <c r="D115" s="710" t="s">
        <v>1053</v>
      </c>
      <c r="E115" s="228"/>
      <c r="F115" s="413"/>
      <c r="G115" s="450" t="str">
        <f t="shared" si="0"/>
        <v/>
      </c>
      <c r="H115" s="211"/>
      <c r="I115" s="211"/>
      <c r="J115" s="231"/>
      <c r="K115" s="231"/>
    </row>
    <row r="116" spans="2:11" s="16" customFormat="1" x14ac:dyDescent="0.25">
      <c r="B116" s="400" t="s">
        <v>526</v>
      </c>
      <c r="C116" s="709" t="s">
        <v>1053</v>
      </c>
      <c r="D116" s="710" t="s">
        <v>1053</v>
      </c>
      <c r="E116" s="228"/>
      <c r="F116" s="413"/>
      <c r="G116" s="450" t="str">
        <f t="shared" si="0"/>
        <v/>
      </c>
      <c r="H116" s="211"/>
      <c r="I116" s="211"/>
      <c r="J116" s="231"/>
      <c r="K116" s="231"/>
    </row>
    <row r="117" spans="2:11" s="16" customFormat="1" x14ac:dyDescent="0.25">
      <c r="B117" s="400" t="s">
        <v>524</v>
      </c>
      <c r="C117" s="709" t="s">
        <v>1053</v>
      </c>
      <c r="D117" s="710" t="s">
        <v>1053</v>
      </c>
      <c r="E117" s="228"/>
      <c r="F117" s="413"/>
      <c r="G117" s="450" t="str">
        <f t="shared" si="0"/>
        <v/>
      </c>
      <c r="H117" s="211"/>
      <c r="I117" s="211"/>
      <c r="J117" s="231"/>
      <c r="K117" s="231"/>
    </row>
    <row r="118" spans="2:11" s="16" customFormat="1" x14ac:dyDescent="0.25">
      <c r="B118" s="400" t="s">
        <v>529</v>
      </c>
      <c r="C118" s="709" t="s">
        <v>1053</v>
      </c>
      <c r="D118" s="710" t="s">
        <v>1053</v>
      </c>
      <c r="E118" s="228"/>
      <c r="F118" s="413"/>
      <c r="G118" s="450" t="str">
        <f t="shared" si="0"/>
        <v/>
      </c>
      <c r="H118" s="211"/>
      <c r="I118" s="211"/>
      <c r="J118" s="231"/>
      <c r="K118" s="231"/>
    </row>
    <row r="119" spans="2:11" s="16" customFormat="1" x14ac:dyDescent="0.25">
      <c r="B119" s="400" t="s">
        <v>525</v>
      </c>
      <c r="C119" s="709" t="s">
        <v>1053</v>
      </c>
      <c r="D119" s="710" t="s">
        <v>1053</v>
      </c>
      <c r="E119" s="228"/>
      <c r="F119" s="413"/>
      <c r="G119" s="450" t="str">
        <f t="shared" si="0"/>
        <v/>
      </c>
      <c r="H119" s="211"/>
      <c r="I119" s="211"/>
      <c r="J119" s="231"/>
      <c r="K119" s="231"/>
    </row>
    <row r="120" spans="2:11" s="16" customFormat="1" hidden="1" x14ac:dyDescent="0.25">
      <c r="B120" s="814" t="s">
        <v>528</v>
      </c>
      <c r="C120" s="810"/>
      <c r="D120" s="785"/>
      <c r="E120" s="228"/>
      <c r="F120" s="413"/>
      <c r="G120" s="450" t="str">
        <f t="shared" si="0"/>
        <v/>
      </c>
      <c r="H120" s="211"/>
      <c r="I120" s="211"/>
      <c r="J120" s="231"/>
      <c r="K120" s="231"/>
    </row>
    <row r="121" spans="2:11" s="16" customFormat="1" x14ac:dyDescent="0.25">
      <c r="B121" s="400" t="s">
        <v>527</v>
      </c>
      <c r="C121" s="709" t="s">
        <v>1053</v>
      </c>
      <c r="D121" s="710" t="s">
        <v>1053</v>
      </c>
      <c r="E121" s="228"/>
      <c r="F121" s="413"/>
      <c r="G121" s="450" t="str">
        <f t="shared" si="0"/>
        <v/>
      </c>
      <c r="H121" s="211"/>
      <c r="I121" s="211"/>
      <c r="J121" s="231"/>
      <c r="K121" s="231"/>
    </row>
    <row r="122" spans="2:11" s="16" customFormat="1" x14ac:dyDescent="0.25">
      <c r="B122" s="368" t="s">
        <v>718</v>
      </c>
      <c r="C122" s="811" t="s">
        <v>1053</v>
      </c>
      <c r="D122" s="779" t="s">
        <v>1053</v>
      </c>
      <c r="E122" s="228"/>
      <c r="F122" s="436"/>
      <c r="G122" s="450" t="str">
        <f t="shared" si="0"/>
        <v/>
      </c>
      <c r="H122" s="211"/>
      <c r="I122" s="211"/>
      <c r="J122" s="232"/>
      <c r="K122" s="232"/>
    </row>
    <row r="123" spans="2:11" s="16" customFormat="1" ht="45" customHeight="1" x14ac:dyDescent="0.25">
      <c r="B123" s="596" t="s">
        <v>727</v>
      </c>
      <c r="C123" s="807" t="s">
        <v>391</v>
      </c>
      <c r="D123" s="787" t="s">
        <v>391</v>
      </c>
      <c r="E123" s="228"/>
      <c r="F123" s="443"/>
      <c r="G123" s="450" t="str">
        <f t="shared" si="0"/>
        <v/>
      </c>
      <c r="H123" s="211"/>
      <c r="I123" s="211"/>
      <c r="J123" s="445"/>
      <c r="K123" s="445"/>
    </row>
    <row r="124" spans="2:11" s="16" customFormat="1" x14ac:dyDescent="0.25">
      <c r="B124" s="368" t="s">
        <v>253</v>
      </c>
      <c r="C124" s="811" t="s">
        <v>1053</v>
      </c>
      <c r="D124" s="779" t="s">
        <v>1053</v>
      </c>
      <c r="E124" s="228"/>
      <c r="F124" s="436"/>
      <c r="G124" s="450" t="str">
        <f t="shared" si="0"/>
        <v/>
      </c>
      <c r="H124" s="211"/>
      <c r="I124" s="211"/>
      <c r="J124" s="232"/>
      <c r="K124" s="232"/>
    </row>
    <row r="125" spans="2:11" s="16" customFormat="1" x14ac:dyDescent="0.25">
      <c r="B125" s="442" t="s">
        <v>717</v>
      </c>
      <c r="C125" s="808" t="s">
        <v>157</v>
      </c>
      <c r="D125" s="749" t="s">
        <v>157</v>
      </c>
      <c r="E125" s="228"/>
      <c r="F125" s="443"/>
      <c r="G125" s="450" t="str">
        <f t="shared" si="0"/>
        <v/>
      </c>
      <c r="H125" s="211"/>
      <c r="I125" s="211"/>
      <c r="J125" s="445"/>
      <c r="K125" s="445"/>
    </row>
    <row r="126" spans="2:11" s="16" customFormat="1" x14ac:dyDescent="0.25">
      <c r="B126" s="400" t="s">
        <v>721</v>
      </c>
      <c r="C126" s="709" t="s">
        <v>1053</v>
      </c>
      <c r="D126" s="710" t="s">
        <v>1053</v>
      </c>
      <c r="E126" s="228"/>
      <c r="F126" s="413"/>
      <c r="G126" s="450" t="str">
        <f t="shared" si="0"/>
        <v/>
      </c>
      <c r="H126" s="211"/>
      <c r="I126" s="211"/>
      <c r="J126" s="231"/>
      <c r="K126" s="231"/>
    </row>
    <row r="127" spans="2:11" s="16" customFormat="1" ht="30" customHeight="1" x14ac:dyDescent="0.25">
      <c r="B127" s="400" t="s">
        <v>156</v>
      </c>
      <c r="C127" s="709" t="s">
        <v>1053</v>
      </c>
      <c r="D127" s="710" t="s">
        <v>1053</v>
      </c>
      <c r="E127" s="228"/>
      <c r="F127" s="413"/>
      <c r="G127" s="450" t="str">
        <f t="shared" si="0"/>
        <v/>
      </c>
      <c r="H127" s="211"/>
      <c r="I127" s="211"/>
      <c r="J127" s="231"/>
      <c r="K127" s="231"/>
    </row>
    <row r="128" spans="2:11" ht="7.5" customHeight="1" x14ac:dyDescent="0.25">
      <c r="C128" s="228"/>
      <c r="D128" s="228"/>
      <c r="E128" s="16"/>
      <c r="F128" s="275"/>
      <c r="G128" s="450" t="str">
        <f t="shared" si="0"/>
        <v/>
      </c>
      <c r="H128" s="211"/>
      <c r="I128" s="211"/>
      <c r="J128" s="381"/>
    </row>
    <row r="129" spans="2:11" x14ac:dyDescent="0.25">
      <c r="B129" s="528" t="s">
        <v>359</v>
      </c>
      <c r="C129" s="524" t="s">
        <v>62</v>
      </c>
      <c r="D129" s="525" t="s">
        <v>63</v>
      </c>
      <c r="E129" s="16"/>
      <c r="F129" s="526" t="s">
        <v>146</v>
      </c>
      <c r="G129" s="450" t="str">
        <f t="shared" si="0"/>
        <v>_</v>
      </c>
      <c r="H129" s="211"/>
      <c r="I129" s="211"/>
      <c r="J129" s="527" t="s">
        <v>1002</v>
      </c>
      <c r="K129" s="527" t="s">
        <v>363</v>
      </c>
    </row>
    <row r="130" spans="2:11" ht="15.75" customHeight="1" x14ac:dyDescent="0.25">
      <c r="B130" s="673" t="s">
        <v>1339</v>
      </c>
      <c r="C130" s="711" t="s">
        <v>1476</v>
      </c>
      <c r="D130" s="712" t="s">
        <v>1476</v>
      </c>
      <c r="E130" s="16"/>
      <c r="F130" s="413"/>
      <c r="G130" s="450" t="str">
        <f t="shared" si="0"/>
        <v/>
      </c>
      <c r="H130" s="211"/>
      <c r="I130" s="211"/>
      <c r="J130" s="231"/>
      <c r="K130" s="231"/>
    </row>
    <row r="131" spans="2:11" ht="15.75" customHeight="1" x14ac:dyDescent="0.25">
      <c r="B131" s="722" t="s">
        <v>1335</v>
      </c>
      <c r="C131" s="711" t="s">
        <v>1337</v>
      </c>
      <c r="D131" s="390" t="s">
        <v>1337</v>
      </c>
      <c r="F131" s="413"/>
      <c r="G131" s="450" t="str">
        <f t="shared" si="0"/>
        <v/>
      </c>
      <c r="H131" s="211"/>
      <c r="I131" s="211"/>
      <c r="J131" s="231"/>
      <c r="K131" s="231"/>
    </row>
    <row r="132" spans="2:11" ht="15.75" customHeight="1" x14ac:dyDescent="0.25">
      <c r="B132" s="722" t="s">
        <v>1336</v>
      </c>
      <c r="C132" s="711" t="s">
        <v>1338</v>
      </c>
      <c r="D132" s="390" t="s">
        <v>1338</v>
      </c>
      <c r="F132" s="413"/>
      <c r="G132" s="450" t="str">
        <f t="shared" si="0"/>
        <v/>
      </c>
      <c r="H132" s="211"/>
      <c r="I132" s="211"/>
      <c r="J132" s="231"/>
      <c r="K132" s="231"/>
    </row>
    <row r="133" spans="2:11" ht="15" customHeight="1" x14ac:dyDescent="0.25">
      <c r="B133" s="771" t="s">
        <v>1486</v>
      </c>
      <c r="C133" s="412" t="s">
        <v>1487</v>
      </c>
      <c r="D133" s="712" t="s">
        <v>1487</v>
      </c>
      <c r="F133" s="413"/>
      <c r="G133" s="450" t="str">
        <f t="shared" si="0"/>
        <v/>
      </c>
      <c r="H133" s="211"/>
      <c r="I133" s="211"/>
      <c r="J133" s="231"/>
      <c r="K133" s="231"/>
    </row>
    <row r="134" spans="2:11" ht="15" customHeight="1" x14ac:dyDescent="0.25">
      <c r="B134" s="673" t="s">
        <v>1488</v>
      </c>
      <c r="C134" s="412" t="s">
        <v>1489</v>
      </c>
      <c r="D134" s="712" t="s">
        <v>1489</v>
      </c>
      <c r="F134" s="413"/>
      <c r="G134" s="450" t="str">
        <f t="shared" si="0"/>
        <v/>
      </c>
      <c r="H134" s="211"/>
      <c r="I134" s="211"/>
      <c r="J134" s="231"/>
      <c r="K134" s="231"/>
    </row>
    <row r="135" spans="2:11" ht="15.75" customHeight="1" x14ac:dyDescent="0.25">
      <c r="B135" s="673" t="s">
        <v>1715</v>
      </c>
      <c r="C135" s="711" t="s">
        <v>1840</v>
      </c>
      <c r="D135" s="712" t="s">
        <v>1840</v>
      </c>
      <c r="F135" s="413"/>
      <c r="G135" s="450" t="str">
        <f t="shared" si="0"/>
        <v/>
      </c>
      <c r="H135" s="211"/>
      <c r="I135" s="211"/>
      <c r="J135" s="231"/>
      <c r="K135" s="231"/>
    </row>
    <row r="136" spans="2:11" ht="15" customHeight="1" x14ac:dyDescent="0.25">
      <c r="B136" s="673" t="s">
        <v>1838</v>
      </c>
      <c r="C136" s="412" t="s">
        <v>1839</v>
      </c>
      <c r="D136" s="712" t="s">
        <v>1839</v>
      </c>
      <c r="F136" s="413"/>
      <c r="G136" s="450" t="str">
        <f t="shared" si="0"/>
        <v/>
      </c>
      <c r="H136" s="211"/>
      <c r="I136" s="211"/>
      <c r="J136" s="231"/>
      <c r="K136" s="231"/>
    </row>
    <row r="137" spans="2:11" x14ac:dyDescent="0.25">
      <c r="B137" s="400"/>
      <c r="C137" s="412"/>
      <c r="D137" s="390"/>
      <c r="F137" s="413"/>
      <c r="G137" s="450" t="str">
        <f t="shared" si="0"/>
        <v/>
      </c>
      <c r="H137" s="211"/>
      <c r="I137" s="211"/>
      <c r="J137" s="231"/>
      <c r="K137" s="231"/>
    </row>
    <row r="138" spans="2:11" x14ac:dyDescent="0.25">
      <c r="B138" s="400"/>
      <c r="C138" s="412"/>
      <c r="D138" s="390"/>
      <c r="F138" s="413"/>
      <c r="G138" s="450" t="str">
        <f t="shared" si="0"/>
        <v/>
      </c>
      <c r="H138" s="211"/>
      <c r="I138" s="211"/>
      <c r="J138" s="231"/>
      <c r="K138" s="231"/>
    </row>
    <row r="139" spans="2:11" x14ac:dyDescent="0.25">
      <c r="B139" s="400"/>
      <c r="C139" s="412"/>
      <c r="D139" s="390"/>
      <c r="F139" s="413"/>
      <c r="G139" s="228" t="str">
        <f t="shared" ref="G139:G146" si="1">IF(OR(TRIM(D139)&lt;&gt;"",TRIM(F139)&lt;&gt;""),IF(AND(TRIM(D139)&lt;&gt;"",TRIM(F139)&lt;&gt;""),IF(OR(TRIM(C139)&lt;&gt;TRIM(D139),TRIM(C139)&lt;&gt;TRIM(F139)),"_",""),IF(TRIM(C139)&lt;&gt;TRIM(D139), "_", "")),"")</f>
        <v/>
      </c>
      <c r="H139" s="211"/>
      <c r="I139" s="211"/>
      <c r="J139" s="231"/>
      <c r="K139" s="231"/>
    </row>
    <row r="140" spans="2:11" x14ac:dyDescent="0.25">
      <c r="B140" s="368"/>
      <c r="C140" s="412"/>
      <c r="D140" s="390"/>
      <c r="F140" s="413"/>
      <c r="G140" s="228" t="str">
        <f t="shared" si="1"/>
        <v/>
      </c>
      <c r="H140" s="211"/>
      <c r="I140" s="211"/>
      <c r="J140" s="231"/>
      <c r="K140" s="231"/>
    </row>
    <row r="141" spans="2:11" x14ac:dyDescent="0.25">
      <c r="B141" s="368"/>
      <c r="C141" s="412"/>
      <c r="D141" s="390"/>
      <c r="F141" s="413"/>
      <c r="G141" s="228" t="str">
        <f t="shared" si="1"/>
        <v/>
      </c>
      <c r="H141" s="211"/>
      <c r="I141" s="211"/>
      <c r="J141" s="231"/>
      <c r="K141" s="231"/>
    </row>
    <row r="142" spans="2:11" x14ac:dyDescent="0.25">
      <c r="B142" s="400"/>
      <c r="C142" s="412"/>
      <c r="D142" s="390"/>
      <c r="F142" s="413"/>
      <c r="G142" s="228" t="str">
        <f t="shared" si="1"/>
        <v/>
      </c>
      <c r="H142" s="211"/>
      <c r="I142" s="211"/>
      <c r="J142" s="231"/>
      <c r="K142" s="231"/>
    </row>
    <row r="143" spans="2:11" x14ac:dyDescent="0.25">
      <c r="B143" s="368"/>
      <c r="C143" s="412"/>
      <c r="D143" s="390"/>
      <c r="F143" s="413"/>
      <c r="G143" s="228" t="str">
        <f t="shared" si="1"/>
        <v/>
      </c>
      <c r="H143" s="211"/>
      <c r="I143" s="211"/>
      <c r="J143" s="231"/>
      <c r="K143" s="231"/>
    </row>
    <row r="144" spans="2:11" x14ac:dyDescent="0.25">
      <c r="B144" s="368"/>
      <c r="C144" s="412"/>
      <c r="D144" s="390"/>
      <c r="F144" s="413"/>
      <c r="G144" s="228" t="str">
        <f t="shared" si="1"/>
        <v/>
      </c>
      <c r="H144" s="211"/>
      <c r="I144" s="211"/>
      <c r="J144" s="231"/>
      <c r="K144" s="231"/>
    </row>
    <row r="145" spans="2:11" x14ac:dyDescent="0.25">
      <c r="B145" s="368"/>
      <c r="C145" s="412"/>
      <c r="D145" s="390"/>
      <c r="F145" s="413"/>
      <c r="G145" s="228" t="str">
        <f t="shared" si="1"/>
        <v/>
      </c>
      <c r="H145" s="211"/>
      <c r="I145" s="211"/>
      <c r="J145" s="231"/>
      <c r="K145" s="231"/>
    </row>
    <row r="146" spans="2:11" x14ac:dyDescent="0.25">
      <c r="B146" s="400"/>
      <c r="C146" s="412"/>
      <c r="D146" s="390"/>
      <c r="F146" s="413"/>
      <c r="G146" s="228" t="str">
        <f t="shared" si="1"/>
        <v/>
      </c>
      <c r="H146" s="211"/>
      <c r="I146" s="211"/>
      <c r="J146" s="231"/>
      <c r="K146" s="231"/>
    </row>
  </sheetData>
  <mergeCells count="4">
    <mergeCell ref="B75:D75"/>
    <mergeCell ref="B78:D78"/>
    <mergeCell ref="B76:F76"/>
    <mergeCell ref="B79:F79"/>
  </mergeCells>
  <conditionalFormatting sqref="G1:G11 G13:G33 G39:G68 G74:G1048576">
    <cfRule type="cellIs" dxfId="222" priority="32" operator="equal">
      <formula>"_"</formula>
    </cfRule>
  </conditionalFormatting>
  <conditionalFormatting sqref="G147:G1048576">
    <cfRule type="cellIs" dxfId="221" priority="21" operator="equal">
      <formula>"_"</formula>
    </cfRule>
  </conditionalFormatting>
  <conditionalFormatting sqref="G12">
    <cfRule type="cellIs" dxfId="220" priority="15" operator="equal">
      <formula>"_"</formula>
    </cfRule>
  </conditionalFormatting>
  <conditionalFormatting sqref="G69:G73">
    <cfRule type="cellIs" dxfId="219" priority="14" operator="equal">
      <formula>"_"</formula>
    </cfRule>
  </conditionalFormatting>
  <conditionalFormatting sqref="G34:G38">
    <cfRule type="cellIs" dxfId="218" priority="13"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Umbrella</oddHeader>
    <oddFooter>&amp;L&amp;G&amp;CPage &amp;P of &amp;N</oddFooter>
  </headerFooter>
  <rowBreaks count="3" manualBreakCount="3">
    <brk id="48" min="1" max="3" man="1"/>
    <brk id="80" min="1" max="3" man="1"/>
    <brk id="128" min="1" max="3" man="1"/>
  </row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fitToPage="1"/>
  </sheetPr>
  <dimension ref="B1:O99"/>
  <sheetViews>
    <sheetView showGridLines="0" view="pageBreakPreview" zoomScale="115" zoomScaleNormal="100" zoomScaleSheetLayoutView="115" workbookViewId="0">
      <selection activeCell="B29" sqref="B29:F29"/>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10.42578125" style="16" customWidth="1"/>
    <col min="13" max="13" width="24" style="16" customWidth="1"/>
    <col min="14" max="53" width="9.140625" style="16" customWidth="1"/>
    <col min="54" max="16384" width="9.140625" style="16"/>
  </cols>
  <sheetData>
    <row r="1" spans="2:13" ht="7.5" customHeight="1" x14ac:dyDescent="0.25">
      <c r="E1" s="450"/>
    </row>
    <row r="2" spans="2:13" ht="15.75" x14ac:dyDescent="0.2">
      <c r="B2" s="453" t="str">
        <f>Input!B403</f>
        <v>T5CS 1st Excess Liability</v>
      </c>
      <c r="C2" s="577"/>
      <c r="E2" s="450"/>
      <c r="H2" s="454"/>
      <c r="I2" s="455"/>
      <c r="J2" s="455"/>
      <c r="L2" s="456" t="s">
        <v>391</v>
      </c>
      <c r="M2" s="381" t="s">
        <v>361</v>
      </c>
    </row>
    <row r="3" spans="2:13" x14ac:dyDescent="0.25">
      <c r="D3" s="455" t="str">
        <f xml:space="preserve"> IF(Input!D407=Input!G407,CHAR(254), "")</f>
        <v/>
      </c>
      <c r="E3" s="457"/>
      <c r="F3" s="458" t="str">
        <f xml:space="preserve"> IF(Input!E407=Input!G407,CHAR(254),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0.75" customHeight="1" x14ac:dyDescent="0.25">
      <c r="B5" s="409" t="s">
        <v>60</v>
      </c>
      <c r="C5" s="412" t="str">
        <f>Input!B408</f>
        <v xml:space="preserve">RSUI Indemnity Company </v>
      </c>
      <c r="D5" s="390" t="str">
        <f>Input!D408</f>
        <v xml:space="preserve">RSUI Indemnity Company </v>
      </c>
      <c r="F5" s="413" t="str">
        <f>Input!E408</f>
        <v xml:space="preserve">RSUI Indemnity Company </v>
      </c>
      <c r="J5" s="231"/>
      <c r="K5" s="231"/>
    </row>
    <row r="6" spans="2:13" x14ac:dyDescent="0.25">
      <c r="B6" s="409" t="s">
        <v>69</v>
      </c>
      <c r="C6" s="412" t="str">
        <f>Input!B410</f>
        <v>A+: XIV</v>
      </c>
      <c r="D6" s="390" t="str">
        <f>Input!D410</f>
        <v>A+: XIV</v>
      </c>
      <c r="F6" s="413" t="str">
        <f>Input!E410</f>
        <v>A+: XIV</v>
      </c>
      <c r="J6" s="231"/>
      <c r="K6" s="231"/>
    </row>
    <row r="7" spans="2:13" ht="15" customHeight="1" x14ac:dyDescent="0.25">
      <c r="B7" s="409" t="str">
        <f>Input!B406</f>
        <v>Renewal Policy Number</v>
      </c>
      <c r="C7" s="711" t="str">
        <f>Input!C405</f>
        <v>NHA098510</v>
      </c>
      <c r="D7" s="390" t="str">
        <f>Input!C406</f>
        <v>TBD</v>
      </c>
      <c r="F7" s="413" t="str">
        <f>Input!C406</f>
        <v>TBD</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09" t="s">
        <v>18</v>
      </c>
      <c r="C9" s="398">
        <f>Input!G429</f>
        <v>10000000</v>
      </c>
      <c r="D9" s="425">
        <f>Input!G430</f>
        <v>10000000</v>
      </c>
      <c r="E9" s="414"/>
      <c r="F9" s="427">
        <f>Input!G431</f>
        <v>0</v>
      </c>
      <c r="J9" s="231"/>
      <c r="K9" s="231"/>
    </row>
    <row r="10" spans="2:13" x14ac:dyDescent="0.25">
      <c r="B10" s="409" t="s">
        <v>71</v>
      </c>
      <c r="C10" s="398">
        <f>Input!H429</f>
        <v>10000000</v>
      </c>
      <c r="D10" s="425">
        <f>Input!H430</f>
        <v>10000000</v>
      </c>
      <c r="E10" s="414"/>
      <c r="F10" s="427">
        <f>Input!H431</f>
        <v>0</v>
      </c>
      <c r="J10" s="231"/>
      <c r="K10" s="231"/>
    </row>
    <row r="11" spans="2:13" x14ac:dyDescent="0.25">
      <c r="B11" s="477" t="str">
        <f>Input!I427</f>
        <v>Self-Insured Retention</v>
      </c>
      <c r="C11" s="403">
        <f>Input!I429</f>
        <v>0</v>
      </c>
      <c r="D11" s="431">
        <f>Input!I430</f>
        <v>0</v>
      </c>
      <c r="E11" s="414"/>
      <c r="F11" s="430">
        <f>Input!I431</f>
        <v>0</v>
      </c>
      <c r="J11" s="231"/>
      <c r="K11" s="231"/>
    </row>
    <row r="12" spans="2:13" x14ac:dyDescent="0.25">
      <c r="B12" s="479" t="s">
        <v>367</v>
      </c>
      <c r="C12" s="479"/>
      <c r="D12" s="479"/>
      <c r="F12" s="562"/>
      <c r="G12" s="211"/>
      <c r="H12" s="211"/>
      <c r="I12" s="211"/>
      <c r="J12" s="566"/>
      <c r="K12" s="566"/>
    </row>
    <row r="13" spans="2:13" x14ac:dyDescent="0.25">
      <c r="B13" s="402" t="s">
        <v>343</v>
      </c>
      <c r="C13" s="428">
        <f>Input!B412</f>
        <v>40600</v>
      </c>
      <c r="D13" s="425">
        <f>Input!D412</f>
        <v>39077.5</v>
      </c>
      <c r="E13" s="414"/>
      <c r="F13" s="427">
        <f>Input!E412</f>
        <v>39077.5</v>
      </c>
      <c r="J13" s="231"/>
      <c r="K13" s="231"/>
    </row>
    <row r="14" spans="2:13" x14ac:dyDescent="0.25">
      <c r="B14" s="402" t="s">
        <v>366</v>
      </c>
      <c r="C14" s="428">
        <f>Input!B418</f>
        <v>0</v>
      </c>
      <c r="D14" s="425">
        <f>Input!D418</f>
        <v>0</v>
      </c>
      <c r="E14" s="414"/>
      <c r="F14" s="427">
        <f>Input!E418</f>
        <v>0</v>
      </c>
      <c r="J14" s="231"/>
      <c r="K14" s="231"/>
    </row>
    <row r="15" spans="2:13" x14ac:dyDescent="0.25">
      <c r="B15" s="402" t="s">
        <v>365</v>
      </c>
      <c r="C15" s="429">
        <f>Input!B420</f>
        <v>1000</v>
      </c>
      <c r="D15" s="431">
        <f>Input!D420</f>
        <v>1000</v>
      </c>
      <c r="E15" s="414"/>
      <c r="F15" s="430">
        <f>Input!E420</f>
        <v>1000</v>
      </c>
      <c r="J15" s="231"/>
      <c r="K15" s="231"/>
    </row>
    <row r="16" spans="2:13" x14ac:dyDescent="0.25">
      <c r="B16" s="409" t="s">
        <v>368</v>
      </c>
      <c r="C16" s="428">
        <f>Input!B422</f>
        <v>41600</v>
      </c>
      <c r="D16" s="425">
        <f>Input!D422</f>
        <v>40077.5</v>
      </c>
      <c r="F16" s="427">
        <f>Input!E422</f>
        <v>40077.5</v>
      </c>
      <c r="J16" s="231"/>
      <c r="K16" s="231"/>
    </row>
    <row r="17" spans="2:11" ht="7.5" customHeight="1" x14ac:dyDescent="0.25">
      <c r="B17" s="310"/>
      <c r="C17" s="414"/>
      <c r="D17" s="414"/>
      <c r="E17" s="238"/>
      <c r="F17" s="461"/>
      <c r="J17" s="381"/>
    </row>
    <row r="18" spans="2:11" x14ac:dyDescent="0.25">
      <c r="B18" s="462" t="str">
        <f>Input!B432</f>
        <v>Schedule of Underlying Insurance</v>
      </c>
      <c r="C18" s="414"/>
      <c r="D18" s="414"/>
      <c r="E18" s="432"/>
      <c r="F18" s="461"/>
      <c r="J18" s="381"/>
    </row>
    <row r="19" spans="2:11" x14ac:dyDescent="0.25">
      <c r="B19" s="486" t="str">
        <f>Input!B441 &amp; ": " &amp; Input!B442</f>
        <v>Coverage: Primary T5CS Umbrella Policy</v>
      </c>
      <c r="C19" s="560"/>
      <c r="D19" s="560"/>
      <c r="E19" s="433"/>
      <c r="F19" s="529"/>
      <c r="J19" s="694" t="s">
        <v>1002</v>
      </c>
      <c r="K19" s="566" t="s">
        <v>363</v>
      </c>
    </row>
    <row r="20" spans="2:11" x14ac:dyDescent="0.25">
      <c r="B20" s="464" t="str">
        <f>Input!C441</f>
        <v>Policy Number</v>
      </c>
      <c r="C20" s="424">
        <f>Input!C437</f>
        <v>6080930229</v>
      </c>
      <c r="D20" s="424">
        <f>Input!C362</f>
        <v>6080930229</v>
      </c>
      <c r="E20" s="434"/>
      <c r="F20" s="424">
        <f>D20</f>
        <v>6080930229</v>
      </c>
      <c r="J20" s="231"/>
      <c r="K20" s="231"/>
    </row>
    <row r="21" spans="2:11" x14ac:dyDescent="0.25">
      <c r="B21" s="815" t="str">
        <f>Input!D440</f>
        <v>Limits of Liability</v>
      </c>
      <c r="C21" s="760"/>
      <c r="D21" s="760"/>
      <c r="F21" s="390"/>
      <c r="J21" s="231"/>
      <c r="K21" s="231"/>
    </row>
    <row r="22" spans="2:11" x14ac:dyDescent="0.25">
      <c r="B22" s="478" t="str">
        <f>Input!D441</f>
        <v>Each Occurrence</v>
      </c>
      <c r="C22" s="425">
        <f>Input!D437</f>
        <v>10000000</v>
      </c>
      <c r="D22" s="425">
        <f>Input!D442</f>
        <v>10000000</v>
      </c>
      <c r="F22" s="425">
        <f>D22</f>
        <v>10000000</v>
      </c>
      <c r="J22" s="231"/>
      <c r="K22" s="231"/>
    </row>
    <row r="23" spans="2:11" x14ac:dyDescent="0.25">
      <c r="B23" s="478" t="str">
        <f>Input!E441</f>
        <v>Aggregate</v>
      </c>
      <c r="C23" s="425">
        <f>Input!E437</f>
        <v>10000000</v>
      </c>
      <c r="D23" s="425">
        <f>Input!E442</f>
        <v>10000000</v>
      </c>
      <c r="E23" s="426"/>
      <c r="F23" s="425">
        <f>D23</f>
        <v>10000000</v>
      </c>
      <c r="J23" s="231"/>
      <c r="K23" s="231"/>
    </row>
    <row r="24" spans="2:11" x14ac:dyDescent="0.25">
      <c r="B24" s="491" t="str">
        <f>Input!F441</f>
        <v>Self-Insured Retention</v>
      </c>
      <c r="C24" s="425">
        <f>Input!F437</f>
        <v>10000</v>
      </c>
      <c r="D24" s="425">
        <f>Input!F442</f>
        <v>10000</v>
      </c>
      <c r="F24" s="425">
        <f>D24</f>
        <v>10000</v>
      </c>
      <c r="J24" s="231"/>
      <c r="K24" s="231"/>
    </row>
    <row r="25" spans="2:11" ht="45.75" customHeight="1" x14ac:dyDescent="0.25">
      <c r="B25" s="491" t="str">
        <f>Input!G441</f>
        <v>Insurer</v>
      </c>
      <c r="C25" s="390" t="str">
        <f>Input!G437</f>
        <v>The Continental Insurance Company (CNA)</v>
      </c>
      <c r="D25" s="390" t="str">
        <f>Input!G442</f>
        <v>The Continental Insurance Company (CNA)</v>
      </c>
      <c r="F25" s="390" t="str">
        <f>D25</f>
        <v>The Continental Insurance Company (CNA)</v>
      </c>
      <c r="J25" s="231"/>
      <c r="K25" s="231"/>
    </row>
    <row r="26" spans="2:11" ht="15.75" customHeight="1" x14ac:dyDescent="0.25">
      <c r="B26" s="491" t="str">
        <f>Input!H441</f>
        <v>Policy Period</v>
      </c>
      <c r="C26" s="390" t="str">
        <f>Input!H437</f>
        <v>7/1/2022 - 7/1/2023</v>
      </c>
      <c r="D26" s="390" t="str">
        <f>Input!C6</f>
        <v>7/1/2023 - 7/1/2024</v>
      </c>
      <c r="F26" s="390" t="str">
        <f>D26</f>
        <v>7/1/2023 - 7/1/2024</v>
      </c>
      <c r="J26" s="231"/>
      <c r="K26" s="231"/>
    </row>
    <row r="27" spans="2:11" ht="7.5" customHeight="1" x14ac:dyDescent="0.25">
      <c r="B27" s="310"/>
      <c r="C27" s="228"/>
      <c r="D27" s="228"/>
      <c r="F27" s="275"/>
      <c r="J27" s="381"/>
    </row>
    <row r="28" spans="2:11" x14ac:dyDescent="0.25">
      <c r="B28" s="1274" t="s">
        <v>144</v>
      </c>
      <c r="C28" s="1274"/>
      <c r="D28" s="1274"/>
      <c r="F28" s="274"/>
      <c r="J28" s="381"/>
    </row>
    <row r="29" spans="2:11" x14ac:dyDescent="0.25">
      <c r="B29" s="1275" t="s">
        <v>1969</v>
      </c>
      <c r="C29" s="1276"/>
      <c r="D29" s="1276"/>
      <c r="E29" s="1276"/>
      <c r="F29" s="1277"/>
      <c r="J29" s="381"/>
    </row>
    <row r="30" spans="2:11" ht="7.5" customHeight="1" x14ac:dyDescent="0.25">
      <c r="B30" s="380"/>
      <c r="C30" s="238"/>
      <c r="D30" s="238"/>
      <c r="F30" s="275"/>
      <c r="J30" s="381"/>
    </row>
    <row r="31" spans="2:11" x14ac:dyDescent="0.25">
      <c r="B31" s="1274" t="s">
        <v>145</v>
      </c>
      <c r="C31" s="1274"/>
      <c r="D31" s="1274"/>
      <c r="F31" s="275"/>
      <c r="J31" s="381"/>
    </row>
    <row r="32" spans="2:11" x14ac:dyDescent="0.25">
      <c r="B32" s="1275" t="s">
        <v>1172</v>
      </c>
      <c r="C32" s="1276"/>
      <c r="D32" s="1276"/>
      <c r="E32" s="1276"/>
      <c r="F32" s="1277"/>
      <c r="J32" s="381"/>
    </row>
    <row r="33" spans="2:15" ht="7.5" customHeight="1" x14ac:dyDescent="0.25">
      <c r="B33" s="310"/>
      <c r="C33" s="228"/>
      <c r="D33" s="228"/>
      <c r="F33" s="275"/>
      <c r="J33" s="381"/>
    </row>
    <row r="34" spans="2:15" x14ac:dyDescent="0.25">
      <c r="B34" s="523" t="s">
        <v>72</v>
      </c>
      <c r="C34" s="524" t="s">
        <v>62</v>
      </c>
      <c r="D34" s="525" t="s">
        <v>63</v>
      </c>
      <c r="F34" s="526" t="s">
        <v>146</v>
      </c>
      <c r="J34" s="527" t="s">
        <v>1002</v>
      </c>
      <c r="K34" s="527" t="s">
        <v>363</v>
      </c>
    </row>
    <row r="35" spans="2:15" x14ac:dyDescent="0.25">
      <c r="B35" s="400" t="s">
        <v>73</v>
      </c>
      <c r="C35" s="711" t="s">
        <v>1033</v>
      </c>
      <c r="D35" s="712" t="s">
        <v>1033</v>
      </c>
      <c r="F35" s="413"/>
      <c r="G35" s="450" t="str">
        <f t="shared" ref="G35:G96" si="0">IF(OR(TRIM(D35)&lt;&gt;"",TRIM(F35)&lt;&gt;""),IF(AND(TRIM(D35)&lt;&gt;"",TRIM(F35)&lt;&gt;""),IF(OR(TRIM(C35)&lt;&gt;TRIM(D35),TRIM(C35)&lt;&gt;TRIM(F35)),"_",""),IF(TRIM(C35)&lt;&gt;TRIM(D35), "_", "")),"")</f>
        <v/>
      </c>
      <c r="J35" s="231"/>
      <c r="K35" s="231"/>
    </row>
    <row r="36" spans="2:15" x14ac:dyDescent="0.25">
      <c r="B36" s="400" t="s">
        <v>74</v>
      </c>
      <c r="C36" s="711" t="s">
        <v>1678</v>
      </c>
      <c r="D36" s="712" t="s">
        <v>1678</v>
      </c>
      <c r="F36" s="413"/>
      <c r="G36" s="450" t="str">
        <f t="shared" si="0"/>
        <v/>
      </c>
      <c r="J36" s="231"/>
      <c r="K36" s="231"/>
    </row>
    <row r="37" spans="2:15" x14ac:dyDescent="0.25">
      <c r="B37" s="400" t="s">
        <v>151</v>
      </c>
      <c r="C37" s="711" t="s">
        <v>1035</v>
      </c>
      <c r="D37" s="712" t="s">
        <v>1035</v>
      </c>
      <c r="F37" s="413"/>
      <c r="G37" s="450" t="str">
        <f t="shared" si="0"/>
        <v/>
      </c>
      <c r="J37" s="231"/>
      <c r="K37" s="231"/>
    </row>
    <row r="38" spans="2:15" x14ac:dyDescent="0.25">
      <c r="B38" s="400" t="s">
        <v>152</v>
      </c>
      <c r="C38" s="711" t="s">
        <v>284</v>
      </c>
      <c r="D38" s="712" t="s">
        <v>284</v>
      </c>
      <c r="F38" s="413"/>
      <c r="G38" s="450" t="str">
        <f t="shared" si="0"/>
        <v/>
      </c>
      <c r="J38" s="231"/>
      <c r="K38" s="231"/>
    </row>
    <row r="39" spans="2:15" x14ac:dyDescent="0.25">
      <c r="B39" s="400" t="s">
        <v>77</v>
      </c>
      <c r="C39" s="711" t="s">
        <v>1036</v>
      </c>
      <c r="D39" s="712" t="s">
        <v>1036</v>
      </c>
      <c r="F39" s="413"/>
      <c r="G39" s="450" t="str">
        <f t="shared" si="0"/>
        <v/>
      </c>
      <c r="J39" s="231"/>
      <c r="K39" s="231"/>
    </row>
    <row r="40" spans="2:15" x14ac:dyDescent="0.25">
      <c r="B40" s="400" t="s">
        <v>390</v>
      </c>
      <c r="C40" s="459" t="s">
        <v>157</v>
      </c>
      <c r="D40" s="692" t="s">
        <v>157</v>
      </c>
      <c r="F40" s="413"/>
      <c r="G40" s="450" t="str">
        <f t="shared" si="0"/>
        <v/>
      </c>
      <c r="J40" s="231"/>
      <c r="K40" s="231"/>
    </row>
    <row r="41" spans="2:15" x14ac:dyDescent="0.25">
      <c r="B41" s="400" t="s">
        <v>755</v>
      </c>
      <c r="C41" s="459" t="s">
        <v>157</v>
      </c>
      <c r="D41" s="692" t="s">
        <v>157</v>
      </c>
      <c r="F41" s="413"/>
      <c r="G41" s="450" t="str">
        <f t="shared" si="0"/>
        <v/>
      </c>
      <c r="J41" s="231"/>
      <c r="K41" s="231"/>
      <c r="M41" s="1150" t="s">
        <v>986</v>
      </c>
      <c r="N41" s="1150"/>
      <c r="O41" s="1150"/>
    </row>
    <row r="42" spans="2:15" ht="38.25" hidden="1" x14ac:dyDescent="0.25">
      <c r="B42" s="932" t="s">
        <v>1692</v>
      </c>
      <c r="C42" s="924"/>
      <c r="D42" s="925"/>
      <c r="E42" s="926"/>
      <c r="F42" s="933"/>
      <c r="G42" s="450" t="str">
        <f t="shared" si="0"/>
        <v/>
      </c>
      <c r="J42" s="231"/>
      <c r="K42" s="231"/>
      <c r="M42" s="1150"/>
      <c r="N42" s="1150"/>
      <c r="O42" s="1150"/>
    </row>
    <row r="43" spans="2:15" s="452" customFormat="1" hidden="1" x14ac:dyDescent="0.25">
      <c r="B43" s="814" t="s">
        <v>168</v>
      </c>
      <c r="C43" s="810"/>
      <c r="D43" s="785"/>
      <c r="E43" s="16"/>
      <c r="F43" s="413"/>
      <c r="G43" s="450" t="str">
        <f t="shared" si="0"/>
        <v/>
      </c>
      <c r="J43" s="231"/>
      <c r="K43" s="231"/>
      <c r="M43" s="1150"/>
      <c r="N43" s="1150"/>
      <c r="O43" s="1150"/>
    </row>
    <row r="44" spans="2:15" s="452" customFormat="1" x14ac:dyDescent="0.25">
      <c r="B44" s="400" t="s">
        <v>169</v>
      </c>
      <c r="C44" s="456" t="s">
        <v>391</v>
      </c>
      <c r="D44" s="797" t="s">
        <v>391</v>
      </c>
      <c r="E44" s="16"/>
      <c r="F44" s="413"/>
      <c r="G44" s="450" t="str">
        <f t="shared" si="0"/>
        <v/>
      </c>
      <c r="J44" s="231"/>
      <c r="K44" s="231"/>
      <c r="M44" s="1150"/>
      <c r="N44" s="1150"/>
      <c r="O44" s="1150"/>
    </row>
    <row r="45" spans="2:15" s="452" customFormat="1" hidden="1" x14ac:dyDescent="0.25">
      <c r="B45" s="400" t="s">
        <v>170</v>
      </c>
      <c r="C45" s="412"/>
      <c r="D45" s="390"/>
      <c r="E45" s="16"/>
      <c r="F45" s="413"/>
      <c r="G45" s="450" t="str">
        <f t="shared" si="0"/>
        <v/>
      </c>
      <c r="J45" s="231"/>
      <c r="K45" s="231"/>
      <c r="M45" s="689"/>
      <c r="N45" s="689"/>
      <c r="O45" s="689"/>
    </row>
    <row r="46" spans="2:15" ht="15" hidden="1" customHeight="1" x14ac:dyDescent="0.25">
      <c r="B46" s="368" t="s">
        <v>707</v>
      </c>
      <c r="C46" s="435"/>
      <c r="D46" s="391"/>
      <c r="F46" s="436"/>
      <c r="G46" s="450" t="str">
        <f t="shared" si="0"/>
        <v/>
      </c>
      <c r="H46" s="211"/>
      <c r="I46" s="211"/>
      <c r="J46" s="232"/>
      <c r="K46" s="232"/>
      <c r="M46" s="689"/>
      <c r="N46" s="689"/>
      <c r="O46" s="689"/>
    </row>
    <row r="47" spans="2:15" hidden="1" x14ac:dyDescent="0.25">
      <c r="B47" s="441" t="s">
        <v>704</v>
      </c>
      <c r="C47" s="438"/>
      <c r="D47" s="439"/>
      <c r="F47" s="440"/>
      <c r="G47" s="450" t="str">
        <f t="shared" si="0"/>
        <v/>
      </c>
      <c r="H47" s="211"/>
      <c r="I47" s="211"/>
      <c r="J47" s="447"/>
      <c r="K47" s="447"/>
      <c r="M47" s="689"/>
      <c r="N47" s="689"/>
      <c r="O47" s="689"/>
    </row>
    <row r="48" spans="2:15" hidden="1" x14ac:dyDescent="0.25">
      <c r="B48" s="442" t="s">
        <v>705</v>
      </c>
      <c r="C48" s="396"/>
      <c r="D48" s="424"/>
      <c r="F48" s="443"/>
      <c r="G48" s="450" t="str">
        <f t="shared" si="0"/>
        <v/>
      </c>
      <c r="H48" s="211"/>
      <c r="I48" s="211"/>
      <c r="J48" s="445"/>
      <c r="K48" s="445"/>
      <c r="M48" s="689"/>
      <c r="N48" s="689"/>
      <c r="O48" s="689"/>
    </row>
    <row r="49" spans="2:15" hidden="1" x14ac:dyDescent="0.25">
      <c r="B49" s="400" t="s">
        <v>708</v>
      </c>
      <c r="C49" s="412"/>
      <c r="D49" s="390"/>
      <c r="F49" s="413"/>
      <c r="G49" s="450" t="str">
        <f t="shared" si="0"/>
        <v/>
      </c>
      <c r="H49" s="211"/>
      <c r="I49" s="211"/>
      <c r="J49" s="231"/>
      <c r="K49" s="231"/>
      <c r="M49" s="689"/>
      <c r="N49" s="689"/>
      <c r="O49" s="689"/>
    </row>
    <row r="50" spans="2:15" ht="15" hidden="1" customHeight="1" x14ac:dyDescent="0.25">
      <c r="B50" s="400" t="s">
        <v>706</v>
      </c>
      <c r="C50" s="412"/>
      <c r="D50" s="390"/>
      <c r="F50" s="413"/>
      <c r="G50" s="450" t="str">
        <f t="shared" si="0"/>
        <v/>
      </c>
      <c r="H50" s="211"/>
      <c r="I50" s="211"/>
      <c r="J50" s="231"/>
      <c r="K50" s="231"/>
      <c r="M50" s="689"/>
      <c r="N50" s="689"/>
      <c r="O50" s="689"/>
    </row>
    <row r="51" spans="2:15" hidden="1" x14ac:dyDescent="0.25">
      <c r="B51" s="400" t="s">
        <v>709</v>
      </c>
      <c r="C51" s="412"/>
      <c r="D51" s="390"/>
      <c r="F51" s="413"/>
      <c r="G51" s="450" t="str">
        <f t="shared" si="0"/>
        <v/>
      </c>
      <c r="H51" s="211"/>
      <c r="I51" s="211"/>
      <c r="J51" s="231"/>
      <c r="K51" s="231"/>
      <c r="M51" s="689"/>
      <c r="N51" s="689"/>
      <c r="O51" s="689"/>
    </row>
    <row r="52" spans="2:15" hidden="1" x14ac:dyDescent="0.25">
      <c r="B52" s="400" t="s">
        <v>710</v>
      </c>
      <c r="C52" s="412"/>
      <c r="D52" s="390"/>
      <c r="F52" s="413"/>
      <c r="G52" s="450" t="str">
        <f t="shared" si="0"/>
        <v/>
      </c>
      <c r="H52" s="211"/>
      <c r="I52" s="211"/>
      <c r="J52" s="231"/>
      <c r="K52" s="231"/>
      <c r="M52" s="689"/>
      <c r="N52" s="689"/>
      <c r="O52" s="689"/>
    </row>
    <row r="53" spans="2:15" hidden="1" x14ac:dyDescent="0.25">
      <c r="B53" s="400" t="s">
        <v>418</v>
      </c>
      <c r="C53" s="412"/>
      <c r="D53" s="390"/>
      <c r="F53" s="413"/>
      <c r="G53" s="450" t="str">
        <f t="shared" si="0"/>
        <v/>
      </c>
      <c r="H53" s="211"/>
      <c r="I53" s="211"/>
      <c r="J53" s="231"/>
      <c r="K53" s="231"/>
      <c r="M53" s="689"/>
      <c r="N53" s="689"/>
      <c r="O53" s="689"/>
    </row>
    <row r="54" spans="2:15" hidden="1" x14ac:dyDescent="0.25">
      <c r="B54" s="400" t="s">
        <v>154</v>
      </c>
      <c r="C54" s="412"/>
      <c r="D54" s="390"/>
      <c r="F54" s="413"/>
      <c r="G54" s="450" t="str">
        <f t="shared" si="0"/>
        <v/>
      </c>
      <c r="H54" s="211"/>
      <c r="I54" s="211"/>
      <c r="J54" s="231"/>
      <c r="K54" s="231"/>
      <c r="M54" s="689"/>
      <c r="N54" s="689"/>
      <c r="O54" s="689"/>
    </row>
    <row r="55" spans="2:15" ht="25.5" hidden="1" x14ac:dyDescent="0.25">
      <c r="B55" s="400" t="s">
        <v>155</v>
      </c>
      <c r="C55" s="412"/>
      <c r="D55" s="390"/>
      <c r="F55" s="413"/>
      <c r="G55" s="450" t="str">
        <f t="shared" si="0"/>
        <v/>
      </c>
      <c r="H55" s="211"/>
      <c r="I55" s="211"/>
      <c r="J55" s="231"/>
      <c r="K55" s="231"/>
      <c r="M55" s="689"/>
      <c r="N55" s="689"/>
      <c r="O55" s="689"/>
    </row>
    <row r="56" spans="2:15" hidden="1" x14ac:dyDescent="0.25">
      <c r="B56" s="400" t="s">
        <v>163</v>
      </c>
      <c r="C56" s="412"/>
      <c r="D56" s="390"/>
      <c r="F56" s="413"/>
      <c r="G56" s="450" t="str">
        <f t="shared" si="0"/>
        <v/>
      </c>
      <c r="H56" s="211"/>
      <c r="I56" s="211"/>
      <c r="J56" s="231"/>
      <c r="K56" s="231"/>
      <c r="M56" s="689"/>
      <c r="N56" s="689"/>
      <c r="O56" s="689"/>
    </row>
    <row r="57" spans="2:15" hidden="1" x14ac:dyDescent="0.25">
      <c r="B57" s="400" t="s">
        <v>711</v>
      </c>
      <c r="C57" s="412"/>
      <c r="D57" s="390"/>
      <c r="F57" s="413"/>
      <c r="G57" s="450" t="str">
        <f t="shared" si="0"/>
        <v/>
      </c>
      <c r="H57" s="211"/>
      <c r="I57" s="211"/>
      <c r="J57" s="231"/>
      <c r="K57" s="231"/>
      <c r="M57" s="689"/>
      <c r="N57" s="689"/>
      <c r="O57" s="689"/>
    </row>
    <row r="58" spans="2:15" hidden="1" x14ac:dyDescent="0.25">
      <c r="B58" s="368" t="s">
        <v>715</v>
      </c>
      <c r="C58" s="435"/>
      <c r="D58" s="391"/>
      <c r="F58" s="436"/>
      <c r="G58" s="450" t="str">
        <f t="shared" si="0"/>
        <v/>
      </c>
      <c r="H58" s="211"/>
      <c r="I58" s="211"/>
      <c r="J58" s="232"/>
      <c r="K58" s="232"/>
      <c r="M58" s="689"/>
      <c r="N58" s="689"/>
      <c r="O58" s="689"/>
    </row>
    <row r="59" spans="2:15" hidden="1" x14ac:dyDescent="0.25">
      <c r="B59" s="441" t="s">
        <v>712</v>
      </c>
      <c r="C59" s="438"/>
      <c r="D59" s="439"/>
      <c r="F59" s="440"/>
      <c r="G59" s="450" t="str">
        <f t="shared" si="0"/>
        <v/>
      </c>
      <c r="H59" s="211"/>
      <c r="I59" s="211"/>
      <c r="J59" s="447"/>
      <c r="K59" s="447"/>
      <c r="M59" s="689"/>
      <c r="N59" s="689"/>
      <c r="O59" s="689"/>
    </row>
    <row r="60" spans="2:15" hidden="1" x14ac:dyDescent="0.25">
      <c r="B60" s="441" t="s">
        <v>713</v>
      </c>
      <c r="C60" s="438"/>
      <c r="D60" s="439"/>
      <c r="F60" s="440"/>
      <c r="G60" s="450" t="str">
        <f t="shared" si="0"/>
        <v/>
      </c>
      <c r="H60" s="211"/>
      <c r="I60" s="211"/>
      <c r="J60" s="447"/>
      <c r="K60" s="447"/>
      <c r="M60" s="689"/>
      <c r="N60" s="689"/>
      <c r="O60" s="689"/>
    </row>
    <row r="61" spans="2:15" hidden="1" x14ac:dyDescent="0.25">
      <c r="B61" s="442" t="s">
        <v>714</v>
      </c>
      <c r="C61" s="396"/>
      <c r="D61" s="424"/>
      <c r="F61" s="443"/>
      <c r="G61" s="450" t="str">
        <f t="shared" si="0"/>
        <v/>
      </c>
      <c r="H61" s="211"/>
      <c r="I61" s="211"/>
      <c r="J61" s="445"/>
      <c r="K61" s="445"/>
      <c r="M61" s="689"/>
      <c r="N61" s="689"/>
      <c r="O61" s="689"/>
    </row>
    <row r="62" spans="2:15" hidden="1" x14ac:dyDescent="0.25">
      <c r="B62" s="368" t="s">
        <v>716</v>
      </c>
      <c r="C62" s="435"/>
      <c r="D62" s="391"/>
      <c r="F62" s="436"/>
      <c r="G62" s="450" t="str">
        <f t="shared" si="0"/>
        <v/>
      </c>
      <c r="H62" s="211"/>
      <c r="I62" s="211"/>
      <c r="J62" s="232"/>
      <c r="K62" s="232"/>
      <c r="M62" s="689"/>
      <c r="N62" s="689"/>
      <c r="O62" s="689"/>
    </row>
    <row r="63" spans="2:15" hidden="1" x14ac:dyDescent="0.25">
      <c r="B63" s="444" t="s">
        <v>697</v>
      </c>
      <c r="C63" s="396"/>
      <c r="D63" s="424"/>
      <c r="F63" s="443"/>
      <c r="G63" s="450" t="str">
        <f t="shared" si="0"/>
        <v/>
      </c>
      <c r="H63" s="211"/>
      <c r="I63" s="211"/>
      <c r="J63" s="445"/>
      <c r="K63" s="445"/>
      <c r="M63" s="689"/>
      <c r="N63" s="689"/>
      <c r="O63" s="689"/>
    </row>
    <row r="64" spans="2:15" ht="7.5" customHeight="1" x14ac:dyDescent="0.25">
      <c r="B64" s="310"/>
      <c r="C64" s="228"/>
      <c r="D64" s="228"/>
      <c r="F64" s="275"/>
      <c r="G64" s="450" t="str">
        <f t="shared" si="0"/>
        <v/>
      </c>
      <c r="J64" s="381"/>
      <c r="M64" s="689"/>
      <c r="N64" s="689"/>
      <c r="O64" s="689"/>
    </row>
    <row r="65" spans="2:15" x14ac:dyDescent="0.25">
      <c r="B65" s="523" t="s">
        <v>103</v>
      </c>
      <c r="C65" s="524" t="s">
        <v>62</v>
      </c>
      <c r="D65" s="525" t="s">
        <v>63</v>
      </c>
      <c r="F65" s="526" t="s">
        <v>146</v>
      </c>
      <c r="G65" s="450" t="str">
        <f t="shared" si="0"/>
        <v>_</v>
      </c>
      <c r="J65" s="527" t="s">
        <v>1002</v>
      </c>
      <c r="K65" s="527" t="s">
        <v>363</v>
      </c>
      <c r="M65" s="689"/>
      <c r="N65" s="689"/>
      <c r="O65" s="689"/>
    </row>
    <row r="66" spans="2:15" hidden="1" x14ac:dyDescent="0.25">
      <c r="B66" s="930" t="s">
        <v>988</v>
      </c>
      <c r="C66" s="928" t="s">
        <v>157</v>
      </c>
      <c r="D66" s="931" t="s">
        <v>157</v>
      </c>
      <c r="E66" s="934"/>
      <c r="F66" s="935"/>
      <c r="G66" s="450" t="str">
        <f t="shared" si="0"/>
        <v/>
      </c>
      <c r="J66" s="527"/>
      <c r="K66" s="527"/>
      <c r="M66" s="689"/>
      <c r="N66" s="689"/>
      <c r="O66" s="689"/>
    </row>
    <row r="67" spans="2:15" ht="25.5" hidden="1" x14ac:dyDescent="0.25">
      <c r="B67" s="932" t="s">
        <v>1691</v>
      </c>
      <c r="C67" s="928"/>
      <c r="D67" s="931"/>
      <c r="E67" s="926"/>
      <c r="F67" s="935"/>
      <c r="G67" s="450" t="str">
        <f t="shared" si="0"/>
        <v/>
      </c>
      <c r="J67" s="527"/>
      <c r="K67" s="527"/>
      <c r="M67" s="689"/>
      <c r="N67" s="689"/>
      <c r="O67" s="689"/>
    </row>
    <row r="68" spans="2:15" x14ac:dyDescent="0.25">
      <c r="B68" s="691" t="s">
        <v>988</v>
      </c>
      <c r="C68" s="459" t="s">
        <v>157</v>
      </c>
      <c r="D68" s="692" t="s">
        <v>157</v>
      </c>
      <c r="F68" s="526"/>
      <c r="G68" s="450" t="str">
        <f t="shared" si="0"/>
        <v/>
      </c>
      <c r="J68" s="527"/>
      <c r="K68" s="527"/>
      <c r="M68" s="1150" t="s">
        <v>989</v>
      </c>
      <c r="N68" s="1150"/>
      <c r="O68" s="1150"/>
    </row>
    <row r="69" spans="2:15" ht="15" hidden="1" customHeight="1" x14ac:dyDescent="0.25">
      <c r="B69" s="400" t="s">
        <v>719</v>
      </c>
      <c r="C69" s="412"/>
      <c r="D69" s="390"/>
      <c r="F69" s="413"/>
      <c r="G69" s="450" t="str">
        <f t="shared" si="0"/>
        <v/>
      </c>
      <c r="H69" s="211"/>
      <c r="I69" s="211"/>
      <c r="J69" s="231"/>
      <c r="K69" s="231"/>
      <c r="M69" s="1150"/>
      <c r="N69" s="1150"/>
      <c r="O69" s="1150"/>
    </row>
    <row r="70" spans="2:15" ht="15" hidden="1" customHeight="1" x14ac:dyDescent="0.25">
      <c r="B70" s="400" t="s">
        <v>676</v>
      </c>
      <c r="C70" s="412"/>
      <c r="D70" s="390"/>
      <c r="F70" s="413"/>
      <c r="G70" s="450" t="str">
        <f t="shared" si="0"/>
        <v/>
      </c>
      <c r="H70" s="211"/>
      <c r="I70" s="211"/>
      <c r="J70" s="231"/>
      <c r="K70" s="231"/>
      <c r="M70" s="1150"/>
      <c r="N70" s="1150"/>
      <c r="O70" s="1150"/>
    </row>
    <row r="71" spans="2:15" ht="15" hidden="1" customHeight="1" x14ac:dyDescent="0.25">
      <c r="B71" s="400" t="s">
        <v>720</v>
      </c>
      <c r="C71" s="412"/>
      <c r="D71" s="390"/>
      <c r="F71" s="413"/>
      <c r="G71" s="450" t="str">
        <f t="shared" si="0"/>
        <v/>
      </c>
      <c r="H71" s="211"/>
      <c r="I71" s="211"/>
      <c r="J71" s="231"/>
      <c r="K71" s="231"/>
      <c r="M71" s="1150"/>
      <c r="N71" s="1150"/>
      <c r="O71" s="1150"/>
    </row>
    <row r="72" spans="2:15" ht="15" hidden="1" customHeight="1" x14ac:dyDescent="0.25">
      <c r="B72" s="400" t="s">
        <v>526</v>
      </c>
      <c r="C72" s="412"/>
      <c r="D72" s="390"/>
      <c r="F72" s="413"/>
      <c r="G72" s="450" t="str">
        <f t="shared" si="0"/>
        <v/>
      </c>
      <c r="H72" s="211"/>
      <c r="I72" s="211"/>
      <c r="J72" s="231"/>
      <c r="K72" s="231"/>
      <c r="M72" s="1150"/>
      <c r="N72" s="1150"/>
      <c r="O72" s="1150"/>
    </row>
    <row r="73" spans="2:15" ht="15" hidden="1" customHeight="1" x14ac:dyDescent="0.25">
      <c r="B73" s="400" t="s">
        <v>524</v>
      </c>
      <c r="C73" s="412"/>
      <c r="D73" s="390"/>
      <c r="F73" s="413"/>
      <c r="G73" s="450" t="str">
        <f t="shared" si="0"/>
        <v/>
      </c>
      <c r="H73" s="211"/>
      <c r="I73" s="211"/>
      <c r="J73" s="231"/>
      <c r="K73" s="231"/>
      <c r="M73" s="1150"/>
      <c r="N73" s="1150"/>
      <c r="O73" s="1150"/>
    </row>
    <row r="74" spans="2:15" ht="15" hidden="1" customHeight="1" x14ac:dyDescent="0.25">
      <c r="B74" s="400" t="s">
        <v>529</v>
      </c>
      <c r="C74" s="412"/>
      <c r="D74" s="390"/>
      <c r="F74" s="413"/>
      <c r="G74" s="450" t="str">
        <f t="shared" si="0"/>
        <v/>
      </c>
      <c r="H74" s="211"/>
      <c r="I74" s="211"/>
      <c r="J74" s="231"/>
      <c r="K74" s="231"/>
      <c r="M74" s="1150"/>
      <c r="N74" s="1150"/>
      <c r="O74" s="1150"/>
    </row>
    <row r="75" spans="2:15" ht="15" hidden="1" customHeight="1" x14ac:dyDescent="0.25">
      <c r="B75" s="400" t="s">
        <v>525</v>
      </c>
      <c r="C75" s="412"/>
      <c r="D75" s="390"/>
      <c r="F75" s="413"/>
      <c r="G75" s="450" t="str">
        <f t="shared" si="0"/>
        <v/>
      </c>
      <c r="H75" s="211"/>
      <c r="I75" s="211"/>
      <c r="J75" s="231"/>
      <c r="K75" s="231"/>
      <c r="M75" s="1150"/>
      <c r="N75" s="1150"/>
      <c r="O75" s="1150"/>
    </row>
    <row r="76" spans="2:15" ht="15" hidden="1" customHeight="1" x14ac:dyDescent="0.25">
      <c r="B76" s="400" t="s">
        <v>528</v>
      </c>
      <c r="C76" s="412"/>
      <c r="D76" s="390"/>
      <c r="F76" s="413"/>
      <c r="G76" s="450" t="str">
        <f t="shared" si="0"/>
        <v/>
      </c>
      <c r="H76" s="211"/>
      <c r="I76" s="211"/>
      <c r="J76" s="231"/>
      <c r="K76" s="231"/>
      <c r="M76" s="1150"/>
      <c r="N76" s="1150"/>
      <c r="O76" s="1150"/>
    </row>
    <row r="77" spans="2:15" ht="15" hidden="1" customHeight="1" x14ac:dyDescent="0.25">
      <c r="B77" s="400" t="s">
        <v>527</v>
      </c>
      <c r="C77" s="412"/>
      <c r="D77" s="390"/>
      <c r="F77" s="413"/>
      <c r="G77" s="450" t="str">
        <f t="shared" si="0"/>
        <v/>
      </c>
      <c r="H77" s="211"/>
      <c r="I77" s="211"/>
      <c r="J77" s="231"/>
      <c r="K77" s="231"/>
      <c r="M77" s="1150"/>
      <c r="N77" s="1150"/>
      <c r="O77" s="1150"/>
    </row>
    <row r="78" spans="2:15" ht="15" hidden="1" customHeight="1" x14ac:dyDescent="0.25">
      <c r="B78" s="368" t="s">
        <v>718</v>
      </c>
      <c r="C78" s="435"/>
      <c r="D78" s="391"/>
      <c r="F78" s="436"/>
      <c r="G78" s="450" t="str">
        <f t="shared" si="0"/>
        <v/>
      </c>
      <c r="H78" s="211"/>
      <c r="I78" s="211"/>
      <c r="J78" s="232"/>
      <c r="K78" s="232"/>
      <c r="M78" s="1150"/>
      <c r="N78" s="1150"/>
      <c r="O78" s="1150"/>
    </row>
    <row r="79" spans="2:15" ht="45" hidden="1" customHeight="1" x14ac:dyDescent="0.25">
      <c r="B79" s="596" t="s">
        <v>727</v>
      </c>
      <c r="C79" s="396"/>
      <c r="D79" s="424"/>
      <c r="F79" s="443"/>
      <c r="G79" s="450" t="str">
        <f t="shared" si="0"/>
        <v/>
      </c>
      <c r="H79" s="211"/>
      <c r="I79" s="211"/>
      <c r="J79" s="445"/>
      <c r="K79" s="445"/>
      <c r="M79" s="1150"/>
      <c r="N79" s="1150"/>
      <c r="O79" s="1150"/>
    </row>
    <row r="80" spans="2:15" ht="15" hidden="1" customHeight="1" x14ac:dyDescent="0.25">
      <c r="B80" s="368" t="s">
        <v>253</v>
      </c>
      <c r="C80" s="435"/>
      <c r="D80" s="391"/>
      <c r="F80" s="436"/>
      <c r="G80" s="450" t="str">
        <f t="shared" si="0"/>
        <v/>
      </c>
      <c r="H80" s="211"/>
      <c r="I80" s="211"/>
      <c r="J80" s="232"/>
      <c r="K80" s="232"/>
      <c r="M80" s="1150"/>
      <c r="N80" s="1150"/>
      <c r="O80" s="1150"/>
    </row>
    <row r="81" spans="2:15" ht="15" hidden="1" customHeight="1" x14ac:dyDescent="0.25">
      <c r="B81" s="442" t="s">
        <v>717</v>
      </c>
      <c r="C81" s="396"/>
      <c r="D81" s="424"/>
      <c r="F81" s="443"/>
      <c r="G81" s="450" t="str">
        <f t="shared" si="0"/>
        <v/>
      </c>
      <c r="H81" s="211"/>
      <c r="I81" s="211"/>
      <c r="J81" s="445"/>
      <c r="K81" s="445"/>
      <c r="M81" s="1150"/>
      <c r="N81" s="1150"/>
      <c r="O81" s="1150"/>
    </row>
    <row r="82" spans="2:15" ht="15" hidden="1" customHeight="1" x14ac:dyDescent="0.25">
      <c r="B82" s="400" t="s">
        <v>721</v>
      </c>
      <c r="C82" s="412"/>
      <c r="D82" s="390"/>
      <c r="F82" s="413"/>
      <c r="G82" s="450" t="str">
        <f t="shared" si="0"/>
        <v/>
      </c>
      <c r="H82" s="211"/>
      <c r="I82" s="211"/>
      <c r="J82" s="231"/>
      <c r="K82" s="231"/>
      <c r="M82" s="1150"/>
      <c r="N82" s="1150"/>
      <c r="O82" s="1150"/>
    </row>
    <row r="83" spans="2:15" ht="30" hidden="1" customHeight="1" x14ac:dyDescent="0.25">
      <c r="B83" s="400" t="s">
        <v>156</v>
      </c>
      <c r="C83" s="412"/>
      <c r="D83" s="390"/>
      <c r="F83" s="413"/>
      <c r="G83" s="450" t="str">
        <f t="shared" si="0"/>
        <v/>
      </c>
      <c r="H83" s="211"/>
      <c r="I83" s="211"/>
      <c r="J83" s="231"/>
      <c r="K83" s="231"/>
      <c r="M83" s="1150"/>
      <c r="N83" s="1150"/>
      <c r="O83" s="1150"/>
    </row>
    <row r="84" spans="2:15" ht="7.5" customHeight="1" x14ac:dyDescent="0.25">
      <c r="E84" s="16"/>
      <c r="G84" s="450" t="str">
        <f t="shared" si="0"/>
        <v/>
      </c>
      <c r="J84" s="381"/>
      <c r="M84" s="1150"/>
      <c r="N84" s="1150"/>
      <c r="O84" s="1150"/>
    </row>
    <row r="85" spans="2:15" x14ac:dyDescent="0.25">
      <c r="B85" s="528" t="s">
        <v>359</v>
      </c>
      <c r="C85" s="524" t="s">
        <v>62</v>
      </c>
      <c r="D85" s="525" t="s">
        <v>63</v>
      </c>
      <c r="E85" s="16"/>
      <c r="F85" s="526" t="s">
        <v>146</v>
      </c>
      <c r="G85" s="450" t="str">
        <f t="shared" si="0"/>
        <v>_</v>
      </c>
      <c r="H85" s="211"/>
      <c r="I85" s="211"/>
      <c r="J85" s="527" t="s">
        <v>1002</v>
      </c>
      <c r="K85" s="527" t="s">
        <v>363</v>
      </c>
      <c r="M85" s="1150"/>
      <c r="N85" s="1150"/>
      <c r="O85" s="1150"/>
    </row>
    <row r="86" spans="2:15" x14ac:dyDescent="0.25">
      <c r="B86" s="673" t="s">
        <v>1578</v>
      </c>
      <c r="C86" s="711" t="s">
        <v>1579</v>
      </c>
      <c r="D86" s="712" t="s">
        <v>1579</v>
      </c>
      <c r="E86" s="16"/>
      <c r="G86" s="450" t="str">
        <f t="shared" si="0"/>
        <v/>
      </c>
    </row>
    <row r="87" spans="2:15" x14ac:dyDescent="0.25">
      <c r="B87" s="673" t="s">
        <v>1580</v>
      </c>
      <c r="C87" s="711" t="s">
        <v>1581</v>
      </c>
      <c r="D87" s="712" t="s">
        <v>1581</v>
      </c>
      <c r="E87" s="16"/>
      <c r="G87" s="450" t="str">
        <f t="shared" si="0"/>
        <v/>
      </c>
    </row>
    <row r="88" spans="2:15" ht="15.75" customHeight="1" x14ac:dyDescent="0.25">
      <c r="B88" s="673" t="s">
        <v>1583</v>
      </c>
      <c r="C88" s="711" t="s">
        <v>1582</v>
      </c>
      <c r="D88" s="712" t="s">
        <v>1582</v>
      </c>
      <c r="E88" s="16"/>
      <c r="G88" s="450" t="str">
        <f t="shared" si="0"/>
        <v/>
      </c>
    </row>
    <row r="89" spans="2:15" x14ac:dyDescent="0.25">
      <c r="B89" s="673" t="s">
        <v>1584</v>
      </c>
      <c r="C89" s="711" t="s">
        <v>1585</v>
      </c>
      <c r="D89" s="712" t="s">
        <v>1585</v>
      </c>
      <c r="E89" s="16"/>
      <c r="G89" s="450" t="str">
        <f t="shared" si="0"/>
        <v/>
      </c>
    </row>
    <row r="90" spans="2:15" x14ac:dyDescent="0.25">
      <c r="B90" s="673" t="s">
        <v>1586</v>
      </c>
      <c r="C90" s="711" t="s">
        <v>1587</v>
      </c>
      <c r="D90" s="712" t="s">
        <v>1587</v>
      </c>
      <c r="E90" s="16"/>
      <c r="G90" s="450" t="str">
        <f t="shared" si="0"/>
        <v/>
      </c>
    </row>
    <row r="91" spans="2:15" x14ac:dyDescent="0.25">
      <c r="B91" s="673" t="s">
        <v>1588</v>
      </c>
      <c r="C91" s="711" t="s">
        <v>1589</v>
      </c>
      <c r="D91" s="712" t="s">
        <v>1589</v>
      </c>
      <c r="E91" s="16"/>
      <c r="G91" s="450" t="str">
        <f t="shared" si="0"/>
        <v/>
      </c>
    </row>
    <row r="92" spans="2:15" x14ac:dyDescent="0.25">
      <c r="B92" s="673" t="s">
        <v>1590</v>
      </c>
      <c r="C92" s="711" t="s">
        <v>1591</v>
      </c>
      <c r="D92" s="712" t="s">
        <v>1591</v>
      </c>
      <c r="E92" s="16"/>
      <c r="G92" s="450" t="str">
        <f t="shared" si="0"/>
        <v/>
      </c>
    </row>
    <row r="93" spans="2:15" x14ac:dyDescent="0.25">
      <c r="B93" s="673" t="s">
        <v>1592</v>
      </c>
      <c r="C93" s="711" t="s">
        <v>1593</v>
      </c>
      <c r="D93" s="712" t="s">
        <v>1593</v>
      </c>
      <c r="E93" s="16"/>
      <c r="G93" s="450" t="str">
        <f t="shared" si="0"/>
        <v/>
      </c>
    </row>
    <row r="94" spans="2:15" x14ac:dyDescent="0.25">
      <c r="B94" s="673" t="s">
        <v>1594</v>
      </c>
      <c r="C94" s="711" t="s">
        <v>1595</v>
      </c>
      <c r="D94" s="712" t="s">
        <v>1595</v>
      </c>
      <c r="E94" s="16"/>
      <c r="G94" s="450" t="str">
        <f t="shared" si="0"/>
        <v/>
      </c>
    </row>
    <row r="95" spans="2:15" x14ac:dyDescent="0.25">
      <c r="B95" s="673" t="s">
        <v>1596</v>
      </c>
      <c r="C95" s="711" t="s">
        <v>1597</v>
      </c>
      <c r="D95" s="712" t="s">
        <v>1597</v>
      </c>
      <c r="E95" s="16"/>
      <c r="G95" s="450" t="str">
        <f t="shared" si="0"/>
        <v/>
      </c>
    </row>
    <row r="96" spans="2:15" x14ac:dyDescent="0.25">
      <c r="E96" s="16"/>
      <c r="G96" s="450" t="str">
        <f t="shared" si="0"/>
        <v/>
      </c>
    </row>
    <row r="97" spans="5:5" x14ac:dyDescent="0.25">
      <c r="E97" s="16"/>
    </row>
    <row r="98" spans="5:5" x14ac:dyDescent="0.25">
      <c r="E98" s="16"/>
    </row>
    <row r="99" spans="5:5" x14ac:dyDescent="0.25">
      <c r="E99" s="16"/>
    </row>
  </sheetData>
  <mergeCells count="6">
    <mergeCell ref="M68:O85"/>
    <mergeCell ref="B31:D31"/>
    <mergeCell ref="B28:D28"/>
    <mergeCell ref="B29:F29"/>
    <mergeCell ref="B32:F32"/>
    <mergeCell ref="M41:O44"/>
  </mergeCells>
  <conditionalFormatting sqref="G1:G11 G13:G1048576">
    <cfRule type="cellIs" dxfId="217" priority="12" operator="equal">
      <formula>"_"</formula>
    </cfRule>
  </conditionalFormatting>
  <conditionalFormatting sqref="G35:G96">
    <cfRule type="cellIs" dxfId="216" priority="11" operator="equal">
      <formula>"_"</formula>
    </cfRule>
  </conditionalFormatting>
  <conditionalFormatting sqref="G12">
    <cfRule type="cellIs" dxfId="215" priority="7"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1st Excess Liability</oddHeader>
    <oddFooter>&amp;L&amp;G&amp;CPage &amp;P of &amp;N</oddFooter>
  </headerFooter>
  <rowBreaks count="1" manualBreakCount="1">
    <brk id="64" min="1" max="3" man="1"/>
  </row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pageSetUpPr fitToPage="1"/>
  </sheetPr>
  <dimension ref="B1:P175"/>
  <sheetViews>
    <sheetView showGridLines="0" view="pageBreakPreview" topLeftCell="A4" zoomScale="115" zoomScaleNormal="100" zoomScaleSheetLayoutView="115" workbookViewId="0">
      <selection activeCell="B37" sqref="B37:F37"/>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21.5703125" style="16" customWidth="1"/>
    <col min="14" max="53" width="9.140625" style="16" customWidth="1"/>
    <col min="54" max="16384" width="9.140625" style="16"/>
  </cols>
  <sheetData>
    <row r="1" spans="2:13" ht="7.5" customHeight="1" x14ac:dyDescent="0.25">
      <c r="E1" s="450"/>
    </row>
    <row r="2" spans="2:13" ht="15.75" x14ac:dyDescent="0.25">
      <c r="B2" s="453" t="str">
        <f>Input!B142</f>
        <v>T5CS 2nd Excess Liability</v>
      </c>
      <c r="E2" s="450"/>
      <c r="H2" s="454"/>
      <c r="I2" s="455"/>
      <c r="J2" s="455"/>
      <c r="L2" s="456" t="s">
        <v>391</v>
      </c>
      <c r="M2" s="381" t="s">
        <v>361</v>
      </c>
    </row>
    <row r="3" spans="2:13" x14ac:dyDescent="0.25">
      <c r="D3" s="455" t="str">
        <f xml:space="preserve"> IF(Input!D146=Input!G146,CHAR(254), "")</f>
        <v/>
      </c>
      <c r="E3" s="457"/>
      <c r="F3" s="458" t="str">
        <f xml:space="preserve"> IF(Input!E146=Input!G146,CHAR(254),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57.75" customHeight="1" x14ac:dyDescent="0.25">
      <c r="B5" s="409" t="s">
        <v>60</v>
      </c>
      <c r="C5" s="412" t="str">
        <f>Input!B147</f>
        <v>American Guarantee And Liability Insurance Company (Zurich)</v>
      </c>
      <c r="D5" s="390" t="str">
        <f>Input!D147</f>
        <v>American Guarantee And Liability Insurance Company (Zurich)</v>
      </c>
      <c r="F5" s="413">
        <f>Input!E147</f>
        <v>0</v>
      </c>
      <c r="J5" s="231"/>
      <c r="K5" s="231"/>
    </row>
    <row r="6" spans="2:13" x14ac:dyDescent="0.25">
      <c r="B6" s="409" t="s">
        <v>69</v>
      </c>
      <c r="C6" s="412" t="str">
        <f>Input!B149</f>
        <v>A+: XV</v>
      </c>
      <c r="D6" s="390" t="str">
        <f>Input!D149</f>
        <v>A+: XV</v>
      </c>
      <c r="F6" s="413">
        <f>Input!E149</f>
        <v>0</v>
      </c>
      <c r="J6" s="231"/>
      <c r="K6" s="231"/>
    </row>
    <row r="7" spans="2:13" x14ac:dyDescent="0.25">
      <c r="B7" s="409" t="str">
        <f>Input!B145</f>
        <v>Renewal Policy Number</v>
      </c>
      <c r="C7" s="711" t="str">
        <f>Input!C144</f>
        <v>AEC 0465241-02</v>
      </c>
      <c r="D7" s="390" t="str">
        <f>Input!C145</f>
        <v>TBD</v>
      </c>
      <c r="F7" s="413" t="str">
        <f>Input!C145</f>
        <v>TBD</v>
      </c>
      <c r="J7" s="231"/>
      <c r="K7" s="231"/>
    </row>
    <row r="8" spans="2:13" ht="15" customHeight="1" x14ac:dyDescent="0.25">
      <c r="B8" s="409" t="str">
        <f>Input!B6</f>
        <v>Renewal Policy Period</v>
      </c>
      <c r="C8" s="990" t="str">
        <f>Input!C5</f>
        <v>7/1/2022 - 7/1/2023</v>
      </c>
      <c r="D8" s="958" t="str">
        <f>Input!C6</f>
        <v>7/1/2023 - 7/1/2024</v>
      </c>
      <c r="F8" s="413" t="str">
        <f>Input!C6</f>
        <v>7/1/2023 - 7/1/2024</v>
      </c>
      <c r="J8" s="231"/>
      <c r="K8" s="231"/>
    </row>
    <row r="9" spans="2:13" x14ac:dyDescent="0.25">
      <c r="B9" s="409" t="s">
        <v>18</v>
      </c>
      <c r="C9" s="398">
        <f>Input!I170</f>
        <v>15000000</v>
      </c>
      <c r="D9" s="425">
        <f>Input!I171</f>
        <v>15000000</v>
      </c>
      <c r="E9" s="414"/>
      <c r="F9" s="427">
        <f>Input!I172</f>
        <v>0</v>
      </c>
      <c r="J9" s="231"/>
      <c r="K9" s="231"/>
    </row>
    <row r="10" spans="2:13" x14ac:dyDescent="0.25">
      <c r="B10" s="409" t="s">
        <v>71</v>
      </c>
      <c r="C10" s="398">
        <f>Input!J170</f>
        <v>15000000</v>
      </c>
      <c r="D10" s="425">
        <f>Input!J171</f>
        <v>15000000</v>
      </c>
      <c r="E10" s="414"/>
      <c r="F10" s="427">
        <f>Input!J172</f>
        <v>0</v>
      </c>
      <c r="J10" s="231"/>
      <c r="K10" s="231"/>
    </row>
    <row r="11" spans="2:13" x14ac:dyDescent="0.25">
      <c r="B11" s="477" t="str">
        <f>Input!K168</f>
        <v>Self-Insured Retention</v>
      </c>
      <c r="C11" s="403">
        <f>Input!K170</f>
        <v>0</v>
      </c>
      <c r="D11" s="431">
        <f>Input!K171</f>
        <v>0</v>
      </c>
      <c r="E11" s="414"/>
      <c r="F11" s="430">
        <f>Input!K172</f>
        <v>0</v>
      </c>
      <c r="J11" s="231"/>
      <c r="K11" s="231"/>
    </row>
    <row r="12" spans="2:13" x14ac:dyDescent="0.25">
      <c r="B12" s="479" t="s">
        <v>367</v>
      </c>
      <c r="C12" s="479"/>
      <c r="D12" s="479"/>
      <c r="F12" s="562"/>
      <c r="G12" s="211"/>
      <c r="H12" s="211"/>
      <c r="I12" s="211"/>
      <c r="J12" s="566"/>
      <c r="K12" s="566"/>
    </row>
    <row r="13" spans="2:13" x14ac:dyDescent="0.25">
      <c r="B13" s="402" t="s">
        <v>343</v>
      </c>
      <c r="C13" s="428">
        <f>Input!B151</f>
        <v>32219</v>
      </c>
      <c r="D13" s="425">
        <f>Input!D151</f>
        <v>31714</v>
      </c>
      <c r="E13" s="414"/>
      <c r="F13" s="427">
        <f>Input!E151</f>
        <v>0</v>
      </c>
      <c r="J13" s="231"/>
      <c r="K13" s="231"/>
    </row>
    <row r="14" spans="2:13" x14ac:dyDescent="0.25">
      <c r="B14" s="402" t="s">
        <v>789</v>
      </c>
      <c r="C14" s="429">
        <f>C13*Input!B157</f>
        <v>0</v>
      </c>
      <c r="D14" s="431">
        <f>D13*Input!D157</f>
        <v>0</v>
      </c>
      <c r="E14" s="414"/>
      <c r="F14" s="430">
        <f>F13*Input!E157</f>
        <v>0</v>
      </c>
      <c r="J14" s="231"/>
      <c r="K14" s="231"/>
    </row>
    <row r="15" spans="2:13" x14ac:dyDescent="0.25">
      <c r="B15" s="402" t="s">
        <v>790</v>
      </c>
      <c r="C15" s="429">
        <f>Input!B159</f>
        <v>0</v>
      </c>
      <c r="D15" s="431">
        <f>Input!D159</f>
        <v>0</v>
      </c>
      <c r="E15" s="414"/>
      <c r="F15" s="430">
        <f>Input!E159</f>
        <v>0</v>
      </c>
      <c r="J15" s="231"/>
      <c r="K15" s="231"/>
    </row>
    <row r="16" spans="2:13" x14ac:dyDescent="0.25">
      <c r="B16" s="409" t="s">
        <v>369</v>
      </c>
      <c r="C16" s="428">
        <f>Input!B163</f>
        <v>32219</v>
      </c>
      <c r="D16" s="425">
        <f>Input!D163</f>
        <v>31714</v>
      </c>
      <c r="E16" s="414"/>
      <c r="F16" s="427">
        <f>Input!E163</f>
        <v>0</v>
      </c>
      <c r="J16" s="231"/>
      <c r="K16" s="231"/>
    </row>
    <row r="17" spans="2:11" ht="7.5" customHeight="1" x14ac:dyDescent="0.25">
      <c r="B17" s="310"/>
      <c r="C17" s="414"/>
      <c r="D17" s="414"/>
      <c r="F17" s="461"/>
      <c r="J17" s="381"/>
    </row>
    <row r="18" spans="2:11" hidden="1" x14ac:dyDescent="0.25">
      <c r="B18" s="462">
        <f>Input!B125</f>
        <v>0</v>
      </c>
      <c r="C18" s="414"/>
      <c r="D18" s="414"/>
      <c r="E18" s="238"/>
      <c r="F18" s="461"/>
      <c r="J18" s="381"/>
    </row>
    <row r="19" spans="2:11" hidden="1" x14ac:dyDescent="0.25">
      <c r="B19" s="479" t="e">
        <f>Input!#REF! &amp; ": " &amp; Input!#REF!</f>
        <v>#REF!</v>
      </c>
      <c r="C19" s="559"/>
      <c r="D19" s="559"/>
      <c r="E19" s="432"/>
      <c r="F19" s="529"/>
      <c r="G19" s="426"/>
      <c r="H19" s="211"/>
      <c r="I19" s="211"/>
      <c r="J19" s="694" t="s">
        <v>1002</v>
      </c>
      <c r="K19" s="566" t="s">
        <v>363</v>
      </c>
    </row>
    <row r="20" spans="2:11" hidden="1" x14ac:dyDescent="0.25">
      <c r="B20" s="464" t="str">
        <f>Input!C181</f>
        <v>Policy Number</v>
      </c>
      <c r="C20" s="424" t="e">
        <f>Input!#REF!</f>
        <v>#REF!</v>
      </c>
      <c r="D20" s="424" t="e">
        <f>Input!#REF!</f>
        <v>#REF!</v>
      </c>
      <c r="E20" s="433"/>
      <c r="F20" s="424" t="e">
        <f>D20</f>
        <v>#REF!</v>
      </c>
      <c r="G20" s="450"/>
      <c r="H20" s="450"/>
      <c r="I20" s="450"/>
      <c r="J20" s="231"/>
      <c r="K20" s="231"/>
    </row>
    <row r="21" spans="2:11" hidden="1" x14ac:dyDescent="0.25">
      <c r="B21" s="491" t="str">
        <f>Input!D180</f>
        <v>Limits of Liability</v>
      </c>
      <c r="C21" s="390"/>
      <c r="D21" s="390"/>
      <c r="E21" s="434"/>
      <c r="F21" s="390"/>
      <c r="G21" s="450"/>
      <c r="H21" s="450"/>
      <c r="I21" s="450"/>
      <c r="J21" s="231"/>
      <c r="K21" s="231"/>
    </row>
    <row r="22" spans="2:11" hidden="1" x14ac:dyDescent="0.25">
      <c r="B22" s="478" t="str">
        <f>Input!D181</f>
        <v>Each Occurrence</v>
      </c>
      <c r="C22" s="425">
        <f>Input!D130</f>
        <v>1000000</v>
      </c>
      <c r="D22" s="425" t="e">
        <f>Input!#REF!</f>
        <v>#REF!</v>
      </c>
      <c r="F22" s="425" t="e">
        <f>D22</f>
        <v>#REF!</v>
      </c>
      <c r="G22" s="450"/>
      <c r="H22" s="450"/>
      <c r="I22" s="450"/>
      <c r="J22" s="231"/>
      <c r="K22" s="231"/>
    </row>
    <row r="23" spans="2:11" ht="38.25" hidden="1" x14ac:dyDescent="0.25">
      <c r="B23" s="478" t="str">
        <f>Input!E181</f>
        <v>Aggregate</v>
      </c>
      <c r="C23" s="425" t="str">
        <f>Input!E130</f>
        <v>Valley Forge Insurance Company (CNA)</v>
      </c>
      <c r="D23" s="425" t="e">
        <f>Input!#REF!</f>
        <v>#REF!</v>
      </c>
      <c r="F23" s="425" t="e">
        <f>D23</f>
        <v>#REF!</v>
      </c>
      <c r="G23" s="450"/>
      <c r="H23" s="450"/>
      <c r="I23" s="450"/>
      <c r="J23" s="231"/>
      <c r="K23" s="231"/>
    </row>
    <row r="24" spans="2:11" ht="25.5" hidden="1" x14ac:dyDescent="0.25">
      <c r="B24" s="491" t="str">
        <f>Input!F181</f>
        <v>Self-Insured Retention</v>
      </c>
      <c r="C24" s="425" t="str">
        <f>Input!F130</f>
        <v>7/1/2022 - 7/1/2023</v>
      </c>
      <c r="D24" s="425" t="e">
        <f>Input!#REF!</f>
        <v>#REF!</v>
      </c>
      <c r="E24" s="426"/>
      <c r="F24" s="425" t="e">
        <f>D24</f>
        <v>#REF!</v>
      </c>
      <c r="G24" s="450"/>
      <c r="H24" s="450"/>
      <c r="I24" s="450"/>
      <c r="J24" s="231"/>
      <c r="K24" s="231"/>
    </row>
    <row r="25" spans="2:11" hidden="1" x14ac:dyDescent="0.25">
      <c r="B25" s="491" t="str">
        <f>Input!G181</f>
        <v>Insurer</v>
      </c>
      <c r="C25" s="390">
        <f>Input!G130</f>
        <v>6080911471</v>
      </c>
      <c r="D25" s="390" t="e">
        <f>Input!#REF!</f>
        <v>#REF!</v>
      </c>
      <c r="F25" s="390" t="e">
        <f>D25</f>
        <v>#REF!</v>
      </c>
      <c r="G25" s="450"/>
      <c r="H25" s="450"/>
      <c r="I25" s="450"/>
      <c r="J25" s="231"/>
      <c r="K25" s="231"/>
    </row>
    <row r="26" spans="2:11" hidden="1" x14ac:dyDescent="0.25">
      <c r="B26" s="500" t="str">
        <f>Input!H181</f>
        <v>Policy Period</v>
      </c>
      <c r="C26" s="391">
        <f>Input!H130</f>
        <v>1000000</v>
      </c>
      <c r="D26" s="391" t="e">
        <f>Input!#REF!</f>
        <v>#REF!</v>
      </c>
      <c r="F26" s="391" t="e">
        <f>D26</f>
        <v>#REF!</v>
      </c>
      <c r="G26" s="450"/>
      <c r="H26" s="450"/>
      <c r="I26" s="450"/>
      <c r="J26" s="232"/>
      <c r="K26" s="232"/>
    </row>
    <row r="27" spans="2:11" x14ac:dyDescent="0.25">
      <c r="B27" s="479" t="str">
        <f>Input!B181 &amp; ": " &amp; Input!B182</f>
        <v>Coverage: T5CS 1st Excess Liability</v>
      </c>
      <c r="C27" s="559"/>
      <c r="D27" s="559"/>
      <c r="F27" s="529"/>
      <c r="G27" s="426"/>
      <c r="H27" s="211"/>
      <c r="I27" s="211"/>
      <c r="J27" s="566"/>
      <c r="K27" s="566"/>
    </row>
    <row r="28" spans="2:11" ht="15" customHeight="1" x14ac:dyDescent="0.25">
      <c r="B28" s="464" t="str">
        <f>Input!C181</f>
        <v>Policy Number</v>
      </c>
      <c r="C28" s="424" t="str">
        <f>Input!C178</f>
        <v>NHA098510</v>
      </c>
      <c r="D28" s="424">
        <f>Input!C97</f>
        <v>6080920557</v>
      </c>
      <c r="F28" s="424">
        <f>D28</f>
        <v>6080920557</v>
      </c>
      <c r="G28" s="450"/>
      <c r="H28" s="450"/>
      <c r="I28" s="450"/>
      <c r="J28" s="231"/>
      <c r="K28" s="231"/>
    </row>
    <row r="29" spans="2:11" x14ac:dyDescent="0.25">
      <c r="B29" s="815" t="str">
        <f>Input!D180</f>
        <v>Limits of Liability</v>
      </c>
      <c r="C29" s="760"/>
      <c r="D29" s="760"/>
      <c r="F29" s="390"/>
      <c r="G29" s="450"/>
      <c r="H29" s="450"/>
      <c r="I29" s="450"/>
      <c r="J29" s="231"/>
      <c r="K29" s="231"/>
    </row>
    <row r="30" spans="2:11" x14ac:dyDescent="0.25">
      <c r="B30" s="478" t="str">
        <f>Input!D181</f>
        <v>Each Occurrence</v>
      </c>
      <c r="C30" s="425">
        <f>Input!D178</f>
        <v>10000000</v>
      </c>
      <c r="D30" s="425">
        <f>Input!D182</f>
        <v>10000000</v>
      </c>
      <c r="F30" s="425">
        <f>D30</f>
        <v>10000000</v>
      </c>
      <c r="G30" s="450"/>
      <c r="H30" s="450"/>
      <c r="I30" s="450"/>
      <c r="J30" s="231"/>
      <c r="K30" s="231"/>
    </row>
    <row r="31" spans="2:11" x14ac:dyDescent="0.25">
      <c r="B31" s="478" t="str">
        <f>Input!E181</f>
        <v>Aggregate</v>
      </c>
      <c r="C31" s="425">
        <f>Input!E178</f>
        <v>10000000</v>
      </c>
      <c r="D31" s="425">
        <f>Input!E182</f>
        <v>10000000</v>
      </c>
      <c r="F31" s="425">
        <f>D31</f>
        <v>10000000</v>
      </c>
      <c r="G31" s="450"/>
      <c r="H31" s="450"/>
      <c r="I31" s="450"/>
      <c r="J31" s="231"/>
      <c r="K31" s="231"/>
    </row>
    <row r="32" spans="2:11" x14ac:dyDescent="0.25">
      <c r="B32" s="491" t="str">
        <f>Input!F181</f>
        <v>Self-Insured Retention</v>
      </c>
      <c r="C32" s="425">
        <f>Input!F178</f>
        <v>0</v>
      </c>
      <c r="D32" s="425">
        <f>Input!F182</f>
        <v>0</v>
      </c>
      <c r="F32" s="425">
        <f>D32</f>
        <v>0</v>
      </c>
      <c r="G32" s="450"/>
      <c r="H32" s="450"/>
      <c r="I32" s="450"/>
      <c r="J32" s="231"/>
      <c r="K32" s="231"/>
    </row>
    <row r="33" spans="2:11" ht="30" customHeight="1" x14ac:dyDescent="0.25">
      <c r="B33" s="491" t="str">
        <f>Input!G181</f>
        <v>Insurer</v>
      </c>
      <c r="C33" s="390" t="str">
        <f>Input!G178</f>
        <v xml:space="preserve">RSUI Indemnity Company </v>
      </c>
      <c r="D33" s="390" t="str">
        <f>Input!G182</f>
        <v xml:space="preserve">RSUI Indemnity Company </v>
      </c>
      <c r="F33" s="390" t="str">
        <f>D33</f>
        <v xml:space="preserve">RSUI Indemnity Company </v>
      </c>
      <c r="G33" s="450"/>
      <c r="H33" s="450"/>
      <c r="I33" s="450"/>
      <c r="J33" s="231"/>
      <c r="K33" s="231"/>
    </row>
    <row r="34" spans="2:11" ht="15" customHeight="1" x14ac:dyDescent="0.25">
      <c r="B34" s="491" t="str">
        <f>Input!H181</f>
        <v>Policy Period</v>
      </c>
      <c r="C34" s="390" t="str">
        <f>Input!H178</f>
        <v>7/1/2022 - 7/1/2023</v>
      </c>
      <c r="D34" s="390" t="str">
        <f>Input!C6</f>
        <v>7/1/2023 - 7/1/2024</v>
      </c>
      <c r="F34" s="390" t="str">
        <f>Input!C6</f>
        <v>7/1/2023 - 7/1/2024</v>
      </c>
      <c r="G34" s="450"/>
      <c r="H34" s="450"/>
      <c r="I34" s="450"/>
      <c r="J34" s="231"/>
      <c r="K34" s="231"/>
    </row>
    <row r="35" spans="2:11" ht="7.5" customHeight="1" x14ac:dyDescent="0.25">
      <c r="B35" s="310"/>
      <c r="C35" s="228"/>
      <c r="D35" s="228"/>
      <c r="F35" s="275"/>
      <c r="J35" s="381"/>
    </row>
    <row r="36" spans="2:11" x14ac:dyDescent="0.25">
      <c r="B36" s="1274" t="s">
        <v>144</v>
      </c>
      <c r="C36" s="1274"/>
      <c r="D36" s="1274"/>
      <c r="F36" s="274"/>
      <c r="J36" s="381"/>
    </row>
    <row r="37" spans="2:11" x14ac:dyDescent="0.25">
      <c r="B37" s="1275" t="s">
        <v>2055</v>
      </c>
      <c r="C37" s="1276"/>
      <c r="D37" s="1276"/>
      <c r="E37" s="1276"/>
      <c r="F37" s="1277"/>
      <c r="J37" s="381"/>
    </row>
    <row r="38" spans="2:11" ht="7.5" customHeight="1" x14ac:dyDescent="0.25">
      <c r="B38" s="380"/>
      <c r="C38" s="238"/>
      <c r="D38" s="238"/>
      <c r="F38" s="275"/>
      <c r="J38" s="381"/>
    </row>
    <row r="39" spans="2:11" x14ac:dyDescent="0.25">
      <c r="B39" s="1274" t="s">
        <v>145</v>
      </c>
      <c r="C39" s="1274"/>
      <c r="D39" s="1274"/>
      <c r="F39" s="275"/>
      <c r="J39" s="381"/>
    </row>
    <row r="40" spans="2:11" ht="133.5" customHeight="1" x14ac:dyDescent="0.25">
      <c r="B40" s="1275" t="s">
        <v>2056</v>
      </c>
      <c r="C40" s="1275"/>
      <c r="D40" s="1275"/>
      <c r="E40" s="1044"/>
      <c r="F40" s="1045"/>
      <c r="J40" s="381"/>
    </row>
    <row r="41" spans="2:11" ht="7.5" customHeight="1" x14ac:dyDescent="0.25">
      <c r="B41" s="310"/>
      <c r="C41" s="228"/>
      <c r="D41" s="228"/>
      <c r="F41" s="275"/>
      <c r="J41" s="381"/>
    </row>
    <row r="42" spans="2:11" x14ac:dyDescent="0.25">
      <c r="B42" s="523" t="s">
        <v>72</v>
      </c>
      <c r="C42" s="524" t="s">
        <v>62</v>
      </c>
      <c r="D42" s="525" t="s">
        <v>63</v>
      </c>
      <c r="F42" s="526" t="s">
        <v>146</v>
      </c>
      <c r="J42" s="527" t="s">
        <v>1002</v>
      </c>
      <c r="K42" s="527" t="s">
        <v>363</v>
      </c>
    </row>
    <row r="43" spans="2:11" x14ac:dyDescent="0.25">
      <c r="B43" s="400" t="s">
        <v>73</v>
      </c>
      <c r="C43" s="412" t="s">
        <v>1033</v>
      </c>
      <c r="D43" s="712" t="s">
        <v>1033</v>
      </c>
      <c r="F43" s="413"/>
      <c r="G43" s="228" t="str">
        <f t="shared" ref="G43:G106" si="0">IF(OR(TRIM(D43)&lt;&gt;"",TRIM(F43)&lt;&gt;""),IF(AND(TRIM(D43)&lt;&gt;"",TRIM(F43)&lt;&gt;""),IF(OR(TRIM(C43)&lt;&gt;TRIM(D43),TRIM(C43)&lt;&gt;TRIM(F43)),"_",""),IF(TRIM(C43)&lt;&gt;TRIM(D43), "_", "")),"")</f>
        <v/>
      </c>
      <c r="H43" s="211"/>
      <c r="I43" s="211"/>
      <c r="J43" s="231"/>
      <c r="K43" s="231"/>
    </row>
    <row r="44" spans="2:11" ht="30" customHeight="1" x14ac:dyDescent="0.25">
      <c r="B44" s="400" t="s">
        <v>74</v>
      </c>
      <c r="C44" s="712" t="s">
        <v>1557</v>
      </c>
      <c r="D44" s="712" t="s">
        <v>1557</v>
      </c>
      <c r="F44" s="436"/>
      <c r="G44" s="228" t="str">
        <f t="shared" si="0"/>
        <v/>
      </c>
      <c r="H44" s="211"/>
      <c r="I44" s="211"/>
      <c r="J44" s="232"/>
      <c r="K44" s="232"/>
    </row>
    <row r="45" spans="2:11" x14ac:dyDescent="0.25">
      <c r="B45" s="400" t="s">
        <v>151</v>
      </c>
      <c r="C45" s="712" t="s">
        <v>1035</v>
      </c>
      <c r="D45" s="712" t="s">
        <v>1035</v>
      </c>
      <c r="F45" s="440"/>
      <c r="G45" s="228" t="str">
        <f t="shared" si="0"/>
        <v/>
      </c>
      <c r="H45" s="211"/>
      <c r="I45" s="211"/>
      <c r="J45" s="447"/>
      <c r="K45" s="447"/>
    </row>
    <row r="46" spans="2:11" x14ac:dyDescent="0.25">
      <c r="B46" s="400" t="s">
        <v>152</v>
      </c>
      <c r="C46" s="853">
        <v>0.25</v>
      </c>
      <c r="D46" s="853">
        <v>0.25</v>
      </c>
      <c r="F46" s="443"/>
      <c r="G46" s="228" t="str">
        <f t="shared" si="0"/>
        <v/>
      </c>
      <c r="H46" s="211"/>
      <c r="I46" s="211"/>
      <c r="J46" s="445"/>
      <c r="K46" s="445"/>
    </row>
    <row r="47" spans="2:11" x14ac:dyDescent="0.25">
      <c r="B47" s="400" t="s">
        <v>77</v>
      </c>
      <c r="C47" s="712" t="s">
        <v>1036</v>
      </c>
      <c r="D47" s="712" t="s">
        <v>1036</v>
      </c>
      <c r="F47" s="436"/>
      <c r="G47" s="228" t="str">
        <f t="shared" si="0"/>
        <v/>
      </c>
      <c r="H47" s="16"/>
      <c r="I47" s="16"/>
      <c r="J47" s="232"/>
      <c r="K47" s="232"/>
    </row>
    <row r="48" spans="2:11" x14ac:dyDescent="0.25">
      <c r="B48" s="400" t="s">
        <v>390</v>
      </c>
      <c r="C48" s="692" t="s">
        <v>157</v>
      </c>
      <c r="D48" s="692" t="s">
        <v>157</v>
      </c>
      <c r="F48" s="440"/>
      <c r="G48" s="228" t="str">
        <f t="shared" si="0"/>
        <v/>
      </c>
      <c r="H48" s="211"/>
      <c r="I48" s="211"/>
      <c r="J48" s="447"/>
      <c r="K48" s="447"/>
    </row>
    <row r="49" spans="2:16" x14ac:dyDescent="0.25">
      <c r="B49" s="400" t="s">
        <v>755</v>
      </c>
      <c r="C49" s="692" t="s">
        <v>157</v>
      </c>
      <c r="D49" s="692" t="s">
        <v>157</v>
      </c>
      <c r="F49" s="443"/>
      <c r="G49" s="228" t="str">
        <f t="shared" si="0"/>
        <v/>
      </c>
      <c r="H49" s="211"/>
      <c r="I49" s="211"/>
      <c r="J49" s="445"/>
      <c r="K49" s="445"/>
    </row>
    <row r="50" spans="2:16" hidden="1" x14ac:dyDescent="0.25">
      <c r="B50" s="814" t="s">
        <v>168</v>
      </c>
      <c r="C50" s="412"/>
      <c r="D50" s="390"/>
      <c r="F50" s="413"/>
      <c r="G50" s="228" t="str">
        <f t="shared" si="0"/>
        <v/>
      </c>
      <c r="H50" s="211"/>
      <c r="I50" s="211"/>
      <c r="J50" s="231"/>
      <c r="K50" s="231"/>
    </row>
    <row r="51" spans="2:16" hidden="1" x14ac:dyDescent="0.25">
      <c r="B51" s="400" t="s">
        <v>169</v>
      </c>
      <c r="C51" s="412"/>
      <c r="D51" s="692" t="s">
        <v>157</v>
      </c>
      <c r="F51" s="413"/>
      <c r="G51" s="228" t="str">
        <f t="shared" si="0"/>
        <v>_</v>
      </c>
      <c r="H51" s="211"/>
      <c r="I51" s="211"/>
      <c r="J51" s="231"/>
      <c r="K51" s="231"/>
    </row>
    <row r="52" spans="2:16" ht="15" hidden="1" customHeight="1" x14ac:dyDescent="0.25">
      <c r="B52" s="400" t="s">
        <v>701</v>
      </c>
      <c r="C52" s="412"/>
      <c r="D52" s="390"/>
      <c r="F52" s="413"/>
      <c r="G52" s="228" t="str">
        <f t="shared" si="0"/>
        <v/>
      </c>
      <c r="H52" s="211"/>
      <c r="I52" s="211"/>
      <c r="J52" s="231"/>
      <c r="K52" s="231"/>
      <c r="M52" s="1150"/>
      <c r="N52" s="1150"/>
      <c r="O52" s="1150"/>
      <c r="P52" s="1150"/>
    </row>
    <row r="53" spans="2:16" ht="15" hidden="1" customHeight="1" x14ac:dyDescent="0.25">
      <c r="B53" s="400" t="s">
        <v>79</v>
      </c>
      <c r="C53" s="412"/>
      <c r="D53" s="390"/>
      <c r="F53" s="413"/>
      <c r="G53" s="228" t="str">
        <f t="shared" si="0"/>
        <v/>
      </c>
      <c r="H53" s="211"/>
      <c r="I53" s="211"/>
      <c r="J53" s="231"/>
      <c r="K53" s="231"/>
      <c r="M53" s="1150"/>
      <c r="N53" s="1150"/>
      <c r="O53" s="1150"/>
      <c r="P53" s="1150"/>
    </row>
    <row r="54" spans="2:16" ht="15" hidden="1" customHeight="1" x14ac:dyDescent="0.25">
      <c r="B54" s="400" t="s">
        <v>80</v>
      </c>
      <c r="C54" s="412"/>
      <c r="D54" s="390"/>
      <c r="F54" s="413"/>
      <c r="G54" s="228" t="str">
        <f t="shared" si="0"/>
        <v/>
      </c>
      <c r="H54" s="211"/>
      <c r="I54" s="211"/>
      <c r="J54" s="231"/>
      <c r="K54" s="231"/>
      <c r="M54" s="1150"/>
      <c r="N54" s="1150"/>
      <c r="O54" s="1150"/>
      <c r="P54" s="1150"/>
    </row>
    <row r="55" spans="2:16" ht="15" hidden="1" customHeight="1" x14ac:dyDescent="0.25">
      <c r="B55" s="400" t="s">
        <v>81</v>
      </c>
      <c r="C55" s="412"/>
      <c r="D55" s="390"/>
      <c r="F55" s="413"/>
      <c r="G55" s="228" t="str">
        <f t="shared" si="0"/>
        <v/>
      </c>
      <c r="H55" s="211"/>
      <c r="I55" s="211"/>
      <c r="J55" s="231"/>
      <c r="K55" s="231"/>
      <c r="M55" s="1150"/>
      <c r="N55" s="1150"/>
      <c r="O55" s="1150"/>
      <c r="P55" s="1150"/>
    </row>
    <row r="56" spans="2:16" ht="15" hidden="1" customHeight="1" x14ac:dyDescent="0.25">
      <c r="B56" s="400" t="s">
        <v>82</v>
      </c>
      <c r="C56" s="412"/>
      <c r="D56" s="390"/>
      <c r="F56" s="413"/>
      <c r="G56" s="228" t="str">
        <f t="shared" si="0"/>
        <v/>
      </c>
      <c r="H56" s="211"/>
      <c r="I56" s="211"/>
      <c r="J56" s="231"/>
      <c r="K56" s="231"/>
      <c r="M56" s="1150"/>
      <c r="N56" s="1150"/>
      <c r="O56" s="1150"/>
      <c r="P56" s="1150"/>
    </row>
    <row r="57" spans="2:16" ht="15" hidden="1" customHeight="1" x14ac:dyDescent="0.25">
      <c r="B57" s="400" t="s">
        <v>83</v>
      </c>
      <c r="C57" s="412"/>
      <c r="D57" s="390"/>
      <c r="F57" s="413"/>
      <c r="G57" s="228" t="str">
        <f t="shared" si="0"/>
        <v/>
      </c>
      <c r="H57" s="211"/>
      <c r="I57" s="211"/>
      <c r="J57" s="231"/>
      <c r="K57" s="231"/>
      <c r="M57" s="1150"/>
      <c r="N57" s="1150"/>
      <c r="O57" s="1150"/>
      <c r="P57" s="1150"/>
    </row>
    <row r="58" spans="2:16" ht="15" hidden="1" customHeight="1" x14ac:dyDescent="0.25">
      <c r="B58" s="400" t="s">
        <v>84</v>
      </c>
      <c r="C58" s="412"/>
      <c r="D58" s="390"/>
      <c r="F58" s="413"/>
      <c r="G58" s="228" t="str">
        <f t="shared" si="0"/>
        <v/>
      </c>
      <c r="H58" s="211"/>
      <c r="I58" s="211"/>
      <c r="J58" s="231"/>
      <c r="K58" s="231"/>
      <c r="M58" s="1150"/>
      <c r="N58" s="1150"/>
      <c r="O58" s="1150"/>
      <c r="P58" s="1150"/>
    </row>
    <row r="59" spans="2:16" ht="15" hidden="1" customHeight="1" x14ac:dyDescent="0.25">
      <c r="B59" s="400" t="s">
        <v>85</v>
      </c>
      <c r="C59" s="412"/>
      <c r="D59" s="390"/>
      <c r="F59" s="413"/>
      <c r="G59" s="228" t="str">
        <f t="shared" si="0"/>
        <v/>
      </c>
      <c r="H59" s="211"/>
      <c r="I59" s="211"/>
      <c r="J59" s="231"/>
      <c r="K59" s="231"/>
      <c r="M59" s="1150"/>
      <c r="N59" s="1150"/>
      <c r="O59" s="1150"/>
      <c r="P59" s="1150"/>
    </row>
    <row r="60" spans="2:16" ht="15" hidden="1" customHeight="1" x14ac:dyDescent="0.25">
      <c r="B60" s="400" t="s">
        <v>396</v>
      </c>
      <c r="C60" s="412"/>
      <c r="D60" s="390"/>
      <c r="F60" s="413"/>
      <c r="G60" s="228" t="str">
        <f t="shared" si="0"/>
        <v/>
      </c>
      <c r="H60" s="211"/>
      <c r="I60" s="211"/>
      <c r="J60" s="231"/>
      <c r="K60" s="231"/>
      <c r="M60" s="1150"/>
      <c r="N60" s="1150"/>
      <c r="O60" s="1150"/>
      <c r="P60" s="1150"/>
    </row>
    <row r="61" spans="2:16" ht="15" hidden="1" customHeight="1" x14ac:dyDescent="0.25">
      <c r="B61" s="400" t="s">
        <v>86</v>
      </c>
      <c r="C61" s="412"/>
      <c r="D61" s="390"/>
      <c r="F61" s="413"/>
      <c r="G61" s="228" t="str">
        <f t="shared" si="0"/>
        <v/>
      </c>
      <c r="H61" s="211"/>
      <c r="I61" s="211"/>
      <c r="J61" s="231"/>
      <c r="K61" s="231"/>
      <c r="M61" s="1150"/>
      <c r="N61" s="1150"/>
      <c r="O61" s="1150"/>
      <c r="P61" s="1150"/>
    </row>
    <row r="62" spans="2:16" ht="15" hidden="1" customHeight="1" x14ac:dyDescent="0.25">
      <c r="B62" s="400" t="s">
        <v>87</v>
      </c>
      <c r="C62" s="412"/>
      <c r="D62" s="390"/>
      <c r="F62" s="413"/>
      <c r="G62" s="228" t="str">
        <f t="shared" si="0"/>
        <v/>
      </c>
      <c r="H62" s="211"/>
      <c r="I62" s="211"/>
      <c r="J62" s="231"/>
      <c r="K62" s="231"/>
      <c r="M62" s="1150"/>
      <c r="N62" s="1150"/>
      <c r="O62" s="1150"/>
      <c r="P62" s="1150"/>
    </row>
    <row r="63" spans="2:16" ht="15" hidden="1" customHeight="1" x14ac:dyDescent="0.25">
      <c r="B63" s="400" t="s">
        <v>88</v>
      </c>
      <c r="C63" s="412"/>
      <c r="D63" s="390"/>
      <c r="F63" s="413"/>
      <c r="G63" s="228" t="str">
        <f t="shared" si="0"/>
        <v/>
      </c>
      <c r="H63" s="211"/>
      <c r="I63" s="211"/>
      <c r="J63" s="231"/>
      <c r="K63" s="231"/>
      <c r="M63" s="1150"/>
      <c r="N63" s="1150"/>
      <c r="O63" s="1150"/>
      <c r="P63" s="1150"/>
    </row>
    <row r="64" spans="2:16" ht="15" hidden="1" customHeight="1" x14ac:dyDescent="0.25">
      <c r="B64" s="400" t="s">
        <v>89</v>
      </c>
      <c r="C64" s="412"/>
      <c r="D64" s="390"/>
      <c r="F64" s="413"/>
      <c r="G64" s="228" t="str">
        <f t="shared" si="0"/>
        <v/>
      </c>
      <c r="H64" s="211"/>
      <c r="I64" s="211"/>
      <c r="J64" s="231"/>
      <c r="K64" s="231"/>
      <c r="M64" s="1150"/>
      <c r="N64" s="1150"/>
      <c r="O64" s="1150"/>
      <c r="P64" s="1150"/>
    </row>
    <row r="65" spans="2:16" ht="15" hidden="1" customHeight="1" x14ac:dyDescent="0.25">
      <c r="B65" s="400" t="s">
        <v>90</v>
      </c>
      <c r="C65" s="412"/>
      <c r="D65" s="390"/>
      <c r="F65" s="413"/>
      <c r="G65" s="228" t="str">
        <f t="shared" si="0"/>
        <v/>
      </c>
      <c r="H65" s="211"/>
      <c r="I65" s="211"/>
      <c r="J65" s="231"/>
      <c r="K65" s="231"/>
      <c r="M65" s="1150"/>
      <c r="N65" s="1150"/>
      <c r="O65" s="1150"/>
      <c r="P65" s="1150"/>
    </row>
    <row r="66" spans="2:16" ht="15" hidden="1" customHeight="1" x14ac:dyDescent="0.25">
      <c r="B66" s="400" t="s">
        <v>91</v>
      </c>
      <c r="C66" s="412"/>
      <c r="D66" s="390"/>
      <c r="F66" s="413"/>
      <c r="G66" s="228" t="str">
        <f t="shared" si="0"/>
        <v/>
      </c>
      <c r="H66" s="211"/>
      <c r="I66" s="211"/>
      <c r="J66" s="231"/>
      <c r="K66" s="231"/>
      <c r="M66" s="1150"/>
      <c r="N66" s="1150"/>
      <c r="O66" s="1150"/>
      <c r="P66" s="1150"/>
    </row>
    <row r="67" spans="2:16" ht="15" hidden="1" customHeight="1" x14ac:dyDescent="0.25">
      <c r="B67" s="400" t="s">
        <v>92</v>
      </c>
      <c r="C67" s="412"/>
      <c r="D67" s="390"/>
      <c r="F67" s="413"/>
      <c r="G67" s="228" t="str">
        <f t="shared" si="0"/>
        <v/>
      </c>
      <c r="H67" s="211"/>
      <c r="I67" s="211"/>
      <c r="J67" s="231"/>
      <c r="K67" s="231"/>
      <c r="M67" s="1150"/>
      <c r="N67" s="1150"/>
      <c r="O67" s="1150"/>
      <c r="P67" s="1150"/>
    </row>
    <row r="68" spans="2:16" ht="15" hidden="1" customHeight="1" x14ac:dyDescent="0.25">
      <c r="B68" s="400" t="s">
        <v>93</v>
      </c>
      <c r="C68" s="412"/>
      <c r="D68" s="390"/>
      <c r="F68" s="413"/>
      <c r="G68" s="228" t="str">
        <f t="shared" si="0"/>
        <v/>
      </c>
      <c r="H68" s="211"/>
      <c r="I68" s="211"/>
      <c r="J68" s="231"/>
      <c r="K68" s="231"/>
      <c r="M68" s="1150"/>
      <c r="N68" s="1150"/>
      <c r="O68" s="1150"/>
      <c r="P68" s="1150"/>
    </row>
    <row r="69" spans="2:16" ht="25.5" hidden="1" customHeight="1" x14ac:dyDescent="0.25">
      <c r="B69" s="400" t="s">
        <v>94</v>
      </c>
      <c r="C69" s="412"/>
      <c r="D69" s="390"/>
      <c r="F69" s="413"/>
      <c r="G69" s="228" t="str">
        <f t="shared" si="0"/>
        <v/>
      </c>
      <c r="H69" s="211"/>
      <c r="I69" s="211"/>
      <c r="J69" s="231"/>
      <c r="K69" s="231"/>
      <c r="M69" s="1150"/>
      <c r="N69" s="1150"/>
      <c r="O69" s="1150"/>
      <c r="P69" s="1150"/>
    </row>
    <row r="70" spans="2:16" ht="25.5" hidden="1" customHeight="1" x14ac:dyDescent="0.25">
      <c r="B70" s="400" t="s">
        <v>95</v>
      </c>
      <c r="C70" s="412"/>
      <c r="D70" s="390"/>
      <c r="F70" s="413"/>
      <c r="G70" s="228" t="str">
        <f t="shared" si="0"/>
        <v/>
      </c>
      <c r="H70" s="211"/>
      <c r="I70" s="211"/>
      <c r="J70" s="231"/>
      <c r="K70" s="231"/>
      <c r="M70" s="1150"/>
      <c r="N70" s="1150"/>
      <c r="O70" s="1150"/>
      <c r="P70" s="1150"/>
    </row>
    <row r="71" spans="2:16" ht="25.5" hidden="1" customHeight="1" x14ac:dyDescent="0.25">
      <c r="B71" s="400" t="s">
        <v>96</v>
      </c>
      <c r="C71" s="412"/>
      <c r="D71" s="390"/>
      <c r="F71" s="413"/>
      <c r="G71" s="228" t="str">
        <f t="shared" si="0"/>
        <v/>
      </c>
      <c r="H71" s="211"/>
      <c r="I71" s="211"/>
      <c r="J71" s="231"/>
      <c r="K71" s="231"/>
      <c r="M71" s="1150"/>
      <c r="N71" s="1150"/>
      <c r="O71" s="1150"/>
      <c r="P71" s="1150"/>
    </row>
    <row r="72" spans="2:16" ht="15" hidden="1" customHeight="1" x14ac:dyDescent="0.25">
      <c r="B72" s="400" t="s">
        <v>97</v>
      </c>
      <c r="C72" s="412"/>
      <c r="D72" s="390"/>
      <c r="F72" s="413"/>
      <c r="G72" s="228" t="str">
        <f t="shared" si="0"/>
        <v/>
      </c>
      <c r="H72" s="211"/>
      <c r="I72" s="211"/>
      <c r="J72" s="231"/>
      <c r="K72" s="231"/>
      <c r="M72" s="1150"/>
      <c r="N72" s="1150"/>
      <c r="O72" s="1150"/>
      <c r="P72" s="1150"/>
    </row>
    <row r="73" spans="2:16" ht="15" hidden="1" customHeight="1" x14ac:dyDescent="0.25">
      <c r="B73" s="400" t="s">
        <v>98</v>
      </c>
      <c r="C73" s="412"/>
      <c r="D73" s="390"/>
      <c r="F73" s="413"/>
      <c r="G73" s="228" t="str">
        <f t="shared" si="0"/>
        <v/>
      </c>
      <c r="H73" s="211"/>
      <c r="I73" s="211"/>
      <c r="J73" s="231"/>
      <c r="K73" s="231"/>
      <c r="M73" s="1150"/>
      <c r="N73" s="1150"/>
      <c r="O73" s="1150"/>
      <c r="P73" s="1150"/>
    </row>
    <row r="74" spans="2:16" ht="15" hidden="1" customHeight="1" x14ac:dyDescent="0.25">
      <c r="B74" s="400" t="s">
        <v>397</v>
      </c>
      <c r="C74" s="412"/>
      <c r="D74" s="390"/>
      <c r="E74" s="16"/>
      <c r="F74" s="413"/>
      <c r="G74" s="228" t="str">
        <f t="shared" si="0"/>
        <v/>
      </c>
      <c r="H74" s="211"/>
      <c r="I74" s="211"/>
      <c r="J74" s="231"/>
      <c r="K74" s="231"/>
      <c r="M74" s="1150"/>
      <c r="N74" s="1150"/>
      <c r="O74" s="1150"/>
      <c r="P74" s="1150"/>
    </row>
    <row r="75" spans="2:16" ht="15" hidden="1" customHeight="1" x14ac:dyDescent="0.25">
      <c r="B75" s="400" t="s">
        <v>99</v>
      </c>
      <c r="C75" s="412"/>
      <c r="D75" s="390"/>
      <c r="E75" s="16"/>
      <c r="F75" s="413"/>
      <c r="G75" s="228" t="str">
        <f t="shared" si="0"/>
        <v/>
      </c>
      <c r="H75" s="211"/>
      <c r="I75" s="211"/>
      <c r="J75" s="231"/>
      <c r="K75" s="231"/>
      <c r="M75" s="1150"/>
      <c r="N75" s="1150"/>
      <c r="O75" s="1150"/>
      <c r="P75" s="1150"/>
    </row>
    <row r="76" spans="2:16" ht="15" hidden="1" customHeight="1" x14ac:dyDescent="0.25">
      <c r="B76" s="400" t="s">
        <v>100</v>
      </c>
      <c r="C76" s="412"/>
      <c r="D76" s="390"/>
      <c r="E76" s="16"/>
      <c r="F76" s="413"/>
      <c r="G76" s="228" t="str">
        <f t="shared" si="0"/>
        <v/>
      </c>
      <c r="H76" s="211"/>
      <c r="I76" s="211"/>
      <c r="J76" s="231"/>
      <c r="K76" s="231"/>
      <c r="M76" s="1150"/>
      <c r="N76" s="1150"/>
      <c r="O76" s="1150"/>
      <c r="P76" s="1150"/>
    </row>
    <row r="77" spans="2:16" ht="15" hidden="1" customHeight="1" x14ac:dyDescent="0.25">
      <c r="B77" s="400" t="s">
        <v>101</v>
      </c>
      <c r="C77" s="412"/>
      <c r="D77" s="390"/>
      <c r="E77" s="16"/>
      <c r="F77" s="413"/>
      <c r="G77" s="228" t="str">
        <f t="shared" si="0"/>
        <v/>
      </c>
      <c r="H77" s="211"/>
      <c r="I77" s="211"/>
      <c r="J77" s="231"/>
      <c r="K77" s="231"/>
      <c r="M77" s="1150"/>
      <c r="N77" s="1150"/>
      <c r="O77" s="1150"/>
      <c r="P77" s="1150"/>
    </row>
    <row r="78" spans="2:16" ht="15" hidden="1" customHeight="1" x14ac:dyDescent="0.25">
      <c r="B78" s="400" t="s">
        <v>102</v>
      </c>
      <c r="C78" s="412"/>
      <c r="D78" s="390"/>
      <c r="E78" s="16"/>
      <c r="F78" s="413"/>
      <c r="G78" s="228" t="str">
        <f t="shared" si="0"/>
        <v/>
      </c>
      <c r="H78" s="211"/>
      <c r="I78" s="211"/>
      <c r="J78" s="231"/>
      <c r="K78" s="231"/>
      <c r="M78" s="1150"/>
      <c r="N78" s="1150"/>
      <c r="O78" s="1150"/>
      <c r="P78" s="1150"/>
    </row>
    <row r="79" spans="2:16" ht="7.5" customHeight="1" x14ac:dyDescent="0.25">
      <c r="B79" s="310"/>
      <c r="C79" s="228"/>
      <c r="D79" s="228"/>
      <c r="E79" s="16"/>
      <c r="F79" s="275"/>
      <c r="G79" s="228" t="str">
        <f t="shared" si="0"/>
        <v/>
      </c>
      <c r="J79" s="381"/>
      <c r="M79" s="1150"/>
      <c r="N79" s="1150"/>
      <c r="O79" s="1150"/>
      <c r="P79" s="1150"/>
    </row>
    <row r="80" spans="2:16" x14ac:dyDescent="0.25">
      <c r="B80" s="523" t="s">
        <v>103</v>
      </c>
      <c r="C80" s="524" t="s">
        <v>62</v>
      </c>
      <c r="D80" s="525" t="s">
        <v>63</v>
      </c>
      <c r="E80" s="16"/>
      <c r="F80" s="526" t="s">
        <v>146</v>
      </c>
      <c r="G80" s="228" t="str">
        <f t="shared" si="0"/>
        <v>_</v>
      </c>
      <c r="J80" s="527" t="s">
        <v>1002</v>
      </c>
      <c r="K80" s="527" t="s">
        <v>363</v>
      </c>
      <c r="M80" s="1150"/>
      <c r="N80" s="1150"/>
      <c r="O80" s="1150"/>
      <c r="P80" s="1150"/>
    </row>
    <row r="81" spans="2:16" x14ac:dyDescent="0.25">
      <c r="B81" s="691" t="s">
        <v>988</v>
      </c>
      <c r="C81" s="459" t="s">
        <v>157</v>
      </c>
      <c r="D81" s="692" t="s">
        <v>157</v>
      </c>
      <c r="E81" s="16"/>
      <c r="F81" s="526"/>
      <c r="G81" s="228" t="str">
        <f t="shared" si="0"/>
        <v/>
      </c>
      <c r="J81" s="527"/>
      <c r="K81" s="527"/>
      <c r="M81" s="1150" t="s">
        <v>989</v>
      </c>
      <c r="N81" s="1150"/>
      <c r="O81" s="1150"/>
      <c r="P81" s="1150"/>
    </row>
    <row r="82" spans="2:16" ht="15" hidden="1" customHeight="1" x14ac:dyDescent="0.25">
      <c r="B82" s="400" t="s">
        <v>104</v>
      </c>
      <c r="C82" s="412"/>
      <c r="D82" s="390"/>
      <c r="E82" s="16"/>
      <c r="F82" s="413"/>
      <c r="G82" s="228" t="str">
        <f t="shared" si="0"/>
        <v/>
      </c>
      <c r="H82" s="211"/>
      <c r="I82" s="211"/>
      <c r="J82" s="231"/>
      <c r="K82" s="231"/>
      <c r="M82" s="1150"/>
      <c r="N82" s="1150"/>
      <c r="O82" s="1150"/>
      <c r="P82" s="1150"/>
    </row>
    <row r="83" spans="2:16" ht="15" hidden="1" customHeight="1" x14ac:dyDescent="0.25">
      <c r="B83" s="400" t="s">
        <v>105</v>
      </c>
      <c r="C83" s="412"/>
      <c r="D83" s="390"/>
      <c r="E83" s="16"/>
      <c r="F83" s="413"/>
      <c r="G83" s="228" t="str">
        <f t="shared" si="0"/>
        <v/>
      </c>
      <c r="H83" s="211"/>
      <c r="I83" s="211"/>
      <c r="J83" s="231"/>
      <c r="K83" s="231"/>
      <c r="M83" s="1150"/>
      <c r="N83" s="1150"/>
      <c r="O83" s="1150"/>
      <c r="P83" s="1150"/>
    </row>
    <row r="84" spans="2:16" ht="15" hidden="1" customHeight="1" x14ac:dyDescent="0.25">
      <c r="B84" s="400" t="s">
        <v>106</v>
      </c>
      <c r="C84" s="412"/>
      <c r="D84" s="390"/>
      <c r="E84" s="16"/>
      <c r="F84" s="413"/>
      <c r="G84" s="228" t="str">
        <f t="shared" si="0"/>
        <v/>
      </c>
      <c r="H84" s="211"/>
      <c r="I84" s="211"/>
      <c r="J84" s="231"/>
      <c r="K84" s="231"/>
      <c r="M84" s="1150"/>
      <c r="N84" s="1150"/>
      <c r="O84" s="1150"/>
      <c r="P84" s="1150"/>
    </row>
    <row r="85" spans="2:16" ht="15" hidden="1" customHeight="1" x14ac:dyDescent="0.25">
      <c r="B85" s="400" t="s">
        <v>107</v>
      </c>
      <c r="C85" s="412"/>
      <c r="D85" s="390"/>
      <c r="E85" s="16"/>
      <c r="F85" s="413"/>
      <c r="G85" s="228" t="str">
        <f t="shared" si="0"/>
        <v/>
      </c>
      <c r="H85" s="211"/>
      <c r="I85" s="211"/>
      <c r="J85" s="231"/>
      <c r="K85" s="231"/>
      <c r="M85" s="1150"/>
      <c r="N85" s="1150"/>
      <c r="O85" s="1150"/>
      <c r="P85" s="1150"/>
    </row>
    <row r="86" spans="2:16" ht="15" hidden="1" customHeight="1" x14ac:dyDescent="0.25">
      <c r="B86" s="400" t="s">
        <v>108</v>
      </c>
      <c r="C86" s="412"/>
      <c r="D86" s="390"/>
      <c r="E86" s="16"/>
      <c r="F86" s="413"/>
      <c r="G86" s="228" t="str">
        <f t="shared" si="0"/>
        <v/>
      </c>
      <c r="H86" s="211"/>
      <c r="I86" s="211"/>
      <c r="J86" s="231"/>
      <c r="K86" s="231"/>
      <c r="M86" s="1150"/>
      <c r="N86" s="1150"/>
      <c r="O86" s="1150"/>
      <c r="P86" s="1150"/>
    </row>
    <row r="87" spans="2:16" ht="15" hidden="1" customHeight="1" x14ac:dyDescent="0.25">
      <c r="B87" s="400" t="s">
        <v>109</v>
      </c>
      <c r="C87" s="412"/>
      <c r="D87" s="390"/>
      <c r="E87" s="16"/>
      <c r="F87" s="413"/>
      <c r="G87" s="228" t="str">
        <f t="shared" si="0"/>
        <v/>
      </c>
      <c r="H87" s="211"/>
      <c r="I87" s="211"/>
      <c r="J87" s="231"/>
      <c r="K87" s="231"/>
      <c r="M87" s="1150"/>
      <c r="N87" s="1150"/>
      <c r="O87" s="1150"/>
      <c r="P87" s="1150"/>
    </row>
    <row r="88" spans="2:16" ht="15" hidden="1" customHeight="1" x14ac:dyDescent="0.25">
      <c r="B88" s="400" t="s">
        <v>110</v>
      </c>
      <c r="C88" s="412"/>
      <c r="D88" s="390"/>
      <c r="E88" s="16"/>
      <c r="F88" s="413"/>
      <c r="G88" s="228" t="str">
        <f t="shared" si="0"/>
        <v/>
      </c>
      <c r="H88" s="211"/>
      <c r="I88" s="211"/>
      <c r="J88" s="231"/>
      <c r="K88" s="231"/>
      <c r="M88" s="1150"/>
      <c r="N88" s="1150"/>
      <c r="O88" s="1150"/>
      <c r="P88" s="1150"/>
    </row>
    <row r="89" spans="2:16" ht="25.5" hidden="1" customHeight="1" x14ac:dyDescent="0.25">
      <c r="B89" s="400" t="s">
        <v>111</v>
      </c>
      <c r="C89" s="412"/>
      <c r="D89" s="390"/>
      <c r="E89" s="16"/>
      <c r="F89" s="413"/>
      <c r="G89" s="228" t="str">
        <f t="shared" si="0"/>
        <v/>
      </c>
      <c r="H89" s="211"/>
      <c r="I89" s="211"/>
      <c r="J89" s="231"/>
      <c r="K89" s="231"/>
      <c r="M89" s="1150"/>
      <c r="N89" s="1150"/>
      <c r="O89" s="1150"/>
      <c r="P89" s="1150"/>
    </row>
    <row r="90" spans="2:16" ht="15" hidden="1" customHeight="1" x14ac:dyDescent="0.25">
      <c r="B90" s="400" t="s">
        <v>112</v>
      </c>
      <c r="C90" s="412"/>
      <c r="D90" s="390"/>
      <c r="E90" s="16"/>
      <c r="F90" s="413"/>
      <c r="G90" s="228" t="str">
        <f t="shared" si="0"/>
        <v/>
      </c>
      <c r="H90" s="211"/>
      <c r="I90" s="211"/>
      <c r="J90" s="231"/>
      <c r="K90" s="231"/>
      <c r="M90" s="1150"/>
      <c r="N90" s="1150"/>
      <c r="O90" s="1150"/>
      <c r="P90" s="1150"/>
    </row>
    <row r="91" spans="2:16" ht="15" hidden="1" customHeight="1" x14ac:dyDescent="0.25">
      <c r="B91" s="400" t="s">
        <v>113</v>
      </c>
      <c r="C91" s="412"/>
      <c r="D91" s="390"/>
      <c r="E91" s="16"/>
      <c r="F91" s="413"/>
      <c r="G91" s="228" t="str">
        <f t="shared" si="0"/>
        <v/>
      </c>
      <c r="H91" s="211"/>
      <c r="I91" s="211"/>
      <c r="J91" s="231"/>
      <c r="K91" s="231"/>
      <c r="M91" s="1150"/>
      <c r="N91" s="1150"/>
      <c r="O91" s="1150"/>
      <c r="P91" s="1150"/>
    </row>
    <row r="92" spans="2:16" ht="15" hidden="1" customHeight="1" x14ac:dyDescent="0.25">
      <c r="B92" s="400" t="s">
        <v>114</v>
      </c>
      <c r="C92" s="412"/>
      <c r="D92" s="390"/>
      <c r="F92" s="413"/>
      <c r="G92" s="228" t="str">
        <f t="shared" si="0"/>
        <v/>
      </c>
      <c r="H92" s="211"/>
      <c r="I92" s="211"/>
      <c r="J92" s="231"/>
      <c r="K92" s="231"/>
      <c r="M92" s="1150"/>
      <c r="N92" s="1150"/>
      <c r="O92" s="1150"/>
      <c r="P92" s="1150"/>
    </row>
    <row r="93" spans="2:16" ht="25.5" hidden="1" customHeight="1" x14ac:dyDescent="0.25">
      <c r="B93" s="400" t="s">
        <v>115</v>
      </c>
      <c r="C93" s="412"/>
      <c r="D93" s="390"/>
      <c r="E93" s="16"/>
      <c r="F93" s="413"/>
      <c r="G93" s="228" t="str">
        <f t="shared" si="0"/>
        <v/>
      </c>
      <c r="H93" s="211"/>
      <c r="I93" s="211"/>
      <c r="J93" s="231"/>
      <c r="K93" s="231"/>
      <c r="M93" s="1150"/>
      <c r="N93" s="1150"/>
      <c r="O93" s="1150"/>
      <c r="P93" s="1150"/>
    </row>
    <row r="94" spans="2:16" ht="25.5" hidden="1" customHeight="1" x14ac:dyDescent="0.25">
      <c r="B94" s="400" t="s">
        <v>116</v>
      </c>
      <c r="C94" s="412"/>
      <c r="D94" s="390"/>
      <c r="E94" s="16"/>
      <c r="F94" s="413"/>
      <c r="G94" s="228" t="str">
        <f t="shared" si="0"/>
        <v/>
      </c>
      <c r="H94" s="211"/>
      <c r="I94" s="211"/>
      <c r="J94" s="231"/>
      <c r="K94" s="231"/>
      <c r="M94" s="1150"/>
      <c r="N94" s="1150"/>
      <c r="O94" s="1150"/>
      <c r="P94" s="1150"/>
    </row>
    <row r="95" spans="2:16" ht="15" hidden="1" customHeight="1" x14ac:dyDescent="0.25">
      <c r="B95" s="400" t="s">
        <v>117</v>
      </c>
      <c r="C95" s="412"/>
      <c r="D95" s="390"/>
      <c r="E95" s="16"/>
      <c r="F95" s="413"/>
      <c r="G95" s="228" t="str">
        <f t="shared" si="0"/>
        <v/>
      </c>
      <c r="H95" s="211"/>
      <c r="I95" s="211"/>
      <c r="J95" s="231"/>
      <c r="K95" s="231"/>
      <c r="M95" s="1150"/>
      <c r="N95" s="1150"/>
      <c r="O95" s="1150"/>
      <c r="P95" s="1150"/>
    </row>
    <row r="96" spans="2:16" ht="15" hidden="1" customHeight="1" x14ac:dyDescent="0.25">
      <c r="B96" s="400" t="s">
        <v>118</v>
      </c>
      <c r="C96" s="412"/>
      <c r="D96" s="390"/>
      <c r="E96" s="16"/>
      <c r="F96" s="413"/>
      <c r="G96" s="228" t="str">
        <f t="shared" si="0"/>
        <v/>
      </c>
      <c r="H96" s="211"/>
      <c r="I96" s="211"/>
      <c r="J96" s="231"/>
      <c r="K96" s="231"/>
      <c r="M96" s="1150"/>
      <c r="N96" s="1150"/>
      <c r="O96" s="1150"/>
      <c r="P96" s="1150"/>
    </row>
    <row r="97" spans="2:16" ht="25.5" hidden="1" customHeight="1" x14ac:dyDescent="0.25">
      <c r="B97" s="400" t="s">
        <v>119</v>
      </c>
      <c r="C97" s="412"/>
      <c r="D97" s="390"/>
      <c r="E97" s="16"/>
      <c r="F97" s="413"/>
      <c r="G97" s="228" t="str">
        <f t="shared" si="0"/>
        <v/>
      </c>
      <c r="H97" s="211"/>
      <c r="I97" s="211"/>
      <c r="J97" s="231"/>
      <c r="K97" s="231"/>
      <c r="M97" s="1150"/>
      <c r="N97" s="1150"/>
      <c r="O97" s="1150"/>
      <c r="P97" s="1150"/>
    </row>
    <row r="98" spans="2:16" ht="25.5" hidden="1" customHeight="1" x14ac:dyDescent="0.25">
      <c r="B98" s="400" t="s">
        <v>120</v>
      </c>
      <c r="C98" s="412"/>
      <c r="D98" s="390"/>
      <c r="E98" s="16"/>
      <c r="F98" s="413"/>
      <c r="G98" s="228" t="str">
        <f t="shared" si="0"/>
        <v/>
      </c>
      <c r="H98" s="211"/>
      <c r="I98" s="211"/>
      <c r="J98" s="231"/>
      <c r="K98" s="231"/>
      <c r="M98" s="1150"/>
      <c r="N98" s="1150"/>
      <c r="O98" s="1150"/>
      <c r="P98" s="1150"/>
    </row>
    <row r="99" spans="2:16" ht="15" hidden="1" customHeight="1" x14ac:dyDescent="0.25">
      <c r="B99" s="400" t="s">
        <v>121</v>
      </c>
      <c r="C99" s="412"/>
      <c r="D99" s="390"/>
      <c r="E99" s="16"/>
      <c r="F99" s="413"/>
      <c r="G99" s="228" t="str">
        <f t="shared" si="0"/>
        <v/>
      </c>
      <c r="H99" s="211"/>
      <c r="I99" s="211"/>
      <c r="J99" s="231"/>
      <c r="K99" s="231"/>
      <c r="M99" s="1150"/>
      <c r="N99" s="1150"/>
      <c r="O99" s="1150"/>
      <c r="P99" s="1150"/>
    </row>
    <row r="100" spans="2:16" ht="15" hidden="1" customHeight="1" x14ac:dyDescent="0.25">
      <c r="B100" s="400" t="s">
        <v>122</v>
      </c>
      <c r="C100" s="412"/>
      <c r="D100" s="390"/>
      <c r="E100" s="16"/>
      <c r="F100" s="413"/>
      <c r="G100" s="228" t="str">
        <f t="shared" si="0"/>
        <v/>
      </c>
      <c r="H100" s="211"/>
      <c r="I100" s="211"/>
      <c r="J100" s="231"/>
      <c r="K100" s="231"/>
      <c r="M100" s="1150"/>
      <c r="N100" s="1150"/>
      <c r="O100" s="1150"/>
      <c r="P100" s="1150"/>
    </row>
    <row r="101" spans="2:16" ht="15" hidden="1" customHeight="1" x14ac:dyDescent="0.25">
      <c r="B101" s="400" t="s">
        <v>123</v>
      </c>
      <c r="C101" s="412"/>
      <c r="D101" s="390"/>
      <c r="E101" s="16"/>
      <c r="F101" s="413"/>
      <c r="G101" s="228" t="str">
        <f t="shared" si="0"/>
        <v/>
      </c>
      <c r="H101" s="211"/>
      <c r="I101" s="211"/>
      <c r="J101" s="231"/>
      <c r="K101" s="231"/>
      <c r="M101" s="1150"/>
      <c r="N101" s="1150"/>
      <c r="O101" s="1150"/>
      <c r="P101" s="1150"/>
    </row>
    <row r="102" spans="2:16" ht="25.5" hidden="1" customHeight="1" x14ac:dyDescent="0.25">
      <c r="B102" s="400" t="s">
        <v>124</v>
      </c>
      <c r="C102" s="412"/>
      <c r="D102" s="390"/>
      <c r="E102" s="16"/>
      <c r="F102" s="413"/>
      <c r="G102" s="228" t="str">
        <f t="shared" si="0"/>
        <v/>
      </c>
      <c r="H102" s="211"/>
      <c r="I102" s="211"/>
      <c r="J102" s="231"/>
      <c r="K102" s="231"/>
      <c r="M102" s="1150"/>
      <c r="N102" s="1150"/>
      <c r="O102" s="1150"/>
      <c r="P102" s="1150"/>
    </row>
    <row r="103" spans="2:16" ht="38.25" hidden="1" customHeight="1" x14ac:dyDescent="0.25">
      <c r="B103" s="400" t="s">
        <v>125</v>
      </c>
      <c r="C103" s="412"/>
      <c r="D103" s="390"/>
      <c r="E103" s="16"/>
      <c r="F103" s="413"/>
      <c r="G103" s="228" t="str">
        <f t="shared" si="0"/>
        <v/>
      </c>
      <c r="H103" s="211"/>
      <c r="I103" s="211"/>
      <c r="J103" s="231"/>
      <c r="K103" s="231"/>
      <c r="M103" s="1150"/>
      <c r="N103" s="1150"/>
      <c r="O103" s="1150"/>
      <c r="P103" s="1150"/>
    </row>
    <row r="104" spans="2:16" ht="7.5" customHeight="1" x14ac:dyDescent="0.25">
      <c r="E104" s="16"/>
      <c r="G104" s="228" t="str">
        <f t="shared" si="0"/>
        <v/>
      </c>
      <c r="J104" s="381"/>
      <c r="M104" s="1150"/>
      <c r="N104" s="1150"/>
      <c r="O104" s="1150"/>
      <c r="P104" s="1150"/>
    </row>
    <row r="105" spans="2:16" x14ac:dyDescent="0.25">
      <c r="B105" s="528" t="s">
        <v>359</v>
      </c>
      <c r="C105" s="524" t="s">
        <v>62</v>
      </c>
      <c r="D105" s="525" t="s">
        <v>63</v>
      </c>
      <c r="E105" s="16"/>
      <c r="F105" s="526" t="s">
        <v>146</v>
      </c>
      <c r="G105" s="228" t="str">
        <f t="shared" si="0"/>
        <v>_</v>
      </c>
      <c r="H105" s="211"/>
      <c r="I105" s="211"/>
      <c r="J105" s="527" t="s">
        <v>1002</v>
      </c>
      <c r="K105" s="527" t="s">
        <v>363</v>
      </c>
      <c r="M105" s="1150"/>
      <c r="N105" s="1150"/>
      <c r="O105" s="1150"/>
      <c r="P105" s="1150"/>
    </row>
    <row r="106" spans="2:16" ht="30" customHeight="1" x14ac:dyDescent="0.25">
      <c r="B106" s="673" t="s">
        <v>1558</v>
      </c>
      <c r="C106" s="412" t="s">
        <v>1559</v>
      </c>
      <c r="D106" s="712" t="s">
        <v>1559</v>
      </c>
      <c r="E106" s="16"/>
      <c r="F106" s="413"/>
      <c r="G106" s="228" t="str">
        <f t="shared" si="0"/>
        <v/>
      </c>
      <c r="H106" s="211"/>
      <c r="I106" s="211"/>
      <c r="J106" s="231"/>
      <c r="K106" s="231"/>
    </row>
    <row r="107" spans="2:16" ht="30" customHeight="1" x14ac:dyDescent="0.25">
      <c r="B107" s="722" t="s">
        <v>1560</v>
      </c>
      <c r="C107" s="412" t="s">
        <v>1561</v>
      </c>
      <c r="D107" s="712" t="s">
        <v>1561</v>
      </c>
      <c r="E107" s="16"/>
      <c r="F107" s="413"/>
      <c r="G107" s="228" t="str">
        <f t="shared" ref="G107:G130" si="1">IF(OR(TRIM(D107)&lt;&gt;"",TRIM(F107)&lt;&gt;""),IF(AND(TRIM(D107)&lt;&gt;"",TRIM(F107)&lt;&gt;""),IF(OR(TRIM(C107)&lt;&gt;TRIM(D107),TRIM(C107)&lt;&gt;TRIM(F107)),"_",""),IF(TRIM(C107)&lt;&gt;TRIM(D107), "_", "")),"")</f>
        <v/>
      </c>
      <c r="H107" s="211"/>
      <c r="I107" s="211"/>
      <c r="J107" s="231"/>
      <c r="K107" s="231"/>
    </row>
    <row r="108" spans="2:16" ht="30" customHeight="1" x14ac:dyDescent="0.25">
      <c r="B108" s="722" t="s">
        <v>1562</v>
      </c>
      <c r="C108" s="412" t="s">
        <v>1563</v>
      </c>
      <c r="D108" s="712" t="s">
        <v>1563</v>
      </c>
      <c r="E108" s="16"/>
      <c r="F108" s="413"/>
      <c r="G108" s="228" t="str">
        <f t="shared" si="1"/>
        <v/>
      </c>
      <c r="H108" s="211"/>
      <c r="I108" s="211"/>
      <c r="J108" s="231"/>
      <c r="K108" s="231"/>
    </row>
    <row r="109" spans="2:16" ht="30" customHeight="1" x14ac:dyDescent="0.25">
      <c r="B109" s="722" t="s">
        <v>1340</v>
      </c>
      <c r="C109" s="412" t="s">
        <v>1564</v>
      </c>
      <c r="D109" s="712" t="s">
        <v>1564</v>
      </c>
      <c r="E109" s="16"/>
      <c r="F109" s="413"/>
      <c r="G109" s="228" t="str">
        <f t="shared" si="1"/>
        <v/>
      </c>
      <c r="H109" s="211"/>
      <c r="I109" s="211"/>
      <c r="J109" s="231"/>
      <c r="K109" s="231"/>
    </row>
    <row r="110" spans="2:16" ht="30" customHeight="1" x14ac:dyDescent="0.25">
      <c r="B110" s="673" t="s">
        <v>1565</v>
      </c>
      <c r="C110" s="412" t="s">
        <v>1566</v>
      </c>
      <c r="D110" s="712" t="s">
        <v>1566</v>
      </c>
      <c r="E110" s="16"/>
      <c r="F110" s="413"/>
      <c r="G110" s="228" t="str">
        <f t="shared" si="1"/>
        <v/>
      </c>
      <c r="H110" s="211"/>
      <c r="I110" s="211"/>
      <c r="J110" s="231"/>
      <c r="K110" s="231"/>
    </row>
    <row r="111" spans="2:16" ht="30" customHeight="1" x14ac:dyDescent="0.25">
      <c r="B111" s="673" t="s">
        <v>1567</v>
      </c>
      <c r="C111" s="412" t="s">
        <v>1568</v>
      </c>
      <c r="D111" s="712" t="s">
        <v>1568</v>
      </c>
      <c r="E111" s="16"/>
      <c r="F111" s="413"/>
      <c r="G111" s="228" t="str">
        <f t="shared" si="1"/>
        <v/>
      </c>
      <c r="H111" s="211"/>
      <c r="I111" s="211"/>
      <c r="J111" s="231"/>
      <c r="K111" s="231"/>
    </row>
    <row r="112" spans="2:16" ht="30" customHeight="1" x14ac:dyDescent="0.25">
      <c r="B112" s="722" t="s">
        <v>1569</v>
      </c>
      <c r="C112" s="412" t="s">
        <v>1570</v>
      </c>
      <c r="D112" s="712" t="s">
        <v>1570</v>
      </c>
      <c r="E112" s="16"/>
      <c r="F112" s="413"/>
      <c r="G112" s="228" t="str">
        <f t="shared" si="1"/>
        <v/>
      </c>
      <c r="H112" s="211"/>
      <c r="I112" s="211"/>
      <c r="J112" s="231"/>
      <c r="K112" s="231"/>
    </row>
    <row r="113" spans="2:11" ht="30" customHeight="1" x14ac:dyDescent="0.25">
      <c r="B113" s="673" t="s">
        <v>1571</v>
      </c>
      <c r="C113" s="412" t="s">
        <v>1572</v>
      </c>
      <c r="D113" s="712" t="s">
        <v>1572</v>
      </c>
      <c r="E113" s="16"/>
      <c r="F113" s="413"/>
      <c r="G113" s="228" t="str">
        <f t="shared" si="1"/>
        <v/>
      </c>
      <c r="H113" s="211"/>
      <c r="I113" s="211"/>
      <c r="J113" s="231"/>
      <c r="K113" s="231"/>
    </row>
    <row r="114" spans="2:11" ht="30" customHeight="1" x14ac:dyDescent="0.25">
      <c r="B114" s="673" t="s">
        <v>1573</v>
      </c>
      <c r="C114" s="412" t="s">
        <v>1574</v>
      </c>
      <c r="D114" s="712" t="s">
        <v>1574</v>
      </c>
      <c r="F114" s="413"/>
      <c r="G114" s="228" t="str">
        <f t="shared" si="1"/>
        <v/>
      </c>
      <c r="H114" s="211"/>
      <c r="I114" s="211"/>
      <c r="J114" s="231"/>
      <c r="K114" s="231"/>
    </row>
    <row r="115" spans="2:11" hidden="1" x14ac:dyDescent="0.25">
      <c r="B115" s="400"/>
      <c r="C115" s="412"/>
      <c r="D115" s="390"/>
      <c r="F115" s="413"/>
      <c r="G115" s="228" t="str">
        <f t="shared" si="1"/>
        <v/>
      </c>
      <c r="H115" s="211"/>
      <c r="I115" s="211"/>
      <c r="J115" s="231"/>
      <c r="K115" s="231"/>
    </row>
    <row r="116" spans="2:11" hidden="1" x14ac:dyDescent="0.25">
      <c r="B116" s="368"/>
      <c r="C116" s="412"/>
      <c r="D116" s="390"/>
      <c r="F116" s="413"/>
      <c r="G116" s="228" t="str">
        <f t="shared" si="1"/>
        <v/>
      </c>
      <c r="H116" s="211"/>
      <c r="I116" s="211"/>
      <c r="J116" s="231"/>
      <c r="K116" s="231"/>
    </row>
    <row r="117" spans="2:11" hidden="1" x14ac:dyDescent="0.25">
      <c r="B117" s="368"/>
      <c r="C117" s="412"/>
      <c r="D117" s="390"/>
      <c r="F117" s="413"/>
      <c r="G117" s="228" t="str">
        <f t="shared" si="1"/>
        <v/>
      </c>
      <c r="H117" s="211"/>
      <c r="I117" s="211"/>
      <c r="J117" s="231"/>
      <c r="K117" s="231"/>
    </row>
    <row r="118" spans="2:11" hidden="1" x14ac:dyDescent="0.25">
      <c r="B118" s="400"/>
      <c r="C118" s="412"/>
      <c r="D118" s="390"/>
      <c r="F118" s="413"/>
      <c r="G118" s="228" t="str">
        <f t="shared" si="1"/>
        <v/>
      </c>
      <c r="H118" s="211"/>
      <c r="I118" s="211"/>
      <c r="J118" s="231"/>
      <c r="K118" s="231"/>
    </row>
    <row r="119" spans="2:11" hidden="1" x14ac:dyDescent="0.25">
      <c r="B119" s="368"/>
      <c r="C119" s="412"/>
      <c r="D119" s="390"/>
      <c r="F119" s="413"/>
      <c r="G119" s="228" t="str">
        <f t="shared" si="1"/>
        <v/>
      </c>
      <c r="H119" s="211"/>
      <c r="I119" s="211"/>
      <c r="J119" s="231"/>
      <c r="K119" s="231"/>
    </row>
    <row r="120" spans="2:11" hidden="1" x14ac:dyDescent="0.25">
      <c r="B120" s="368"/>
      <c r="C120" s="412"/>
      <c r="D120" s="390"/>
      <c r="F120" s="413"/>
      <c r="G120" s="228" t="str">
        <f t="shared" si="1"/>
        <v/>
      </c>
      <c r="H120" s="211"/>
      <c r="I120" s="211"/>
      <c r="J120" s="231"/>
      <c r="K120" s="231"/>
    </row>
    <row r="121" spans="2:11" hidden="1" x14ac:dyDescent="0.25">
      <c r="B121" s="368"/>
      <c r="C121" s="412"/>
      <c r="D121" s="390"/>
      <c r="F121" s="413"/>
      <c r="G121" s="228" t="str">
        <f t="shared" si="1"/>
        <v/>
      </c>
      <c r="H121" s="211"/>
      <c r="I121" s="211"/>
      <c r="J121" s="231"/>
      <c r="K121" s="231"/>
    </row>
    <row r="122" spans="2:11" hidden="1" x14ac:dyDescent="0.25">
      <c r="B122" s="400"/>
      <c r="C122" s="412"/>
      <c r="D122" s="390"/>
      <c r="F122" s="413"/>
      <c r="G122" s="228" t="str">
        <f t="shared" si="1"/>
        <v/>
      </c>
      <c r="H122" s="211"/>
      <c r="I122" s="211"/>
      <c r="J122" s="231"/>
      <c r="K122" s="231"/>
    </row>
    <row r="123" spans="2:11" ht="25.5" x14ac:dyDescent="0.25">
      <c r="B123" s="673" t="s">
        <v>1738</v>
      </c>
      <c r="C123" s="412"/>
      <c r="D123" s="712" t="s">
        <v>2057</v>
      </c>
      <c r="G123" s="228" t="str">
        <f t="shared" si="1"/>
        <v>_</v>
      </c>
    </row>
    <row r="124" spans="2:11" ht="25.5" x14ac:dyDescent="0.25">
      <c r="B124" s="673" t="s">
        <v>2058</v>
      </c>
      <c r="C124" s="412"/>
      <c r="D124" s="712" t="s">
        <v>2059</v>
      </c>
      <c r="G124" s="228" t="str">
        <f t="shared" si="1"/>
        <v>_</v>
      </c>
    </row>
    <row r="125" spans="2:11" ht="25.5" x14ac:dyDescent="0.25">
      <c r="B125" s="673" t="s">
        <v>1590</v>
      </c>
      <c r="C125" s="412"/>
      <c r="D125" s="712" t="s">
        <v>2060</v>
      </c>
      <c r="G125" s="228" t="str">
        <f t="shared" si="1"/>
        <v>_</v>
      </c>
    </row>
    <row r="126" spans="2:11" ht="25.5" x14ac:dyDescent="0.25">
      <c r="B126" s="673" t="s">
        <v>2061</v>
      </c>
      <c r="C126" s="412"/>
      <c r="D126" s="712" t="s">
        <v>2062</v>
      </c>
      <c r="G126" s="228" t="str">
        <f t="shared" si="1"/>
        <v>_</v>
      </c>
    </row>
    <row r="127" spans="2:11" ht="25.5" x14ac:dyDescent="0.25">
      <c r="B127" s="673" t="s">
        <v>2063</v>
      </c>
      <c r="C127" s="412"/>
      <c r="D127" s="712" t="s">
        <v>2064</v>
      </c>
      <c r="G127" s="228" t="str">
        <f t="shared" si="1"/>
        <v>_</v>
      </c>
    </row>
    <row r="128" spans="2:11" ht="25.5" x14ac:dyDescent="0.25">
      <c r="B128" s="673" t="s">
        <v>2065</v>
      </c>
      <c r="C128" s="412"/>
      <c r="D128" s="712" t="s">
        <v>2066</v>
      </c>
      <c r="G128" s="228" t="str">
        <f t="shared" si="1"/>
        <v>_</v>
      </c>
    </row>
    <row r="129" spans="2:7" ht="25.5" x14ac:dyDescent="0.25">
      <c r="B129" s="673" t="s">
        <v>2067</v>
      </c>
      <c r="C129" s="412"/>
      <c r="D129" s="712" t="s">
        <v>2068</v>
      </c>
      <c r="G129" s="228" t="str">
        <f t="shared" si="1"/>
        <v>_</v>
      </c>
    </row>
    <row r="130" spans="2:7" x14ac:dyDescent="0.25">
      <c r="B130" s="673"/>
      <c r="C130" s="412"/>
      <c r="D130" s="712"/>
      <c r="G130" s="228" t="str">
        <f t="shared" si="1"/>
        <v/>
      </c>
    </row>
    <row r="131" spans="2:7" x14ac:dyDescent="0.25">
      <c r="B131" s="673"/>
      <c r="C131" s="412"/>
      <c r="D131" s="712"/>
      <c r="G131" s="228" t="str">
        <f t="shared" ref="G131:G169" si="2">IF(OR(TRIM(D131)&lt;&gt;"",TRIM(F131)&lt;&gt;""),IF(AND(TRIM(D131)&lt;&gt;"",TRIM(F131)&lt;&gt;""),IF(OR(TRIM(C131)&lt;&gt;TRIM(D131),TRIM(C131)&lt;&gt;TRIM(F131)),"_",""),IF(TRIM(C131)&lt;&gt;TRIM(D131), "_", "")),"")</f>
        <v/>
      </c>
    </row>
    <row r="132" spans="2:7" x14ac:dyDescent="0.25">
      <c r="B132" s="673"/>
      <c r="C132" s="412"/>
      <c r="D132" s="712"/>
      <c r="G132" s="228" t="str">
        <f t="shared" si="2"/>
        <v/>
      </c>
    </row>
    <row r="133" spans="2:7" x14ac:dyDescent="0.25">
      <c r="B133" s="673"/>
      <c r="C133" s="412"/>
      <c r="D133" s="712"/>
      <c r="G133" s="228" t="str">
        <f t="shared" si="2"/>
        <v/>
      </c>
    </row>
    <row r="134" spans="2:7" x14ac:dyDescent="0.25">
      <c r="B134" s="673"/>
      <c r="C134" s="412"/>
      <c r="D134" s="712"/>
      <c r="G134" s="228" t="str">
        <f t="shared" si="2"/>
        <v/>
      </c>
    </row>
    <row r="135" spans="2:7" x14ac:dyDescent="0.25">
      <c r="B135" s="673"/>
      <c r="C135" s="412"/>
      <c r="D135" s="712"/>
      <c r="G135" s="228" t="str">
        <f t="shared" si="2"/>
        <v/>
      </c>
    </row>
    <row r="136" spans="2:7" x14ac:dyDescent="0.25">
      <c r="B136" s="673"/>
      <c r="C136" s="412"/>
      <c r="D136" s="712"/>
      <c r="G136" s="228" t="str">
        <f t="shared" si="2"/>
        <v/>
      </c>
    </row>
    <row r="137" spans="2:7" x14ac:dyDescent="0.25">
      <c r="G137" s="228" t="str">
        <f t="shared" si="2"/>
        <v/>
      </c>
    </row>
    <row r="138" spans="2:7" x14ac:dyDescent="0.25">
      <c r="G138" s="228" t="str">
        <f t="shared" si="2"/>
        <v/>
      </c>
    </row>
    <row r="139" spans="2:7" x14ac:dyDescent="0.25">
      <c r="G139" s="228" t="str">
        <f t="shared" si="2"/>
        <v/>
      </c>
    </row>
    <row r="140" spans="2:7" x14ac:dyDescent="0.25">
      <c r="G140" s="228" t="str">
        <f t="shared" si="2"/>
        <v/>
      </c>
    </row>
    <row r="141" spans="2:7" x14ac:dyDescent="0.25">
      <c r="G141" s="228" t="str">
        <f t="shared" si="2"/>
        <v/>
      </c>
    </row>
    <row r="142" spans="2:7" x14ac:dyDescent="0.25">
      <c r="G142" s="228" t="str">
        <f t="shared" si="2"/>
        <v/>
      </c>
    </row>
    <row r="143" spans="2:7" x14ac:dyDescent="0.25">
      <c r="G143" s="228" t="str">
        <f t="shared" si="2"/>
        <v/>
      </c>
    </row>
    <row r="144" spans="2:7" x14ac:dyDescent="0.25">
      <c r="G144" s="228" t="str">
        <f t="shared" si="2"/>
        <v/>
      </c>
    </row>
    <row r="145" spans="7:7" x14ac:dyDescent="0.25">
      <c r="G145" s="228" t="str">
        <f t="shared" si="2"/>
        <v/>
      </c>
    </row>
    <row r="146" spans="7:7" x14ac:dyDescent="0.25">
      <c r="G146" s="228" t="str">
        <f t="shared" si="2"/>
        <v/>
      </c>
    </row>
    <row r="147" spans="7:7" x14ac:dyDescent="0.25">
      <c r="G147" s="228" t="str">
        <f t="shared" si="2"/>
        <v/>
      </c>
    </row>
    <row r="148" spans="7:7" x14ac:dyDescent="0.25">
      <c r="G148" s="228" t="str">
        <f t="shared" si="2"/>
        <v/>
      </c>
    </row>
    <row r="149" spans="7:7" x14ac:dyDescent="0.25">
      <c r="G149" s="228" t="str">
        <f t="shared" si="2"/>
        <v/>
      </c>
    </row>
    <row r="150" spans="7:7" x14ac:dyDescent="0.25">
      <c r="G150" s="228" t="str">
        <f t="shared" si="2"/>
        <v/>
      </c>
    </row>
    <row r="151" spans="7:7" x14ac:dyDescent="0.25">
      <c r="G151" s="228" t="str">
        <f t="shared" si="2"/>
        <v/>
      </c>
    </row>
    <row r="152" spans="7:7" x14ac:dyDescent="0.25">
      <c r="G152" s="228" t="str">
        <f t="shared" si="2"/>
        <v/>
      </c>
    </row>
    <row r="153" spans="7:7" x14ac:dyDescent="0.25">
      <c r="G153" s="228" t="str">
        <f t="shared" si="2"/>
        <v/>
      </c>
    </row>
    <row r="154" spans="7:7" x14ac:dyDescent="0.25">
      <c r="G154" s="228" t="str">
        <f t="shared" si="2"/>
        <v/>
      </c>
    </row>
    <row r="155" spans="7:7" x14ac:dyDescent="0.25">
      <c r="G155" s="228" t="str">
        <f t="shared" si="2"/>
        <v/>
      </c>
    </row>
    <row r="156" spans="7:7" x14ac:dyDescent="0.25">
      <c r="G156" s="228" t="str">
        <f t="shared" si="2"/>
        <v/>
      </c>
    </row>
    <row r="157" spans="7:7" x14ac:dyDescent="0.25">
      <c r="G157" s="228" t="str">
        <f t="shared" si="2"/>
        <v/>
      </c>
    </row>
    <row r="158" spans="7:7" x14ac:dyDescent="0.25">
      <c r="G158" s="228" t="str">
        <f t="shared" si="2"/>
        <v/>
      </c>
    </row>
    <row r="159" spans="7:7" x14ac:dyDescent="0.25">
      <c r="G159" s="228" t="str">
        <f t="shared" si="2"/>
        <v/>
      </c>
    </row>
    <row r="160" spans="7:7" x14ac:dyDescent="0.25">
      <c r="G160" s="228" t="str">
        <f t="shared" si="2"/>
        <v/>
      </c>
    </row>
    <row r="161" spans="7:7" x14ac:dyDescent="0.25">
      <c r="G161" s="228" t="str">
        <f t="shared" si="2"/>
        <v/>
      </c>
    </row>
    <row r="162" spans="7:7" x14ac:dyDescent="0.25">
      <c r="G162" s="228" t="str">
        <f t="shared" si="2"/>
        <v/>
      </c>
    </row>
    <row r="163" spans="7:7" x14ac:dyDescent="0.25">
      <c r="G163" s="228" t="str">
        <f t="shared" si="2"/>
        <v/>
      </c>
    </row>
    <row r="164" spans="7:7" x14ac:dyDescent="0.25">
      <c r="G164" s="228" t="str">
        <f t="shared" si="2"/>
        <v/>
      </c>
    </row>
    <row r="165" spans="7:7" x14ac:dyDescent="0.25">
      <c r="G165" s="228" t="str">
        <f t="shared" si="2"/>
        <v/>
      </c>
    </row>
    <row r="166" spans="7:7" x14ac:dyDescent="0.25">
      <c r="G166" s="228" t="str">
        <f t="shared" si="2"/>
        <v/>
      </c>
    </row>
    <row r="167" spans="7:7" x14ac:dyDescent="0.25">
      <c r="G167" s="228" t="str">
        <f t="shared" si="2"/>
        <v/>
      </c>
    </row>
    <row r="168" spans="7:7" x14ac:dyDescent="0.25">
      <c r="G168" s="228" t="str">
        <f t="shared" si="2"/>
        <v/>
      </c>
    </row>
    <row r="169" spans="7:7" x14ac:dyDescent="0.25">
      <c r="G169" s="228" t="str">
        <f t="shared" si="2"/>
        <v/>
      </c>
    </row>
    <row r="170" spans="7:7" x14ac:dyDescent="0.25">
      <c r="G170" s="228" t="str">
        <f t="shared" ref="G170:G175" si="3">IF(OR(TRIM(D170)&lt;&gt;"",TRIM(F170)&lt;&gt;""),IF(AND(TRIM(D170)&lt;&gt;"",TRIM(F170)&lt;&gt;""),IF(OR(TRIM(C170)&lt;&gt;TRIM(D170),TRIM(C170)&lt;&gt;TRIM(F170)),"_",""),IF(TRIM(C170)&lt;&gt;TRIM(D170), "_", "")),"")</f>
        <v/>
      </c>
    </row>
    <row r="171" spans="7:7" x14ac:dyDescent="0.25">
      <c r="G171" s="228" t="str">
        <f t="shared" si="3"/>
        <v/>
      </c>
    </row>
    <row r="172" spans="7:7" x14ac:dyDescent="0.25">
      <c r="G172" s="228" t="str">
        <f t="shared" si="3"/>
        <v/>
      </c>
    </row>
    <row r="173" spans="7:7" x14ac:dyDescent="0.25">
      <c r="G173" s="228" t="str">
        <f t="shared" si="3"/>
        <v/>
      </c>
    </row>
    <row r="174" spans="7:7" x14ac:dyDescent="0.25">
      <c r="G174" s="228" t="str">
        <f t="shared" si="3"/>
        <v/>
      </c>
    </row>
    <row r="175" spans="7:7" x14ac:dyDescent="0.25">
      <c r="G175" s="228" t="str">
        <f t="shared" si="3"/>
        <v/>
      </c>
    </row>
  </sheetData>
  <mergeCells count="6">
    <mergeCell ref="M81:P105"/>
    <mergeCell ref="B36:D36"/>
    <mergeCell ref="B39:D39"/>
    <mergeCell ref="B37:F37"/>
    <mergeCell ref="M52:P80"/>
    <mergeCell ref="B40:D40"/>
  </mergeCells>
  <conditionalFormatting sqref="G1:G11 G13:G26 G35:G1048576">
    <cfRule type="cellIs" dxfId="214" priority="10" operator="equal">
      <formula>"_"</formula>
    </cfRule>
  </conditionalFormatting>
  <conditionalFormatting sqref="G27:G34">
    <cfRule type="cellIs" dxfId="213" priority="6" operator="equal">
      <formula>"_"</formula>
    </cfRule>
  </conditionalFormatting>
  <conditionalFormatting sqref="G12">
    <cfRule type="cellIs" dxfId="212"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2nd Excess Liability</oddHeader>
    <oddFooter>&amp;L&amp;G&amp;CPage &amp;P of &amp;N</oddFooter>
  </headerFooter>
  <rowBreaks count="2" manualBreakCount="2">
    <brk id="35" min="1" max="3" man="1"/>
    <brk id="104" min="1" max="3" man="1"/>
  </row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pageSetUpPr fitToPage="1"/>
  </sheetPr>
  <dimension ref="B1:M136"/>
  <sheetViews>
    <sheetView showGridLines="0" view="pageBreakPreview" topLeftCell="B34" zoomScale="130" zoomScaleNormal="100" zoomScaleSheetLayoutView="130" workbookViewId="0">
      <selection activeCell="B42" sqref="B42:F42"/>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5.42578125" style="16" customWidth="1"/>
    <col min="13" max="13" width="21" style="16" customWidth="1"/>
    <col min="14" max="53" width="9.140625" style="16" customWidth="1"/>
    <col min="54" max="16384" width="9.140625" style="16"/>
  </cols>
  <sheetData>
    <row r="1" spans="2:13" ht="7.5" customHeight="1" x14ac:dyDescent="0.25">
      <c r="E1" s="450"/>
    </row>
    <row r="2" spans="2:13" ht="15.75" x14ac:dyDescent="0.25">
      <c r="B2" s="453" t="str">
        <f>Input!B43</f>
        <v>T5CS 3rd Excess Liability</v>
      </c>
      <c r="E2" s="450"/>
      <c r="H2" s="454"/>
      <c r="I2" s="455"/>
      <c r="J2" s="455"/>
      <c r="L2" s="456" t="s">
        <v>391</v>
      </c>
      <c r="M2" s="381" t="s">
        <v>361</v>
      </c>
    </row>
    <row r="3" spans="2:13" x14ac:dyDescent="0.25">
      <c r="D3" s="455" t="str">
        <f xml:space="preserve"> IF(Input!D47=Input!G47,CHAR(254), "")</f>
        <v/>
      </c>
      <c r="E3" s="457"/>
      <c r="F3" s="458" t="str">
        <f xml:space="preserve"> IF(Input!E47=Input!G47,CHAR(254),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0.5" customHeight="1" x14ac:dyDescent="0.25">
      <c r="B5" s="409" t="s">
        <v>60</v>
      </c>
      <c r="C5" s="412" t="str">
        <f>Input!B48</f>
        <v>Travelers Property Casualty Company of America</v>
      </c>
      <c r="D5" s="390" t="str">
        <f>Input!D48</f>
        <v>Travelers Property Casualty Company of America</v>
      </c>
      <c r="F5" s="413">
        <f>Input!E48</f>
        <v>0</v>
      </c>
      <c r="J5" s="231"/>
      <c r="K5" s="231"/>
    </row>
    <row r="6" spans="2:13" x14ac:dyDescent="0.25">
      <c r="B6" s="409" t="s">
        <v>69</v>
      </c>
      <c r="C6" s="412" t="str">
        <f>Input!B50</f>
        <v>A++: XV</v>
      </c>
      <c r="D6" s="390" t="str">
        <f>Input!D50</f>
        <v>A++: XV</v>
      </c>
      <c r="F6" s="413">
        <f>Input!E50</f>
        <v>0</v>
      </c>
      <c r="J6" s="231"/>
      <c r="K6" s="231"/>
    </row>
    <row r="7" spans="2:13" ht="15" customHeight="1" x14ac:dyDescent="0.25">
      <c r="B7" s="409" t="str">
        <f>Input!B46</f>
        <v>Renewal Policy Number</v>
      </c>
      <c r="C7" s="412" t="str">
        <f>Input!C45</f>
        <v>EX-4S236512-22-NF</v>
      </c>
      <c r="D7" s="390" t="str">
        <f>Input!C46</f>
        <v>TBD</v>
      </c>
      <c r="F7" s="413" t="str">
        <f>Input!C46</f>
        <v>TBD</v>
      </c>
      <c r="J7" s="231"/>
      <c r="K7" s="231"/>
    </row>
    <row r="8" spans="2:13" ht="27"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09" t="str">
        <f>Input!B73</f>
        <v>Each Occurrence Limit</v>
      </c>
      <c r="C9" s="398">
        <f>Input!C73</f>
        <v>10000000</v>
      </c>
      <c r="D9" s="425">
        <f>Input!E73</f>
        <v>10000000</v>
      </c>
      <c r="E9" s="414"/>
      <c r="F9" s="427">
        <f>Input!G73</f>
        <v>0</v>
      </c>
      <c r="J9" s="231"/>
      <c r="K9" s="231"/>
    </row>
    <row r="10" spans="2:13" hidden="1" x14ac:dyDescent="0.25">
      <c r="B10" s="400" t="str">
        <f>Input!B73 &amp; " " &amp; Input!$D$72</f>
        <v>Each Occurrence Limit Self-Insured Retention</v>
      </c>
      <c r="C10" s="398">
        <f>Input!D73</f>
        <v>0</v>
      </c>
      <c r="D10" s="425">
        <f>Input!F73</f>
        <v>0</v>
      </c>
      <c r="E10" s="414"/>
      <c r="F10" s="427">
        <f>Input!H73</f>
        <v>0</v>
      </c>
      <c r="J10" s="231"/>
      <c r="K10" s="231"/>
    </row>
    <row r="11" spans="2:13" x14ac:dyDescent="0.25">
      <c r="B11" s="400" t="str">
        <f>Input!B74</f>
        <v>Aggregate Limit</v>
      </c>
      <c r="C11" s="398">
        <f>Input!C74</f>
        <v>10000000</v>
      </c>
      <c r="D11" s="425">
        <f>Input!E74</f>
        <v>10000000</v>
      </c>
      <c r="E11" s="414"/>
      <c r="F11" s="427">
        <f>Input!G74</f>
        <v>0</v>
      </c>
      <c r="J11" s="231"/>
      <c r="K11" s="231"/>
    </row>
    <row r="12" spans="2:13" x14ac:dyDescent="0.25">
      <c r="B12" s="400" t="str">
        <f>Input!B74 &amp; " " &amp; Input!$D$72</f>
        <v>Aggregate Limit Self-Insured Retention</v>
      </c>
      <c r="C12" s="398">
        <f>Input!D74</f>
        <v>0</v>
      </c>
      <c r="D12" s="465">
        <f>Input!F74</f>
        <v>0</v>
      </c>
      <c r="E12" s="414"/>
      <c r="F12" s="427">
        <f>Input!H74</f>
        <v>0</v>
      </c>
      <c r="J12" s="231"/>
      <c r="K12" s="231"/>
    </row>
    <row r="13" spans="2:13" hidden="1" x14ac:dyDescent="0.25">
      <c r="B13" s="400">
        <f>Input!B75</f>
        <v>0</v>
      </c>
      <c r="C13" s="398">
        <f>Input!C75</f>
        <v>0</v>
      </c>
      <c r="D13" s="425">
        <f>Input!E75</f>
        <v>0</v>
      </c>
      <c r="E13" s="414"/>
      <c r="F13" s="427">
        <f>Input!G75</f>
        <v>0</v>
      </c>
      <c r="J13" s="231"/>
      <c r="K13" s="231"/>
    </row>
    <row r="14" spans="2:13" hidden="1" x14ac:dyDescent="0.25">
      <c r="B14" s="400" t="str">
        <f>Input!B75 &amp; " " &amp; Input!$D$72</f>
        <v xml:space="preserve"> Self-Insured Retention</v>
      </c>
      <c r="C14" s="398">
        <f>Input!D75</f>
        <v>0</v>
      </c>
      <c r="D14" s="425">
        <f>Input!F75</f>
        <v>0</v>
      </c>
      <c r="E14" s="414"/>
      <c r="F14" s="427">
        <f>Input!H75</f>
        <v>0</v>
      </c>
      <c r="J14" s="231"/>
      <c r="K14" s="231"/>
    </row>
    <row r="15" spans="2:13" ht="30" hidden="1" customHeight="1" x14ac:dyDescent="0.25">
      <c r="B15" s="400" t="str">
        <f>Input!B76</f>
        <v>Exposure Base - Underlying Premium</v>
      </c>
      <c r="C15" s="398">
        <f>Input!C76</f>
        <v>0</v>
      </c>
      <c r="D15" s="425">
        <f>Input!E76</f>
        <v>0</v>
      </c>
      <c r="E15" s="414"/>
      <c r="F15" s="427">
        <f>Input!G76</f>
        <v>0</v>
      </c>
      <c r="J15" s="231"/>
      <c r="K15" s="231"/>
    </row>
    <row r="16" spans="2:13" hidden="1" x14ac:dyDescent="0.25">
      <c r="B16" s="479" t="e">
        <f>Input!#REF!</f>
        <v>#REF!</v>
      </c>
      <c r="C16" s="559"/>
      <c r="D16" s="559"/>
      <c r="E16" s="414"/>
      <c r="F16" s="466"/>
      <c r="J16" s="566"/>
      <c r="K16" s="566"/>
    </row>
    <row r="17" spans="2:11" hidden="1" x14ac:dyDescent="0.25">
      <c r="B17" s="409">
        <f>Input!B79</f>
        <v>0</v>
      </c>
      <c r="C17" s="398">
        <f>Input!C79</f>
        <v>0</v>
      </c>
      <c r="D17" s="425">
        <f>Input!E79</f>
        <v>-1.5673981191222569E-2</v>
      </c>
      <c r="E17" s="414"/>
      <c r="F17" s="427">
        <f>Input!G79</f>
        <v>10000000</v>
      </c>
      <c r="J17" s="231"/>
      <c r="K17" s="231"/>
    </row>
    <row r="18" spans="2:11" hidden="1" x14ac:dyDescent="0.25">
      <c r="B18" s="409">
        <f>Input!B80</f>
        <v>0</v>
      </c>
      <c r="C18" s="398">
        <f>Input!C80</f>
        <v>0</v>
      </c>
      <c r="D18" s="425">
        <f>Input!E80</f>
        <v>0</v>
      </c>
      <c r="F18" s="427">
        <f>Input!G80</f>
        <v>10000000</v>
      </c>
      <c r="J18" s="231"/>
      <c r="K18" s="231"/>
    </row>
    <row r="19" spans="2:11" hidden="1" x14ac:dyDescent="0.25">
      <c r="B19" s="409">
        <f>Input!B81</f>
        <v>0</v>
      </c>
      <c r="C19" s="398">
        <f>Input!C81</f>
        <v>0</v>
      </c>
      <c r="D19" s="425">
        <f>Input!E81</f>
        <v>0</v>
      </c>
      <c r="E19" s="238"/>
      <c r="F19" s="427">
        <f>Input!G81</f>
        <v>0</v>
      </c>
      <c r="J19" s="231"/>
      <c r="K19" s="231"/>
    </row>
    <row r="20" spans="2:11" hidden="1" x14ac:dyDescent="0.25">
      <c r="B20" s="409" t="str">
        <f>Input!B86</f>
        <v>Coverage</v>
      </c>
      <c r="C20" s="398" t="str">
        <f>Input!C86</f>
        <v>Policy Number</v>
      </c>
      <c r="D20" s="425" t="str">
        <f>Input!E86</f>
        <v>Aggregate</v>
      </c>
      <c r="E20" s="432"/>
      <c r="F20" s="427" t="str">
        <f>Input!G86</f>
        <v>Insurer</v>
      </c>
      <c r="J20" s="231"/>
      <c r="K20" s="231"/>
    </row>
    <row r="21" spans="2:11" ht="51" hidden="1" x14ac:dyDescent="0.25">
      <c r="B21" s="409" t="str">
        <f>Input!B87</f>
        <v>T5CS 2nd Excess Umbrella</v>
      </c>
      <c r="C21" s="398" t="str">
        <f>Input!C87</f>
        <v>AEC 0465241-02</v>
      </c>
      <c r="D21" s="425">
        <f>Input!E87</f>
        <v>15000000</v>
      </c>
      <c r="E21" s="433"/>
      <c r="F21" s="427" t="str">
        <f>Input!G87</f>
        <v>American Guarantee And Liability Insurance Company (Zurich)</v>
      </c>
      <c r="J21" s="231"/>
      <c r="K21" s="231"/>
    </row>
    <row r="22" spans="2:11" hidden="1" x14ac:dyDescent="0.25">
      <c r="B22" s="409">
        <f>Input!B88</f>
        <v>0</v>
      </c>
      <c r="C22" s="398">
        <f>Input!C88</f>
        <v>0</v>
      </c>
      <c r="D22" s="425">
        <f>Input!E88</f>
        <v>0</v>
      </c>
      <c r="E22" s="434"/>
      <c r="F22" s="427">
        <f>Input!G88</f>
        <v>0</v>
      </c>
      <c r="J22" s="231"/>
      <c r="K22" s="231"/>
    </row>
    <row r="23" spans="2:11" hidden="1" x14ac:dyDescent="0.25">
      <c r="B23" s="409" t="str">
        <f>Input!B89</f>
        <v>Renewal</v>
      </c>
      <c r="C23" s="398">
        <f>Input!C89</f>
        <v>0</v>
      </c>
      <c r="D23" s="425">
        <f>Input!E89</f>
        <v>0</v>
      </c>
      <c r="F23" s="427">
        <f>Input!G89</f>
        <v>0</v>
      </c>
      <c r="J23" s="231"/>
      <c r="K23" s="231"/>
    </row>
    <row r="24" spans="2:11" hidden="1" x14ac:dyDescent="0.25">
      <c r="B24" s="409">
        <f>Input!B90</f>
        <v>0</v>
      </c>
      <c r="C24" s="398">
        <f>Input!C90</f>
        <v>0</v>
      </c>
      <c r="D24" s="425">
        <f>Input!E90</f>
        <v>0</v>
      </c>
      <c r="F24" s="427">
        <f>Input!G90</f>
        <v>0</v>
      </c>
      <c r="J24" s="231"/>
      <c r="K24" s="231"/>
    </row>
    <row r="25" spans="2:11" hidden="1" x14ac:dyDescent="0.25">
      <c r="B25" s="409" t="str">
        <f>Input!B91</f>
        <v>Coverage</v>
      </c>
      <c r="C25" s="398" t="str">
        <f>Input!D91</f>
        <v>Each Occurrence</v>
      </c>
      <c r="D25" s="425" t="str">
        <f>Input!F91</f>
        <v>Deductible</v>
      </c>
      <c r="E25" s="426"/>
      <c r="F25" s="427" t="str">
        <f>Input!H91</f>
        <v>Policy Period</v>
      </c>
      <c r="J25" s="231"/>
      <c r="K25" s="231"/>
    </row>
    <row r="26" spans="2:11" ht="25.5" hidden="1" x14ac:dyDescent="0.25">
      <c r="B26" s="409" t="str">
        <f>Input!B92</f>
        <v>T5CS 2nd Excess Umbrella</v>
      </c>
      <c r="C26" s="398">
        <f>Input!D92</f>
        <v>15000000</v>
      </c>
      <c r="D26" s="425">
        <f>Input!F92</f>
        <v>0</v>
      </c>
      <c r="F26" s="427" t="str">
        <f>Input!H92</f>
        <v>7/1/2023 - 7/1/2024</v>
      </c>
      <c r="J26" s="231"/>
      <c r="K26" s="231"/>
    </row>
    <row r="27" spans="2:11" x14ac:dyDescent="0.25">
      <c r="B27" s="479" t="s">
        <v>367</v>
      </c>
      <c r="C27" s="479"/>
      <c r="D27" s="479"/>
      <c r="F27" s="562"/>
      <c r="G27" s="211"/>
      <c r="H27" s="211"/>
      <c r="I27" s="211"/>
      <c r="J27" s="566"/>
      <c r="K27" s="566"/>
    </row>
    <row r="28" spans="2:11" x14ac:dyDescent="0.25">
      <c r="B28" s="402" t="s">
        <v>343</v>
      </c>
      <c r="C28" s="428">
        <f>Input!B52</f>
        <v>20200</v>
      </c>
      <c r="D28" s="425">
        <f>Input!D52</f>
        <v>20200</v>
      </c>
      <c r="F28" s="427">
        <f>Input!E52</f>
        <v>0</v>
      </c>
      <c r="J28" s="231"/>
      <c r="K28" s="231"/>
    </row>
    <row r="29" spans="2:11" x14ac:dyDescent="0.25">
      <c r="B29" s="402" t="s">
        <v>374</v>
      </c>
      <c r="C29" s="428">
        <f>C30-C28</f>
        <v>0</v>
      </c>
      <c r="D29" s="425">
        <f>D30-D28</f>
        <v>0</v>
      </c>
      <c r="F29" s="427">
        <f>F30-F28</f>
        <v>0</v>
      </c>
      <c r="J29" s="231"/>
      <c r="K29" s="231"/>
    </row>
    <row r="30" spans="2:11" x14ac:dyDescent="0.25">
      <c r="B30" s="409" t="s">
        <v>368</v>
      </c>
      <c r="C30" s="428">
        <f>Input!B62</f>
        <v>20200</v>
      </c>
      <c r="D30" s="425">
        <f>Input!D62</f>
        <v>20200</v>
      </c>
      <c r="F30" s="427">
        <f>Input!E62</f>
        <v>0</v>
      </c>
      <c r="J30" s="231"/>
      <c r="K30" s="231"/>
    </row>
    <row r="31" spans="2:11" x14ac:dyDescent="0.25">
      <c r="B31" s="310"/>
      <c r="C31" s="414"/>
      <c r="D31" s="414"/>
      <c r="F31" s="461"/>
      <c r="J31" s="381"/>
    </row>
    <row r="32" spans="2:11" x14ac:dyDescent="0.25">
      <c r="B32" s="734" t="s">
        <v>1818</v>
      </c>
      <c r="C32" s="559"/>
      <c r="D32" s="559"/>
      <c r="F32" s="461"/>
      <c r="J32" s="381"/>
    </row>
    <row r="33" spans="2:11" x14ac:dyDescent="0.25">
      <c r="B33" s="464" t="s">
        <v>1</v>
      </c>
      <c r="C33" s="424" t="str">
        <f>'T5CS 2nd Excess Liab'!C7</f>
        <v>AEC 0465241-02</v>
      </c>
      <c r="D33" s="424" t="str">
        <f>'T5CS 2nd Excess Liab'!D7</f>
        <v>TBD</v>
      </c>
      <c r="F33" s="461"/>
      <c r="J33" s="381"/>
    </row>
    <row r="34" spans="2:11" x14ac:dyDescent="0.25">
      <c r="B34" s="815" t="s">
        <v>310</v>
      </c>
      <c r="C34" s="760"/>
      <c r="D34" s="760"/>
      <c r="F34" s="461"/>
      <c r="J34" s="381"/>
    </row>
    <row r="35" spans="2:11" x14ac:dyDescent="0.25">
      <c r="B35" s="982" t="s">
        <v>129</v>
      </c>
      <c r="C35" s="425">
        <f>'T5CS 2nd Excess Liab'!C9</f>
        <v>15000000</v>
      </c>
      <c r="D35" s="425">
        <f>'T5CS 2nd Excess Liab'!D9</f>
        <v>15000000</v>
      </c>
      <c r="F35" s="461"/>
      <c r="J35" s="381"/>
    </row>
    <row r="36" spans="2:11" x14ac:dyDescent="0.25">
      <c r="B36" s="478" t="s">
        <v>12</v>
      </c>
      <c r="C36" s="425">
        <f>'T5CS 2nd Excess Liab'!C10</f>
        <v>15000000</v>
      </c>
      <c r="D36" s="425">
        <f>'T5CS 2nd Excess Liab'!D10</f>
        <v>15000000</v>
      </c>
      <c r="F36" s="461"/>
      <c r="J36" s="381"/>
    </row>
    <row r="37" spans="2:11" x14ac:dyDescent="0.25">
      <c r="B37" s="491" t="s">
        <v>750</v>
      </c>
      <c r="C37" s="425">
        <f>'T5CS 2nd Excess Liab'!C11</f>
        <v>0</v>
      </c>
      <c r="D37" s="425">
        <f>'T5CS 2nd Excess Liab'!D11</f>
        <v>0</v>
      </c>
      <c r="F37" s="461"/>
      <c r="J37" s="381"/>
    </row>
    <row r="38" spans="2:11" ht="60" customHeight="1" x14ac:dyDescent="0.25">
      <c r="B38" s="491" t="s">
        <v>60</v>
      </c>
      <c r="C38" s="390" t="str">
        <f>'T5CS 2nd Excess Liab'!C5</f>
        <v>American Guarantee And Liability Insurance Company (Zurich)</v>
      </c>
      <c r="D38" s="390" t="str">
        <f>'T5CS 2nd Excess Liab'!D5</f>
        <v>American Guarantee And Liability Insurance Company (Zurich)</v>
      </c>
      <c r="F38" s="461"/>
      <c r="J38" s="381"/>
    </row>
    <row r="39" spans="2:11" ht="26.25" customHeight="1" x14ac:dyDescent="0.25">
      <c r="B39" s="491" t="s">
        <v>328</v>
      </c>
      <c r="C39" s="612" t="str">
        <f>'T5CS 2nd Excess Liab'!C8</f>
        <v>7/1/2022 - 7/1/2023</v>
      </c>
      <c r="D39" s="612" t="str">
        <f>'T5CS 2nd Excess Liab'!D8</f>
        <v>7/1/2023 - 7/1/2024</v>
      </c>
      <c r="F39" s="461"/>
      <c r="J39" s="381"/>
    </row>
    <row r="40" spans="2:11" ht="7.5" customHeight="1" x14ac:dyDescent="0.25">
      <c r="B40" s="310"/>
      <c r="C40" s="228"/>
      <c r="D40" s="228"/>
      <c r="F40" s="275"/>
      <c r="J40" s="381"/>
    </row>
    <row r="41" spans="2:11" x14ac:dyDescent="0.25">
      <c r="B41" s="1274" t="s">
        <v>144</v>
      </c>
      <c r="C41" s="1274"/>
      <c r="D41" s="1274"/>
      <c r="F41" s="274"/>
      <c r="J41" s="381"/>
    </row>
    <row r="42" spans="2:11" x14ac:dyDescent="0.25">
      <c r="B42" s="1275" t="s">
        <v>2069</v>
      </c>
      <c r="C42" s="1276"/>
      <c r="D42" s="1276"/>
      <c r="E42" s="1276"/>
      <c r="F42" s="1277"/>
      <c r="J42" s="381"/>
    </row>
    <row r="43" spans="2:11" ht="7.5" customHeight="1" x14ac:dyDescent="0.25">
      <c r="B43" s="380"/>
      <c r="C43" s="238"/>
      <c r="D43" s="238"/>
      <c r="F43" s="275"/>
      <c r="J43" s="381"/>
    </row>
    <row r="44" spans="2:11" x14ac:dyDescent="0.25">
      <c r="B44" s="1274" t="s">
        <v>145</v>
      </c>
      <c r="C44" s="1274"/>
      <c r="D44" s="1274"/>
      <c r="F44" s="275"/>
      <c r="J44" s="381"/>
    </row>
    <row r="45" spans="2:11" x14ac:dyDescent="0.25">
      <c r="B45" s="1275" t="s">
        <v>2071</v>
      </c>
      <c r="C45" s="1276"/>
      <c r="D45" s="1276"/>
      <c r="E45" s="1276"/>
      <c r="F45" s="1277"/>
      <c r="J45" s="381"/>
    </row>
    <row r="46" spans="2:11" ht="7.5" customHeight="1" x14ac:dyDescent="0.25">
      <c r="B46" s="310"/>
      <c r="C46" s="228"/>
      <c r="D46" s="228"/>
      <c r="F46" s="275"/>
      <c r="J46" s="381"/>
    </row>
    <row r="47" spans="2:11" x14ac:dyDescent="0.25">
      <c r="B47" s="523" t="s">
        <v>72</v>
      </c>
      <c r="C47" s="524" t="s">
        <v>62</v>
      </c>
      <c r="D47" s="525" t="s">
        <v>63</v>
      </c>
      <c r="F47" s="526" t="s">
        <v>146</v>
      </c>
      <c r="J47" s="527" t="s">
        <v>1002</v>
      </c>
      <c r="K47" s="527" t="s">
        <v>363</v>
      </c>
    </row>
    <row r="48" spans="2:11" x14ac:dyDescent="0.25">
      <c r="B48" s="400" t="s">
        <v>73</v>
      </c>
      <c r="C48" s="578" t="s">
        <v>1033</v>
      </c>
      <c r="D48" s="578" t="s">
        <v>1033</v>
      </c>
      <c r="F48" s="579"/>
      <c r="G48" s="16" t="str">
        <f t="shared" ref="G48:G111" si="0">IF(OR(TRIM(D48)&lt;&gt;"",TRIM(F48)&lt;&gt;""),IF(AND(TRIM(D48)&lt;&gt;"",TRIM(F48)&lt;&gt;""),IF(OR(TRIM(C48)&lt;&gt;TRIM(D48),TRIM(C48)&lt;&gt;TRIM(F48)),"_",""),IF(TRIM(C48)&lt;&gt;TRIM(D48), "_", "")),"")</f>
        <v/>
      </c>
      <c r="H48" s="16"/>
      <c r="I48" s="16"/>
      <c r="J48" s="231"/>
      <c r="K48" s="231"/>
    </row>
    <row r="49" spans="2:11" x14ac:dyDescent="0.25">
      <c r="B49" s="400" t="s">
        <v>74</v>
      </c>
      <c r="C49" s="712" t="s">
        <v>1783</v>
      </c>
      <c r="D49" s="712" t="s">
        <v>1783</v>
      </c>
      <c r="F49" s="413"/>
      <c r="G49" s="16" t="str">
        <f t="shared" si="0"/>
        <v/>
      </c>
      <c r="H49" s="16"/>
      <c r="I49" s="16"/>
      <c r="J49" s="231"/>
      <c r="K49" s="231"/>
    </row>
    <row r="50" spans="2:11" x14ac:dyDescent="0.25">
      <c r="B50" s="368" t="s">
        <v>151</v>
      </c>
      <c r="C50" s="746" t="s">
        <v>1035</v>
      </c>
      <c r="D50" s="746" t="s">
        <v>1035</v>
      </c>
      <c r="F50" s="436"/>
      <c r="G50" s="16" t="str">
        <f t="shared" si="0"/>
        <v/>
      </c>
      <c r="H50" s="211"/>
      <c r="I50" s="211"/>
      <c r="J50" s="232"/>
      <c r="K50" s="232"/>
    </row>
    <row r="51" spans="2:11" hidden="1" x14ac:dyDescent="0.25">
      <c r="B51" s="441" t="s">
        <v>694</v>
      </c>
      <c r="C51" s="439"/>
      <c r="D51" s="439"/>
      <c r="F51" s="440"/>
      <c r="G51" s="16" t="str">
        <f t="shared" si="0"/>
        <v/>
      </c>
      <c r="H51" s="211"/>
      <c r="I51" s="211"/>
      <c r="J51" s="447"/>
      <c r="K51" s="447"/>
    </row>
    <row r="52" spans="2:11" hidden="1" x14ac:dyDescent="0.25">
      <c r="B52" s="441" t="s">
        <v>695</v>
      </c>
      <c r="C52" s="439"/>
      <c r="D52" s="439"/>
      <c r="F52" s="440"/>
      <c r="G52" s="16" t="str">
        <f t="shared" si="0"/>
        <v/>
      </c>
      <c r="H52" s="211"/>
      <c r="I52" s="211"/>
      <c r="J52" s="447"/>
      <c r="K52" s="447"/>
    </row>
    <row r="53" spans="2:11" hidden="1" x14ac:dyDescent="0.25">
      <c r="B53" s="442" t="s">
        <v>16</v>
      </c>
      <c r="C53" s="424"/>
      <c r="D53" s="424"/>
      <c r="F53" s="443"/>
      <c r="G53" s="16" t="str">
        <f t="shared" si="0"/>
        <v/>
      </c>
      <c r="H53" s="211"/>
      <c r="I53" s="211"/>
      <c r="J53" s="445"/>
      <c r="K53" s="445"/>
    </row>
    <row r="54" spans="2:11" hidden="1" x14ac:dyDescent="0.25">
      <c r="B54" s="368" t="s">
        <v>75</v>
      </c>
      <c r="C54" s="391"/>
      <c r="D54" s="391"/>
      <c r="F54" s="436"/>
      <c r="G54" s="16" t="str">
        <f t="shared" si="0"/>
        <v/>
      </c>
      <c r="H54" s="16"/>
      <c r="I54" s="16"/>
      <c r="J54" s="232"/>
      <c r="K54" s="232"/>
    </row>
    <row r="55" spans="2:11" hidden="1" x14ac:dyDescent="0.25">
      <c r="B55" s="441" t="s">
        <v>694</v>
      </c>
      <c r="C55" s="439"/>
      <c r="D55" s="439"/>
      <c r="F55" s="440"/>
      <c r="G55" s="16" t="str">
        <f t="shared" si="0"/>
        <v/>
      </c>
      <c r="H55" s="211"/>
      <c r="I55" s="211"/>
      <c r="J55" s="447"/>
      <c r="K55" s="447"/>
    </row>
    <row r="56" spans="2:11" hidden="1" x14ac:dyDescent="0.25">
      <c r="B56" s="441" t="s">
        <v>695</v>
      </c>
      <c r="C56" s="439"/>
      <c r="D56" s="439"/>
      <c r="F56" s="440"/>
      <c r="G56" s="16" t="str">
        <f t="shared" si="0"/>
        <v/>
      </c>
      <c r="H56" s="211"/>
      <c r="I56" s="211"/>
      <c r="J56" s="447"/>
      <c r="K56" s="447"/>
    </row>
    <row r="57" spans="2:11" hidden="1" x14ac:dyDescent="0.25">
      <c r="B57" s="442" t="s">
        <v>16</v>
      </c>
      <c r="C57" s="424"/>
      <c r="D57" s="424"/>
      <c r="F57" s="443"/>
      <c r="G57" s="16" t="str">
        <f t="shared" si="0"/>
        <v/>
      </c>
      <c r="H57" s="211"/>
      <c r="I57" s="211"/>
      <c r="J57" s="445"/>
      <c r="K57" s="445"/>
    </row>
    <row r="58" spans="2:11" x14ac:dyDescent="0.25">
      <c r="B58" s="400" t="s">
        <v>76</v>
      </c>
      <c r="C58" s="712" t="s">
        <v>284</v>
      </c>
      <c r="D58" s="712" t="s">
        <v>284</v>
      </c>
      <c r="F58" s="413"/>
      <c r="G58" s="16" t="str">
        <f t="shared" si="0"/>
        <v/>
      </c>
      <c r="H58" s="16"/>
      <c r="I58" s="16"/>
      <c r="J58" s="231"/>
      <c r="K58" s="231"/>
    </row>
    <row r="59" spans="2:11" x14ac:dyDescent="0.25">
      <c r="B59" s="400" t="s">
        <v>77</v>
      </c>
      <c r="C59" s="712" t="s">
        <v>1036</v>
      </c>
      <c r="D59" s="712" t="s">
        <v>1036</v>
      </c>
      <c r="F59" s="413"/>
      <c r="G59" s="16" t="str">
        <f t="shared" si="0"/>
        <v/>
      </c>
      <c r="H59" s="16"/>
      <c r="I59" s="16"/>
      <c r="J59" s="231"/>
      <c r="K59" s="231"/>
    </row>
    <row r="60" spans="2:11" x14ac:dyDescent="0.25">
      <c r="B60" s="967" t="s">
        <v>390</v>
      </c>
      <c r="C60" s="692" t="s">
        <v>157</v>
      </c>
      <c r="D60" s="692" t="s">
        <v>157</v>
      </c>
      <c r="F60" s="413"/>
      <c r="G60" s="16" t="str">
        <f t="shared" si="0"/>
        <v/>
      </c>
      <c r="H60" s="16"/>
      <c r="I60" s="16"/>
      <c r="J60" s="231"/>
      <c r="K60" s="231"/>
    </row>
    <row r="61" spans="2:11" x14ac:dyDescent="0.25">
      <c r="B61" s="468" t="s">
        <v>1784</v>
      </c>
      <c r="C61" s="692" t="s">
        <v>157</v>
      </c>
      <c r="D61" s="692" t="s">
        <v>157</v>
      </c>
      <c r="F61" s="413"/>
      <c r="G61" s="16" t="str">
        <f t="shared" si="0"/>
        <v/>
      </c>
      <c r="H61" s="211"/>
      <c r="I61" s="211"/>
      <c r="J61" s="231"/>
      <c r="K61" s="231"/>
    </row>
    <row r="62" spans="2:11" hidden="1" x14ac:dyDescent="0.25">
      <c r="B62" s="468" t="s">
        <v>881</v>
      </c>
      <c r="C62" s="467"/>
      <c r="D62" s="390"/>
      <c r="F62" s="413"/>
      <c r="G62" s="16" t="str">
        <f t="shared" si="0"/>
        <v/>
      </c>
      <c r="H62" s="211"/>
      <c r="I62" s="211"/>
      <c r="J62" s="231"/>
      <c r="K62" s="231"/>
    </row>
    <row r="63" spans="2:11" hidden="1" x14ac:dyDescent="0.25">
      <c r="B63" s="672" t="s">
        <v>882</v>
      </c>
      <c r="C63" s="412"/>
      <c r="D63" s="390"/>
      <c r="F63" s="413"/>
      <c r="G63" s="16" t="str">
        <f t="shared" si="0"/>
        <v/>
      </c>
      <c r="H63" s="211"/>
      <c r="I63" s="211"/>
      <c r="J63" s="231"/>
      <c r="K63" s="231"/>
    </row>
    <row r="64" spans="2:11" hidden="1" x14ac:dyDescent="0.25">
      <c r="B64" s="673" t="s">
        <v>883</v>
      </c>
      <c r="C64" s="412"/>
      <c r="D64" s="390"/>
      <c r="F64" s="413"/>
      <c r="G64" s="16" t="str">
        <f t="shared" si="0"/>
        <v/>
      </c>
      <c r="H64" s="211"/>
      <c r="I64" s="211"/>
      <c r="J64" s="231"/>
      <c r="K64" s="231"/>
    </row>
    <row r="65" spans="2:11" hidden="1" x14ac:dyDescent="0.25">
      <c r="B65" s="674" t="s">
        <v>884</v>
      </c>
      <c r="C65" s="412"/>
      <c r="D65" s="390"/>
      <c r="F65" s="413"/>
      <c r="G65" s="16" t="str">
        <f t="shared" si="0"/>
        <v/>
      </c>
      <c r="H65" s="211"/>
      <c r="I65" s="211"/>
      <c r="J65" s="231"/>
      <c r="K65" s="231"/>
    </row>
    <row r="66" spans="2:11" ht="25.5" hidden="1" x14ac:dyDescent="0.25">
      <c r="B66" s="674" t="s">
        <v>885</v>
      </c>
      <c r="C66" s="412"/>
      <c r="D66" s="390"/>
      <c r="F66" s="413"/>
      <c r="G66" s="16" t="str">
        <f t="shared" si="0"/>
        <v/>
      </c>
      <c r="H66" s="211"/>
      <c r="I66" s="211"/>
      <c r="J66" s="231"/>
      <c r="K66" s="231"/>
    </row>
    <row r="67" spans="2:11" ht="25.5" hidden="1" x14ac:dyDescent="0.25">
      <c r="B67" s="674" t="s">
        <v>886</v>
      </c>
      <c r="C67" s="412"/>
      <c r="D67" s="390"/>
      <c r="F67" s="413"/>
      <c r="G67" s="16" t="str">
        <f t="shared" si="0"/>
        <v/>
      </c>
      <c r="H67" s="211"/>
      <c r="I67" s="211"/>
      <c r="J67" s="231"/>
      <c r="K67" s="231"/>
    </row>
    <row r="68" spans="2:11" ht="38.25" hidden="1" x14ac:dyDescent="0.2">
      <c r="B68" s="675" t="s">
        <v>887</v>
      </c>
      <c r="C68" s="412"/>
      <c r="D68" s="390"/>
      <c r="F68" s="413"/>
      <c r="G68" s="16" t="str">
        <f t="shared" si="0"/>
        <v/>
      </c>
      <c r="H68" s="211"/>
      <c r="I68" s="211"/>
      <c r="J68" s="231"/>
      <c r="K68" s="231"/>
    </row>
    <row r="69" spans="2:11" ht="25.5" hidden="1" x14ac:dyDescent="0.25">
      <c r="B69" s="673" t="s">
        <v>888</v>
      </c>
      <c r="C69" s="412"/>
      <c r="D69" s="390"/>
      <c r="F69" s="413"/>
      <c r="G69" s="16" t="str">
        <f t="shared" si="0"/>
        <v/>
      </c>
      <c r="H69" s="211"/>
      <c r="I69" s="211"/>
      <c r="J69" s="231"/>
      <c r="K69" s="231"/>
    </row>
    <row r="70" spans="2:11" hidden="1" x14ac:dyDescent="0.25">
      <c r="B70" s="722" t="s">
        <v>1103</v>
      </c>
      <c r="C70" s="435"/>
      <c r="D70" s="391"/>
      <c r="E70" s="530"/>
      <c r="F70" s="436"/>
      <c r="G70" s="16" t="str">
        <f t="shared" si="0"/>
        <v/>
      </c>
      <c r="H70" s="16"/>
      <c r="I70" s="586"/>
      <c r="J70" s="232"/>
      <c r="K70" s="232"/>
    </row>
    <row r="71" spans="2:11" hidden="1" x14ac:dyDescent="0.25">
      <c r="B71" s="441" t="s">
        <v>712</v>
      </c>
      <c r="C71" s="438"/>
      <c r="D71" s="439"/>
      <c r="E71" s="530"/>
      <c r="F71" s="440"/>
      <c r="G71" s="16" t="str">
        <f t="shared" si="0"/>
        <v/>
      </c>
      <c r="H71" s="16"/>
      <c r="I71" s="586"/>
      <c r="J71" s="447"/>
      <c r="K71" s="447"/>
    </row>
    <row r="72" spans="2:11" hidden="1" x14ac:dyDescent="0.25">
      <c r="B72" s="441" t="s">
        <v>713</v>
      </c>
      <c r="C72" s="438"/>
      <c r="D72" s="439"/>
      <c r="E72" s="530"/>
      <c r="F72" s="440"/>
      <c r="G72" s="16" t="str">
        <f t="shared" si="0"/>
        <v/>
      </c>
      <c r="H72" s="16"/>
      <c r="I72" s="586"/>
      <c r="J72" s="447"/>
      <c r="K72" s="447"/>
    </row>
    <row r="73" spans="2:11" hidden="1" x14ac:dyDescent="0.25">
      <c r="B73" s="368" t="s">
        <v>715</v>
      </c>
      <c r="C73" s="435"/>
      <c r="D73" s="391"/>
      <c r="F73" s="436"/>
      <c r="G73" s="16" t="str">
        <f t="shared" si="0"/>
        <v/>
      </c>
      <c r="H73" s="16"/>
      <c r="I73" s="16"/>
      <c r="J73" s="232"/>
      <c r="K73" s="232"/>
    </row>
    <row r="74" spans="2:11" hidden="1" x14ac:dyDescent="0.25">
      <c r="B74" s="441" t="s">
        <v>712</v>
      </c>
      <c r="C74" s="438"/>
      <c r="D74" s="439"/>
      <c r="F74" s="440"/>
      <c r="G74" s="16" t="str">
        <f t="shared" si="0"/>
        <v/>
      </c>
      <c r="H74" s="16"/>
      <c r="I74" s="16"/>
      <c r="J74" s="447"/>
      <c r="K74" s="447"/>
    </row>
    <row r="75" spans="2:11" hidden="1" x14ac:dyDescent="0.25">
      <c r="B75" s="441" t="s">
        <v>713</v>
      </c>
      <c r="C75" s="438"/>
      <c r="D75" s="439"/>
      <c r="F75" s="440"/>
      <c r="G75" s="16" t="str">
        <f t="shared" si="0"/>
        <v/>
      </c>
      <c r="H75" s="16"/>
      <c r="I75" s="16"/>
      <c r="J75" s="447"/>
      <c r="K75" s="447"/>
    </row>
    <row r="76" spans="2:11" hidden="1" x14ac:dyDescent="0.25">
      <c r="B76" s="442" t="s">
        <v>714</v>
      </c>
      <c r="C76" s="438"/>
      <c r="D76" s="439"/>
      <c r="F76" s="440"/>
      <c r="G76" s="16" t="str">
        <f t="shared" si="0"/>
        <v/>
      </c>
      <c r="H76" s="16"/>
      <c r="I76" s="16"/>
      <c r="J76" s="447"/>
      <c r="K76" s="447"/>
    </row>
    <row r="77" spans="2:11" hidden="1" x14ac:dyDescent="0.25">
      <c r="B77" s="673" t="s">
        <v>889</v>
      </c>
      <c r="C77" s="412"/>
      <c r="D77" s="390"/>
      <c r="F77" s="413"/>
      <c r="G77" s="16" t="str">
        <f t="shared" si="0"/>
        <v/>
      </c>
      <c r="H77" s="211"/>
      <c r="I77" s="211"/>
      <c r="J77" s="231"/>
      <c r="K77" s="231"/>
    </row>
    <row r="78" spans="2:11" hidden="1" x14ac:dyDescent="0.25">
      <c r="B78" s="673" t="s">
        <v>891</v>
      </c>
      <c r="C78" s="412"/>
      <c r="D78" s="390"/>
      <c r="F78" s="413"/>
      <c r="G78" s="16" t="str">
        <f t="shared" si="0"/>
        <v/>
      </c>
      <c r="H78" s="211"/>
      <c r="I78" s="211"/>
      <c r="J78" s="231"/>
      <c r="K78" s="231"/>
    </row>
    <row r="79" spans="2:11" ht="25.5" hidden="1" x14ac:dyDescent="0.25">
      <c r="B79" s="673" t="s">
        <v>890</v>
      </c>
      <c r="C79" s="412"/>
      <c r="D79" s="390"/>
      <c r="F79" s="413"/>
      <c r="G79" s="16" t="str">
        <f t="shared" si="0"/>
        <v/>
      </c>
      <c r="H79" s="211"/>
      <c r="I79" s="211"/>
      <c r="J79" s="231"/>
      <c r="K79" s="231"/>
    </row>
    <row r="80" spans="2:11" ht="25.5" hidden="1" x14ac:dyDescent="0.25">
      <c r="B80" s="673" t="s">
        <v>892</v>
      </c>
      <c r="C80" s="412"/>
      <c r="D80" s="390"/>
      <c r="F80" s="413"/>
      <c r="G80" s="16" t="str">
        <f t="shared" si="0"/>
        <v/>
      </c>
      <c r="H80" s="211"/>
      <c r="I80" s="211"/>
      <c r="J80" s="231"/>
      <c r="K80" s="231"/>
    </row>
    <row r="81" spans="2:11" ht="25.5" hidden="1" x14ac:dyDescent="0.25">
      <c r="B81" s="673" t="s">
        <v>893</v>
      </c>
      <c r="C81" s="412"/>
      <c r="D81" s="390"/>
      <c r="F81" s="413"/>
      <c r="G81" s="16" t="str">
        <f t="shared" si="0"/>
        <v/>
      </c>
      <c r="H81" s="211"/>
      <c r="I81" s="211"/>
      <c r="J81" s="231"/>
      <c r="K81" s="231"/>
    </row>
    <row r="82" spans="2:11" hidden="1" x14ac:dyDescent="0.25">
      <c r="B82" s="673" t="s">
        <v>894</v>
      </c>
      <c r="C82" s="412"/>
      <c r="D82" s="390"/>
      <c r="F82" s="413"/>
      <c r="G82" s="16" t="str">
        <f t="shared" si="0"/>
        <v/>
      </c>
      <c r="H82" s="211"/>
      <c r="I82" s="211"/>
      <c r="J82" s="231"/>
      <c r="K82" s="231"/>
    </row>
    <row r="83" spans="2:11" ht="7.5" customHeight="1" x14ac:dyDescent="0.25">
      <c r="B83" s="310"/>
      <c r="C83" s="228"/>
      <c r="D83" s="228"/>
      <c r="F83" s="275"/>
      <c r="G83" s="16" t="str">
        <f t="shared" si="0"/>
        <v/>
      </c>
      <c r="J83" s="381"/>
    </row>
    <row r="84" spans="2:11" x14ac:dyDescent="0.25">
      <c r="B84" s="523" t="s">
        <v>103</v>
      </c>
      <c r="C84" s="524" t="s">
        <v>62</v>
      </c>
      <c r="D84" s="525" t="s">
        <v>63</v>
      </c>
      <c r="F84" s="526" t="s">
        <v>146</v>
      </c>
      <c r="G84" s="16" t="str">
        <f t="shared" si="0"/>
        <v>_</v>
      </c>
      <c r="J84" s="527" t="s">
        <v>1002</v>
      </c>
      <c r="K84" s="527" t="s">
        <v>363</v>
      </c>
    </row>
    <row r="85" spans="2:11" hidden="1" x14ac:dyDescent="0.25">
      <c r="B85" s="1279" t="s">
        <v>905</v>
      </c>
      <c r="C85" s="1280"/>
      <c r="D85" s="1280"/>
      <c r="F85" s="472"/>
      <c r="G85" s="16" t="str">
        <f t="shared" si="0"/>
        <v/>
      </c>
      <c r="H85" s="211"/>
      <c r="I85" s="211"/>
      <c r="J85" s="676"/>
      <c r="K85" s="676"/>
    </row>
    <row r="86" spans="2:11" hidden="1" x14ac:dyDescent="0.25">
      <c r="B86" s="673" t="s">
        <v>896</v>
      </c>
      <c r="C86" s="412"/>
      <c r="D86" s="390"/>
      <c r="F86" s="413"/>
      <c r="G86" s="16" t="str">
        <f t="shared" si="0"/>
        <v/>
      </c>
      <c r="H86" s="211"/>
      <c r="I86" s="211"/>
      <c r="J86" s="231"/>
      <c r="K86" s="231"/>
    </row>
    <row r="87" spans="2:11" hidden="1" x14ac:dyDescent="0.25">
      <c r="B87" s="673" t="s">
        <v>117</v>
      </c>
      <c r="C87" s="412"/>
      <c r="D87" s="390"/>
      <c r="F87" s="413"/>
      <c r="G87" s="16" t="str">
        <f t="shared" si="0"/>
        <v/>
      </c>
      <c r="H87" s="211"/>
      <c r="I87" s="211"/>
      <c r="J87" s="231"/>
      <c r="K87" s="231"/>
    </row>
    <row r="88" spans="2:11" hidden="1" x14ac:dyDescent="0.25">
      <c r="B88" s="673" t="s">
        <v>904</v>
      </c>
      <c r="C88" s="412"/>
      <c r="D88" s="390"/>
      <c r="F88" s="413"/>
      <c r="G88" s="16" t="str">
        <f t="shared" si="0"/>
        <v/>
      </c>
      <c r="H88" s="211"/>
      <c r="I88" s="211"/>
      <c r="J88" s="231"/>
      <c r="K88" s="231"/>
    </row>
    <row r="89" spans="2:11" hidden="1" x14ac:dyDescent="0.25">
      <c r="B89" s="673" t="s">
        <v>895</v>
      </c>
      <c r="C89" s="412"/>
      <c r="D89" s="390"/>
      <c r="F89" s="413"/>
      <c r="G89" s="16" t="str">
        <f t="shared" si="0"/>
        <v/>
      </c>
      <c r="H89" s="211"/>
      <c r="I89" s="211"/>
      <c r="J89" s="231"/>
      <c r="K89" s="231"/>
    </row>
    <row r="90" spans="2:11" hidden="1" x14ac:dyDescent="0.25">
      <c r="B90" s="673" t="s">
        <v>897</v>
      </c>
      <c r="C90" s="412"/>
      <c r="D90" s="390"/>
      <c r="F90" s="413"/>
      <c r="G90" s="16" t="str">
        <f t="shared" si="0"/>
        <v/>
      </c>
      <c r="H90" s="211"/>
      <c r="I90" s="211"/>
      <c r="J90" s="231"/>
      <c r="K90" s="231"/>
    </row>
    <row r="91" spans="2:11" ht="25.5" hidden="1" x14ac:dyDescent="0.25">
      <c r="B91" s="673" t="s">
        <v>898</v>
      </c>
      <c r="C91" s="412"/>
      <c r="D91" s="390"/>
      <c r="F91" s="413"/>
      <c r="G91" s="16" t="str">
        <f t="shared" si="0"/>
        <v/>
      </c>
      <c r="H91" s="211"/>
      <c r="I91" s="211"/>
      <c r="J91" s="231"/>
      <c r="K91" s="231"/>
    </row>
    <row r="92" spans="2:11" hidden="1" x14ac:dyDescent="0.25">
      <c r="B92" s="673" t="s">
        <v>899</v>
      </c>
      <c r="C92" s="412"/>
      <c r="D92" s="390"/>
      <c r="F92" s="413"/>
      <c r="G92" s="16" t="str">
        <f t="shared" si="0"/>
        <v/>
      </c>
      <c r="H92" s="211"/>
      <c r="I92" s="211"/>
      <c r="J92" s="231"/>
      <c r="K92" s="231"/>
    </row>
    <row r="93" spans="2:11" hidden="1" x14ac:dyDescent="0.25">
      <c r="B93" s="673" t="s">
        <v>900</v>
      </c>
      <c r="C93" s="412"/>
      <c r="D93" s="390"/>
      <c r="F93" s="413"/>
      <c r="G93" s="16" t="str">
        <f t="shared" si="0"/>
        <v/>
      </c>
      <c r="H93" s="211"/>
      <c r="I93" s="211"/>
      <c r="J93" s="231"/>
      <c r="K93" s="231"/>
    </row>
    <row r="94" spans="2:11" hidden="1" x14ac:dyDescent="0.25">
      <c r="B94" s="673" t="s">
        <v>901</v>
      </c>
      <c r="C94" s="412"/>
      <c r="D94" s="390"/>
      <c r="F94" s="413"/>
      <c r="G94" s="16" t="str">
        <f t="shared" si="0"/>
        <v/>
      </c>
      <c r="H94" s="211"/>
      <c r="I94" s="211"/>
      <c r="J94" s="231"/>
      <c r="K94" s="231"/>
    </row>
    <row r="95" spans="2:11" hidden="1" x14ac:dyDescent="0.25">
      <c r="B95" s="673" t="s">
        <v>118</v>
      </c>
      <c r="C95" s="412"/>
      <c r="D95" s="390"/>
      <c r="F95" s="413"/>
      <c r="G95" s="16" t="str">
        <f t="shared" si="0"/>
        <v/>
      </c>
      <c r="H95" s="211"/>
      <c r="I95" s="211"/>
      <c r="J95" s="231"/>
      <c r="K95" s="231"/>
    </row>
    <row r="96" spans="2:11" hidden="1" x14ac:dyDescent="0.25">
      <c r="B96" s="673" t="s">
        <v>902</v>
      </c>
      <c r="C96" s="412"/>
      <c r="D96" s="390"/>
      <c r="E96" s="16"/>
      <c r="F96" s="413"/>
      <c r="G96" s="16" t="str">
        <f t="shared" si="0"/>
        <v/>
      </c>
      <c r="H96" s="211"/>
      <c r="I96" s="211"/>
      <c r="J96" s="231"/>
      <c r="K96" s="231"/>
    </row>
    <row r="97" spans="2:11" hidden="1" x14ac:dyDescent="0.25">
      <c r="B97" s="673" t="s">
        <v>903</v>
      </c>
      <c r="C97" s="412"/>
      <c r="D97" s="390"/>
      <c r="E97" s="16"/>
      <c r="F97" s="413"/>
      <c r="G97" s="16" t="str">
        <f t="shared" si="0"/>
        <v/>
      </c>
      <c r="H97" s="211"/>
      <c r="I97" s="211"/>
      <c r="J97" s="231"/>
      <c r="K97" s="231"/>
    </row>
    <row r="98" spans="2:11" hidden="1" x14ac:dyDescent="0.25">
      <c r="B98" s="1279" t="s">
        <v>917</v>
      </c>
      <c r="C98" s="1279"/>
      <c r="D98" s="1279"/>
      <c r="E98" s="16"/>
      <c r="F98" s="472"/>
      <c r="G98" s="16" t="str">
        <f t="shared" si="0"/>
        <v/>
      </c>
      <c r="H98" s="211"/>
      <c r="I98" s="211"/>
      <c r="J98" s="676"/>
      <c r="K98" s="676"/>
    </row>
    <row r="99" spans="2:11" hidden="1" x14ac:dyDescent="0.25">
      <c r="B99" s="677" t="s">
        <v>252</v>
      </c>
      <c r="C99" s="412"/>
      <c r="D99" s="390"/>
      <c r="E99" s="16"/>
      <c r="F99" s="413"/>
      <c r="G99" s="16" t="str">
        <f t="shared" si="0"/>
        <v/>
      </c>
      <c r="H99" s="211"/>
      <c r="I99" s="211"/>
      <c r="J99" s="231"/>
      <c r="K99" s="231"/>
    </row>
    <row r="100" spans="2:11" hidden="1" x14ac:dyDescent="0.25">
      <c r="B100" s="677" t="s">
        <v>653</v>
      </c>
      <c r="C100" s="412"/>
      <c r="D100" s="390"/>
      <c r="E100" s="16"/>
      <c r="F100" s="413"/>
      <c r="G100" s="16" t="str">
        <f t="shared" si="0"/>
        <v/>
      </c>
      <c r="H100" s="211"/>
      <c r="I100" s="211"/>
      <c r="J100" s="231"/>
      <c r="K100" s="231"/>
    </row>
    <row r="101" spans="2:11" hidden="1" x14ac:dyDescent="0.25">
      <c r="B101" s="677" t="s">
        <v>718</v>
      </c>
      <c r="C101" s="412"/>
      <c r="D101" s="390"/>
      <c r="E101" s="16"/>
      <c r="F101" s="413"/>
      <c r="G101" s="16" t="str">
        <f t="shared" si="0"/>
        <v/>
      </c>
      <c r="H101" s="211"/>
      <c r="I101" s="211"/>
      <c r="J101" s="231"/>
      <c r="K101" s="231"/>
    </row>
    <row r="102" spans="2:11" hidden="1" x14ac:dyDescent="0.25">
      <c r="B102" s="677" t="s">
        <v>906</v>
      </c>
      <c r="C102" s="412"/>
      <c r="D102" s="390"/>
      <c r="E102" s="16"/>
      <c r="F102" s="413"/>
      <c r="G102" s="16" t="str">
        <f t="shared" si="0"/>
        <v/>
      </c>
      <c r="H102" s="211"/>
      <c r="I102" s="211"/>
      <c r="J102" s="231"/>
      <c r="K102" s="231"/>
    </row>
    <row r="103" spans="2:11" hidden="1" x14ac:dyDescent="0.25">
      <c r="B103" s="677" t="s">
        <v>253</v>
      </c>
      <c r="C103" s="412"/>
      <c r="D103" s="390"/>
      <c r="E103" s="16"/>
      <c r="F103" s="413"/>
      <c r="G103" s="16" t="str">
        <f t="shared" si="0"/>
        <v/>
      </c>
      <c r="H103" s="211"/>
      <c r="I103" s="211"/>
      <c r="J103" s="231"/>
      <c r="K103" s="231"/>
    </row>
    <row r="104" spans="2:11" hidden="1" x14ac:dyDescent="0.25">
      <c r="B104" s="677" t="s">
        <v>676</v>
      </c>
      <c r="C104" s="412"/>
      <c r="D104" s="390"/>
      <c r="E104" s="16"/>
      <c r="F104" s="413"/>
      <c r="G104" s="16" t="str">
        <f t="shared" si="0"/>
        <v/>
      </c>
      <c r="H104" s="211"/>
      <c r="I104" s="211"/>
      <c r="J104" s="231"/>
      <c r="K104" s="231"/>
    </row>
    <row r="105" spans="2:11" hidden="1" x14ac:dyDescent="0.25">
      <c r="B105" s="677" t="s">
        <v>907</v>
      </c>
      <c r="C105" s="412"/>
      <c r="D105" s="390"/>
      <c r="E105" s="16"/>
      <c r="F105" s="413"/>
      <c r="G105" s="16" t="str">
        <f t="shared" si="0"/>
        <v/>
      </c>
      <c r="H105" s="211"/>
      <c r="I105" s="211"/>
      <c r="J105" s="231"/>
      <c r="K105" s="231"/>
    </row>
    <row r="106" spans="2:11" hidden="1" x14ac:dyDescent="0.25">
      <c r="B106" s="677" t="s">
        <v>254</v>
      </c>
      <c r="C106" s="412"/>
      <c r="D106" s="390"/>
      <c r="E106" s="16"/>
      <c r="F106" s="413"/>
      <c r="G106" s="16" t="str">
        <f t="shared" si="0"/>
        <v/>
      </c>
      <c r="H106" s="211"/>
      <c r="I106" s="211"/>
      <c r="J106" s="231"/>
      <c r="K106" s="231"/>
    </row>
    <row r="107" spans="2:11" hidden="1" x14ac:dyDescent="0.25">
      <c r="B107" s="677" t="s">
        <v>908</v>
      </c>
      <c r="C107" s="412"/>
      <c r="D107" s="390"/>
      <c r="E107" s="16"/>
      <c r="F107" s="413"/>
      <c r="G107" s="16" t="str">
        <f t="shared" si="0"/>
        <v/>
      </c>
      <c r="H107" s="211"/>
      <c r="I107" s="211"/>
      <c r="J107" s="231"/>
      <c r="K107" s="231"/>
    </row>
    <row r="108" spans="2:11" hidden="1" x14ac:dyDescent="0.25">
      <c r="B108" s="677" t="s">
        <v>909</v>
      </c>
      <c r="C108" s="412"/>
      <c r="D108" s="390"/>
      <c r="E108" s="16"/>
      <c r="F108" s="413"/>
      <c r="G108" s="16" t="str">
        <f t="shared" si="0"/>
        <v/>
      </c>
      <c r="H108" s="211"/>
      <c r="I108" s="211"/>
      <c r="J108" s="231"/>
      <c r="K108" s="231"/>
    </row>
    <row r="109" spans="2:11" hidden="1" x14ac:dyDescent="0.25">
      <c r="B109" s="677" t="s">
        <v>910</v>
      </c>
      <c r="C109" s="412"/>
      <c r="D109" s="390"/>
      <c r="E109" s="16"/>
      <c r="F109" s="413"/>
      <c r="G109" s="16" t="str">
        <f t="shared" si="0"/>
        <v/>
      </c>
      <c r="H109" s="211"/>
      <c r="I109" s="211"/>
      <c r="J109" s="231"/>
      <c r="K109" s="231"/>
    </row>
    <row r="110" spans="2:11" ht="25.5" hidden="1" x14ac:dyDescent="0.25">
      <c r="B110" s="678" t="s">
        <v>911</v>
      </c>
      <c r="C110" s="412"/>
      <c r="D110" s="390"/>
      <c r="E110" s="16"/>
      <c r="F110" s="413"/>
      <c r="G110" s="16" t="str">
        <f t="shared" si="0"/>
        <v/>
      </c>
      <c r="H110" s="211"/>
      <c r="I110" s="211"/>
      <c r="J110" s="231"/>
      <c r="K110" s="231"/>
    </row>
    <row r="111" spans="2:11" hidden="1" x14ac:dyDescent="0.25">
      <c r="B111" s="677" t="s">
        <v>912</v>
      </c>
      <c r="C111" s="412"/>
      <c r="D111" s="390"/>
      <c r="E111" s="16"/>
      <c r="F111" s="413"/>
      <c r="G111" s="16" t="str">
        <f t="shared" si="0"/>
        <v/>
      </c>
      <c r="H111" s="211"/>
      <c r="I111" s="211"/>
      <c r="J111" s="231"/>
      <c r="K111" s="231"/>
    </row>
    <row r="112" spans="2:11" hidden="1" x14ac:dyDescent="0.25">
      <c r="B112" s="677" t="s">
        <v>913</v>
      </c>
      <c r="C112" s="412"/>
      <c r="D112" s="390"/>
      <c r="E112" s="16"/>
      <c r="F112" s="413"/>
      <c r="G112" s="16" t="str">
        <f t="shared" ref="G112:G136" si="1">IF(OR(TRIM(D112)&lt;&gt;"",TRIM(F112)&lt;&gt;""),IF(AND(TRIM(D112)&lt;&gt;"",TRIM(F112)&lt;&gt;""),IF(OR(TRIM(C112)&lt;&gt;TRIM(D112),TRIM(C112)&lt;&gt;TRIM(F112)),"_",""),IF(TRIM(C112)&lt;&gt;TRIM(D112), "_", "")),"")</f>
        <v/>
      </c>
      <c r="H112" s="211"/>
      <c r="I112" s="211"/>
      <c r="J112" s="231"/>
      <c r="K112" s="231"/>
    </row>
    <row r="113" spans="2:11" hidden="1" x14ac:dyDescent="0.25">
      <c r="B113" s="677" t="s">
        <v>914</v>
      </c>
      <c r="C113" s="412"/>
      <c r="D113" s="390"/>
      <c r="E113" s="16"/>
      <c r="F113" s="413"/>
      <c r="G113" s="16" t="str">
        <f t="shared" si="1"/>
        <v/>
      </c>
      <c r="H113" s="211"/>
      <c r="I113" s="211"/>
      <c r="J113" s="231"/>
      <c r="K113" s="231"/>
    </row>
    <row r="114" spans="2:11" hidden="1" x14ac:dyDescent="0.25">
      <c r="B114" s="677" t="s">
        <v>915</v>
      </c>
      <c r="C114" s="412"/>
      <c r="D114" s="390"/>
      <c r="E114" s="16"/>
      <c r="F114" s="413"/>
      <c r="G114" s="16" t="str">
        <f t="shared" si="1"/>
        <v/>
      </c>
      <c r="H114" s="211"/>
      <c r="I114" s="211"/>
      <c r="J114" s="231"/>
      <c r="K114" s="231"/>
    </row>
    <row r="115" spans="2:11" hidden="1" x14ac:dyDescent="0.25">
      <c r="B115" s="677" t="s">
        <v>916</v>
      </c>
      <c r="C115" s="412"/>
      <c r="D115" s="390"/>
      <c r="E115" s="16"/>
      <c r="F115" s="413"/>
      <c r="G115" s="16" t="str">
        <f t="shared" si="1"/>
        <v/>
      </c>
      <c r="H115" s="211"/>
      <c r="I115" s="211"/>
      <c r="J115" s="231"/>
      <c r="K115" s="231"/>
    </row>
    <row r="116" spans="2:11" x14ac:dyDescent="0.25">
      <c r="B116" s="691" t="s">
        <v>988</v>
      </c>
      <c r="C116" s="459" t="s">
        <v>157</v>
      </c>
      <c r="D116" s="692" t="s">
        <v>157</v>
      </c>
      <c r="E116" s="16"/>
      <c r="F116" s="413"/>
      <c r="G116" s="16" t="str">
        <f t="shared" si="1"/>
        <v/>
      </c>
      <c r="H116" s="211"/>
      <c r="I116" s="211"/>
      <c r="J116" s="231"/>
      <c r="K116" s="231"/>
    </row>
    <row r="117" spans="2:11" hidden="1" x14ac:dyDescent="0.25">
      <c r="B117" s="677" t="s">
        <v>255</v>
      </c>
      <c r="C117" s="412"/>
      <c r="D117" s="390"/>
      <c r="E117" s="16"/>
      <c r="F117" s="413"/>
      <c r="G117" s="16" t="str">
        <f t="shared" si="1"/>
        <v/>
      </c>
      <c r="H117" s="211"/>
      <c r="I117" s="211"/>
      <c r="J117" s="231"/>
      <c r="K117" s="231"/>
    </row>
    <row r="118" spans="2:11" ht="7.5" customHeight="1" x14ac:dyDescent="0.25">
      <c r="B118" s="211"/>
      <c r="C118" s="228"/>
      <c r="D118" s="228"/>
      <c r="E118" s="16"/>
      <c r="F118" s="228"/>
      <c r="G118" s="16" t="str">
        <f t="shared" si="1"/>
        <v/>
      </c>
      <c r="H118" s="211"/>
      <c r="I118" s="211"/>
      <c r="J118" s="381"/>
    </row>
    <row r="119" spans="2:11" x14ac:dyDescent="0.25">
      <c r="B119" s="528" t="s">
        <v>359</v>
      </c>
      <c r="C119" s="524" t="s">
        <v>62</v>
      </c>
      <c r="D119" s="525" t="s">
        <v>63</v>
      </c>
      <c r="E119" s="16"/>
      <c r="F119" s="526" t="s">
        <v>146</v>
      </c>
      <c r="G119" s="16" t="str">
        <f t="shared" si="1"/>
        <v>_</v>
      </c>
      <c r="H119" s="211"/>
      <c r="I119" s="211"/>
      <c r="J119" s="527" t="s">
        <v>1002</v>
      </c>
      <c r="K119" s="527" t="s">
        <v>363</v>
      </c>
    </row>
    <row r="120" spans="2:11" x14ac:dyDescent="0.25">
      <c r="B120" s="673" t="s">
        <v>1341</v>
      </c>
      <c r="C120" s="711" t="s">
        <v>1785</v>
      </c>
      <c r="D120" s="712" t="s">
        <v>1785</v>
      </c>
      <c r="E120" s="16"/>
      <c r="F120" s="413"/>
      <c r="G120" s="16" t="str">
        <f t="shared" si="1"/>
        <v/>
      </c>
      <c r="H120" s="211"/>
      <c r="I120" s="211"/>
      <c r="J120" s="231"/>
      <c r="K120" s="231"/>
    </row>
    <row r="121" spans="2:11" x14ac:dyDescent="0.25">
      <c r="B121" s="967" t="s">
        <v>1802</v>
      </c>
      <c r="C121" s="711" t="s">
        <v>1786</v>
      </c>
      <c r="D121" s="712" t="s">
        <v>2070</v>
      </c>
      <c r="E121" s="16"/>
      <c r="G121" s="16" t="str">
        <f t="shared" si="1"/>
        <v>_</v>
      </c>
    </row>
    <row r="122" spans="2:11" ht="15.75" customHeight="1" x14ac:dyDescent="0.25">
      <c r="B122" s="967" t="s">
        <v>1803</v>
      </c>
      <c r="C122" s="711" t="s">
        <v>1787</v>
      </c>
      <c r="D122" s="712" t="s">
        <v>1787</v>
      </c>
      <c r="E122" s="16"/>
      <c r="G122" s="16" t="str">
        <f t="shared" si="1"/>
        <v/>
      </c>
    </row>
    <row r="123" spans="2:11" x14ac:dyDescent="0.25">
      <c r="B123" s="967" t="s">
        <v>1804</v>
      </c>
      <c r="C123" s="711" t="s">
        <v>1788</v>
      </c>
      <c r="D123" s="712" t="s">
        <v>1788</v>
      </c>
      <c r="E123" s="16"/>
      <c r="G123" s="16" t="str">
        <f t="shared" si="1"/>
        <v/>
      </c>
    </row>
    <row r="124" spans="2:11" x14ac:dyDescent="0.25">
      <c r="B124" s="967" t="s">
        <v>1805</v>
      </c>
      <c r="C124" s="711" t="s">
        <v>1789</v>
      </c>
      <c r="D124" s="712" t="s">
        <v>1789</v>
      </c>
      <c r="E124" s="16"/>
      <c r="G124" s="16" t="str">
        <f t="shared" si="1"/>
        <v/>
      </c>
    </row>
    <row r="125" spans="2:11" x14ac:dyDescent="0.25">
      <c r="B125" s="967" t="s">
        <v>1806</v>
      </c>
      <c r="C125" s="711" t="s">
        <v>1790</v>
      </c>
      <c r="D125" s="712" t="s">
        <v>1790</v>
      </c>
      <c r="E125" s="16"/>
      <c r="G125" s="16" t="str">
        <f t="shared" si="1"/>
        <v/>
      </c>
    </row>
    <row r="126" spans="2:11" x14ac:dyDescent="0.25">
      <c r="B126" s="967" t="s">
        <v>1807</v>
      </c>
      <c r="C126" s="711" t="s">
        <v>1791</v>
      </c>
      <c r="D126" s="712" t="s">
        <v>1791</v>
      </c>
      <c r="E126" s="16"/>
      <c r="G126" s="16" t="str">
        <f t="shared" si="1"/>
        <v/>
      </c>
    </row>
    <row r="127" spans="2:11" x14ac:dyDescent="0.25">
      <c r="B127" s="967" t="s">
        <v>1301</v>
      </c>
      <c r="C127" s="711" t="s">
        <v>1792</v>
      </c>
      <c r="D127" s="712" t="s">
        <v>1792</v>
      </c>
      <c r="E127" s="16"/>
      <c r="G127" s="16" t="str">
        <f t="shared" si="1"/>
        <v/>
      </c>
    </row>
    <row r="128" spans="2:11" x14ac:dyDescent="0.25">
      <c r="B128" s="967" t="s">
        <v>1340</v>
      </c>
      <c r="C128" s="711" t="s">
        <v>1793</v>
      </c>
      <c r="D128" s="712" t="s">
        <v>1793</v>
      </c>
      <c r="G128" s="16" t="str">
        <f t="shared" si="1"/>
        <v/>
      </c>
    </row>
    <row r="129" spans="2:7" ht="30" customHeight="1" x14ac:dyDescent="0.25">
      <c r="B129" s="967" t="s">
        <v>1808</v>
      </c>
      <c r="C129" s="711" t="s">
        <v>1794</v>
      </c>
      <c r="D129" s="712" t="s">
        <v>1794</v>
      </c>
      <c r="G129" s="16" t="str">
        <f t="shared" si="1"/>
        <v/>
      </c>
    </row>
    <row r="130" spans="2:7" ht="44.25" customHeight="1" x14ac:dyDescent="0.25">
      <c r="B130" s="967" t="s">
        <v>1809</v>
      </c>
      <c r="C130" s="711" t="s">
        <v>1795</v>
      </c>
      <c r="D130" s="712" t="s">
        <v>1795</v>
      </c>
      <c r="G130" s="16" t="str">
        <f t="shared" si="1"/>
        <v/>
      </c>
    </row>
    <row r="131" spans="2:7" x14ac:dyDescent="0.25">
      <c r="B131" s="967" t="s">
        <v>1810</v>
      </c>
      <c r="C131" s="711" t="s">
        <v>1796</v>
      </c>
      <c r="D131" s="712" t="s">
        <v>1796</v>
      </c>
      <c r="G131" s="16" t="str">
        <f t="shared" si="1"/>
        <v/>
      </c>
    </row>
    <row r="132" spans="2:7" ht="31.5" customHeight="1" x14ac:dyDescent="0.25">
      <c r="B132" s="967" t="s">
        <v>1811</v>
      </c>
      <c r="C132" s="711" t="s">
        <v>1797</v>
      </c>
      <c r="D132" s="712" t="s">
        <v>1797</v>
      </c>
      <c r="G132" s="16" t="str">
        <f t="shared" si="1"/>
        <v/>
      </c>
    </row>
    <row r="133" spans="2:7" ht="44.25" customHeight="1" x14ac:dyDescent="0.25">
      <c r="B133" s="967" t="s">
        <v>1812</v>
      </c>
      <c r="C133" s="711" t="s">
        <v>1798</v>
      </c>
      <c r="D133" s="712" t="s">
        <v>1798</v>
      </c>
      <c r="G133" s="16" t="str">
        <f t="shared" si="1"/>
        <v/>
      </c>
    </row>
    <row r="134" spans="2:7" x14ac:dyDescent="0.25">
      <c r="B134" s="968" t="s">
        <v>1813</v>
      </c>
      <c r="C134" s="711" t="s">
        <v>1799</v>
      </c>
      <c r="D134" s="712" t="s">
        <v>1799</v>
      </c>
      <c r="G134" s="16" t="str">
        <f t="shared" si="1"/>
        <v/>
      </c>
    </row>
    <row r="135" spans="2:7" x14ac:dyDescent="0.25">
      <c r="B135" s="968" t="s">
        <v>1814</v>
      </c>
      <c r="C135" s="711" t="s">
        <v>1800</v>
      </c>
      <c r="D135" s="712" t="s">
        <v>1800</v>
      </c>
      <c r="G135" s="16" t="str">
        <f t="shared" si="1"/>
        <v/>
      </c>
    </row>
    <row r="136" spans="2:7" x14ac:dyDescent="0.25">
      <c r="B136" s="968" t="s">
        <v>1815</v>
      </c>
      <c r="C136" s="711" t="s">
        <v>1801</v>
      </c>
      <c r="D136" s="712" t="s">
        <v>1801</v>
      </c>
      <c r="G136" s="16" t="str">
        <f t="shared" si="1"/>
        <v/>
      </c>
    </row>
  </sheetData>
  <mergeCells count="6">
    <mergeCell ref="B98:D98"/>
    <mergeCell ref="B41:D41"/>
    <mergeCell ref="B44:D44"/>
    <mergeCell ref="B42:F42"/>
    <mergeCell ref="B45:F45"/>
    <mergeCell ref="B85:D85"/>
  </mergeCells>
  <conditionalFormatting sqref="G1:G26 G137:G1048576 G28:G47">
    <cfRule type="cellIs" dxfId="211" priority="15" operator="equal">
      <formula>"_"</formula>
    </cfRule>
  </conditionalFormatting>
  <conditionalFormatting sqref="G48:G136">
    <cfRule type="cellIs" dxfId="210" priority="4" operator="equal">
      <formula>"_"</formula>
    </cfRule>
  </conditionalFormatting>
  <conditionalFormatting sqref="G27">
    <cfRule type="cellIs" dxfId="209" priority="2"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3rd Excess Liability</oddHeader>
    <oddFooter>&amp;L&amp;G&amp;CPage &amp;P of &amp;N</oddFooter>
  </headerFooter>
  <rowBreaks count="1" manualBreakCount="1">
    <brk id="83" min="1" max="3" man="1"/>
  </rowBreaks>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pageSetUpPr fitToPage="1"/>
  </sheetPr>
  <dimension ref="B1:M68"/>
  <sheetViews>
    <sheetView showGridLines="0" view="pageBreakPreview" topLeftCell="A25" zoomScale="115" zoomScaleNormal="100" zoomScaleSheetLayoutView="115" workbookViewId="0">
      <selection activeCell="I57" sqref="I57"/>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21.5703125" style="16" customWidth="1"/>
    <col min="14" max="53" width="9.140625" style="16" customWidth="1"/>
    <col min="54" max="16384" width="9.140625" style="16"/>
  </cols>
  <sheetData>
    <row r="1" spans="2:13" ht="7.5" customHeight="1" x14ac:dyDescent="0.25">
      <c r="E1" s="450"/>
    </row>
    <row r="2" spans="2:13" ht="15.75" x14ac:dyDescent="0.25">
      <c r="B2" s="453" t="str">
        <f>Input!B608</f>
        <v>T5CS 4th Excess Liability</v>
      </c>
      <c r="E2" s="450"/>
      <c r="H2" s="454"/>
      <c r="I2" s="455"/>
      <c r="J2" s="455"/>
      <c r="L2" s="456" t="s">
        <v>391</v>
      </c>
      <c r="M2" s="381" t="s">
        <v>361</v>
      </c>
    </row>
    <row r="3" spans="2:13" x14ac:dyDescent="0.25">
      <c r="D3" s="455" t="str">
        <f xml:space="preserve"> IF(Input!D612=Input!G612,CHAR(254), "")</f>
        <v/>
      </c>
      <c r="E3" s="457"/>
      <c r="F3" s="458" t="str">
        <f xml:space="preserve"> IF(Input!E612=Input!G612,CHAR(254),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 customHeight="1" x14ac:dyDescent="0.25">
      <c r="B5" s="409" t="s">
        <v>60</v>
      </c>
      <c r="C5" s="412" t="str">
        <f>Input!B613</f>
        <v>The Continental Insurance Company (CNA)</v>
      </c>
      <c r="D5" s="390" t="str">
        <f>Input!D613</f>
        <v>The Continental Insurance Company (CNA)</v>
      </c>
      <c r="F5" s="413">
        <f>Input!E613</f>
        <v>0</v>
      </c>
      <c r="J5" s="231"/>
      <c r="K5" s="231"/>
    </row>
    <row r="6" spans="2:13" x14ac:dyDescent="0.25">
      <c r="B6" s="409" t="s">
        <v>69</v>
      </c>
      <c r="C6" s="412" t="str">
        <f>Input!B615</f>
        <v>A: XV</v>
      </c>
      <c r="D6" s="390" t="str">
        <f>Input!D615</f>
        <v>A: XV</v>
      </c>
      <c r="F6" s="413">
        <f>Input!E615</f>
        <v>0</v>
      </c>
      <c r="J6" s="231"/>
      <c r="K6" s="231"/>
    </row>
    <row r="7" spans="2:13" x14ac:dyDescent="0.25">
      <c r="B7" s="409" t="str">
        <f>Input!B97</f>
        <v>Renewal Policy Number</v>
      </c>
      <c r="C7" s="412">
        <f>Input!C610</f>
        <v>6080356277</v>
      </c>
      <c r="D7" s="390" t="str">
        <f>Input!C611</f>
        <v>TBD</v>
      </c>
      <c r="F7" s="413" t="str">
        <f>Input!C611</f>
        <v>TBD</v>
      </c>
      <c r="J7" s="231"/>
      <c r="K7" s="231"/>
    </row>
    <row r="8" spans="2:13" ht="15.75" customHeight="1" x14ac:dyDescent="0.25">
      <c r="B8" s="409" t="str">
        <f>Input!B6</f>
        <v>Renewal Policy Period</v>
      </c>
      <c r="C8" s="956" t="str">
        <f>Input!C5</f>
        <v>7/1/2022 - 7/1/2023</v>
      </c>
      <c r="D8" s="390" t="str">
        <f>Input!C6</f>
        <v>7/1/2023 - 7/1/2024</v>
      </c>
      <c r="F8" s="413" t="str">
        <f>Input!C6</f>
        <v>7/1/2023 - 7/1/2024</v>
      </c>
      <c r="J8" s="231"/>
      <c r="K8" s="231"/>
    </row>
    <row r="9" spans="2:13" x14ac:dyDescent="0.25">
      <c r="B9" s="409" t="s">
        <v>18</v>
      </c>
      <c r="C9" s="398">
        <f>Input!G634</f>
        <v>5000000</v>
      </c>
      <c r="D9" s="425">
        <f>Input!G635</f>
        <v>5000000</v>
      </c>
      <c r="E9" s="414"/>
      <c r="F9" s="427">
        <f>Input!G636</f>
        <v>0</v>
      </c>
      <c r="J9" s="231"/>
      <c r="K9" s="231"/>
    </row>
    <row r="10" spans="2:13" x14ac:dyDescent="0.25">
      <c r="B10" s="409" t="s">
        <v>199</v>
      </c>
      <c r="C10" s="398">
        <f>Input!H634</f>
        <v>5000000</v>
      </c>
      <c r="D10" s="425">
        <f>Input!H635</f>
        <v>5000000</v>
      </c>
      <c r="E10" s="414"/>
      <c r="F10" s="427">
        <f>Input!H636</f>
        <v>0</v>
      </c>
      <c r="J10" s="231"/>
      <c r="K10" s="231"/>
    </row>
    <row r="11" spans="2:13" x14ac:dyDescent="0.25">
      <c r="B11" s="477" t="s">
        <v>23</v>
      </c>
      <c r="C11" s="403">
        <f>Input!I634</f>
        <v>0</v>
      </c>
      <c r="D11" s="431">
        <f>Input!I635</f>
        <v>0</v>
      </c>
      <c r="E11" s="414"/>
      <c r="F11" s="430">
        <f>Input!I636</f>
        <v>0</v>
      </c>
      <c r="J11" s="231"/>
      <c r="K11" s="231"/>
    </row>
    <row r="12" spans="2:13" x14ac:dyDescent="0.25">
      <c r="B12" s="479" t="s">
        <v>367</v>
      </c>
      <c r="C12" s="479"/>
      <c r="D12" s="479"/>
      <c r="F12" s="562"/>
      <c r="G12" s="211"/>
      <c r="H12" s="211"/>
      <c r="I12" s="211"/>
      <c r="J12" s="566"/>
      <c r="K12" s="566"/>
    </row>
    <row r="13" spans="2:13" x14ac:dyDescent="0.25">
      <c r="B13" s="402" t="s">
        <v>343</v>
      </c>
      <c r="C13" s="428">
        <f>Input!B617</f>
        <v>18500</v>
      </c>
      <c r="D13" s="425">
        <f>Input!D617</f>
        <v>18500</v>
      </c>
      <c r="E13" s="414"/>
      <c r="F13" s="427">
        <f>Input!E617</f>
        <v>0</v>
      </c>
      <c r="J13" s="231"/>
      <c r="K13" s="231"/>
    </row>
    <row r="14" spans="2:13" x14ac:dyDescent="0.25">
      <c r="B14" s="402" t="s">
        <v>875</v>
      </c>
      <c r="C14" s="429">
        <f>Input!B623</f>
        <v>0</v>
      </c>
      <c r="D14" s="431">
        <f>Input!D623</f>
        <v>0</v>
      </c>
      <c r="E14" s="414"/>
      <c r="F14" s="430">
        <f>Input!E623</f>
        <v>0</v>
      </c>
      <c r="J14" s="231"/>
      <c r="K14" s="231"/>
    </row>
    <row r="15" spans="2:13" x14ac:dyDescent="0.25">
      <c r="B15" s="402" t="s">
        <v>412</v>
      </c>
      <c r="C15" s="429">
        <f>Input!B625</f>
        <v>0</v>
      </c>
      <c r="D15" s="431">
        <f>Input!D625</f>
        <v>0</v>
      </c>
      <c r="E15" s="414"/>
      <c r="F15" s="430">
        <f>Input!E625</f>
        <v>0</v>
      </c>
      <c r="J15" s="231"/>
      <c r="K15" s="231"/>
    </row>
    <row r="16" spans="2:13" x14ac:dyDescent="0.25">
      <c r="B16" s="409" t="s">
        <v>369</v>
      </c>
      <c r="C16" s="428">
        <f>Input!B627</f>
        <v>18500</v>
      </c>
      <c r="D16" s="425">
        <f>Input!D627</f>
        <v>18500</v>
      </c>
      <c r="E16" s="414"/>
      <c r="F16" s="427">
        <f>Input!E627</f>
        <v>0</v>
      </c>
      <c r="J16" s="231"/>
      <c r="K16" s="231"/>
    </row>
    <row r="17" spans="2:11" ht="7.5" customHeight="1" x14ac:dyDescent="0.25">
      <c r="B17" s="310"/>
      <c r="C17" s="414"/>
      <c r="D17" s="414"/>
      <c r="F17" s="461"/>
      <c r="J17" s="381"/>
    </row>
    <row r="18" spans="2:11" x14ac:dyDescent="0.25">
      <c r="B18" s="462" t="s">
        <v>1471</v>
      </c>
      <c r="C18" s="414"/>
      <c r="D18" s="414"/>
      <c r="E18" s="238"/>
      <c r="F18" s="461"/>
      <c r="J18" s="563"/>
      <c r="K18" s="563"/>
    </row>
    <row r="19" spans="2:11" x14ac:dyDescent="0.25">
      <c r="B19" s="559" t="str">
        <f>Input!B642</f>
        <v>T5CS 3rd Excess Umbrella</v>
      </c>
      <c r="C19" s="559"/>
      <c r="D19" s="559"/>
      <c r="E19" s="432"/>
      <c r="F19" s="529"/>
      <c r="G19" s="426"/>
      <c r="H19" s="211"/>
      <c r="I19" s="211"/>
      <c r="J19" s="566"/>
      <c r="K19" s="566"/>
    </row>
    <row r="20" spans="2:11" x14ac:dyDescent="0.25">
      <c r="B20" s="464" t="s">
        <v>1</v>
      </c>
      <c r="C20" s="424" t="str">
        <f>Input!C642</f>
        <v>TBD</v>
      </c>
      <c r="D20" s="424" t="str">
        <f>Input!C647</f>
        <v>TBD</v>
      </c>
      <c r="E20" s="433"/>
      <c r="F20" s="424" t="str">
        <f>D20</f>
        <v>TBD</v>
      </c>
      <c r="G20" s="450"/>
      <c r="H20" s="450"/>
      <c r="I20" s="450"/>
      <c r="J20" s="231"/>
      <c r="K20" s="231"/>
    </row>
    <row r="21" spans="2:11" x14ac:dyDescent="0.25">
      <c r="B21" s="815" t="s">
        <v>310</v>
      </c>
      <c r="C21" s="760"/>
      <c r="D21" s="760"/>
      <c r="E21" s="434"/>
      <c r="F21" s="390"/>
      <c r="G21" s="450"/>
      <c r="H21" s="450"/>
      <c r="I21" s="450"/>
      <c r="J21" s="231"/>
      <c r="K21" s="231"/>
    </row>
    <row r="22" spans="2:11" x14ac:dyDescent="0.25">
      <c r="B22" s="478" t="s">
        <v>11</v>
      </c>
      <c r="C22" s="425">
        <f>Input!D642</f>
        <v>15000000</v>
      </c>
      <c r="D22" s="425">
        <f>Input!D647</f>
        <v>10000000</v>
      </c>
      <c r="F22" s="425">
        <f>D22</f>
        <v>10000000</v>
      </c>
      <c r="G22" s="450"/>
      <c r="H22" s="450"/>
      <c r="I22" s="450"/>
      <c r="J22" s="231"/>
      <c r="K22" s="231"/>
    </row>
    <row r="23" spans="2:11" x14ac:dyDescent="0.25">
      <c r="B23" s="478" t="s">
        <v>12</v>
      </c>
      <c r="C23" s="425">
        <f>Input!E642</f>
        <v>15000000</v>
      </c>
      <c r="D23" s="425">
        <f>Input!E647</f>
        <v>10000000</v>
      </c>
      <c r="F23" s="425">
        <f>D23</f>
        <v>10000000</v>
      </c>
      <c r="G23" s="450"/>
      <c r="H23" s="450"/>
      <c r="I23" s="450"/>
      <c r="J23" s="231"/>
      <c r="K23" s="231"/>
    </row>
    <row r="24" spans="2:11" x14ac:dyDescent="0.25">
      <c r="B24" s="491" t="s">
        <v>750</v>
      </c>
      <c r="C24" s="425">
        <f>Input!F642</f>
        <v>0</v>
      </c>
      <c r="D24" s="425">
        <f>Input!F647</f>
        <v>0</v>
      </c>
      <c r="E24" s="426"/>
      <c r="F24" s="425">
        <f>D24</f>
        <v>0</v>
      </c>
      <c r="G24" s="450"/>
      <c r="H24" s="450"/>
      <c r="I24" s="450"/>
      <c r="J24" s="231"/>
      <c r="K24" s="231"/>
    </row>
    <row r="25" spans="2:11" ht="42.75" customHeight="1" x14ac:dyDescent="0.25">
      <c r="B25" s="491" t="s">
        <v>60</v>
      </c>
      <c r="C25" s="390" t="str">
        <f>Input!G642</f>
        <v>Travelers Property Casualty Company of America</v>
      </c>
      <c r="D25" s="390" t="str">
        <f>Input!G647</f>
        <v>Travelers Property Casualty Company of America</v>
      </c>
      <c r="F25" s="390" t="str">
        <f>D25</f>
        <v>Travelers Property Casualty Company of America</v>
      </c>
      <c r="G25" s="450"/>
      <c r="H25" s="450"/>
      <c r="I25" s="450"/>
      <c r="J25" s="231"/>
      <c r="K25" s="231"/>
    </row>
    <row r="26" spans="2:11" ht="15" customHeight="1" x14ac:dyDescent="0.25">
      <c r="B26" s="491" t="s">
        <v>328</v>
      </c>
      <c r="C26" s="612" t="str">
        <f>Input!H87</f>
        <v>7/1/2022 - 7/1/2023</v>
      </c>
      <c r="D26" s="612" t="str">
        <f>Input!H647</f>
        <v>7/1/2023 - 7/1/2024</v>
      </c>
      <c r="F26" s="390" t="str">
        <f>D26</f>
        <v>7/1/2023 - 7/1/2024</v>
      </c>
      <c r="G26" s="450"/>
      <c r="H26" s="450"/>
      <c r="I26" s="450"/>
      <c r="J26" s="231"/>
      <c r="K26" s="231"/>
    </row>
    <row r="27" spans="2:11" ht="7.5" customHeight="1" x14ac:dyDescent="0.25">
      <c r="B27" s="310"/>
      <c r="C27" s="228"/>
      <c r="D27" s="228"/>
      <c r="F27" s="275"/>
      <c r="J27" s="381"/>
    </row>
    <row r="28" spans="2:11" x14ac:dyDescent="0.25">
      <c r="B28" s="1274" t="s">
        <v>144</v>
      </c>
      <c r="C28" s="1274"/>
      <c r="D28" s="1274"/>
      <c r="F28" s="274"/>
      <c r="J28" s="381"/>
    </row>
    <row r="29" spans="2:11" x14ac:dyDescent="0.25">
      <c r="B29" s="1275" t="s">
        <v>2072</v>
      </c>
      <c r="C29" s="1276"/>
      <c r="D29" s="1276"/>
      <c r="E29" s="1276"/>
      <c r="F29" s="1277"/>
      <c r="J29" s="381"/>
    </row>
    <row r="30" spans="2:11" ht="7.5" customHeight="1" x14ac:dyDescent="0.25">
      <c r="B30" s="380"/>
      <c r="C30" s="238"/>
      <c r="D30" s="238"/>
      <c r="F30" s="275"/>
      <c r="J30" s="381"/>
    </row>
    <row r="31" spans="2:11" x14ac:dyDescent="0.25">
      <c r="B31" s="1274" t="s">
        <v>145</v>
      </c>
      <c r="C31" s="1274"/>
      <c r="D31" s="1274"/>
      <c r="F31" s="275"/>
      <c r="J31" s="381"/>
    </row>
    <row r="32" spans="2:11" x14ac:dyDescent="0.25">
      <c r="B32" s="1275" t="s">
        <v>2071</v>
      </c>
      <c r="C32" s="1276"/>
      <c r="D32" s="1276"/>
      <c r="E32" s="1276"/>
      <c r="F32" s="1277"/>
      <c r="J32" s="381"/>
    </row>
    <row r="33" spans="2:11" ht="7.5" customHeight="1" x14ac:dyDescent="0.25">
      <c r="B33" s="310"/>
      <c r="C33" s="228"/>
      <c r="D33" s="228"/>
      <c r="F33" s="275"/>
      <c r="J33" s="381"/>
    </row>
    <row r="34" spans="2:11" x14ac:dyDescent="0.25">
      <c r="B34" s="523" t="s">
        <v>72</v>
      </c>
      <c r="C34" s="524" t="s">
        <v>62</v>
      </c>
      <c r="D34" s="525" t="s">
        <v>63</v>
      </c>
      <c r="F34" s="526" t="s">
        <v>146</v>
      </c>
      <c r="J34" s="527" t="s">
        <v>1002</v>
      </c>
      <c r="K34" s="527" t="s">
        <v>363</v>
      </c>
    </row>
    <row r="35" spans="2:11" x14ac:dyDescent="0.25">
      <c r="B35" s="400" t="s">
        <v>73</v>
      </c>
      <c r="C35" s="711" t="s">
        <v>1033</v>
      </c>
      <c r="D35" s="712" t="s">
        <v>1033</v>
      </c>
      <c r="F35" s="413"/>
      <c r="G35" s="228" t="str">
        <f t="shared" ref="G35:G56" si="0">IF(OR(TRIM(D35)&lt;&gt;"",TRIM(F35)&lt;&gt;""),IF(AND(TRIM(D35)&lt;&gt;"",TRIM(F35)&lt;&gt;""),IF(OR(TRIM(C35)&lt;&gt;TRIM(D35),TRIM(C35)&lt;&gt;TRIM(F35)),"_",""),IF(TRIM(C35)&lt;&gt;TRIM(D35), "_", "")),"")</f>
        <v/>
      </c>
      <c r="H35" s="211"/>
      <c r="I35" s="211"/>
      <c r="J35" s="231"/>
      <c r="K35" s="231"/>
    </row>
    <row r="36" spans="2:11" ht="15" customHeight="1" x14ac:dyDescent="0.25">
      <c r="B36" s="400" t="s">
        <v>74</v>
      </c>
      <c r="C36" s="711" t="s">
        <v>1577</v>
      </c>
      <c r="D36" s="712" t="s">
        <v>1577</v>
      </c>
      <c r="F36" s="413"/>
      <c r="G36" s="228" t="str">
        <f t="shared" si="0"/>
        <v/>
      </c>
      <c r="H36" s="211"/>
      <c r="I36" s="211"/>
      <c r="J36" s="231"/>
      <c r="K36" s="231"/>
    </row>
    <row r="37" spans="2:11" x14ac:dyDescent="0.25">
      <c r="B37" s="400" t="s">
        <v>151</v>
      </c>
      <c r="C37" s="711" t="s">
        <v>1035</v>
      </c>
      <c r="D37" s="712" t="s">
        <v>1035</v>
      </c>
      <c r="F37" s="413"/>
      <c r="G37" s="228" t="str">
        <f t="shared" si="0"/>
        <v/>
      </c>
      <c r="H37" s="211"/>
      <c r="I37" s="211"/>
      <c r="J37" s="231"/>
      <c r="K37" s="231"/>
    </row>
    <row r="38" spans="2:11" x14ac:dyDescent="0.25">
      <c r="B38" s="400" t="s">
        <v>152</v>
      </c>
      <c r="C38" s="711" t="s">
        <v>1480</v>
      </c>
      <c r="D38" s="712" t="s">
        <v>1480</v>
      </c>
      <c r="F38" s="413"/>
      <c r="G38" s="228" t="str">
        <f t="shared" si="0"/>
        <v/>
      </c>
      <c r="H38" s="211"/>
      <c r="I38" s="211"/>
      <c r="J38" s="231"/>
      <c r="K38" s="231"/>
    </row>
    <row r="39" spans="2:11" x14ac:dyDescent="0.25">
      <c r="B39" s="400" t="s">
        <v>77</v>
      </c>
      <c r="C39" s="711" t="s">
        <v>1433</v>
      </c>
      <c r="D39" s="712" t="s">
        <v>1433</v>
      </c>
      <c r="F39" s="413"/>
      <c r="G39" s="228" t="str">
        <f t="shared" si="0"/>
        <v/>
      </c>
      <c r="H39" s="211"/>
      <c r="I39" s="211"/>
      <c r="J39" s="231"/>
      <c r="K39" s="231"/>
    </row>
    <row r="40" spans="2:11" x14ac:dyDescent="0.25">
      <c r="B40" s="400" t="s">
        <v>390</v>
      </c>
      <c r="C40" s="459" t="s">
        <v>157</v>
      </c>
      <c r="D40" s="692" t="s">
        <v>157</v>
      </c>
      <c r="F40" s="413"/>
      <c r="G40" s="228" t="str">
        <f t="shared" si="0"/>
        <v/>
      </c>
      <c r="H40" s="211"/>
      <c r="I40" s="211"/>
      <c r="J40" s="231"/>
      <c r="K40" s="231"/>
    </row>
    <row r="41" spans="2:11" x14ac:dyDescent="0.25">
      <c r="B41" s="400" t="s">
        <v>755</v>
      </c>
      <c r="C41" s="459" t="s">
        <v>157</v>
      </c>
      <c r="D41" s="692" t="s">
        <v>157</v>
      </c>
      <c r="F41" s="413"/>
      <c r="G41" s="228" t="str">
        <f t="shared" si="0"/>
        <v/>
      </c>
      <c r="H41" s="211"/>
      <c r="I41" s="211"/>
      <c r="J41" s="231"/>
      <c r="K41" s="231"/>
    </row>
    <row r="42" spans="2:11" hidden="1" x14ac:dyDescent="0.25">
      <c r="B42" s="814" t="s">
        <v>168</v>
      </c>
      <c r="C42" s="810"/>
      <c r="D42" s="785"/>
      <c r="F42" s="413"/>
      <c r="G42" s="228" t="str">
        <f t="shared" si="0"/>
        <v/>
      </c>
      <c r="H42" s="211"/>
      <c r="I42" s="211"/>
      <c r="J42" s="231"/>
      <c r="K42" s="231"/>
    </row>
    <row r="43" spans="2:11" ht="15" hidden="1" customHeight="1" x14ac:dyDescent="0.25">
      <c r="B43" s="400" t="s">
        <v>169</v>
      </c>
      <c r="C43" s="459" t="s">
        <v>157</v>
      </c>
      <c r="D43" s="692" t="s">
        <v>157</v>
      </c>
      <c r="F43" s="413"/>
      <c r="G43" s="228" t="str">
        <f t="shared" si="0"/>
        <v/>
      </c>
      <c r="H43" s="211"/>
      <c r="I43" s="211"/>
      <c r="J43" s="231"/>
      <c r="K43" s="231"/>
    </row>
    <row r="44" spans="2:11" ht="7.5" customHeight="1" x14ac:dyDescent="0.25">
      <c r="B44" s="310"/>
      <c r="C44" s="228"/>
      <c r="D44" s="228"/>
      <c r="F44" s="275"/>
      <c r="G44" s="228" t="str">
        <f t="shared" si="0"/>
        <v/>
      </c>
      <c r="H44" s="211"/>
      <c r="I44" s="211"/>
      <c r="J44" s="381"/>
    </row>
    <row r="45" spans="2:11" x14ac:dyDescent="0.25">
      <c r="B45" s="523" t="s">
        <v>103</v>
      </c>
      <c r="C45" s="524" t="s">
        <v>62</v>
      </c>
      <c r="D45" s="525" t="s">
        <v>63</v>
      </c>
      <c r="F45" s="526" t="s">
        <v>146</v>
      </c>
      <c r="G45" s="228" t="str">
        <f t="shared" si="0"/>
        <v>_</v>
      </c>
      <c r="H45" s="211"/>
      <c r="I45" s="211"/>
      <c r="J45" s="527" t="s">
        <v>1002</v>
      </c>
      <c r="K45" s="527" t="s">
        <v>363</v>
      </c>
    </row>
    <row r="46" spans="2:11" x14ac:dyDescent="0.25">
      <c r="B46" s="691" t="s">
        <v>988</v>
      </c>
      <c r="C46" s="459" t="s">
        <v>157</v>
      </c>
      <c r="D46" s="692" t="s">
        <v>157</v>
      </c>
      <c r="F46" s="443"/>
      <c r="G46" s="228" t="str">
        <f t="shared" si="0"/>
        <v/>
      </c>
      <c r="H46" s="211"/>
      <c r="I46" s="211"/>
      <c r="J46" s="231"/>
      <c r="K46" s="231"/>
    </row>
    <row r="47" spans="2:11" hidden="1" x14ac:dyDescent="0.25">
      <c r="B47" s="400"/>
      <c r="C47" s="412"/>
      <c r="D47" s="390"/>
      <c r="F47" s="413"/>
      <c r="G47" s="228" t="str">
        <f t="shared" si="0"/>
        <v/>
      </c>
      <c r="H47" s="211"/>
      <c r="I47" s="211"/>
      <c r="J47" s="231"/>
      <c r="K47" s="231"/>
    </row>
    <row r="48" spans="2:11" hidden="1" x14ac:dyDescent="0.25">
      <c r="B48" s="400"/>
      <c r="C48" s="412"/>
      <c r="D48" s="390"/>
      <c r="F48" s="413"/>
      <c r="G48" s="228" t="str">
        <f t="shared" si="0"/>
        <v/>
      </c>
      <c r="H48" s="211"/>
      <c r="I48" s="211"/>
      <c r="J48" s="231"/>
      <c r="K48" s="231"/>
    </row>
    <row r="49" spans="2:11" ht="6.75" customHeight="1" x14ac:dyDescent="0.25">
      <c r="B49" s="211"/>
      <c r="C49" s="228"/>
      <c r="D49" s="228"/>
      <c r="F49" s="228"/>
      <c r="G49" s="228" t="str">
        <f t="shared" si="0"/>
        <v/>
      </c>
      <c r="H49" s="211"/>
      <c r="I49" s="211"/>
      <c r="J49" s="381"/>
    </row>
    <row r="50" spans="2:11" x14ac:dyDescent="0.25">
      <c r="B50" s="528" t="s">
        <v>359</v>
      </c>
      <c r="C50" s="524" t="s">
        <v>62</v>
      </c>
      <c r="D50" s="525" t="s">
        <v>63</v>
      </c>
      <c r="F50" s="526" t="s">
        <v>146</v>
      </c>
      <c r="G50" s="228" t="str">
        <f t="shared" si="0"/>
        <v>_</v>
      </c>
      <c r="H50" s="211"/>
      <c r="I50" s="211"/>
      <c r="J50" s="527" t="s">
        <v>1002</v>
      </c>
      <c r="K50" s="527" t="s">
        <v>363</v>
      </c>
    </row>
    <row r="51" spans="2:11" ht="15" customHeight="1" x14ac:dyDescent="0.25">
      <c r="B51" s="673" t="s">
        <v>1575</v>
      </c>
      <c r="C51" s="711" t="s">
        <v>1576</v>
      </c>
      <c r="D51" s="390" t="s">
        <v>1576</v>
      </c>
      <c r="F51" s="413"/>
      <c r="G51" s="228" t="str">
        <f t="shared" si="0"/>
        <v/>
      </c>
      <c r="H51" s="211"/>
      <c r="I51" s="211"/>
      <c r="J51" s="231"/>
      <c r="K51" s="231"/>
    </row>
    <row r="52" spans="2:11" x14ac:dyDescent="0.25">
      <c r="B52" s="368"/>
      <c r="C52" s="412"/>
      <c r="D52" s="390"/>
      <c r="F52" s="413"/>
      <c r="G52" s="228" t="str">
        <f t="shared" si="0"/>
        <v/>
      </c>
      <c r="H52" s="211"/>
      <c r="I52" s="211"/>
      <c r="J52" s="231"/>
      <c r="K52" s="231"/>
    </row>
    <row r="53" spans="2:11" x14ac:dyDescent="0.25">
      <c r="B53" s="368"/>
      <c r="C53" s="412"/>
      <c r="D53" s="390"/>
      <c r="E53" s="16"/>
      <c r="F53" s="413"/>
      <c r="G53" s="228" t="str">
        <f t="shared" si="0"/>
        <v/>
      </c>
      <c r="H53" s="211"/>
      <c r="I53" s="211"/>
      <c r="J53" s="231"/>
      <c r="K53" s="231"/>
    </row>
    <row r="54" spans="2:11" x14ac:dyDescent="0.25">
      <c r="B54" s="368"/>
      <c r="C54" s="412"/>
      <c r="D54" s="390"/>
      <c r="E54" s="16"/>
      <c r="F54" s="413"/>
      <c r="G54" s="228" t="str">
        <f t="shared" si="0"/>
        <v/>
      </c>
      <c r="H54" s="211"/>
      <c r="I54" s="211"/>
      <c r="J54" s="231"/>
      <c r="K54" s="231"/>
    </row>
    <row r="55" spans="2:11" x14ac:dyDescent="0.25">
      <c r="B55" s="382"/>
      <c r="C55" s="412"/>
      <c r="D55" s="390"/>
      <c r="E55" s="16"/>
      <c r="F55" s="413"/>
      <c r="G55" s="228" t="str">
        <f t="shared" si="0"/>
        <v/>
      </c>
      <c r="H55" s="211"/>
      <c r="I55" s="211"/>
      <c r="J55" s="231"/>
      <c r="K55" s="231"/>
    </row>
    <row r="56" spans="2:11" x14ac:dyDescent="0.25">
      <c r="B56" s="400"/>
      <c r="C56" s="412"/>
      <c r="D56" s="390"/>
      <c r="E56" s="16"/>
      <c r="F56" s="413"/>
      <c r="G56" s="228" t="str">
        <f t="shared" si="0"/>
        <v/>
      </c>
      <c r="H56" s="211"/>
      <c r="I56" s="211"/>
      <c r="J56" s="231"/>
      <c r="K56" s="231"/>
    </row>
    <row r="57" spans="2:11" x14ac:dyDescent="0.25">
      <c r="B57" s="400"/>
      <c r="C57" s="412"/>
      <c r="D57" s="390"/>
      <c r="E57" s="16"/>
      <c r="F57" s="413"/>
      <c r="G57" s="228" t="str">
        <f t="shared" ref="G57:G68" si="1">IF(OR(TRIM(D57)&lt;&gt;"",TRIM(F57)&lt;&gt;""),IF(AND(TRIM(D57)&lt;&gt;"",TRIM(F57)&lt;&gt;""),IF(OR(TRIM(C57)&lt;&gt;TRIM(D57),TRIM(C57)&lt;&gt;TRIM(F57)),"_",""),IF(TRIM(C57)&lt;&gt;TRIM(D57), "_", "")),"")</f>
        <v/>
      </c>
      <c r="H57" s="211"/>
      <c r="I57" s="211"/>
      <c r="J57" s="231"/>
      <c r="K57" s="231"/>
    </row>
    <row r="58" spans="2:11" x14ac:dyDescent="0.25">
      <c r="B58" s="368"/>
      <c r="C58" s="412"/>
      <c r="D58" s="390"/>
      <c r="E58" s="16"/>
      <c r="F58" s="413"/>
      <c r="G58" s="228" t="str">
        <f t="shared" si="1"/>
        <v/>
      </c>
      <c r="H58" s="211"/>
      <c r="I58" s="211"/>
      <c r="J58" s="231"/>
      <c r="K58" s="231"/>
    </row>
    <row r="59" spans="2:11" x14ac:dyDescent="0.25">
      <c r="B59" s="400"/>
      <c r="C59" s="412"/>
      <c r="D59" s="390"/>
      <c r="E59" s="16"/>
      <c r="F59" s="413"/>
      <c r="G59" s="228" t="str">
        <f t="shared" si="1"/>
        <v/>
      </c>
      <c r="H59" s="211"/>
      <c r="I59" s="211"/>
      <c r="J59" s="231"/>
      <c r="K59" s="231"/>
    </row>
    <row r="60" spans="2:11" x14ac:dyDescent="0.25">
      <c r="B60" s="400"/>
      <c r="C60" s="412"/>
      <c r="D60" s="390"/>
      <c r="E60" s="16"/>
      <c r="F60" s="413"/>
      <c r="G60" s="228" t="str">
        <f t="shared" si="1"/>
        <v/>
      </c>
      <c r="H60" s="211"/>
      <c r="I60" s="211"/>
      <c r="J60" s="231"/>
      <c r="K60" s="231"/>
    </row>
    <row r="61" spans="2:11" x14ac:dyDescent="0.25">
      <c r="B61" s="400"/>
      <c r="C61" s="412"/>
      <c r="D61" s="390"/>
      <c r="E61" s="16"/>
      <c r="F61" s="413"/>
      <c r="G61" s="228" t="str">
        <f t="shared" si="1"/>
        <v/>
      </c>
      <c r="H61" s="211"/>
      <c r="I61" s="211"/>
      <c r="J61" s="231"/>
      <c r="K61" s="231"/>
    </row>
    <row r="62" spans="2:11" x14ac:dyDescent="0.25">
      <c r="B62" s="368"/>
      <c r="C62" s="412"/>
      <c r="D62" s="390"/>
      <c r="E62" s="16"/>
      <c r="F62" s="413"/>
      <c r="G62" s="228" t="str">
        <f t="shared" si="1"/>
        <v/>
      </c>
      <c r="H62" s="211"/>
      <c r="I62" s="211"/>
      <c r="J62" s="231"/>
      <c r="K62" s="231"/>
    </row>
    <row r="63" spans="2:11" x14ac:dyDescent="0.25">
      <c r="B63" s="368"/>
      <c r="C63" s="412"/>
      <c r="D63" s="390"/>
      <c r="E63" s="16"/>
      <c r="F63" s="413"/>
      <c r="G63" s="228" t="str">
        <f t="shared" si="1"/>
        <v/>
      </c>
      <c r="H63" s="211"/>
      <c r="I63" s="211"/>
      <c r="J63" s="231"/>
      <c r="K63" s="231"/>
    </row>
    <row r="64" spans="2:11" x14ac:dyDescent="0.25">
      <c r="B64" s="400"/>
      <c r="C64" s="412"/>
      <c r="D64" s="390"/>
      <c r="E64" s="16"/>
      <c r="F64" s="413"/>
      <c r="G64" s="228" t="str">
        <f t="shared" si="1"/>
        <v/>
      </c>
      <c r="H64" s="211"/>
      <c r="I64" s="211"/>
      <c r="J64" s="231"/>
      <c r="K64" s="231"/>
    </row>
    <row r="65" spans="2:11" x14ac:dyDescent="0.25">
      <c r="B65" s="368"/>
      <c r="C65" s="412"/>
      <c r="D65" s="390"/>
      <c r="E65" s="16"/>
      <c r="F65" s="413"/>
      <c r="G65" s="228" t="str">
        <f t="shared" si="1"/>
        <v/>
      </c>
      <c r="H65" s="211"/>
      <c r="I65" s="211"/>
      <c r="J65" s="231"/>
      <c r="K65" s="231"/>
    </row>
    <row r="66" spans="2:11" x14ac:dyDescent="0.25">
      <c r="B66" s="368"/>
      <c r="C66" s="412"/>
      <c r="D66" s="390"/>
      <c r="E66" s="16"/>
      <c r="F66" s="413"/>
      <c r="G66" s="228" t="str">
        <f t="shared" si="1"/>
        <v/>
      </c>
      <c r="H66" s="211"/>
      <c r="I66" s="211"/>
      <c r="J66" s="231"/>
      <c r="K66" s="231"/>
    </row>
    <row r="67" spans="2:11" x14ac:dyDescent="0.25">
      <c r="B67" s="368"/>
      <c r="C67" s="412"/>
      <c r="D67" s="390"/>
      <c r="E67" s="16"/>
      <c r="F67" s="413"/>
      <c r="G67" s="228" t="str">
        <f t="shared" si="1"/>
        <v/>
      </c>
      <c r="H67" s="211"/>
      <c r="I67" s="211"/>
      <c r="J67" s="231"/>
      <c r="K67" s="231"/>
    </row>
    <row r="68" spans="2:11" x14ac:dyDescent="0.25">
      <c r="B68" s="400"/>
      <c r="C68" s="412"/>
      <c r="D68" s="390"/>
      <c r="E68" s="16"/>
      <c r="F68" s="413"/>
      <c r="G68" s="228" t="str">
        <f t="shared" si="1"/>
        <v/>
      </c>
      <c r="H68" s="211"/>
      <c r="I68" s="211"/>
      <c r="J68" s="231"/>
      <c r="K68" s="231"/>
    </row>
  </sheetData>
  <mergeCells count="4">
    <mergeCell ref="B28:D28"/>
    <mergeCell ref="B29:F29"/>
    <mergeCell ref="B31:D31"/>
    <mergeCell ref="B32:F32"/>
  </mergeCells>
  <conditionalFormatting sqref="G1:G11 G69:G1048576 G13:G56">
    <cfRule type="cellIs" dxfId="208" priority="11" operator="equal">
      <formula>"_"</formula>
    </cfRule>
  </conditionalFormatting>
  <conditionalFormatting sqref="G12">
    <cfRule type="cellIs" dxfId="207" priority="4" operator="equal">
      <formula>"_"</formula>
    </cfRule>
  </conditionalFormatting>
  <conditionalFormatting sqref="G57:G68">
    <cfRule type="cellIs" dxfId="206" priority="2"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T5CS 4th Excess Liability</oddHeader>
    <oddFooter>&amp;L&amp;G&amp;CPage &amp;P of &amp;N</oddFooter>
  </headerFooter>
  <rowBreaks count="1" manualBreakCount="1">
    <brk id="33" min="1" max="3" man="1"/>
  </row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B1:M147"/>
  <sheetViews>
    <sheetView showGridLines="0" view="pageBreakPreview" zoomScale="115" zoomScaleNormal="100" zoomScaleSheetLayoutView="115" workbookViewId="0">
      <selection activeCell="H21" sqref="H21"/>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2" style="16" customWidth="1"/>
    <col min="14" max="53" width="9.140625" style="16" customWidth="1"/>
    <col min="54" max="16384" width="9.140625" style="16"/>
  </cols>
  <sheetData>
    <row r="1" spans="2:13" ht="7.5" customHeight="1" x14ac:dyDescent="0.25">
      <c r="E1" s="450"/>
    </row>
    <row r="2" spans="2:13" ht="15.75" x14ac:dyDescent="0.25">
      <c r="B2" s="453" t="s">
        <v>1618</v>
      </c>
      <c r="E2" s="450"/>
      <c r="H2" s="454"/>
      <c r="I2" s="455"/>
      <c r="J2" s="455"/>
      <c r="L2" s="456" t="s">
        <v>391</v>
      </c>
      <c r="M2" s="381" t="s">
        <v>361</v>
      </c>
    </row>
    <row r="3" spans="2:13" x14ac:dyDescent="0.25">
      <c r="D3" s="455" t="str">
        <f xml:space="preserve"> IF(Input!D653=Input!G653,CHAR(254), "")</f>
        <v/>
      </c>
      <c r="E3" s="457"/>
      <c r="F3" s="458" t="str">
        <f xml:space="preserve"> IF(Input!E653=Input!G653,CHAR(254), "")</f>
        <v/>
      </c>
      <c r="L3" s="459" t="s">
        <v>157</v>
      </c>
      <c r="M3" s="211" t="s">
        <v>362</v>
      </c>
    </row>
    <row r="4" spans="2:13" x14ac:dyDescent="0.25">
      <c r="B4" s="523" t="s">
        <v>66</v>
      </c>
      <c r="C4" s="524" t="s">
        <v>62</v>
      </c>
      <c r="D4" s="525" t="s">
        <v>63</v>
      </c>
      <c r="E4" s="426"/>
      <c r="F4" s="526" t="s">
        <v>146</v>
      </c>
      <c r="G4" s="211"/>
      <c r="H4" s="211"/>
      <c r="I4" s="211"/>
      <c r="J4" s="527" t="s">
        <v>1002</v>
      </c>
      <c r="K4" s="527" t="s">
        <v>363</v>
      </c>
      <c r="L4" s="460"/>
      <c r="M4" s="211"/>
    </row>
    <row r="5" spans="2:13" ht="45" customHeight="1" x14ac:dyDescent="0.25">
      <c r="B5" s="409" t="s">
        <v>60</v>
      </c>
      <c r="C5" s="412" t="str">
        <f>Input!B654</f>
        <v>Valley Forge Insurance Company (CNA)</v>
      </c>
      <c r="D5" s="390" t="str">
        <f>Input!D654</f>
        <v>Valley Forge Insurance Company (CNA)</v>
      </c>
      <c r="F5" s="413" t="str">
        <f>Input!E654</f>
        <v>Valley Forge Insurance Company (CNA)</v>
      </c>
      <c r="G5" s="211"/>
      <c r="H5" s="211"/>
      <c r="I5" s="211"/>
      <c r="J5" s="231"/>
      <c r="K5" s="231"/>
    </row>
    <row r="6" spans="2:13" x14ac:dyDescent="0.25">
      <c r="B6" s="409" t="s">
        <v>69</v>
      </c>
      <c r="C6" s="412" t="str">
        <f>Input!B656</f>
        <v>A: XV</v>
      </c>
      <c r="D6" s="390" t="str">
        <f>Input!D656</f>
        <v>A: XV</v>
      </c>
      <c r="F6" s="413" t="str">
        <f>Input!E656</f>
        <v>A: XV</v>
      </c>
      <c r="G6" s="211"/>
      <c r="H6" s="211"/>
      <c r="I6" s="211"/>
      <c r="J6" s="231"/>
      <c r="K6" s="231"/>
    </row>
    <row r="7" spans="2:13" x14ac:dyDescent="0.25">
      <c r="B7" s="409" t="str">
        <f>Input!B652</f>
        <v>Renewal Policy Number</v>
      </c>
      <c r="C7" s="412">
        <f>Input!C651</f>
        <v>6080911471</v>
      </c>
      <c r="D7" s="390">
        <f>Input!C652</f>
        <v>6080911471</v>
      </c>
      <c r="F7" s="413">
        <f>Input!C652</f>
        <v>6080911471</v>
      </c>
      <c r="G7" s="211"/>
      <c r="H7" s="211"/>
      <c r="I7" s="211"/>
      <c r="J7" s="231"/>
      <c r="K7" s="231"/>
    </row>
    <row r="8" spans="2:13" ht="15" customHeight="1" x14ac:dyDescent="0.25">
      <c r="B8" s="409" t="str">
        <f>Input!B6</f>
        <v>Renewal Policy Period</v>
      </c>
      <c r="C8" s="412" t="str">
        <f>Input!C5</f>
        <v>7/1/2022 - 7/1/2023</v>
      </c>
      <c r="D8" s="390" t="str">
        <f>Input!C6</f>
        <v>7/1/2023 - 7/1/2024</v>
      </c>
      <c r="F8" s="413" t="str">
        <f>Input!C6</f>
        <v>7/1/2023 - 7/1/2024</v>
      </c>
      <c r="G8" s="211"/>
      <c r="H8" s="211"/>
      <c r="I8" s="211"/>
      <c r="J8" s="231"/>
      <c r="K8" s="231"/>
    </row>
    <row r="9" spans="2:13" x14ac:dyDescent="0.25">
      <c r="B9" s="479" t="str">
        <f>Input!B686</f>
        <v>Policy Limits</v>
      </c>
      <c r="C9" s="479"/>
      <c r="D9" s="479"/>
      <c r="F9" s="562"/>
      <c r="G9" s="211"/>
      <c r="H9" s="211"/>
      <c r="I9" s="211"/>
      <c r="J9" s="566"/>
      <c r="K9" s="566"/>
    </row>
    <row r="10" spans="2:13" x14ac:dyDescent="0.25">
      <c r="B10" s="409" t="str">
        <f>Input!B688</f>
        <v>Each Occurrence</v>
      </c>
      <c r="C10" s="398">
        <f>Input!C688</f>
        <v>1000000</v>
      </c>
      <c r="D10" s="425">
        <f>Input!D688</f>
        <v>1000000</v>
      </c>
      <c r="E10" s="414"/>
      <c r="F10" s="427">
        <f>Input!E688</f>
        <v>0</v>
      </c>
      <c r="G10" s="211"/>
      <c r="H10" s="211"/>
      <c r="I10" s="211"/>
      <c r="J10" s="231"/>
      <c r="K10" s="231"/>
    </row>
    <row r="11" spans="2:13" x14ac:dyDescent="0.25">
      <c r="B11" s="409" t="str">
        <f>Input!B689</f>
        <v>Products / Completed Operations Aggregate</v>
      </c>
      <c r="C11" s="398">
        <f>Input!C689</f>
        <v>2000000</v>
      </c>
      <c r="D11" s="425">
        <f>Input!D689</f>
        <v>2000000</v>
      </c>
      <c r="E11" s="414"/>
      <c r="F11" s="427">
        <f>Input!E689</f>
        <v>0</v>
      </c>
      <c r="G11" s="211"/>
      <c r="H11" s="211"/>
      <c r="I11" s="211"/>
      <c r="J11" s="231"/>
      <c r="K11" s="231"/>
    </row>
    <row r="12" spans="2:13" x14ac:dyDescent="0.25">
      <c r="B12" s="409" t="str">
        <f>Input!B690</f>
        <v>Personal and Advertising Injury</v>
      </c>
      <c r="C12" s="398">
        <f>Input!C690</f>
        <v>1000000</v>
      </c>
      <c r="D12" s="425">
        <f>Input!D690</f>
        <v>1000000</v>
      </c>
      <c r="E12" s="414"/>
      <c r="F12" s="427">
        <f>Input!E690</f>
        <v>0</v>
      </c>
      <c r="G12" s="211"/>
      <c r="H12" s="211"/>
      <c r="I12" s="211"/>
      <c r="J12" s="231"/>
      <c r="K12" s="231"/>
    </row>
    <row r="13" spans="2:13" x14ac:dyDescent="0.25">
      <c r="B13" s="409" t="str">
        <f>Input!B691</f>
        <v>General Aggregate</v>
      </c>
      <c r="C13" s="398">
        <f>Input!C691</f>
        <v>2000000</v>
      </c>
      <c r="D13" s="425">
        <f>Input!D691</f>
        <v>2000000</v>
      </c>
      <c r="E13" s="414"/>
      <c r="F13" s="427">
        <f>Input!E691</f>
        <v>0</v>
      </c>
      <c r="G13" s="211"/>
      <c r="H13" s="211"/>
      <c r="I13" s="211"/>
      <c r="J13" s="231"/>
      <c r="K13" s="231"/>
    </row>
    <row r="14" spans="2:13" x14ac:dyDescent="0.25">
      <c r="B14" s="409" t="str">
        <f>Input!B692</f>
        <v>Damage to Premises Rented to You</v>
      </c>
      <c r="C14" s="398">
        <f>Input!C692</f>
        <v>1000000</v>
      </c>
      <c r="D14" s="425">
        <f>Input!D692</f>
        <v>1000000</v>
      </c>
      <c r="E14" s="414"/>
      <c r="F14" s="427">
        <f>Input!E692</f>
        <v>0</v>
      </c>
      <c r="G14" s="211"/>
      <c r="H14" s="211"/>
      <c r="I14" s="211"/>
      <c r="J14" s="231"/>
      <c r="K14" s="231"/>
    </row>
    <row r="15" spans="2:13" x14ac:dyDescent="0.25">
      <c r="B15" s="409" t="str">
        <f>Input!B693</f>
        <v>Medical Payments</v>
      </c>
      <c r="C15" s="398">
        <f>Input!C693</f>
        <v>15000</v>
      </c>
      <c r="D15" s="425">
        <f>Input!D693</f>
        <v>15000</v>
      </c>
      <c r="E15" s="414"/>
      <c r="F15" s="427">
        <f>Input!E693</f>
        <v>0</v>
      </c>
      <c r="G15" s="211"/>
      <c r="H15" s="211"/>
      <c r="I15" s="211"/>
      <c r="J15" s="231"/>
      <c r="K15" s="231"/>
    </row>
    <row r="16" spans="2:13" x14ac:dyDescent="0.25">
      <c r="B16" s="409" t="str">
        <f>Input!B694</f>
        <v>Employee Benefits Liability - Each Employee</v>
      </c>
      <c r="C16" s="398">
        <f>Input!C694</f>
        <v>1000000</v>
      </c>
      <c r="D16" s="425">
        <f>Input!D694</f>
        <v>1000000</v>
      </c>
      <c r="F16" s="427">
        <f>Input!E694</f>
        <v>0</v>
      </c>
      <c r="G16" s="211"/>
      <c r="H16" s="211"/>
      <c r="I16" s="211"/>
      <c r="J16" s="231"/>
      <c r="K16" s="231"/>
    </row>
    <row r="17" spans="2:11" x14ac:dyDescent="0.25">
      <c r="B17" s="409" t="str">
        <f>Input!B695</f>
        <v>Employee Benefits Liability - Aggregate</v>
      </c>
      <c r="C17" s="398">
        <f>Input!C695</f>
        <v>1000000</v>
      </c>
      <c r="D17" s="425">
        <f>Input!D695</f>
        <v>1000000</v>
      </c>
      <c r="F17" s="427">
        <f>Input!E695</f>
        <v>0</v>
      </c>
      <c r="G17" s="211"/>
      <c r="H17" s="211"/>
      <c r="I17" s="211"/>
      <c r="J17" s="231"/>
      <c r="K17" s="231"/>
    </row>
    <row r="18" spans="2:11" x14ac:dyDescent="0.25">
      <c r="B18" s="479" t="str">
        <f>Input!B696</f>
        <v>Policy Deductibles</v>
      </c>
      <c r="C18" s="479"/>
      <c r="D18" s="479"/>
      <c r="F18" s="562"/>
      <c r="G18" s="211"/>
      <c r="H18" s="211"/>
      <c r="I18" s="211"/>
      <c r="J18" s="566"/>
      <c r="K18" s="566"/>
    </row>
    <row r="19" spans="2:11" x14ac:dyDescent="0.25">
      <c r="B19" s="402" t="str">
        <f>Input!B698</f>
        <v>General Liability</v>
      </c>
      <c r="C19" s="403">
        <f>Input!C698</f>
        <v>0</v>
      </c>
      <c r="D19" s="425">
        <f>Input!D698</f>
        <v>0</v>
      </c>
      <c r="E19" s="238"/>
      <c r="F19" s="427">
        <f>Input!E698</f>
        <v>0</v>
      </c>
      <c r="G19" s="211"/>
      <c r="H19" s="211"/>
      <c r="I19" s="211"/>
      <c r="J19" s="231"/>
      <c r="K19" s="231"/>
    </row>
    <row r="20" spans="2:11" x14ac:dyDescent="0.25">
      <c r="B20" s="402" t="str">
        <f>Input!B699</f>
        <v>Employee Benefits Liability</v>
      </c>
      <c r="C20" s="403">
        <f>Input!C699</f>
        <v>1000</v>
      </c>
      <c r="D20" s="425">
        <f>Input!D699</f>
        <v>1000</v>
      </c>
      <c r="E20" s="432"/>
      <c r="F20" s="427">
        <f>Input!E699</f>
        <v>0</v>
      </c>
      <c r="G20" s="211"/>
      <c r="H20" s="211"/>
      <c r="I20" s="211"/>
      <c r="J20" s="231"/>
      <c r="K20" s="231"/>
    </row>
    <row r="21" spans="2:11" x14ac:dyDescent="0.25">
      <c r="B21" s="479" t="s">
        <v>367</v>
      </c>
      <c r="C21" s="479"/>
      <c r="D21" s="479"/>
      <c r="F21" s="562"/>
      <c r="G21" s="211"/>
      <c r="H21" s="211"/>
      <c r="I21" s="211"/>
      <c r="J21" s="566"/>
      <c r="K21" s="566"/>
    </row>
    <row r="22" spans="2:11" x14ac:dyDescent="0.25">
      <c r="B22" s="402" t="s">
        <v>321</v>
      </c>
      <c r="C22" s="428">
        <f>Input!B658</f>
        <v>19691</v>
      </c>
      <c r="D22" s="425">
        <f>Input!D658</f>
        <v>25252</v>
      </c>
      <c r="E22" s="433"/>
      <c r="F22" s="427">
        <f>Input!E658</f>
        <v>25252</v>
      </c>
      <c r="G22" s="211"/>
      <c r="H22" s="211"/>
      <c r="I22" s="211"/>
      <c r="J22" s="231"/>
      <c r="K22" s="231"/>
    </row>
    <row r="23" spans="2:11" x14ac:dyDescent="0.25">
      <c r="B23" s="402" t="s">
        <v>366</v>
      </c>
      <c r="C23" s="428">
        <f>Input!B670</f>
        <v>0</v>
      </c>
      <c r="D23" s="425">
        <f>Input!D670</f>
        <v>0</v>
      </c>
      <c r="E23" s="434"/>
      <c r="F23" s="427">
        <f>Input!E670</f>
        <v>0</v>
      </c>
      <c r="G23" s="211"/>
      <c r="H23" s="211"/>
      <c r="I23" s="211"/>
      <c r="J23" s="231"/>
      <c r="K23" s="231"/>
    </row>
    <row r="24" spans="2:11" x14ac:dyDescent="0.25">
      <c r="B24" s="402" t="s">
        <v>365</v>
      </c>
      <c r="C24" s="429">
        <f>Input!B672</f>
        <v>0</v>
      </c>
      <c r="D24" s="431">
        <f>Input!D672</f>
        <v>0</v>
      </c>
      <c r="F24" s="430">
        <f>Input!E672</f>
        <v>0</v>
      </c>
      <c r="G24" s="211"/>
      <c r="H24" s="211"/>
      <c r="I24" s="211"/>
      <c r="J24" s="231"/>
      <c r="K24" s="231"/>
    </row>
    <row r="25" spans="2:11" x14ac:dyDescent="0.25">
      <c r="B25" s="409" t="s">
        <v>370</v>
      </c>
      <c r="C25" s="428">
        <f>C22+C23+C24</f>
        <v>19691</v>
      </c>
      <c r="D25" s="425">
        <f>D22+D23+D24</f>
        <v>25252</v>
      </c>
      <c r="F25" s="427">
        <f>F22+F23+F24</f>
        <v>25252</v>
      </c>
      <c r="G25" s="211"/>
      <c r="H25" s="211"/>
      <c r="I25" s="211"/>
      <c r="J25" s="231"/>
      <c r="K25" s="231"/>
    </row>
    <row r="26" spans="2:11" ht="7.5" customHeight="1" x14ac:dyDescent="0.25">
      <c r="B26" s="310"/>
      <c r="C26" s="228"/>
      <c r="D26" s="228"/>
      <c r="E26" s="426"/>
      <c r="F26" s="275"/>
      <c r="G26" s="211"/>
      <c r="H26" s="211"/>
      <c r="I26" s="211"/>
      <c r="J26" s="381"/>
    </row>
    <row r="27" spans="2:11" x14ac:dyDescent="0.25">
      <c r="B27" s="1274" t="s">
        <v>144</v>
      </c>
      <c r="C27" s="1274"/>
      <c r="D27" s="1274"/>
      <c r="F27" s="274"/>
      <c r="G27" s="211"/>
      <c r="H27" s="211"/>
      <c r="I27" s="211"/>
      <c r="J27" s="381"/>
    </row>
    <row r="28" spans="2:11" x14ac:dyDescent="0.25">
      <c r="B28" s="1275" t="s">
        <v>1951</v>
      </c>
      <c r="C28" s="1275"/>
      <c r="D28" s="1275"/>
      <c r="E28" s="1044"/>
      <c r="F28" s="1045"/>
      <c r="G28" s="211"/>
      <c r="H28" s="211"/>
      <c r="I28" s="211"/>
      <c r="J28" s="381"/>
    </row>
    <row r="29" spans="2:11" ht="7.5" customHeight="1" x14ac:dyDescent="0.25">
      <c r="B29" s="380"/>
      <c r="C29" s="238"/>
      <c r="D29" s="238"/>
      <c r="F29" s="275"/>
      <c r="G29" s="211"/>
      <c r="H29" s="211"/>
      <c r="I29" s="211"/>
      <c r="J29" s="381"/>
    </row>
    <row r="30" spans="2:11" x14ac:dyDescent="0.25">
      <c r="B30" s="1274" t="s">
        <v>145</v>
      </c>
      <c r="C30" s="1274"/>
      <c r="D30" s="1274"/>
      <c r="F30" s="275"/>
      <c r="G30" s="211"/>
      <c r="H30" s="211"/>
      <c r="I30" s="211"/>
      <c r="J30" s="381"/>
    </row>
    <row r="31" spans="2:11" ht="15" customHeight="1" x14ac:dyDescent="0.25">
      <c r="B31" s="1275" t="s">
        <v>1952</v>
      </c>
      <c r="C31" s="1275"/>
      <c r="D31" s="1275"/>
      <c r="E31" s="1044"/>
      <c r="F31" s="1045"/>
      <c r="G31" s="211"/>
      <c r="H31" s="211"/>
      <c r="I31" s="211"/>
      <c r="J31" s="381"/>
    </row>
    <row r="32" spans="2:11" ht="7.5" customHeight="1" x14ac:dyDescent="0.25">
      <c r="B32" s="310"/>
      <c r="C32" s="228"/>
      <c r="D32" s="228"/>
      <c r="F32" s="275"/>
      <c r="G32" s="211"/>
      <c r="H32" s="211"/>
      <c r="I32" s="211"/>
      <c r="J32" s="381"/>
    </row>
    <row r="33" spans="2:11" x14ac:dyDescent="0.25">
      <c r="B33" s="523" t="s">
        <v>72</v>
      </c>
      <c r="C33" s="524" t="s">
        <v>62</v>
      </c>
      <c r="D33" s="525" t="s">
        <v>63</v>
      </c>
      <c r="F33" s="526" t="s">
        <v>146</v>
      </c>
      <c r="G33" s="211"/>
      <c r="H33" s="211"/>
      <c r="I33" s="211"/>
      <c r="J33" s="527" t="s">
        <v>1002</v>
      </c>
      <c r="K33" s="527" t="s">
        <v>363</v>
      </c>
    </row>
    <row r="34" spans="2:11" x14ac:dyDescent="0.25">
      <c r="B34" s="400" t="s">
        <v>73</v>
      </c>
      <c r="C34" s="711" t="s">
        <v>1033</v>
      </c>
      <c r="D34" s="390" t="s">
        <v>1033</v>
      </c>
      <c r="F34" s="413"/>
      <c r="G34" s="228" t="str">
        <f t="shared" ref="G34:G97" si="0">IF(OR(TRIM(D34)&lt;&gt;"",TRIM(F34)&lt;&gt;""),IF(AND(TRIM(D34)&lt;&gt;"",TRIM(F34)&lt;&gt;""),IF(OR(TRIM(C34)&lt;&gt;TRIM(D34),TRIM(C34)&lt;&gt;TRIM(F34)),"_",""),IF(TRIM(C34)&lt;&gt;TRIM(D34), "_", "")),"")</f>
        <v/>
      </c>
      <c r="H34" s="211"/>
      <c r="I34" s="211"/>
      <c r="J34" s="231"/>
      <c r="K34" s="231"/>
    </row>
    <row r="35" spans="2:11" s="452" customFormat="1" x14ac:dyDescent="0.25">
      <c r="B35" s="400" t="s">
        <v>152</v>
      </c>
      <c r="C35" s="711" t="s">
        <v>284</v>
      </c>
      <c r="D35" s="390" t="s">
        <v>284</v>
      </c>
      <c r="E35" s="16"/>
      <c r="F35" s="413"/>
      <c r="G35" s="228" t="str">
        <f t="shared" si="0"/>
        <v/>
      </c>
      <c r="J35" s="231"/>
      <c r="K35" s="231"/>
    </row>
    <row r="36" spans="2:11" hidden="1" x14ac:dyDescent="0.25">
      <c r="B36" s="722" t="s">
        <v>1103</v>
      </c>
      <c r="C36" s="435"/>
      <c r="D36" s="391"/>
      <c r="E36" s="530"/>
      <c r="F36" s="436"/>
      <c r="G36" s="228" t="str">
        <f t="shared" si="0"/>
        <v/>
      </c>
      <c r="H36" s="16"/>
      <c r="I36" s="586"/>
      <c r="J36" s="232"/>
      <c r="K36" s="232"/>
    </row>
    <row r="37" spans="2:11" hidden="1" x14ac:dyDescent="0.25">
      <c r="B37" s="441" t="s">
        <v>712</v>
      </c>
      <c r="C37" s="438"/>
      <c r="D37" s="439"/>
      <c r="E37" s="530"/>
      <c r="F37" s="440"/>
      <c r="G37" s="228" t="str">
        <f t="shared" si="0"/>
        <v/>
      </c>
      <c r="H37" s="16"/>
      <c r="I37" s="586"/>
      <c r="J37" s="447"/>
      <c r="K37" s="447"/>
    </row>
    <row r="38" spans="2:11" hidden="1" x14ac:dyDescent="0.25">
      <c r="B38" s="442" t="s">
        <v>713</v>
      </c>
      <c r="C38" s="396"/>
      <c r="D38" s="424"/>
      <c r="E38" s="530"/>
      <c r="F38" s="443"/>
      <c r="G38" s="228" t="str">
        <f t="shared" si="0"/>
        <v/>
      </c>
      <c r="H38" s="16"/>
      <c r="I38" s="586"/>
      <c r="J38" s="744"/>
      <c r="K38" s="445"/>
    </row>
    <row r="39" spans="2:11" hidden="1" x14ac:dyDescent="0.25">
      <c r="B39" s="489" t="s">
        <v>16</v>
      </c>
      <c r="C39" s="490"/>
      <c r="D39" s="490"/>
      <c r="E39" s="16"/>
      <c r="F39" s="613"/>
      <c r="G39" s="228" t="str">
        <f t="shared" si="0"/>
        <v/>
      </c>
      <c r="H39" s="211"/>
      <c r="I39" s="211"/>
      <c r="J39" s="613"/>
      <c r="K39" s="613"/>
    </row>
    <row r="40" spans="2:11" x14ac:dyDescent="0.25">
      <c r="B40" s="588" t="s">
        <v>74</v>
      </c>
      <c r="C40" s="589"/>
      <c r="D40" s="391"/>
      <c r="F40" s="436"/>
      <c r="G40" s="228" t="str">
        <f t="shared" si="0"/>
        <v/>
      </c>
      <c r="H40" s="211"/>
      <c r="I40" s="211"/>
      <c r="J40" s="232"/>
      <c r="K40" s="232"/>
    </row>
    <row r="41" spans="2:11" x14ac:dyDescent="0.25">
      <c r="B41" s="590" t="s">
        <v>16</v>
      </c>
      <c r="C41" s="821" t="s">
        <v>1390</v>
      </c>
      <c r="D41" s="439" t="s">
        <v>1390</v>
      </c>
      <c r="F41" s="440"/>
      <c r="G41" s="228" t="str">
        <f t="shared" si="0"/>
        <v/>
      </c>
      <c r="H41" s="211"/>
      <c r="I41" s="211"/>
      <c r="J41" s="447"/>
      <c r="K41" s="447"/>
    </row>
    <row r="42" spans="2:11" ht="15" customHeight="1" x14ac:dyDescent="0.25">
      <c r="B42" s="591" t="s">
        <v>257</v>
      </c>
      <c r="C42" s="822" t="s">
        <v>1391</v>
      </c>
      <c r="D42" s="424" t="s">
        <v>1391</v>
      </c>
      <c r="F42" s="443"/>
      <c r="G42" s="228" t="str">
        <f t="shared" si="0"/>
        <v/>
      </c>
      <c r="H42" s="211"/>
      <c r="I42" s="211"/>
      <c r="J42" s="445"/>
      <c r="K42" s="445"/>
    </row>
    <row r="43" spans="2:11" x14ac:dyDescent="0.25">
      <c r="B43" s="588" t="s">
        <v>151</v>
      </c>
      <c r="C43" s="589"/>
      <c r="D43" s="391"/>
      <c r="F43" s="436"/>
      <c r="G43" s="228" t="str">
        <f t="shared" si="0"/>
        <v/>
      </c>
      <c r="H43" s="211"/>
      <c r="I43" s="211"/>
      <c r="J43" s="232"/>
      <c r="K43" s="232"/>
    </row>
    <row r="44" spans="2:11" x14ac:dyDescent="0.25">
      <c r="B44" s="590" t="s">
        <v>16</v>
      </c>
      <c r="C44" s="821" t="s">
        <v>1035</v>
      </c>
      <c r="D44" s="439" t="s">
        <v>1035</v>
      </c>
      <c r="F44" s="440"/>
      <c r="G44" s="228" t="str">
        <f t="shared" si="0"/>
        <v/>
      </c>
      <c r="H44" s="211"/>
      <c r="I44" s="211"/>
      <c r="J44" s="447"/>
      <c r="K44" s="447"/>
    </row>
    <row r="45" spans="2:11" x14ac:dyDescent="0.25">
      <c r="B45" s="591" t="s">
        <v>257</v>
      </c>
      <c r="C45" s="822" t="s">
        <v>1035</v>
      </c>
      <c r="D45" s="424" t="s">
        <v>1035</v>
      </c>
      <c r="F45" s="443"/>
      <c r="G45" s="228" t="str">
        <f t="shared" si="0"/>
        <v/>
      </c>
      <c r="H45" s="211"/>
      <c r="I45" s="211"/>
      <c r="J45" s="445"/>
      <c r="K45" s="445"/>
    </row>
    <row r="46" spans="2:11" x14ac:dyDescent="0.25">
      <c r="B46" s="593" t="s">
        <v>75</v>
      </c>
      <c r="C46" s="799" t="s">
        <v>284</v>
      </c>
      <c r="D46" s="391" t="s">
        <v>284</v>
      </c>
      <c r="F46" s="436"/>
      <c r="G46" s="228" t="str">
        <f t="shared" si="0"/>
        <v/>
      </c>
      <c r="H46" s="211"/>
      <c r="I46" s="211"/>
      <c r="J46" s="232"/>
      <c r="K46" s="232"/>
    </row>
    <row r="47" spans="2:11" hidden="1" x14ac:dyDescent="0.25">
      <c r="B47" s="590" t="s">
        <v>16</v>
      </c>
      <c r="C47" s="530"/>
      <c r="D47" s="439"/>
      <c r="F47" s="440"/>
      <c r="G47" s="228" t="str">
        <f t="shared" si="0"/>
        <v/>
      </c>
      <c r="H47" s="211"/>
      <c r="I47" s="211"/>
      <c r="J47" s="447"/>
      <c r="K47" s="447"/>
    </row>
    <row r="48" spans="2:11" hidden="1" x14ac:dyDescent="0.25">
      <c r="B48" s="591" t="s">
        <v>257</v>
      </c>
      <c r="C48" s="592"/>
      <c r="D48" s="424"/>
      <c r="F48" s="443"/>
      <c r="G48" s="228" t="str">
        <f t="shared" si="0"/>
        <v/>
      </c>
      <c r="H48" s="211"/>
      <c r="I48" s="211"/>
      <c r="J48" s="445"/>
      <c r="K48" s="445"/>
    </row>
    <row r="49" spans="2:11" x14ac:dyDescent="0.25">
      <c r="B49" s="368" t="s">
        <v>780</v>
      </c>
      <c r="C49" s="802" t="s">
        <v>871</v>
      </c>
      <c r="D49" s="391" t="s">
        <v>871</v>
      </c>
      <c r="F49" s="436"/>
      <c r="G49" s="228" t="str">
        <f t="shared" si="0"/>
        <v/>
      </c>
      <c r="H49" s="211"/>
      <c r="I49" s="211"/>
      <c r="J49" s="232"/>
      <c r="K49" s="232"/>
    </row>
    <row r="50" spans="2:11" ht="25.5" hidden="1" x14ac:dyDescent="0.25">
      <c r="B50" s="595" t="s">
        <v>389</v>
      </c>
      <c r="C50" s="438"/>
      <c r="D50" s="439"/>
      <c r="F50" s="440"/>
      <c r="G50" s="228" t="str">
        <f t="shared" si="0"/>
        <v/>
      </c>
      <c r="H50" s="211"/>
      <c r="I50" s="211"/>
      <c r="J50" s="447"/>
      <c r="K50" s="447"/>
    </row>
    <row r="51" spans="2:11" hidden="1" x14ac:dyDescent="0.25">
      <c r="B51" s="595" t="s">
        <v>702</v>
      </c>
      <c r="C51" s="438"/>
      <c r="D51" s="439"/>
      <c r="F51" s="440"/>
      <c r="G51" s="228" t="str">
        <f t="shared" si="0"/>
        <v/>
      </c>
      <c r="H51" s="211"/>
      <c r="I51" s="211"/>
      <c r="J51" s="447"/>
      <c r="K51" s="447"/>
    </row>
    <row r="52" spans="2:11" hidden="1" x14ac:dyDescent="0.25">
      <c r="B52" s="595" t="s">
        <v>703</v>
      </c>
      <c r="C52" s="438"/>
      <c r="D52" s="439"/>
      <c r="F52" s="440"/>
      <c r="G52" s="228" t="str">
        <f t="shared" si="0"/>
        <v/>
      </c>
      <c r="H52" s="211"/>
      <c r="I52" s="211"/>
      <c r="J52" s="447"/>
      <c r="K52" s="447"/>
    </row>
    <row r="53" spans="2:11" hidden="1" x14ac:dyDescent="0.25">
      <c r="B53" s="594" t="s">
        <v>388</v>
      </c>
      <c r="C53" s="396"/>
      <c r="D53" s="424"/>
      <c r="F53" s="443"/>
      <c r="G53" s="228" t="str">
        <f t="shared" si="0"/>
        <v/>
      </c>
      <c r="H53" s="211"/>
      <c r="I53" s="211"/>
      <c r="J53" s="445"/>
      <c r="K53" s="445"/>
    </row>
    <row r="54" spans="2:11" x14ac:dyDescent="0.25">
      <c r="B54" s="382" t="s">
        <v>390</v>
      </c>
      <c r="C54" s="848" t="s">
        <v>157</v>
      </c>
      <c r="D54" s="862" t="s">
        <v>157</v>
      </c>
      <c r="F54" s="413"/>
      <c r="G54" s="228" t="str">
        <f t="shared" si="0"/>
        <v/>
      </c>
      <c r="H54" s="211"/>
      <c r="I54" s="211"/>
      <c r="J54" s="231"/>
      <c r="K54" s="231"/>
    </row>
    <row r="55" spans="2:11" ht="15" customHeight="1" x14ac:dyDescent="0.25">
      <c r="B55" s="580" t="s">
        <v>707</v>
      </c>
      <c r="C55" s="816" t="s">
        <v>157</v>
      </c>
      <c r="D55" s="748" t="s">
        <v>157</v>
      </c>
      <c r="F55" s="436"/>
      <c r="G55" s="228" t="str">
        <f t="shared" si="0"/>
        <v/>
      </c>
      <c r="H55" s="211"/>
      <c r="I55" s="211"/>
      <c r="J55" s="232"/>
      <c r="K55" s="232"/>
    </row>
    <row r="56" spans="2:11" hidden="1" x14ac:dyDescent="0.25">
      <c r="B56" s="441" t="s">
        <v>704</v>
      </c>
      <c r="C56" s="808" t="s">
        <v>157</v>
      </c>
      <c r="D56" s="749" t="s">
        <v>157</v>
      </c>
      <c r="F56" s="440"/>
      <c r="G56" s="228" t="str">
        <f t="shared" si="0"/>
        <v/>
      </c>
      <c r="H56" s="211"/>
      <c r="I56" s="211"/>
      <c r="J56" s="447"/>
      <c r="K56" s="447"/>
    </row>
    <row r="57" spans="2:11" hidden="1" x14ac:dyDescent="0.25">
      <c r="B57" s="442" t="s">
        <v>705</v>
      </c>
      <c r="C57" s="459" t="s">
        <v>157</v>
      </c>
      <c r="D57" s="692" t="s">
        <v>157</v>
      </c>
      <c r="F57" s="443"/>
      <c r="G57" s="228" t="str">
        <f t="shared" si="0"/>
        <v/>
      </c>
      <c r="H57" s="211"/>
      <c r="I57" s="211"/>
      <c r="J57" s="445"/>
      <c r="K57" s="445"/>
    </row>
    <row r="58" spans="2:11" x14ac:dyDescent="0.25">
      <c r="B58" s="400" t="s">
        <v>708</v>
      </c>
      <c r="C58" s="459" t="s">
        <v>157</v>
      </c>
      <c r="D58" s="692" t="s">
        <v>157</v>
      </c>
      <c r="F58" s="413"/>
      <c r="G58" s="228" t="str">
        <f t="shared" si="0"/>
        <v/>
      </c>
      <c r="H58" s="211"/>
      <c r="I58" s="211"/>
      <c r="J58" s="231"/>
      <c r="K58" s="231"/>
    </row>
    <row r="59" spans="2:11" ht="15" customHeight="1" x14ac:dyDescent="0.25">
      <c r="B59" s="400" t="s">
        <v>706</v>
      </c>
      <c r="C59" s="459" t="s">
        <v>157</v>
      </c>
      <c r="D59" s="692" t="s">
        <v>157</v>
      </c>
      <c r="F59" s="413"/>
      <c r="G59" s="228" t="str">
        <f t="shared" si="0"/>
        <v/>
      </c>
      <c r="H59" s="211"/>
      <c r="I59" s="211"/>
      <c r="J59" s="231"/>
      <c r="K59" s="231"/>
    </row>
    <row r="60" spans="2:11" x14ac:dyDescent="0.25">
      <c r="B60" s="400" t="s">
        <v>709</v>
      </c>
      <c r="C60" s="456" t="s">
        <v>391</v>
      </c>
      <c r="D60" s="797" t="s">
        <v>391</v>
      </c>
      <c r="F60" s="413"/>
      <c r="G60" s="228" t="str">
        <f t="shared" si="0"/>
        <v/>
      </c>
      <c r="H60" s="211"/>
      <c r="I60" s="211"/>
      <c r="J60" s="231"/>
      <c r="K60" s="231"/>
    </row>
    <row r="61" spans="2:11" x14ac:dyDescent="0.25">
      <c r="B61" s="400" t="s">
        <v>710</v>
      </c>
      <c r="C61" s="692" t="s">
        <v>157</v>
      </c>
      <c r="D61" s="692" t="s">
        <v>157</v>
      </c>
      <c r="F61" s="413"/>
      <c r="G61" s="228" t="str">
        <f t="shared" si="0"/>
        <v/>
      </c>
      <c r="H61" s="211"/>
      <c r="I61" s="211"/>
      <c r="J61" s="231"/>
      <c r="K61" s="231"/>
    </row>
    <row r="62" spans="2:11" x14ac:dyDescent="0.25">
      <c r="B62" s="400" t="s">
        <v>418</v>
      </c>
      <c r="C62" s="456" t="s">
        <v>391</v>
      </c>
      <c r="D62" s="797" t="s">
        <v>391</v>
      </c>
      <c r="F62" s="413"/>
      <c r="G62" s="228" t="str">
        <f t="shared" si="0"/>
        <v/>
      </c>
      <c r="H62" s="211"/>
      <c r="I62" s="211"/>
      <c r="J62" s="231"/>
      <c r="K62" s="231"/>
    </row>
    <row r="63" spans="2:11" x14ac:dyDescent="0.25">
      <c r="B63" s="722" t="s">
        <v>1393</v>
      </c>
      <c r="C63" s="435"/>
      <c r="D63" s="391"/>
      <c r="F63" s="413"/>
      <c r="G63" s="228" t="str">
        <f t="shared" si="0"/>
        <v/>
      </c>
      <c r="H63" s="211"/>
      <c r="I63" s="211"/>
      <c r="J63" s="231"/>
      <c r="K63" s="231"/>
    </row>
    <row r="64" spans="2:11" x14ac:dyDescent="0.25">
      <c r="B64" s="441" t="s">
        <v>722</v>
      </c>
      <c r="C64" s="806" t="s">
        <v>391</v>
      </c>
      <c r="D64" s="776" t="s">
        <v>391</v>
      </c>
      <c r="F64" s="413"/>
      <c r="G64" s="228" t="str">
        <f t="shared" si="0"/>
        <v/>
      </c>
      <c r="H64" s="211"/>
      <c r="I64" s="211"/>
      <c r="J64" s="231"/>
      <c r="K64" s="231"/>
    </row>
    <row r="65" spans="2:11" x14ac:dyDescent="0.25">
      <c r="B65" s="441" t="s">
        <v>723</v>
      </c>
      <c r="C65" s="806" t="s">
        <v>391</v>
      </c>
      <c r="D65" s="776" t="s">
        <v>391</v>
      </c>
      <c r="F65" s="413"/>
      <c r="G65" s="228" t="str">
        <f t="shared" si="0"/>
        <v/>
      </c>
      <c r="H65" s="211"/>
      <c r="I65" s="211"/>
      <c r="J65" s="231"/>
      <c r="K65" s="231"/>
    </row>
    <row r="66" spans="2:11" x14ac:dyDescent="0.25">
      <c r="B66" s="441" t="s">
        <v>724</v>
      </c>
      <c r="C66" s="816" t="s">
        <v>157</v>
      </c>
      <c r="D66" s="748" t="s">
        <v>157</v>
      </c>
      <c r="F66" s="413"/>
      <c r="G66" s="228" t="str">
        <f t="shared" si="0"/>
        <v/>
      </c>
      <c r="H66" s="211"/>
      <c r="I66" s="211"/>
      <c r="J66" s="231"/>
      <c r="K66" s="231"/>
    </row>
    <row r="67" spans="2:11" x14ac:dyDescent="0.25">
      <c r="B67" s="442" t="s">
        <v>725</v>
      </c>
      <c r="C67" s="807" t="s">
        <v>391</v>
      </c>
      <c r="D67" s="787" t="s">
        <v>391</v>
      </c>
      <c r="F67" s="413"/>
      <c r="G67" s="228" t="str">
        <f t="shared" si="0"/>
        <v/>
      </c>
      <c r="H67" s="211"/>
      <c r="I67" s="211"/>
      <c r="J67" s="231"/>
      <c r="K67" s="231"/>
    </row>
    <row r="68" spans="2:11" x14ac:dyDescent="0.25">
      <c r="B68" s="400" t="s">
        <v>163</v>
      </c>
      <c r="C68" s="459" t="s">
        <v>157</v>
      </c>
      <c r="D68" s="692" t="s">
        <v>157</v>
      </c>
      <c r="F68" s="413"/>
      <c r="G68" s="228" t="str">
        <f t="shared" si="0"/>
        <v/>
      </c>
      <c r="H68" s="211"/>
      <c r="I68" s="211"/>
      <c r="J68" s="231"/>
      <c r="K68" s="231"/>
    </row>
    <row r="69" spans="2:11" x14ac:dyDescent="0.25">
      <c r="B69" s="400" t="s">
        <v>154</v>
      </c>
      <c r="C69" s="456" t="s">
        <v>391</v>
      </c>
      <c r="D69" s="797" t="s">
        <v>391</v>
      </c>
      <c r="F69" s="413"/>
      <c r="G69" s="228" t="str">
        <f t="shared" si="0"/>
        <v/>
      </c>
      <c r="H69" s="211"/>
      <c r="I69" s="211"/>
      <c r="J69" s="231"/>
      <c r="K69" s="231"/>
    </row>
    <row r="70" spans="2:11" x14ac:dyDescent="0.25">
      <c r="B70" s="368" t="s">
        <v>715</v>
      </c>
      <c r="C70" s="435"/>
      <c r="D70" s="391"/>
      <c r="F70" s="413"/>
      <c r="G70" s="228" t="str">
        <f t="shared" si="0"/>
        <v/>
      </c>
      <c r="H70" s="211"/>
      <c r="I70" s="211"/>
      <c r="J70" s="231"/>
      <c r="K70" s="231"/>
    </row>
    <row r="71" spans="2:11" x14ac:dyDescent="0.25">
      <c r="B71" s="441" t="s">
        <v>712</v>
      </c>
      <c r="C71" s="806" t="s">
        <v>391</v>
      </c>
      <c r="D71" s="776" t="s">
        <v>391</v>
      </c>
      <c r="F71" s="413"/>
      <c r="G71" s="228" t="str">
        <f t="shared" si="0"/>
        <v/>
      </c>
      <c r="H71" s="211"/>
      <c r="I71" s="211"/>
      <c r="J71" s="231"/>
      <c r="K71" s="231"/>
    </row>
    <row r="72" spans="2:11" x14ac:dyDescent="0.25">
      <c r="B72" s="441" t="s">
        <v>713</v>
      </c>
      <c r="C72" s="806" t="s">
        <v>391</v>
      </c>
      <c r="D72" s="776" t="s">
        <v>391</v>
      </c>
      <c r="F72" s="413"/>
      <c r="G72" s="228" t="str">
        <f t="shared" si="0"/>
        <v/>
      </c>
      <c r="H72" s="211"/>
      <c r="I72" s="211"/>
      <c r="J72" s="231"/>
      <c r="K72" s="231"/>
    </row>
    <row r="73" spans="2:11" ht="15" customHeight="1" x14ac:dyDescent="0.25">
      <c r="B73" s="400" t="s">
        <v>155</v>
      </c>
      <c r="C73" s="459" t="s">
        <v>157</v>
      </c>
      <c r="D73" s="692" t="s">
        <v>157</v>
      </c>
      <c r="F73" s="413"/>
      <c r="G73" s="228" t="str">
        <f t="shared" si="0"/>
        <v/>
      </c>
      <c r="H73" s="211"/>
      <c r="I73" s="211"/>
      <c r="J73" s="231"/>
      <c r="K73" s="231"/>
    </row>
    <row r="74" spans="2:11" x14ac:dyDescent="0.25">
      <c r="B74" s="400" t="s">
        <v>716</v>
      </c>
      <c r="C74" s="459" t="s">
        <v>157</v>
      </c>
      <c r="D74" s="692" t="s">
        <v>157</v>
      </c>
      <c r="F74" s="436"/>
      <c r="G74" s="228" t="str">
        <f t="shared" si="0"/>
        <v/>
      </c>
      <c r="H74" s="211"/>
      <c r="I74" s="211"/>
      <c r="J74" s="232"/>
      <c r="K74" s="232"/>
    </row>
    <row r="75" spans="2:11" hidden="1" x14ac:dyDescent="0.25">
      <c r="B75" s="823" t="s">
        <v>697</v>
      </c>
      <c r="C75" s="773"/>
      <c r="D75" s="784"/>
      <c r="F75" s="443"/>
      <c r="G75" s="228" t="str">
        <f t="shared" si="0"/>
        <v/>
      </c>
      <c r="H75" s="211"/>
      <c r="I75" s="211"/>
      <c r="J75" s="445"/>
      <c r="K75" s="445"/>
    </row>
    <row r="76" spans="2:11" ht="7.5" customHeight="1" x14ac:dyDescent="0.25">
      <c r="B76" s="310"/>
      <c r="C76" s="228"/>
      <c r="D76" s="228"/>
      <c r="F76" s="275"/>
      <c r="G76" s="228" t="str">
        <f t="shared" si="0"/>
        <v/>
      </c>
      <c r="J76" s="381"/>
    </row>
    <row r="77" spans="2:11" x14ac:dyDescent="0.25">
      <c r="B77" s="523" t="s">
        <v>103</v>
      </c>
      <c r="C77" s="524" t="s">
        <v>62</v>
      </c>
      <c r="D77" s="525" t="s">
        <v>63</v>
      </c>
      <c r="F77" s="526" t="s">
        <v>146</v>
      </c>
      <c r="G77" s="228" t="str">
        <f t="shared" si="0"/>
        <v>_</v>
      </c>
      <c r="J77" s="527" t="s">
        <v>1002</v>
      </c>
      <c r="K77" s="527" t="s">
        <v>363</v>
      </c>
    </row>
    <row r="78" spans="2:11" x14ac:dyDescent="0.25">
      <c r="B78" s="722" t="s">
        <v>1104</v>
      </c>
      <c r="C78" s="811" t="s">
        <v>1053</v>
      </c>
      <c r="D78" s="779" t="s">
        <v>1053</v>
      </c>
      <c r="F78" s="436"/>
      <c r="G78" s="228" t="str">
        <f t="shared" si="0"/>
        <v/>
      </c>
      <c r="H78" s="211"/>
      <c r="I78" s="211"/>
      <c r="J78" s="232"/>
      <c r="K78" s="232"/>
    </row>
    <row r="79" spans="2:11" hidden="1" x14ac:dyDescent="0.25">
      <c r="B79" s="441" t="s">
        <v>1105</v>
      </c>
      <c r="C79" s="438"/>
      <c r="D79" s="439"/>
      <c r="F79" s="440"/>
      <c r="G79" s="228" t="str">
        <f t="shared" si="0"/>
        <v/>
      </c>
      <c r="H79" s="211"/>
      <c r="I79" s="211"/>
      <c r="J79" s="447"/>
      <c r="K79" s="447"/>
    </row>
    <row r="80" spans="2:11" hidden="1" x14ac:dyDescent="0.25">
      <c r="B80" s="441" t="s">
        <v>1106</v>
      </c>
      <c r="C80" s="438"/>
      <c r="D80" s="439"/>
      <c r="F80" s="440"/>
      <c r="G80" s="228" t="str">
        <f t="shared" si="0"/>
        <v/>
      </c>
      <c r="H80" s="211"/>
      <c r="I80" s="211"/>
      <c r="J80" s="447"/>
      <c r="K80" s="447"/>
    </row>
    <row r="81" spans="2:11" ht="15" hidden="1" customHeight="1" x14ac:dyDescent="0.25">
      <c r="B81" s="441" t="s">
        <v>1107</v>
      </c>
      <c r="C81" s="438"/>
      <c r="D81" s="439"/>
      <c r="F81" s="440"/>
      <c r="G81" s="228" t="str">
        <f t="shared" si="0"/>
        <v/>
      </c>
      <c r="H81" s="211"/>
      <c r="I81" s="211"/>
      <c r="J81" s="447"/>
      <c r="K81" s="447"/>
    </row>
    <row r="82" spans="2:11" ht="25.5" hidden="1" x14ac:dyDescent="0.25">
      <c r="B82" s="441" t="s">
        <v>1108</v>
      </c>
      <c r="C82" s="438"/>
      <c r="D82" s="439"/>
      <c r="F82" s="440"/>
      <c r="G82" s="228" t="str">
        <f t="shared" si="0"/>
        <v/>
      </c>
      <c r="H82" s="211"/>
      <c r="I82" s="211"/>
      <c r="J82" s="447"/>
      <c r="K82" s="447"/>
    </row>
    <row r="83" spans="2:11" hidden="1" x14ac:dyDescent="0.25">
      <c r="B83" s="441" t="s">
        <v>1109</v>
      </c>
      <c r="C83" s="438"/>
      <c r="D83" s="439"/>
      <c r="F83" s="440"/>
      <c r="G83" s="228" t="str">
        <f t="shared" si="0"/>
        <v/>
      </c>
      <c r="H83" s="211"/>
      <c r="I83" s="211"/>
      <c r="J83" s="447"/>
      <c r="K83" s="447"/>
    </row>
    <row r="84" spans="2:11" hidden="1" x14ac:dyDescent="0.25">
      <c r="B84" s="442" t="s">
        <v>676</v>
      </c>
      <c r="C84" s="396"/>
      <c r="D84" s="424"/>
      <c r="F84" s="443"/>
      <c r="G84" s="228" t="str">
        <f t="shared" si="0"/>
        <v/>
      </c>
      <c r="H84" s="211"/>
      <c r="I84" s="211"/>
      <c r="J84" s="445"/>
      <c r="K84" s="445"/>
    </row>
    <row r="85" spans="2:11" x14ac:dyDescent="0.25">
      <c r="B85" s="400" t="s">
        <v>526</v>
      </c>
      <c r="C85" s="811" t="s">
        <v>1053</v>
      </c>
      <c r="D85" s="779" t="s">
        <v>1053</v>
      </c>
      <c r="F85" s="413"/>
      <c r="G85" s="228" t="str">
        <f t="shared" si="0"/>
        <v/>
      </c>
      <c r="H85" s="211"/>
      <c r="I85" s="211"/>
      <c r="J85" s="231"/>
      <c r="K85" s="231"/>
    </row>
    <row r="86" spans="2:11" x14ac:dyDescent="0.25">
      <c r="B86" s="400" t="s">
        <v>524</v>
      </c>
      <c r="C86" s="811" t="s">
        <v>1053</v>
      </c>
      <c r="D86" s="779" t="s">
        <v>1053</v>
      </c>
      <c r="F86" s="413"/>
      <c r="G86" s="228" t="str">
        <f t="shared" si="0"/>
        <v/>
      </c>
      <c r="H86" s="211"/>
      <c r="I86" s="211"/>
      <c r="J86" s="231"/>
      <c r="K86" s="231"/>
    </row>
    <row r="87" spans="2:11" x14ac:dyDescent="0.25">
      <c r="B87" s="400" t="s">
        <v>529</v>
      </c>
      <c r="C87" s="811" t="s">
        <v>1053</v>
      </c>
      <c r="D87" s="779" t="s">
        <v>1053</v>
      </c>
      <c r="F87" s="413"/>
      <c r="G87" s="228" t="str">
        <f t="shared" si="0"/>
        <v/>
      </c>
      <c r="H87" s="211"/>
      <c r="I87" s="211"/>
      <c r="J87" s="231"/>
      <c r="K87" s="231"/>
    </row>
    <row r="88" spans="2:11" x14ac:dyDescent="0.25">
      <c r="B88" s="400" t="s">
        <v>525</v>
      </c>
      <c r="C88" s="811" t="s">
        <v>1053</v>
      </c>
      <c r="D88" s="779" t="s">
        <v>1053</v>
      </c>
      <c r="F88" s="413"/>
      <c r="G88" s="228" t="str">
        <f t="shared" si="0"/>
        <v/>
      </c>
      <c r="H88" s="211"/>
      <c r="I88" s="211"/>
      <c r="J88" s="231"/>
      <c r="K88" s="231"/>
    </row>
    <row r="89" spans="2:11" hidden="1" x14ac:dyDescent="0.25">
      <c r="B89" s="814" t="s">
        <v>528</v>
      </c>
      <c r="C89" s="810"/>
      <c r="D89" s="785"/>
      <c r="F89" s="413"/>
      <c r="G89" s="228" t="str">
        <f t="shared" si="0"/>
        <v/>
      </c>
      <c r="H89" s="211"/>
      <c r="I89" s="211"/>
      <c r="J89" s="231"/>
      <c r="K89" s="231"/>
    </row>
    <row r="90" spans="2:11" x14ac:dyDescent="0.25">
      <c r="B90" s="400" t="s">
        <v>527</v>
      </c>
      <c r="C90" s="811" t="s">
        <v>1053</v>
      </c>
      <c r="D90" s="779" t="s">
        <v>1053</v>
      </c>
      <c r="F90" s="413"/>
      <c r="G90" s="228" t="str">
        <f t="shared" si="0"/>
        <v/>
      </c>
      <c r="H90" s="211"/>
      <c r="I90" s="211"/>
      <c r="J90" s="231"/>
      <c r="K90" s="231"/>
    </row>
    <row r="91" spans="2:11" x14ac:dyDescent="0.25">
      <c r="B91" s="368" t="s">
        <v>718</v>
      </c>
      <c r="C91" s="811" t="s">
        <v>1053</v>
      </c>
      <c r="D91" s="779" t="s">
        <v>1053</v>
      </c>
      <c r="F91" s="436"/>
      <c r="G91" s="228" t="str">
        <f t="shared" si="0"/>
        <v/>
      </c>
      <c r="H91" s="211"/>
      <c r="I91" s="211"/>
      <c r="J91" s="232"/>
      <c r="K91" s="232"/>
    </row>
    <row r="92" spans="2:11" ht="45" customHeight="1" x14ac:dyDescent="0.25">
      <c r="B92" s="596" t="s">
        <v>727</v>
      </c>
      <c r="C92" s="816" t="s">
        <v>157</v>
      </c>
      <c r="D92" s="748" t="s">
        <v>157</v>
      </c>
      <c r="F92" s="443"/>
      <c r="G92" s="228" t="str">
        <f t="shared" si="0"/>
        <v/>
      </c>
      <c r="H92" s="211"/>
      <c r="I92" s="211"/>
      <c r="J92" s="445"/>
      <c r="K92" s="445"/>
    </row>
    <row r="93" spans="2:11" x14ac:dyDescent="0.25">
      <c r="B93" s="368" t="s">
        <v>253</v>
      </c>
      <c r="C93" s="811" t="s">
        <v>1053</v>
      </c>
      <c r="D93" s="779" t="s">
        <v>1053</v>
      </c>
      <c r="F93" s="436"/>
      <c r="G93" s="228" t="str">
        <f t="shared" si="0"/>
        <v/>
      </c>
      <c r="H93" s="211"/>
      <c r="I93" s="211"/>
      <c r="J93" s="232"/>
      <c r="K93" s="232"/>
    </row>
    <row r="94" spans="2:11" x14ac:dyDescent="0.25">
      <c r="B94" s="442" t="s">
        <v>983</v>
      </c>
      <c r="C94" s="816" t="s">
        <v>157</v>
      </c>
      <c r="D94" s="748" t="s">
        <v>157</v>
      </c>
      <c r="F94" s="443"/>
      <c r="G94" s="228" t="str">
        <f t="shared" si="0"/>
        <v/>
      </c>
      <c r="H94" s="211"/>
      <c r="I94" s="211"/>
      <c r="J94" s="445"/>
      <c r="K94" s="445"/>
    </row>
    <row r="95" spans="2:11" x14ac:dyDescent="0.25">
      <c r="B95" s="400" t="s">
        <v>721</v>
      </c>
      <c r="C95" s="811" t="s">
        <v>1053</v>
      </c>
      <c r="D95" s="779" t="s">
        <v>1053</v>
      </c>
      <c r="F95" s="413"/>
      <c r="G95" s="228" t="str">
        <f t="shared" si="0"/>
        <v/>
      </c>
      <c r="H95" s="211"/>
      <c r="I95" s="211"/>
      <c r="J95" s="231"/>
      <c r="K95" s="231"/>
    </row>
    <row r="96" spans="2:11" ht="30" customHeight="1" x14ac:dyDescent="0.25">
      <c r="B96" s="400" t="s">
        <v>156</v>
      </c>
      <c r="C96" s="811" t="s">
        <v>1053</v>
      </c>
      <c r="D96" s="779" t="s">
        <v>1053</v>
      </c>
      <c r="F96" s="413"/>
      <c r="G96" s="228" t="str">
        <f t="shared" si="0"/>
        <v/>
      </c>
      <c r="H96" s="211"/>
      <c r="I96" s="211"/>
      <c r="J96" s="231"/>
      <c r="K96" s="231"/>
    </row>
    <row r="97" spans="2:11" x14ac:dyDescent="0.25">
      <c r="B97" s="722" t="s">
        <v>1111</v>
      </c>
      <c r="C97" s="435"/>
      <c r="D97" s="391"/>
      <c r="F97" s="436"/>
      <c r="G97" s="228" t="str">
        <f t="shared" si="0"/>
        <v/>
      </c>
      <c r="H97" s="211"/>
      <c r="I97" s="211"/>
      <c r="J97" s="232"/>
      <c r="K97" s="232"/>
    </row>
    <row r="98" spans="2:11" x14ac:dyDescent="0.25">
      <c r="B98" s="441" t="s">
        <v>1112</v>
      </c>
      <c r="C98" s="825" t="s">
        <v>1053</v>
      </c>
      <c r="D98" s="863" t="s">
        <v>1053</v>
      </c>
      <c r="F98" s="440"/>
      <c r="G98" s="228" t="str">
        <f t="shared" ref="G98:G125" si="1">IF(OR(TRIM(D98)&lt;&gt;"",TRIM(F98)&lt;&gt;""),IF(AND(TRIM(D98)&lt;&gt;"",TRIM(F98)&lt;&gt;""),IF(OR(TRIM(C98)&lt;&gt;TRIM(D98),TRIM(C98)&lt;&gt;TRIM(F98)),"_",""),IF(TRIM(C98)&lt;&gt;TRIM(D98), "_", "")),"")</f>
        <v/>
      </c>
      <c r="H98" s="211"/>
      <c r="I98" s="211"/>
      <c r="J98" s="447"/>
      <c r="K98" s="447"/>
    </row>
    <row r="99" spans="2:11" x14ac:dyDescent="0.25">
      <c r="B99" s="809" t="s">
        <v>1294</v>
      </c>
      <c r="C99" s="826" t="s">
        <v>1052</v>
      </c>
      <c r="D99" s="864" t="s">
        <v>1052</v>
      </c>
      <c r="F99" s="443"/>
      <c r="G99" s="228" t="str">
        <f t="shared" si="1"/>
        <v/>
      </c>
      <c r="H99" s="211"/>
      <c r="I99" s="211"/>
      <c r="J99" s="445"/>
      <c r="K99" s="445"/>
    </row>
    <row r="100" spans="2:11" ht="7.5" customHeight="1" x14ac:dyDescent="0.25">
      <c r="B100" s="310"/>
      <c r="C100" s="228"/>
      <c r="D100" s="228"/>
      <c r="F100" s="275"/>
      <c r="G100" s="228" t="str">
        <f t="shared" si="1"/>
        <v/>
      </c>
      <c r="H100" s="211"/>
      <c r="I100" s="211"/>
      <c r="J100" s="381"/>
    </row>
    <row r="101" spans="2:11" x14ac:dyDescent="0.25">
      <c r="B101" s="528" t="s">
        <v>359</v>
      </c>
      <c r="C101" s="524" t="s">
        <v>62</v>
      </c>
      <c r="D101" s="525" t="s">
        <v>63</v>
      </c>
      <c r="E101" s="530"/>
      <c r="F101" s="526" t="s">
        <v>146</v>
      </c>
      <c r="G101" s="228" t="str">
        <f t="shared" si="1"/>
        <v>_</v>
      </c>
      <c r="H101" s="211"/>
      <c r="I101" s="211"/>
      <c r="J101" s="527" t="s">
        <v>1002</v>
      </c>
      <c r="K101" s="527" t="s">
        <v>363</v>
      </c>
    </row>
    <row r="102" spans="2:11" ht="15" customHeight="1" x14ac:dyDescent="0.25">
      <c r="B102" s="673" t="s">
        <v>1394</v>
      </c>
      <c r="C102" s="711" t="s">
        <v>1408</v>
      </c>
      <c r="D102" s="390" t="s">
        <v>1408</v>
      </c>
      <c r="F102" s="413"/>
      <c r="G102" s="228" t="str">
        <f t="shared" si="1"/>
        <v/>
      </c>
      <c r="H102" s="211"/>
      <c r="I102" s="211"/>
      <c r="J102" s="231"/>
      <c r="K102" s="231"/>
    </row>
    <row r="103" spans="2:11" ht="15" customHeight="1" x14ac:dyDescent="0.25">
      <c r="B103" s="722" t="s">
        <v>1395</v>
      </c>
      <c r="C103" s="711" t="s">
        <v>1409</v>
      </c>
      <c r="D103" s="390" t="s">
        <v>1409</v>
      </c>
      <c r="F103" s="413"/>
      <c r="G103" s="228" t="str">
        <f t="shared" si="1"/>
        <v/>
      </c>
      <c r="H103" s="211"/>
      <c r="I103" s="211"/>
      <c r="J103" s="231"/>
      <c r="K103" s="231"/>
    </row>
    <row r="104" spans="2:11" ht="15" customHeight="1" x14ac:dyDescent="0.25">
      <c r="B104" s="722" t="s">
        <v>1297</v>
      </c>
      <c r="C104" s="711" t="s">
        <v>1313</v>
      </c>
      <c r="D104" s="390" t="s">
        <v>1313</v>
      </c>
      <c r="F104" s="413"/>
      <c r="G104" s="228" t="str">
        <f t="shared" si="1"/>
        <v/>
      </c>
      <c r="H104" s="211"/>
      <c r="I104" s="211"/>
      <c r="J104" s="231"/>
      <c r="K104" s="231"/>
    </row>
    <row r="105" spans="2:11" ht="30" customHeight="1" x14ac:dyDescent="0.25">
      <c r="B105" s="722" t="s">
        <v>1298</v>
      </c>
      <c r="C105" s="711" t="s">
        <v>1330</v>
      </c>
      <c r="D105" s="712" t="s">
        <v>1956</v>
      </c>
      <c r="F105" s="413"/>
      <c r="G105" s="228" t="str">
        <f t="shared" si="1"/>
        <v>_</v>
      </c>
      <c r="H105" s="211"/>
      <c r="I105" s="211"/>
      <c r="J105" s="231"/>
      <c r="K105" s="231"/>
    </row>
    <row r="106" spans="2:11" ht="15" customHeight="1" x14ac:dyDescent="0.25">
      <c r="B106" s="722" t="s">
        <v>1769</v>
      </c>
      <c r="C106" s="711" t="s">
        <v>1770</v>
      </c>
      <c r="D106" s="712" t="s">
        <v>1770</v>
      </c>
      <c r="F106" s="413"/>
      <c r="G106" s="228" t="str">
        <f t="shared" si="1"/>
        <v/>
      </c>
      <c r="H106" s="211"/>
      <c r="I106" s="211"/>
      <c r="J106" s="231"/>
      <c r="K106" s="231"/>
    </row>
    <row r="107" spans="2:11" ht="15" customHeight="1" x14ac:dyDescent="0.25">
      <c r="B107" s="771" t="s">
        <v>1299</v>
      </c>
      <c r="C107" s="711" t="s">
        <v>1314</v>
      </c>
      <c r="D107" s="390" t="s">
        <v>1314</v>
      </c>
      <c r="F107" s="413"/>
      <c r="G107" s="228" t="str">
        <f t="shared" si="1"/>
        <v/>
      </c>
      <c r="H107" s="211"/>
      <c r="I107" s="211"/>
      <c r="J107" s="231"/>
      <c r="K107" s="231"/>
    </row>
    <row r="108" spans="2:11" ht="15" customHeight="1" x14ac:dyDescent="0.25">
      <c r="B108" s="673" t="s">
        <v>1396</v>
      </c>
      <c r="C108" s="711" t="s">
        <v>1407</v>
      </c>
      <c r="D108" s="390" t="s">
        <v>1407</v>
      </c>
      <c r="E108" s="16"/>
      <c r="F108" s="413"/>
      <c r="G108" s="228" t="str">
        <f t="shared" si="1"/>
        <v/>
      </c>
      <c r="H108" s="211"/>
      <c r="I108" s="211"/>
      <c r="J108" s="231"/>
      <c r="K108" s="231"/>
    </row>
    <row r="109" spans="2:11" ht="15" customHeight="1" x14ac:dyDescent="0.25">
      <c r="B109" s="400" t="s">
        <v>1301</v>
      </c>
      <c r="C109" s="711" t="s">
        <v>1316</v>
      </c>
      <c r="D109" s="390" t="s">
        <v>1316</v>
      </c>
      <c r="E109" s="16"/>
      <c r="F109" s="413"/>
      <c r="G109" s="228" t="str">
        <f t="shared" si="1"/>
        <v/>
      </c>
      <c r="H109" s="211"/>
      <c r="I109" s="211"/>
      <c r="J109" s="231"/>
      <c r="K109" s="231"/>
    </row>
    <row r="110" spans="2:11" ht="15" customHeight="1" x14ac:dyDescent="0.25">
      <c r="B110" s="722" t="s">
        <v>1302</v>
      </c>
      <c r="C110" s="711" t="s">
        <v>1317</v>
      </c>
      <c r="D110" s="390" t="s">
        <v>1317</v>
      </c>
      <c r="E110" s="16"/>
      <c r="F110" s="413"/>
      <c r="G110" s="228" t="str">
        <f t="shared" si="1"/>
        <v/>
      </c>
      <c r="H110" s="211"/>
      <c r="I110" s="211"/>
      <c r="J110" s="231"/>
      <c r="K110" s="231"/>
    </row>
    <row r="111" spans="2:11" ht="15" customHeight="1" x14ac:dyDescent="0.25">
      <c r="B111" s="673" t="s">
        <v>1303</v>
      </c>
      <c r="C111" s="711" t="s">
        <v>1318</v>
      </c>
      <c r="D111" s="390" t="s">
        <v>1318</v>
      </c>
      <c r="E111" s="16"/>
      <c r="F111" s="413"/>
      <c r="G111" s="228" t="str">
        <f t="shared" si="1"/>
        <v/>
      </c>
      <c r="H111" s="211"/>
      <c r="I111" s="211"/>
      <c r="J111" s="231"/>
      <c r="K111" s="231"/>
    </row>
    <row r="112" spans="2:11" ht="45.75" customHeight="1" x14ac:dyDescent="0.25">
      <c r="B112" s="673" t="s">
        <v>1308</v>
      </c>
      <c r="C112" s="711" t="s">
        <v>1323</v>
      </c>
      <c r="D112" s="712" t="s">
        <v>1323</v>
      </c>
      <c r="E112" s="16"/>
      <c r="F112" s="413"/>
      <c r="G112" s="228" t="str">
        <f t="shared" si="1"/>
        <v/>
      </c>
      <c r="H112" s="211"/>
      <c r="I112" s="211"/>
      <c r="J112" s="231"/>
      <c r="K112" s="231"/>
    </row>
    <row r="113" spans="2:11" ht="29.25" customHeight="1" x14ac:dyDescent="0.25">
      <c r="B113" s="673" t="s">
        <v>1397</v>
      </c>
      <c r="C113" s="711" t="s">
        <v>1414</v>
      </c>
      <c r="D113" s="390" t="s">
        <v>1414</v>
      </c>
      <c r="E113" s="16"/>
      <c r="F113" s="413"/>
      <c r="G113" s="228" t="str">
        <f t="shared" si="1"/>
        <v/>
      </c>
      <c r="H113" s="211"/>
      <c r="I113" s="211"/>
      <c r="J113" s="231"/>
      <c r="K113" s="231"/>
    </row>
    <row r="114" spans="2:11" ht="30" customHeight="1" x14ac:dyDescent="0.25">
      <c r="B114" s="722" t="s">
        <v>1398</v>
      </c>
      <c r="C114" s="711" t="s">
        <v>1410</v>
      </c>
      <c r="D114" s="390" t="s">
        <v>1410</v>
      </c>
      <c r="E114" s="16"/>
      <c r="F114" s="413"/>
      <c r="G114" s="228" t="str">
        <f t="shared" si="1"/>
        <v/>
      </c>
      <c r="H114" s="211"/>
      <c r="I114" s="211"/>
      <c r="J114" s="231"/>
      <c r="K114" s="231"/>
    </row>
    <row r="115" spans="2:11" ht="30" customHeight="1" x14ac:dyDescent="0.25">
      <c r="B115" s="722" t="s">
        <v>1399</v>
      </c>
      <c r="C115" s="711" t="s">
        <v>1411</v>
      </c>
      <c r="D115" s="390" t="s">
        <v>1411</v>
      </c>
      <c r="E115" s="16"/>
      <c r="F115" s="413"/>
      <c r="G115" s="228" t="str">
        <f t="shared" si="1"/>
        <v/>
      </c>
      <c r="H115" s="211"/>
      <c r="I115" s="211"/>
      <c r="J115" s="231"/>
      <c r="K115" s="231"/>
    </row>
    <row r="116" spans="2:11" ht="15" customHeight="1" x14ac:dyDescent="0.25">
      <c r="B116" s="400" t="s">
        <v>1400</v>
      </c>
      <c r="C116" s="711" t="s">
        <v>1415</v>
      </c>
      <c r="D116" s="390" t="s">
        <v>1415</v>
      </c>
      <c r="E116" s="16"/>
      <c r="F116" s="413"/>
      <c r="G116" s="228" t="str">
        <f t="shared" si="1"/>
        <v/>
      </c>
      <c r="H116" s="211"/>
      <c r="I116" s="211"/>
      <c r="J116" s="231"/>
      <c r="K116" s="231"/>
    </row>
    <row r="117" spans="2:11" ht="15" customHeight="1" x14ac:dyDescent="0.25">
      <c r="B117" s="722" t="s">
        <v>1401</v>
      </c>
      <c r="C117" s="711" t="s">
        <v>1412</v>
      </c>
      <c r="D117" s="712" t="s">
        <v>1412</v>
      </c>
      <c r="E117" s="16"/>
      <c r="F117" s="413"/>
      <c r="G117" s="228" t="str">
        <f t="shared" si="1"/>
        <v/>
      </c>
      <c r="H117" s="211"/>
      <c r="I117" s="211"/>
      <c r="J117" s="231"/>
      <c r="K117" s="231"/>
    </row>
    <row r="118" spans="2:11" ht="15" customHeight="1" x14ac:dyDescent="0.25">
      <c r="B118" s="722" t="s">
        <v>1309</v>
      </c>
      <c r="C118" s="711" t="s">
        <v>1324</v>
      </c>
      <c r="D118" s="390" t="s">
        <v>1324</v>
      </c>
      <c r="E118" s="16"/>
      <c r="F118" s="413"/>
      <c r="G118" s="228" t="str">
        <f t="shared" si="1"/>
        <v/>
      </c>
      <c r="H118" s="211"/>
      <c r="I118" s="211"/>
      <c r="J118" s="231"/>
      <c r="K118" s="231"/>
    </row>
    <row r="119" spans="2:11" ht="15" customHeight="1" x14ac:dyDescent="0.25">
      <c r="B119" s="722" t="s">
        <v>1310</v>
      </c>
      <c r="C119" s="711" t="s">
        <v>1476</v>
      </c>
      <c r="D119" s="712" t="s">
        <v>1476</v>
      </c>
      <c r="E119" s="16"/>
      <c r="F119" s="413"/>
      <c r="G119" s="228" t="str">
        <f t="shared" si="1"/>
        <v/>
      </c>
      <c r="H119" s="211"/>
      <c r="I119" s="211"/>
      <c r="J119" s="231"/>
      <c r="K119" s="231"/>
    </row>
    <row r="120" spans="2:11" ht="15" customHeight="1" x14ac:dyDescent="0.25">
      <c r="B120" s="673" t="s">
        <v>1402</v>
      </c>
      <c r="C120" s="711" t="s">
        <v>1477</v>
      </c>
      <c r="D120" s="712" t="s">
        <v>1477</v>
      </c>
      <c r="E120" s="16"/>
      <c r="F120" s="413"/>
      <c r="G120" s="228" t="str">
        <f t="shared" si="1"/>
        <v/>
      </c>
      <c r="H120" s="211"/>
      <c r="I120" s="211"/>
      <c r="J120" s="231"/>
      <c r="K120" s="231"/>
    </row>
    <row r="121" spans="2:11" ht="15" customHeight="1" x14ac:dyDescent="0.25">
      <c r="B121" s="722" t="s">
        <v>1403</v>
      </c>
      <c r="C121" s="711" t="s">
        <v>1413</v>
      </c>
      <c r="D121" s="390" t="s">
        <v>1413</v>
      </c>
      <c r="E121" s="16"/>
      <c r="G121" s="228" t="str">
        <f t="shared" si="1"/>
        <v/>
      </c>
    </row>
    <row r="122" spans="2:11" ht="15" customHeight="1" x14ac:dyDescent="0.25">
      <c r="B122" s="722" t="s">
        <v>1404</v>
      </c>
      <c r="C122" s="711" t="s">
        <v>1325</v>
      </c>
      <c r="D122" s="390" t="s">
        <v>1325</v>
      </c>
      <c r="E122" s="16"/>
      <c r="G122" s="228" t="str">
        <f t="shared" si="1"/>
        <v/>
      </c>
    </row>
    <row r="123" spans="2:11" ht="15" customHeight="1" x14ac:dyDescent="0.25">
      <c r="B123" s="722" t="s">
        <v>1405</v>
      </c>
      <c r="C123" s="711" t="s">
        <v>1326</v>
      </c>
      <c r="D123" s="390" t="s">
        <v>1326</v>
      </c>
      <c r="E123" s="16"/>
      <c r="G123" s="228" t="str">
        <f t="shared" si="1"/>
        <v/>
      </c>
    </row>
    <row r="124" spans="2:11" ht="15" customHeight="1" x14ac:dyDescent="0.25">
      <c r="B124" s="722" t="s">
        <v>1331</v>
      </c>
      <c r="C124" s="711" t="s">
        <v>1327</v>
      </c>
      <c r="D124" s="390" t="s">
        <v>1327</v>
      </c>
      <c r="E124" s="16"/>
      <c r="G124" s="228" t="str">
        <f t="shared" si="1"/>
        <v/>
      </c>
    </row>
    <row r="125" spans="2:11" ht="15" customHeight="1" x14ac:dyDescent="0.25">
      <c r="B125" s="673" t="s">
        <v>1312</v>
      </c>
      <c r="C125" s="711" t="s">
        <v>1328</v>
      </c>
      <c r="D125" s="390" t="s">
        <v>1328</v>
      </c>
      <c r="G125" s="228" t="str">
        <f t="shared" si="1"/>
        <v/>
      </c>
    </row>
    <row r="126" spans="2:11" x14ac:dyDescent="0.25">
      <c r="B126" s="722"/>
      <c r="C126" s="711"/>
      <c r="D126" s="390"/>
      <c r="E126" s="16"/>
      <c r="G126" s="228" t="str">
        <f t="shared" ref="G126" si="2">IF(OR(TRIM(D126)&lt;&gt;"",TRIM(F126)&lt;&gt;""),IF(AND(TRIM(D126)&lt;&gt;"",TRIM(F126)&lt;&gt;""),IF(OR(TRIM(C126)&lt;&gt;TRIM(D126),TRIM(C126)&lt;&gt;TRIM(F126)),"_",""),IF(TRIM(C126)&lt;&gt;TRIM(D126), "_", "")),"")</f>
        <v/>
      </c>
    </row>
    <row r="127" spans="2:11" x14ac:dyDescent="0.25">
      <c r="E127" s="16"/>
    </row>
    <row r="128" spans="2:11" x14ac:dyDescent="0.25">
      <c r="E128" s="16"/>
    </row>
    <row r="129" spans="5:5" x14ac:dyDescent="0.25">
      <c r="E129" s="16"/>
    </row>
    <row r="130" spans="5:5" x14ac:dyDescent="0.25">
      <c r="E130" s="16"/>
    </row>
    <row r="131" spans="5:5" x14ac:dyDescent="0.25">
      <c r="E131" s="16"/>
    </row>
    <row r="132" spans="5:5" x14ac:dyDescent="0.25">
      <c r="E132" s="16"/>
    </row>
    <row r="133" spans="5:5" x14ac:dyDescent="0.25">
      <c r="E133" s="16"/>
    </row>
    <row r="134" spans="5:5" x14ac:dyDescent="0.25">
      <c r="E134" s="16"/>
    </row>
    <row r="135" spans="5:5" x14ac:dyDescent="0.25">
      <c r="E135" s="16"/>
    </row>
    <row r="136" spans="5:5" x14ac:dyDescent="0.25">
      <c r="E136" s="16"/>
    </row>
    <row r="137" spans="5:5" x14ac:dyDescent="0.25">
      <c r="E137" s="16"/>
    </row>
    <row r="138" spans="5:5" x14ac:dyDescent="0.25">
      <c r="E138" s="16"/>
    </row>
    <row r="139" spans="5:5" x14ac:dyDescent="0.25">
      <c r="E139" s="16"/>
    </row>
    <row r="140" spans="5:5" x14ac:dyDescent="0.25">
      <c r="E140" s="16"/>
    </row>
    <row r="141" spans="5:5" x14ac:dyDescent="0.25">
      <c r="E141" s="16"/>
    </row>
    <row r="142" spans="5:5" x14ac:dyDescent="0.25">
      <c r="E142" s="16"/>
    </row>
    <row r="143" spans="5:5" x14ac:dyDescent="0.25">
      <c r="E143" s="16"/>
    </row>
    <row r="144" spans="5:5" x14ac:dyDescent="0.25">
      <c r="E144" s="16"/>
    </row>
    <row r="145" spans="5:5" x14ac:dyDescent="0.25">
      <c r="E145" s="16"/>
    </row>
    <row r="146" spans="5:5" x14ac:dyDescent="0.25">
      <c r="E146" s="16"/>
    </row>
    <row r="147" spans="5:5" x14ac:dyDescent="0.25">
      <c r="E147" s="16"/>
    </row>
  </sheetData>
  <mergeCells count="4">
    <mergeCell ref="B27:D27"/>
    <mergeCell ref="B30:D30"/>
    <mergeCell ref="B31:D31"/>
    <mergeCell ref="B28:D28"/>
  </mergeCells>
  <conditionalFormatting sqref="G1:G8 G10:G17 G19:G20 G22:G1048576">
    <cfRule type="cellIs" dxfId="205" priority="21" operator="equal">
      <formula>"_"</formula>
    </cfRule>
  </conditionalFormatting>
  <conditionalFormatting sqref="G21">
    <cfRule type="cellIs" dxfId="204" priority="16" operator="equal">
      <formula>"_"</formula>
    </cfRule>
  </conditionalFormatting>
  <conditionalFormatting sqref="G9">
    <cfRule type="cellIs" dxfId="203" priority="6" operator="equal">
      <formula>"_"</formula>
    </cfRule>
  </conditionalFormatting>
  <conditionalFormatting sqref="G18">
    <cfRule type="cellIs" dxfId="202" priority="5"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T5DC Package - General Liability</oddHeader>
    <oddFooter>&amp;L&amp;G&amp;CPage &amp;P of &amp;N</oddFooter>
  </headerFooter>
  <rowBreaks count="1" manualBreakCount="1">
    <brk id="100" min="1" max="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pageSetUpPr fitToPage="1"/>
  </sheetPr>
  <dimension ref="B1:M117"/>
  <sheetViews>
    <sheetView showGridLines="0" view="pageBreakPreview" topLeftCell="A14" zoomScale="115" zoomScaleNormal="100" zoomScaleSheetLayoutView="115" workbookViewId="0">
      <selection activeCell="G58" sqref="G5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0.7109375" style="16" customWidth="1"/>
    <col min="14" max="53" width="9.140625" style="16" customWidth="1"/>
    <col min="54" max="16384" width="9.140625" style="16"/>
  </cols>
  <sheetData>
    <row r="1" spans="2:13" ht="7.5" customHeight="1" x14ac:dyDescent="0.25">
      <c r="E1" s="450"/>
    </row>
    <row r="2" spans="2:13" ht="15.75" x14ac:dyDescent="0.25">
      <c r="B2" s="453" t="s">
        <v>1619</v>
      </c>
      <c r="E2" s="450"/>
      <c r="H2" s="454"/>
      <c r="I2" s="455"/>
      <c r="J2" s="455"/>
      <c r="L2" s="456" t="s">
        <v>391</v>
      </c>
      <c r="M2" s="381" t="s">
        <v>361</v>
      </c>
    </row>
    <row r="3" spans="2:13" x14ac:dyDescent="0.25">
      <c r="D3" s="455" t="str">
        <f xml:space="preserve"> IF(Input!D653=Input!G653,CHAR(254), "")</f>
        <v/>
      </c>
      <c r="E3" s="457"/>
      <c r="F3" s="458" t="str">
        <f xml:space="preserve"> IF(Input!E653=Input!G653,CHAR(254),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2.75" customHeight="1" x14ac:dyDescent="0.25">
      <c r="B5" s="409" t="s">
        <v>60</v>
      </c>
      <c r="C5" s="412" t="str">
        <f>Input!B654</f>
        <v>Valley Forge Insurance Company (CNA)</v>
      </c>
      <c r="D5" s="390" t="str">
        <f>Input!D654</f>
        <v>Valley Forge Insurance Company (CNA)</v>
      </c>
      <c r="F5" s="413" t="str">
        <f>Input!E654</f>
        <v>Valley Forge Insurance Company (CNA)</v>
      </c>
      <c r="J5" s="231"/>
      <c r="K5" s="231"/>
    </row>
    <row r="6" spans="2:13" x14ac:dyDescent="0.25">
      <c r="B6" s="409" t="s">
        <v>69</v>
      </c>
      <c r="C6" s="412" t="str">
        <f>Input!B656</f>
        <v>A: XV</v>
      </c>
      <c r="D6" s="390" t="str">
        <f>Input!D656</f>
        <v>A: XV</v>
      </c>
      <c r="F6" s="413" t="str">
        <f>Input!E656</f>
        <v>A: XV</v>
      </c>
      <c r="J6" s="231"/>
      <c r="K6" s="231"/>
    </row>
    <row r="7" spans="2:13" x14ac:dyDescent="0.25">
      <c r="B7" s="409" t="str">
        <f>Input!B652</f>
        <v>Renewal Policy Number</v>
      </c>
      <c r="C7" s="412">
        <f>Input!C651</f>
        <v>6080911471</v>
      </c>
      <c r="D7" s="390">
        <f>Input!C652</f>
        <v>6080911471</v>
      </c>
      <c r="F7" s="413">
        <f>Input!C652</f>
        <v>6080911471</v>
      </c>
      <c r="J7" s="231"/>
      <c r="K7" s="231"/>
    </row>
    <row r="8" spans="2:13" ht="15.7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79" t="s">
        <v>9</v>
      </c>
      <c r="C9" s="479"/>
      <c r="D9" s="479"/>
      <c r="E9" s="414"/>
      <c r="F9" s="472"/>
      <c r="J9" s="566"/>
      <c r="K9" s="566"/>
    </row>
    <row r="10" spans="2:13" x14ac:dyDescent="0.25">
      <c r="B10" s="491" t="str">
        <f>Input!B713</f>
        <v>Building</v>
      </c>
      <c r="C10" s="398">
        <f>Input!C713</f>
        <v>0</v>
      </c>
      <c r="D10" s="425">
        <f>Input!D713</f>
        <v>0</v>
      </c>
      <c r="E10" s="414"/>
      <c r="F10" s="427">
        <f>Input!E713</f>
        <v>0</v>
      </c>
      <c r="J10" s="231"/>
      <c r="K10" s="231"/>
    </row>
    <row r="11" spans="2:13" x14ac:dyDescent="0.25">
      <c r="B11" s="491" t="str">
        <f>Input!B714</f>
        <v>Business Personal Property</v>
      </c>
      <c r="C11" s="398">
        <f>Input!C714</f>
        <v>650000</v>
      </c>
      <c r="D11" s="425">
        <f>Input!D714</f>
        <v>1650000</v>
      </c>
      <c r="E11" s="414"/>
      <c r="F11" s="427">
        <f>Input!E714</f>
        <v>0</v>
      </c>
      <c r="J11" s="231"/>
      <c r="K11" s="231"/>
    </row>
    <row r="12" spans="2:13" x14ac:dyDescent="0.25">
      <c r="B12" s="491" t="str">
        <f>Input!B715</f>
        <v>Business Income &amp; Extra Expense</v>
      </c>
      <c r="C12" s="398">
        <f>Input!C715</f>
        <v>518000</v>
      </c>
      <c r="D12" s="425">
        <f>Input!D715</f>
        <v>518000</v>
      </c>
      <c r="E12" s="414"/>
      <c r="F12" s="427">
        <f>Input!E715</f>
        <v>0</v>
      </c>
      <c r="J12" s="231"/>
      <c r="K12" s="231"/>
    </row>
    <row r="13" spans="2:13" x14ac:dyDescent="0.25">
      <c r="B13" s="491" t="str">
        <f>Input!B716</f>
        <v>Valuable Papers</v>
      </c>
      <c r="C13" s="398" t="str">
        <f>Input!C716</f>
        <v>Included</v>
      </c>
      <c r="D13" s="425">
        <f>Input!D716</f>
        <v>1000000</v>
      </c>
      <c r="E13" s="414"/>
      <c r="F13" s="427">
        <f>Input!E716</f>
        <v>0</v>
      </c>
      <c r="J13" s="231"/>
      <c r="K13" s="231"/>
    </row>
    <row r="14" spans="2:13" x14ac:dyDescent="0.25">
      <c r="B14" s="491" t="str">
        <f>Input!B717</f>
        <v>Accounts Receivable</v>
      </c>
      <c r="C14" s="398">
        <f>Input!C717</f>
        <v>1000000</v>
      </c>
      <c r="D14" s="425">
        <f>Input!D717</f>
        <v>1000000</v>
      </c>
      <c r="E14" s="414"/>
      <c r="F14" s="427">
        <f>Input!E717</f>
        <v>0</v>
      </c>
      <c r="J14" s="231"/>
      <c r="K14" s="231"/>
    </row>
    <row r="15" spans="2:13" x14ac:dyDescent="0.25">
      <c r="B15" s="491" t="str">
        <f>Input!B718</f>
        <v>Utility Service - Direct Damage</v>
      </c>
      <c r="C15" s="398">
        <f>Input!C718</f>
        <v>500000</v>
      </c>
      <c r="D15" s="425">
        <f>Input!D718</f>
        <v>500000</v>
      </c>
      <c r="F15" s="427">
        <f>Input!E718</f>
        <v>0</v>
      </c>
      <c r="J15" s="231"/>
      <c r="K15" s="231"/>
    </row>
    <row r="16" spans="2:13" x14ac:dyDescent="0.25">
      <c r="B16" s="491" t="str">
        <f>Input!B719</f>
        <v>Utility Service - Time Element</v>
      </c>
      <c r="C16" s="398">
        <f>Input!C719</f>
        <v>25000</v>
      </c>
      <c r="D16" s="425">
        <f>Input!D719</f>
        <v>25000</v>
      </c>
      <c r="E16" s="238"/>
      <c r="F16" s="427">
        <f>Input!E719</f>
        <v>0</v>
      </c>
      <c r="J16" s="231"/>
      <c r="K16" s="231"/>
    </row>
    <row r="17" spans="2:11" hidden="1" x14ac:dyDescent="0.25">
      <c r="B17" s="491" t="str">
        <f>Input!B720</f>
        <v>Overhead Transmission Lines</v>
      </c>
      <c r="C17" s="398">
        <f>Input!C720</f>
        <v>0</v>
      </c>
      <c r="D17" s="425">
        <f>Input!D720</f>
        <v>0</v>
      </c>
      <c r="E17" s="432"/>
      <c r="F17" s="427">
        <f>Input!E720</f>
        <v>0</v>
      </c>
      <c r="J17" s="231"/>
      <c r="K17" s="231"/>
    </row>
    <row r="18" spans="2:11" x14ac:dyDescent="0.25">
      <c r="B18" s="491" t="str">
        <f>Input!B721</f>
        <v xml:space="preserve">Civil Authority </v>
      </c>
      <c r="C18" s="398" t="str">
        <f>Input!C721</f>
        <v>30 Days</v>
      </c>
      <c r="D18" s="425" t="str">
        <f>Input!D721</f>
        <v>30 Days</v>
      </c>
      <c r="E18" s="433"/>
      <c r="F18" s="427">
        <f>Input!E721</f>
        <v>0</v>
      </c>
      <c r="J18" s="231"/>
      <c r="K18" s="231"/>
    </row>
    <row r="19" spans="2:11" x14ac:dyDescent="0.25">
      <c r="B19" s="491" t="str">
        <f>Input!B722</f>
        <v>Ingress / Egress</v>
      </c>
      <c r="C19" s="398">
        <f>Input!C722</f>
        <v>50000</v>
      </c>
      <c r="D19" s="425">
        <f>Input!D722</f>
        <v>50000</v>
      </c>
      <c r="E19" s="434"/>
      <c r="F19" s="427">
        <f>Input!E722</f>
        <v>0</v>
      </c>
      <c r="J19" s="231"/>
      <c r="K19" s="231"/>
    </row>
    <row r="20" spans="2:11" x14ac:dyDescent="0.25">
      <c r="B20" s="491" t="str">
        <f>Input!B723</f>
        <v>Ordinance or Law</v>
      </c>
      <c r="C20" s="398">
        <f>Input!C723</f>
        <v>500000</v>
      </c>
      <c r="D20" s="425">
        <f>Input!D723</f>
        <v>500000</v>
      </c>
      <c r="F20" s="427">
        <f>Input!E723</f>
        <v>0</v>
      </c>
      <c r="J20" s="231"/>
      <c r="K20" s="231"/>
    </row>
    <row r="21" spans="2:11" x14ac:dyDescent="0.25">
      <c r="B21" s="491" t="str">
        <f>Input!B724</f>
        <v>Newly Acquired Building</v>
      </c>
      <c r="C21" s="398">
        <f>Input!C724</f>
        <v>2000000</v>
      </c>
      <c r="D21" s="425">
        <f>Input!D724</f>
        <v>2000000</v>
      </c>
      <c r="F21" s="427">
        <f>Input!E724</f>
        <v>0</v>
      </c>
      <c r="J21" s="231"/>
      <c r="K21" s="231"/>
    </row>
    <row r="22" spans="2:11" x14ac:dyDescent="0.25">
      <c r="B22" s="491" t="str">
        <f>Input!B725</f>
        <v>Newly Acquired Business Personal Property</v>
      </c>
      <c r="C22" s="398">
        <f>Input!C725</f>
        <v>1000000</v>
      </c>
      <c r="D22" s="425">
        <f>Input!D725</f>
        <v>1000000</v>
      </c>
      <c r="E22" s="426"/>
      <c r="F22" s="427">
        <f>Input!E725</f>
        <v>0</v>
      </c>
      <c r="J22" s="231"/>
      <c r="K22" s="231"/>
    </row>
    <row r="23" spans="2:11" x14ac:dyDescent="0.25">
      <c r="B23" s="491" t="str">
        <f>Input!B726</f>
        <v>Flood</v>
      </c>
      <c r="C23" s="398" t="str">
        <f>Input!C726</f>
        <v>Varies by Location</v>
      </c>
      <c r="D23" s="425" t="str">
        <f>Input!D726</f>
        <v>Varies by Location</v>
      </c>
      <c r="F23" s="427">
        <f>Input!E726</f>
        <v>0</v>
      </c>
      <c r="J23" s="231"/>
      <c r="K23" s="231"/>
    </row>
    <row r="24" spans="2:11" x14ac:dyDescent="0.25">
      <c r="B24" s="491" t="str">
        <f>Input!B727</f>
        <v>Earthquake</v>
      </c>
      <c r="C24" s="398" t="str">
        <f>Input!C727</f>
        <v>Varies by Location</v>
      </c>
      <c r="D24" s="425" t="str">
        <f>Input!D727</f>
        <v>Varies by Location</v>
      </c>
      <c r="F24" s="427">
        <f>Input!E727</f>
        <v>0</v>
      </c>
      <c r="J24" s="231"/>
      <c r="K24" s="231"/>
    </row>
    <row r="25" spans="2:11" x14ac:dyDescent="0.25">
      <c r="B25" s="491" t="str">
        <f>Input!B728</f>
        <v>Windstorm</v>
      </c>
      <c r="C25" s="398" t="str">
        <f>Input!C728</f>
        <v>Included</v>
      </c>
      <c r="D25" s="425" t="str">
        <f>Input!D728</f>
        <v>Included</v>
      </c>
      <c r="F25" s="427">
        <f>Input!E728</f>
        <v>0</v>
      </c>
      <c r="J25" s="231"/>
      <c r="K25" s="231"/>
    </row>
    <row r="26" spans="2:11" x14ac:dyDescent="0.25">
      <c r="B26" s="491" t="str">
        <f>Input!B729</f>
        <v>Named Storm</v>
      </c>
      <c r="C26" s="398" t="str">
        <f>Input!C729</f>
        <v>Included</v>
      </c>
      <c r="D26" s="425" t="str">
        <f>Input!D729</f>
        <v>Included</v>
      </c>
      <c r="F26" s="427">
        <f>Input!E729</f>
        <v>0</v>
      </c>
      <c r="J26" s="231"/>
      <c r="K26" s="231"/>
    </row>
    <row r="27" spans="2:11" x14ac:dyDescent="0.25">
      <c r="B27" s="479" t="s">
        <v>37</v>
      </c>
      <c r="C27" s="479"/>
      <c r="D27" s="479"/>
      <c r="F27" s="473"/>
      <c r="J27" s="566"/>
      <c r="K27" s="566"/>
    </row>
    <row r="28" spans="2:11" x14ac:dyDescent="0.25">
      <c r="B28" s="402" t="str">
        <f>Input!B731</f>
        <v>All Other</v>
      </c>
      <c r="C28" s="403">
        <f>Input!C731</f>
        <v>5000</v>
      </c>
      <c r="D28" s="431">
        <f>Input!D731</f>
        <v>5000</v>
      </c>
      <c r="F28" s="430">
        <f>Input!E731</f>
        <v>0</v>
      </c>
      <c r="J28" s="231"/>
      <c r="K28" s="231"/>
    </row>
    <row r="29" spans="2:11" x14ac:dyDescent="0.25">
      <c r="B29" s="402" t="str">
        <f>Input!B732</f>
        <v>Flood</v>
      </c>
      <c r="C29" s="403">
        <f>Input!C732</f>
        <v>25000</v>
      </c>
      <c r="D29" s="431">
        <f>Input!D732</f>
        <v>25000</v>
      </c>
      <c r="F29" s="430">
        <f>Input!E732</f>
        <v>0</v>
      </c>
      <c r="J29" s="231"/>
      <c r="K29" s="231"/>
    </row>
    <row r="30" spans="2:11" x14ac:dyDescent="0.25">
      <c r="B30" s="402" t="str">
        <f>Input!B733</f>
        <v>Earthquake</v>
      </c>
      <c r="C30" s="403" t="str">
        <f>Input!C733</f>
        <v>Varies by Location</v>
      </c>
      <c r="D30" s="431" t="str">
        <f>Input!D733</f>
        <v>Varies by Location</v>
      </c>
      <c r="F30" s="430">
        <f>Input!E733</f>
        <v>0</v>
      </c>
      <c r="J30" s="231"/>
      <c r="K30" s="231"/>
    </row>
    <row r="31" spans="2:11" x14ac:dyDescent="0.25">
      <c r="B31" s="402" t="str">
        <f>Input!B734</f>
        <v>Windstorm</v>
      </c>
      <c r="C31" s="403">
        <f>Input!C734</f>
        <v>5000</v>
      </c>
      <c r="D31" s="431">
        <f>Input!D734</f>
        <v>5000</v>
      </c>
      <c r="F31" s="430">
        <f>Input!E734</f>
        <v>0</v>
      </c>
      <c r="J31" s="231"/>
      <c r="K31" s="231"/>
    </row>
    <row r="32" spans="2:11" x14ac:dyDescent="0.25">
      <c r="B32" s="402" t="str">
        <f>Input!B735</f>
        <v>Named Storm</v>
      </c>
      <c r="C32" s="403">
        <f>Input!C735</f>
        <v>5000</v>
      </c>
      <c r="D32" s="431">
        <f>Input!D735</f>
        <v>5000</v>
      </c>
      <c r="F32" s="430">
        <f>Input!E735</f>
        <v>0</v>
      </c>
      <c r="J32" s="231"/>
      <c r="K32" s="231"/>
    </row>
    <row r="33" spans="2:11" x14ac:dyDescent="0.25">
      <c r="B33" s="479" t="s">
        <v>766</v>
      </c>
      <c r="C33" s="479"/>
      <c r="D33" s="479"/>
      <c r="F33" s="473"/>
      <c r="J33" s="566"/>
      <c r="K33" s="566"/>
    </row>
    <row r="34" spans="2:11" x14ac:dyDescent="0.25">
      <c r="B34" s="402" t="str">
        <f>Input!B737</f>
        <v>All Other</v>
      </c>
      <c r="C34" s="435" t="str">
        <f>Input!C737</f>
        <v>72 Hours</v>
      </c>
      <c r="D34" s="391" t="str">
        <f>Input!D737</f>
        <v>72 Hours</v>
      </c>
      <c r="F34" s="436">
        <f>Input!E737</f>
        <v>0</v>
      </c>
      <c r="J34" s="231"/>
      <c r="K34" s="231"/>
    </row>
    <row r="35" spans="2:11" hidden="1" x14ac:dyDescent="0.25">
      <c r="B35" s="402" t="str">
        <f>Input!B738</f>
        <v xml:space="preserve">Civil Authority </v>
      </c>
      <c r="C35" s="435">
        <f>Input!C738</f>
        <v>0</v>
      </c>
      <c r="D35" s="391">
        <f>Input!D738</f>
        <v>0</v>
      </c>
      <c r="F35" s="436">
        <f>Input!E738</f>
        <v>0</v>
      </c>
      <c r="J35" s="231"/>
      <c r="K35" s="231"/>
    </row>
    <row r="36" spans="2:11" hidden="1" x14ac:dyDescent="0.25">
      <c r="B36" s="402" t="str">
        <f>Input!B739</f>
        <v>Ingress / Egress</v>
      </c>
      <c r="C36" s="435">
        <f>Input!C739</f>
        <v>0</v>
      </c>
      <c r="D36" s="391">
        <f>Input!D739</f>
        <v>0</v>
      </c>
      <c r="F36" s="436">
        <f>Input!E739</f>
        <v>0</v>
      </c>
      <c r="J36" s="231"/>
      <c r="K36" s="231"/>
    </row>
    <row r="37" spans="2:11" hidden="1" x14ac:dyDescent="0.25">
      <c r="B37" s="402" t="str">
        <f>Input!B740</f>
        <v>Flood</v>
      </c>
      <c r="C37" s="435">
        <f>Input!C740</f>
        <v>0</v>
      </c>
      <c r="D37" s="391">
        <f>Input!D740</f>
        <v>0</v>
      </c>
      <c r="F37" s="436">
        <f>Input!E740</f>
        <v>0</v>
      </c>
      <c r="J37" s="231"/>
      <c r="K37" s="231"/>
    </row>
    <row r="38" spans="2:11" hidden="1" x14ac:dyDescent="0.25">
      <c r="B38" s="402" t="str">
        <f>Input!B741</f>
        <v>Earthquake</v>
      </c>
      <c r="C38" s="435">
        <f>Input!C741</f>
        <v>0</v>
      </c>
      <c r="D38" s="391">
        <f>Input!D741</f>
        <v>0</v>
      </c>
      <c r="F38" s="436">
        <f>Input!E741</f>
        <v>0</v>
      </c>
      <c r="J38" s="231"/>
      <c r="K38" s="231"/>
    </row>
    <row r="39" spans="2:11" hidden="1" x14ac:dyDescent="0.25">
      <c r="B39" s="402" t="str">
        <f>Input!B742</f>
        <v>Windstorm</v>
      </c>
      <c r="C39" s="435">
        <f>Input!C742</f>
        <v>0</v>
      </c>
      <c r="D39" s="391">
        <f>Input!D742</f>
        <v>0</v>
      </c>
      <c r="F39" s="436">
        <f>Input!E742</f>
        <v>0</v>
      </c>
      <c r="J39" s="231"/>
      <c r="K39" s="231"/>
    </row>
    <row r="40" spans="2:11" hidden="1" x14ac:dyDescent="0.25">
      <c r="B40" s="402" t="str">
        <f>Input!B743</f>
        <v>Named Storm</v>
      </c>
      <c r="C40" s="435">
        <f>Input!C743</f>
        <v>0</v>
      </c>
      <c r="D40" s="391">
        <f>Input!D743</f>
        <v>0</v>
      </c>
      <c r="F40" s="436">
        <f>Input!E743</f>
        <v>0</v>
      </c>
      <c r="J40" s="231"/>
      <c r="K40" s="231"/>
    </row>
    <row r="41" spans="2:11" x14ac:dyDescent="0.25">
      <c r="B41" s="486" t="s">
        <v>367</v>
      </c>
      <c r="C41" s="486"/>
      <c r="D41" s="486"/>
      <c r="F41" s="488"/>
      <c r="J41" s="566"/>
      <c r="K41" s="566"/>
    </row>
    <row r="42" spans="2:11" x14ac:dyDescent="0.25">
      <c r="B42" s="402" t="s">
        <v>223</v>
      </c>
      <c r="C42" s="428">
        <f>Input!B664</f>
        <v>2275</v>
      </c>
      <c r="D42" s="425">
        <f>Input!D664</f>
        <v>4874</v>
      </c>
      <c r="F42" s="427">
        <f>Input!E664</f>
        <v>4874</v>
      </c>
      <c r="J42" s="231"/>
      <c r="K42" s="231"/>
    </row>
    <row r="43" spans="2:11" x14ac:dyDescent="0.25">
      <c r="B43" s="875" t="s">
        <v>1615</v>
      </c>
      <c r="C43" s="428">
        <f>Input!B674</f>
        <v>0</v>
      </c>
      <c r="D43" s="425">
        <f>Input!D674</f>
        <v>0</v>
      </c>
      <c r="F43" s="427">
        <f>Input!E674</f>
        <v>0</v>
      </c>
      <c r="J43" s="231"/>
      <c r="K43" s="231"/>
    </row>
    <row r="44" spans="2:11" hidden="1" x14ac:dyDescent="0.25">
      <c r="B44" s="402" t="s">
        <v>365</v>
      </c>
      <c r="C44" s="429">
        <f>Input!B676</f>
        <v>0</v>
      </c>
      <c r="D44" s="431">
        <f>Input!D676</f>
        <v>0</v>
      </c>
      <c r="F44" s="430">
        <f>Input!E676</f>
        <v>0</v>
      </c>
      <c r="J44" s="231"/>
      <c r="K44" s="231"/>
    </row>
    <row r="45" spans="2:11" x14ac:dyDescent="0.25">
      <c r="B45" s="402" t="s">
        <v>371</v>
      </c>
      <c r="C45" s="429">
        <f>C42+C43+C44</f>
        <v>2275</v>
      </c>
      <c r="D45" s="431">
        <f>D42+D43+D44</f>
        <v>4874</v>
      </c>
      <c r="F45" s="430">
        <f>F42+F43+F44</f>
        <v>4874</v>
      </c>
      <c r="J45" s="231"/>
      <c r="K45" s="231"/>
    </row>
    <row r="46" spans="2:11" ht="15" customHeight="1" x14ac:dyDescent="0.25">
      <c r="B46" s="400" t="s">
        <v>373</v>
      </c>
      <c r="C46" s="398">
        <f>Input!B678</f>
        <v>21966</v>
      </c>
      <c r="D46" s="425">
        <f>Input!D678</f>
        <v>30126</v>
      </c>
      <c r="F46" s="427">
        <f>Input!E678</f>
        <v>30126</v>
      </c>
      <c r="J46" s="231"/>
      <c r="K46" s="231"/>
    </row>
    <row r="47" spans="2:11" ht="7.5" customHeight="1" x14ac:dyDescent="0.25">
      <c r="B47" s="310"/>
      <c r="C47" s="228"/>
      <c r="D47" s="228"/>
      <c r="F47" s="275"/>
      <c r="J47" s="381"/>
    </row>
    <row r="48" spans="2:11" x14ac:dyDescent="0.25">
      <c r="B48" s="1274" t="s">
        <v>144</v>
      </c>
      <c r="C48" s="1274"/>
      <c r="D48" s="1274"/>
      <c r="F48" s="274"/>
      <c r="J48" s="381"/>
    </row>
    <row r="49" spans="2:11" x14ac:dyDescent="0.25">
      <c r="B49" s="1275" t="s">
        <v>1953</v>
      </c>
      <c r="C49" s="1275"/>
      <c r="D49" s="1275"/>
      <c r="E49" s="1044"/>
      <c r="F49" s="1045"/>
      <c r="J49" s="381"/>
    </row>
    <row r="50" spans="2:11" ht="7.5" customHeight="1" x14ac:dyDescent="0.25">
      <c r="B50" s="380"/>
      <c r="C50" s="238"/>
      <c r="D50" s="238"/>
      <c r="F50" s="275"/>
      <c r="J50" s="381"/>
    </row>
    <row r="51" spans="2:11" x14ac:dyDescent="0.25">
      <c r="B51" s="1274" t="s">
        <v>145</v>
      </c>
      <c r="C51" s="1274"/>
      <c r="D51" s="1274"/>
      <c r="F51" s="275"/>
      <c r="J51" s="381"/>
    </row>
    <row r="52" spans="2:11" ht="15" customHeight="1" x14ac:dyDescent="0.25">
      <c r="B52" s="1275" t="s">
        <v>1952</v>
      </c>
      <c r="C52" s="1275"/>
      <c r="D52" s="1275"/>
      <c r="E52" s="1044"/>
      <c r="F52" s="1045"/>
      <c r="J52" s="381"/>
    </row>
    <row r="53" spans="2:11" ht="7.5" customHeight="1" x14ac:dyDescent="0.25">
      <c r="B53" s="310"/>
      <c r="C53" s="228"/>
      <c r="D53" s="228"/>
      <c r="F53" s="275"/>
      <c r="J53" s="381"/>
    </row>
    <row r="54" spans="2:11" x14ac:dyDescent="0.25">
      <c r="B54" s="523" t="s">
        <v>72</v>
      </c>
      <c r="C54" s="524" t="s">
        <v>62</v>
      </c>
      <c r="D54" s="525" t="s">
        <v>63</v>
      </c>
      <c r="F54" s="526" t="s">
        <v>146</v>
      </c>
      <c r="J54" s="527" t="s">
        <v>1002</v>
      </c>
      <c r="K54" s="527" t="s">
        <v>363</v>
      </c>
    </row>
    <row r="55" spans="2:11" ht="15.75" customHeight="1" x14ac:dyDescent="0.25">
      <c r="B55" s="400" t="s">
        <v>74</v>
      </c>
      <c r="C55" s="711" t="s">
        <v>1406</v>
      </c>
      <c r="D55" s="390" t="s">
        <v>1406</v>
      </c>
      <c r="F55" s="413"/>
      <c r="G55" s="228" t="str">
        <f t="shared" ref="G55:G80" si="0">IF(OR(TRIM(D55)&lt;&gt;"",TRIM(F55)&lt;&gt;""),IF(AND(TRIM(D55)&lt;&gt;"",TRIM(F55)&lt;&gt;""),IF(OR(TRIM(C55)&lt;&gt;TRIM(D55),TRIM(C55)&lt;&gt;TRIM(F55)),"_",""),IF(TRIM(C55)&lt;&gt;TRIM(D55), "_", "")),"")</f>
        <v/>
      </c>
      <c r="H55" s="211"/>
      <c r="I55" s="211"/>
      <c r="J55" s="231"/>
      <c r="K55" s="231"/>
    </row>
    <row r="56" spans="2:11" x14ac:dyDescent="0.25">
      <c r="B56" s="400" t="s">
        <v>151</v>
      </c>
      <c r="C56" s="711" t="s">
        <v>1035</v>
      </c>
      <c r="D56" s="390" t="s">
        <v>1035</v>
      </c>
      <c r="F56" s="413"/>
      <c r="G56" s="228" t="str">
        <f t="shared" si="0"/>
        <v/>
      </c>
      <c r="H56" s="211"/>
      <c r="I56" s="211"/>
      <c r="J56" s="231"/>
      <c r="K56" s="231"/>
    </row>
    <row r="57" spans="2:11" x14ac:dyDescent="0.25">
      <c r="B57" s="400" t="s">
        <v>780</v>
      </c>
      <c r="C57" s="711" t="s">
        <v>1036</v>
      </c>
      <c r="D57" s="390" t="s">
        <v>1036</v>
      </c>
      <c r="F57" s="413"/>
      <c r="G57" s="228" t="str">
        <f t="shared" si="0"/>
        <v/>
      </c>
      <c r="H57" s="211"/>
      <c r="I57" s="211"/>
      <c r="J57" s="231"/>
      <c r="K57" s="231"/>
    </row>
    <row r="58" spans="2:11" x14ac:dyDescent="0.25">
      <c r="B58" s="400" t="s">
        <v>390</v>
      </c>
      <c r="C58" s="459" t="s">
        <v>157</v>
      </c>
      <c r="D58" s="692" t="s">
        <v>157</v>
      </c>
      <c r="F58" s="413"/>
      <c r="G58" s="228" t="str">
        <f t="shared" si="0"/>
        <v/>
      </c>
      <c r="H58" s="211"/>
      <c r="I58" s="211"/>
      <c r="J58" s="231"/>
      <c r="K58" s="231"/>
    </row>
    <row r="59" spans="2:11" x14ac:dyDescent="0.25">
      <c r="B59" s="368" t="s">
        <v>761</v>
      </c>
      <c r="C59" s="435"/>
      <c r="D59" s="391"/>
      <c r="F59" s="436"/>
      <c r="G59" s="228" t="str">
        <f t="shared" si="0"/>
        <v/>
      </c>
      <c r="H59" s="211"/>
      <c r="I59" s="211"/>
      <c r="J59" s="232"/>
      <c r="K59" s="232"/>
    </row>
    <row r="60" spans="2:11" x14ac:dyDescent="0.25">
      <c r="B60" s="441" t="s">
        <v>764</v>
      </c>
      <c r="C60" s="667" t="s">
        <v>1478</v>
      </c>
      <c r="D60" s="439" t="s">
        <v>1478</v>
      </c>
      <c r="F60" s="440"/>
      <c r="G60" s="228" t="str">
        <f t="shared" si="0"/>
        <v/>
      </c>
      <c r="H60" s="211"/>
      <c r="I60" s="211"/>
      <c r="J60" s="447"/>
      <c r="K60" s="447"/>
    </row>
    <row r="61" spans="2:11" x14ac:dyDescent="0.25">
      <c r="B61" s="441" t="s">
        <v>765</v>
      </c>
      <c r="C61" s="667" t="s">
        <v>1479</v>
      </c>
      <c r="D61" s="439" t="s">
        <v>1479</v>
      </c>
      <c r="F61" s="440"/>
      <c r="G61" s="228" t="str">
        <f t="shared" si="0"/>
        <v/>
      </c>
      <c r="H61" s="211"/>
      <c r="I61" s="211"/>
      <c r="J61" s="447"/>
      <c r="K61" s="447"/>
    </row>
    <row r="62" spans="2:11" ht="25.5" hidden="1" x14ac:dyDescent="0.25">
      <c r="B62" s="442" t="s">
        <v>768</v>
      </c>
      <c r="C62" s="396"/>
      <c r="D62" s="424"/>
      <c r="F62" s="443"/>
      <c r="G62" s="228" t="str">
        <f t="shared" si="0"/>
        <v/>
      </c>
      <c r="H62" s="211"/>
      <c r="I62" s="211"/>
      <c r="J62" s="445"/>
      <c r="K62" s="445"/>
    </row>
    <row r="63" spans="2:11" x14ac:dyDescent="0.25">
      <c r="B63" s="400" t="s">
        <v>186</v>
      </c>
      <c r="C63" s="711" t="s">
        <v>1480</v>
      </c>
      <c r="D63" s="390" t="s">
        <v>1480</v>
      </c>
      <c r="F63" s="413"/>
      <c r="G63" s="228" t="str">
        <f t="shared" si="0"/>
        <v/>
      </c>
      <c r="H63" s="211"/>
      <c r="I63" s="211"/>
      <c r="J63" s="231"/>
      <c r="K63" s="231"/>
    </row>
    <row r="64" spans="2:11" x14ac:dyDescent="0.25">
      <c r="B64" s="400" t="s">
        <v>759</v>
      </c>
      <c r="C64" s="711" t="s">
        <v>1480</v>
      </c>
      <c r="D64" s="390" t="s">
        <v>1480</v>
      </c>
      <c r="F64" s="413"/>
      <c r="G64" s="228" t="str">
        <f t="shared" si="0"/>
        <v/>
      </c>
      <c r="H64" s="211"/>
      <c r="I64" s="211"/>
      <c r="J64" s="231"/>
      <c r="K64" s="231"/>
    </row>
    <row r="65" spans="2:11" ht="15" customHeight="1" x14ac:dyDescent="0.25">
      <c r="B65" s="400" t="s">
        <v>706</v>
      </c>
      <c r="C65" s="456" t="s">
        <v>391</v>
      </c>
      <c r="D65" s="797" t="s">
        <v>391</v>
      </c>
      <c r="F65" s="413"/>
      <c r="G65" s="228" t="str">
        <f t="shared" si="0"/>
        <v/>
      </c>
      <c r="H65" s="211"/>
      <c r="I65" s="211"/>
      <c r="J65" s="231"/>
      <c r="K65" s="231"/>
    </row>
    <row r="66" spans="2:11" x14ac:dyDescent="0.25">
      <c r="B66" s="400" t="s">
        <v>762</v>
      </c>
      <c r="C66" s="459" t="s">
        <v>157</v>
      </c>
      <c r="D66" s="692" t="s">
        <v>157</v>
      </c>
      <c r="F66" s="413"/>
      <c r="G66" s="228" t="str">
        <f t="shared" si="0"/>
        <v/>
      </c>
      <c r="H66" s="211"/>
      <c r="I66" s="211"/>
      <c r="J66" s="231"/>
      <c r="K66" s="231"/>
    </row>
    <row r="67" spans="2:11" ht="14.25" customHeight="1" x14ac:dyDescent="0.25">
      <c r="B67" s="310"/>
      <c r="C67" s="228"/>
      <c r="D67" s="228"/>
      <c r="F67" s="275"/>
      <c r="G67" s="228" t="str">
        <f t="shared" si="0"/>
        <v/>
      </c>
      <c r="J67" s="381"/>
    </row>
    <row r="68" spans="2:11" x14ac:dyDescent="0.25">
      <c r="B68" s="523" t="s">
        <v>103</v>
      </c>
      <c r="C68" s="524" t="s">
        <v>62</v>
      </c>
      <c r="D68" s="525" t="s">
        <v>63</v>
      </c>
      <c r="F68" s="526" t="s">
        <v>146</v>
      </c>
      <c r="G68" s="228" t="str">
        <f t="shared" si="0"/>
        <v>_</v>
      </c>
      <c r="J68" s="527" t="s">
        <v>1002</v>
      </c>
      <c r="K68" s="527" t="s">
        <v>363</v>
      </c>
    </row>
    <row r="69" spans="2:11" x14ac:dyDescent="0.25">
      <c r="B69" s="836" t="s">
        <v>1481</v>
      </c>
      <c r="C69" s="817" t="s">
        <v>1053</v>
      </c>
      <c r="D69" s="828" t="s">
        <v>1053</v>
      </c>
      <c r="F69" s="443"/>
      <c r="G69" s="228" t="str">
        <f t="shared" si="0"/>
        <v/>
      </c>
      <c r="J69" s="231"/>
      <c r="K69" s="231"/>
    </row>
    <row r="70" spans="2:11" x14ac:dyDescent="0.25">
      <c r="B70" s="673" t="s">
        <v>1483</v>
      </c>
      <c r="C70" s="709" t="s">
        <v>1053</v>
      </c>
      <c r="D70" s="710" t="s">
        <v>1053</v>
      </c>
      <c r="F70" s="413"/>
      <c r="G70" s="228" t="str">
        <f t="shared" si="0"/>
        <v/>
      </c>
      <c r="J70" s="231"/>
      <c r="K70" s="231"/>
    </row>
    <row r="71" spans="2:11" x14ac:dyDescent="0.25">
      <c r="B71" s="674" t="s">
        <v>1482</v>
      </c>
      <c r="C71" s="709" t="s">
        <v>1053</v>
      </c>
      <c r="D71" s="710" t="s">
        <v>1053</v>
      </c>
      <c r="F71" s="413"/>
      <c r="G71" s="228" t="str">
        <f t="shared" si="0"/>
        <v/>
      </c>
      <c r="J71" s="231"/>
      <c r="K71" s="231"/>
    </row>
    <row r="72" spans="2:11" ht="7.5" customHeight="1" x14ac:dyDescent="0.25">
      <c r="B72" s="211"/>
      <c r="C72" s="228"/>
      <c r="D72" s="228"/>
      <c r="F72" s="228"/>
      <c r="G72" s="228" t="str">
        <f t="shared" si="0"/>
        <v/>
      </c>
      <c r="J72" s="381"/>
    </row>
    <row r="73" spans="2:11" x14ac:dyDescent="0.25">
      <c r="B73" s="528" t="s">
        <v>359</v>
      </c>
      <c r="C73" s="524" t="s">
        <v>62</v>
      </c>
      <c r="D73" s="525" t="s">
        <v>63</v>
      </c>
      <c r="F73" s="526" t="s">
        <v>146</v>
      </c>
      <c r="G73" s="228" t="str">
        <f t="shared" si="0"/>
        <v>_</v>
      </c>
      <c r="H73" s="211"/>
      <c r="I73" s="211"/>
      <c r="J73" s="527" t="s">
        <v>1002</v>
      </c>
      <c r="K73" s="527" t="s">
        <v>363</v>
      </c>
    </row>
    <row r="74" spans="2:11" x14ac:dyDescent="0.25">
      <c r="B74" s="673" t="s">
        <v>1416</v>
      </c>
      <c r="C74" s="711" t="s">
        <v>1417</v>
      </c>
      <c r="D74" s="390" t="s">
        <v>1417</v>
      </c>
      <c r="F74" s="413"/>
      <c r="G74" s="228" t="str">
        <f t="shared" si="0"/>
        <v/>
      </c>
      <c r="H74" s="211"/>
      <c r="I74" s="211"/>
      <c r="J74" s="231"/>
      <c r="K74" s="231"/>
    </row>
    <row r="75" spans="2:11" x14ac:dyDescent="0.25">
      <c r="B75" s="722" t="s">
        <v>1418</v>
      </c>
      <c r="C75" s="711" t="s">
        <v>1419</v>
      </c>
      <c r="D75" s="390" t="s">
        <v>1419</v>
      </c>
      <c r="F75" s="413"/>
      <c r="G75" s="228" t="str">
        <f t="shared" si="0"/>
        <v/>
      </c>
      <c r="H75" s="211"/>
      <c r="I75" s="211"/>
      <c r="J75" s="231"/>
      <c r="K75" s="231"/>
    </row>
    <row r="76" spans="2:11" x14ac:dyDescent="0.25">
      <c r="B76" s="722" t="s">
        <v>1421</v>
      </c>
      <c r="C76" s="711" t="s">
        <v>1420</v>
      </c>
      <c r="D76" s="390" t="s">
        <v>1420</v>
      </c>
      <c r="F76" s="413"/>
      <c r="G76" s="228" t="str">
        <f t="shared" si="0"/>
        <v/>
      </c>
      <c r="H76" s="211"/>
      <c r="I76" s="211"/>
      <c r="J76" s="231"/>
      <c r="K76" s="231"/>
    </row>
    <row r="77" spans="2:11" x14ac:dyDescent="0.25">
      <c r="B77" s="722" t="s">
        <v>1422</v>
      </c>
      <c r="C77" s="711" t="s">
        <v>1423</v>
      </c>
      <c r="D77" s="390" t="s">
        <v>1423</v>
      </c>
      <c r="F77" s="413"/>
      <c r="G77" s="228" t="str">
        <f t="shared" si="0"/>
        <v/>
      </c>
      <c r="H77" s="211"/>
      <c r="I77" s="211"/>
      <c r="J77" s="231"/>
      <c r="K77" s="231"/>
    </row>
    <row r="78" spans="2:11" ht="15.75" customHeight="1" x14ac:dyDescent="0.25">
      <c r="B78" s="674" t="s">
        <v>1484</v>
      </c>
      <c r="C78" s="711" t="s">
        <v>1767</v>
      </c>
      <c r="D78" s="712" t="s">
        <v>1767</v>
      </c>
      <c r="E78" s="16"/>
      <c r="F78" s="413"/>
      <c r="G78" s="228" t="str">
        <f t="shared" si="0"/>
        <v/>
      </c>
      <c r="H78" s="211"/>
      <c r="I78" s="211"/>
      <c r="J78" s="231"/>
      <c r="K78" s="231"/>
    </row>
    <row r="79" spans="2:11" x14ac:dyDescent="0.25">
      <c r="B79" s="673" t="s">
        <v>1738</v>
      </c>
      <c r="C79" s="412" t="s">
        <v>1768</v>
      </c>
      <c r="D79" s="712" t="s">
        <v>1768</v>
      </c>
      <c r="E79" s="16"/>
      <c r="F79" s="413"/>
      <c r="G79" s="228" t="str">
        <f t="shared" si="0"/>
        <v/>
      </c>
      <c r="H79" s="211"/>
      <c r="I79" s="211"/>
      <c r="J79" s="231"/>
      <c r="K79" s="231"/>
    </row>
    <row r="80" spans="2:11" x14ac:dyDescent="0.25">
      <c r="B80" s="400"/>
      <c r="C80" s="412"/>
      <c r="D80" s="390"/>
      <c r="E80" s="16"/>
      <c r="F80" s="413"/>
      <c r="G80" s="228" t="str">
        <f t="shared" si="0"/>
        <v/>
      </c>
      <c r="H80" s="211"/>
      <c r="I80" s="211"/>
      <c r="J80" s="231"/>
      <c r="K80" s="231"/>
    </row>
    <row r="81" spans="2:11" x14ac:dyDescent="0.25">
      <c r="B81" s="368"/>
      <c r="C81" s="412"/>
      <c r="D81" s="390"/>
      <c r="E81" s="16"/>
      <c r="F81" s="413"/>
      <c r="G81" s="228" t="str">
        <f t="shared" ref="G81:G91" si="1">IF(OR(TRIM(D81)&lt;&gt;"",TRIM(F81)&lt;&gt;""),IF(AND(TRIM(D81)&lt;&gt;"",TRIM(F81)&lt;&gt;""),IF(OR(TRIM(C81)&lt;&gt;TRIM(D81),TRIM(C81)&lt;&gt;TRIM(F81)),"_",""),IF(TRIM(C81)&lt;&gt;TRIM(D81), "_", "")),"")</f>
        <v/>
      </c>
      <c r="H81" s="211"/>
      <c r="I81" s="211"/>
      <c r="J81" s="231"/>
      <c r="K81" s="231"/>
    </row>
    <row r="82" spans="2:11" x14ac:dyDescent="0.25">
      <c r="B82" s="400"/>
      <c r="C82" s="412"/>
      <c r="D82" s="390"/>
      <c r="E82" s="16"/>
      <c r="F82" s="413"/>
      <c r="G82" s="228" t="str">
        <f t="shared" si="1"/>
        <v/>
      </c>
      <c r="H82" s="211"/>
      <c r="I82" s="211"/>
      <c r="J82" s="231"/>
      <c r="K82" s="231"/>
    </row>
    <row r="83" spans="2:11" x14ac:dyDescent="0.25">
      <c r="B83" s="400"/>
      <c r="C83" s="412"/>
      <c r="D83" s="390"/>
      <c r="E83" s="16"/>
      <c r="F83" s="413"/>
      <c r="G83" s="228" t="str">
        <f t="shared" si="1"/>
        <v/>
      </c>
      <c r="H83" s="211"/>
      <c r="I83" s="211"/>
      <c r="J83" s="231"/>
      <c r="K83" s="231"/>
    </row>
    <row r="84" spans="2:11" x14ac:dyDescent="0.25">
      <c r="B84" s="400"/>
      <c r="C84" s="412"/>
      <c r="D84" s="390"/>
      <c r="E84" s="16"/>
      <c r="F84" s="413"/>
      <c r="G84" s="228" t="str">
        <f t="shared" si="1"/>
        <v/>
      </c>
      <c r="H84" s="211"/>
      <c r="I84" s="211"/>
      <c r="J84" s="231"/>
      <c r="K84" s="231"/>
    </row>
    <row r="85" spans="2:11" x14ac:dyDescent="0.25">
      <c r="B85" s="368"/>
      <c r="C85" s="412"/>
      <c r="D85" s="390"/>
      <c r="E85" s="16"/>
      <c r="F85" s="413"/>
      <c r="G85" s="228" t="str">
        <f t="shared" si="1"/>
        <v/>
      </c>
      <c r="H85" s="211"/>
      <c r="I85" s="211"/>
      <c r="J85" s="231"/>
      <c r="K85" s="231"/>
    </row>
    <row r="86" spans="2:11" x14ac:dyDescent="0.25">
      <c r="B86" s="368"/>
      <c r="C86" s="412"/>
      <c r="D86" s="390"/>
      <c r="E86" s="16"/>
      <c r="F86" s="413"/>
      <c r="G86" s="228" t="str">
        <f t="shared" si="1"/>
        <v/>
      </c>
      <c r="H86" s="211"/>
      <c r="I86" s="211"/>
      <c r="J86" s="231"/>
      <c r="K86" s="231"/>
    </row>
    <row r="87" spans="2:11" x14ac:dyDescent="0.25">
      <c r="B87" s="400"/>
      <c r="C87" s="412"/>
      <c r="D87" s="390"/>
      <c r="E87" s="16"/>
      <c r="F87" s="413"/>
      <c r="G87" s="228" t="str">
        <f t="shared" si="1"/>
        <v/>
      </c>
      <c r="H87" s="211"/>
      <c r="I87" s="211"/>
      <c r="J87" s="231"/>
      <c r="K87" s="231"/>
    </row>
    <row r="88" spans="2:11" x14ac:dyDescent="0.25">
      <c r="B88" s="368"/>
      <c r="C88" s="412"/>
      <c r="D88" s="390"/>
      <c r="E88" s="16"/>
      <c r="F88" s="413"/>
      <c r="G88" s="228" t="str">
        <f t="shared" si="1"/>
        <v/>
      </c>
      <c r="H88" s="211"/>
      <c r="I88" s="211"/>
      <c r="J88" s="231"/>
      <c r="K88" s="231"/>
    </row>
    <row r="89" spans="2:11" x14ac:dyDescent="0.25">
      <c r="B89" s="368"/>
      <c r="C89" s="412"/>
      <c r="D89" s="390"/>
      <c r="E89" s="16"/>
      <c r="F89" s="413"/>
      <c r="G89" s="228" t="str">
        <f t="shared" si="1"/>
        <v/>
      </c>
      <c r="H89" s="211"/>
      <c r="I89" s="211"/>
      <c r="J89" s="231"/>
      <c r="K89" s="231"/>
    </row>
    <row r="90" spans="2:11" x14ac:dyDescent="0.25">
      <c r="B90" s="368"/>
      <c r="C90" s="412"/>
      <c r="D90" s="390"/>
      <c r="E90" s="16"/>
      <c r="F90" s="413"/>
      <c r="G90" s="228" t="str">
        <f t="shared" si="1"/>
        <v/>
      </c>
      <c r="H90" s="211"/>
      <c r="I90" s="211"/>
      <c r="J90" s="231"/>
      <c r="K90" s="231"/>
    </row>
    <row r="91" spans="2:11" x14ac:dyDescent="0.25">
      <c r="B91" s="400"/>
      <c r="C91" s="412"/>
      <c r="D91" s="390"/>
      <c r="E91" s="16"/>
      <c r="F91" s="413"/>
      <c r="G91" s="228" t="str">
        <f t="shared" si="1"/>
        <v/>
      </c>
      <c r="H91" s="211"/>
      <c r="I91" s="211"/>
      <c r="J91" s="231"/>
      <c r="K91" s="231"/>
    </row>
    <row r="92" spans="2:11" x14ac:dyDescent="0.25">
      <c r="E92" s="16"/>
    </row>
    <row r="93" spans="2:11" x14ac:dyDescent="0.25">
      <c r="E93" s="16"/>
    </row>
    <row r="94" spans="2:11" x14ac:dyDescent="0.25">
      <c r="E94" s="16"/>
    </row>
    <row r="96" spans="2:11"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sheetData>
  <sortState xmlns:xlrd2="http://schemas.microsoft.com/office/spreadsheetml/2017/richdata2" ref="B69:D71">
    <sortCondition ref="B68"/>
  </sortState>
  <mergeCells count="4">
    <mergeCell ref="B48:D48"/>
    <mergeCell ref="B51:D51"/>
    <mergeCell ref="B49:D49"/>
    <mergeCell ref="B52:D52"/>
  </mergeCells>
  <conditionalFormatting sqref="G92:G1048576 G1:G32 G34 G41:G80">
    <cfRule type="cellIs" dxfId="201" priority="8" operator="equal">
      <formula>"_"</formula>
    </cfRule>
  </conditionalFormatting>
  <conditionalFormatting sqref="G81:G91">
    <cfRule type="cellIs" dxfId="200" priority="4" operator="equal">
      <formula>"_"</formula>
    </cfRule>
  </conditionalFormatting>
  <conditionalFormatting sqref="G33">
    <cfRule type="cellIs" dxfId="199" priority="2" operator="equal">
      <formula>"_"</formula>
    </cfRule>
  </conditionalFormatting>
  <conditionalFormatting sqref="G35:G40">
    <cfRule type="cellIs" dxfId="198"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T5DC Package - Property</oddHeader>
    <oddFooter>&amp;L&amp;G&amp;CPage &amp;P of &amp;N</oddFooter>
  </headerFooter>
  <rowBreaks count="1" manualBreakCount="1">
    <brk id="46" min="1" max="3" man="1"/>
  </rowBreaks>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B1:Y65"/>
  <sheetViews>
    <sheetView showGridLines="0" view="pageBreakPreview" zoomScale="130" zoomScaleNormal="100" zoomScaleSheetLayoutView="130" workbookViewId="0"/>
  </sheetViews>
  <sheetFormatPr defaultColWidth="9.140625" defaultRowHeight="12.75" x14ac:dyDescent="0.25"/>
  <cols>
    <col min="1" max="1" width="1.42578125" style="310" customWidth="1"/>
    <col min="2" max="2" width="28.85546875" style="211" customWidth="1"/>
    <col min="3" max="3" width="12.85546875" style="211" customWidth="1"/>
    <col min="4" max="4" width="4.85546875" style="228" bestFit="1" customWidth="1"/>
    <col min="5" max="5" width="7.7109375" style="228" bestFit="1" customWidth="1"/>
    <col min="6" max="8" width="7.7109375" style="228" customWidth="1"/>
    <col min="9" max="9" width="12.5703125" style="228" customWidth="1"/>
    <col min="10" max="13" width="9.85546875" style="228" customWidth="1"/>
    <col min="14" max="14" width="8.42578125" style="228" bestFit="1" customWidth="1"/>
    <col min="15" max="15" width="8.42578125" style="228" customWidth="1"/>
    <col min="16" max="16" width="7.42578125" style="228" customWidth="1"/>
    <col min="17" max="21" width="9.85546875" style="228" customWidth="1"/>
    <col min="22" max="22" width="8.42578125" style="228" bestFit="1" customWidth="1"/>
    <col min="23" max="23" width="8.42578125" style="228" customWidth="1"/>
    <col min="24" max="24" width="7.42578125" style="228" customWidth="1"/>
    <col min="25" max="25" width="9.140625" style="275"/>
    <col min="26" max="16384" width="9.140625" style="310"/>
  </cols>
  <sheetData>
    <row r="1" spans="2:25" ht="7.5" customHeight="1" x14ac:dyDescent="0.25">
      <c r="B1" s="310"/>
      <c r="C1" s="310"/>
      <c r="D1" s="492"/>
      <c r="E1" s="492"/>
      <c r="F1" s="492"/>
      <c r="G1" s="492"/>
      <c r="H1" s="492"/>
      <c r="I1" s="492"/>
      <c r="J1" s="492"/>
      <c r="K1" s="492"/>
      <c r="L1" s="492"/>
      <c r="M1" s="492"/>
      <c r="N1" s="492"/>
      <c r="O1" s="492"/>
      <c r="P1" s="492"/>
      <c r="Q1" s="492"/>
      <c r="R1" s="492"/>
      <c r="S1" s="492"/>
      <c r="T1" s="492"/>
      <c r="U1" s="492"/>
      <c r="V1" s="492"/>
      <c r="W1" s="492"/>
      <c r="X1" s="492"/>
      <c r="Y1" s="493"/>
    </row>
    <row r="2" spans="2:25" ht="15.75" x14ac:dyDescent="0.25">
      <c r="B2" s="453" t="s">
        <v>196</v>
      </c>
      <c r="C2" s="310"/>
      <c r="D2" s="492"/>
      <c r="E2" s="492"/>
      <c r="F2" s="492"/>
      <c r="G2" s="492"/>
      <c r="H2" s="492"/>
      <c r="I2" s="492"/>
      <c r="J2" s="492"/>
      <c r="K2" s="492"/>
      <c r="L2" s="492"/>
      <c r="M2" s="492"/>
      <c r="N2" s="492"/>
      <c r="O2" s="492"/>
      <c r="P2" s="492"/>
      <c r="Q2" s="492"/>
      <c r="R2" s="492"/>
      <c r="S2" s="492"/>
      <c r="T2" s="492"/>
      <c r="U2" s="492"/>
      <c r="V2" s="492"/>
      <c r="W2" s="492"/>
      <c r="X2" s="492"/>
      <c r="Y2" s="493"/>
    </row>
    <row r="3" spans="2:25" x14ac:dyDescent="0.25">
      <c r="B3" s="310" t="s">
        <v>190</v>
      </c>
      <c r="C3" s="310"/>
      <c r="D3" s="494"/>
      <c r="E3" s="494"/>
      <c r="F3" s="494"/>
      <c r="G3" s="494"/>
      <c r="H3" s="494"/>
      <c r="I3" s="494"/>
      <c r="J3" s="492"/>
      <c r="K3" s="492"/>
      <c r="L3" s="492"/>
      <c r="M3" s="492"/>
      <c r="N3" s="492"/>
      <c r="O3" s="492"/>
      <c r="P3" s="492"/>
      <c r="Q3" s="492"/>
      <c r="R3" s="492"/>
      <c r="S3" s="492"/>
      <c r="T3" s="492"/>
      <c r="U3" s="492"/>
      <c r="V3" s="492"/>
      <c r="W3" s="492"/>
      <c r="X3" s="492"/>
      <c r="Y3" s="493"/>
    </row>
    <row r="4" spans="2:25" x14ac:dyDescent="0.25">
      <c r="B4" s="310"/>
      <c r="C4" s="310"/>
      <c r="D4" s="492"/>
      <c r="E4" s="492"/>
      <c r="F4" s="492"/>
      <c r="G4" s="492"/>
      <c r="H4" s="492"/>
      <c r="I4" s="492"/>
      <c r="J4" s="1281" t="s">
        <v>1631</v>
      </c>
      <c r="K4" s="1282"/>
      <c r="L4" s="1282"/>
      <c r="M4" s="1283"/>
      <c r="N4" s="1281" t="s">
        <v>1632</v>
      </c>
      <c r="O4" s="1282"/>
      <c r="P4" s="1282"/>
      <c r="Q4" s="1283"/>
      <c r="R4" s="1281" t="s">
        <v>1633</v>
      </c>
      <c r="S4" s="1282"/>
      <c r="T4" s="1282"/>
      <c r="U4" s="1283"/>
      <c r="V4" s="1281" t="s">
        <v>1634</v>
      </c>
      <c r="W4" s="1282"/>
      <c r="X4" s="1282"/>
      <c r="Y4" s="1282"/>
    </row>
    <row r="5" spans="2:25" s="225" customFormat="1" ht="63.75" x14ac:dyDescent="0.25">
      <c r="B5" s="224" t="s">
        <v>191</v>
      </c>
      <c r="C5" s="532" t="s">
        <v>192</v>
      </c>
      <c r="D5" s="885" t="s">
        <v>31</v>
      </c>
      <c r="E5" s="533" t="s">
        <v>393</v>
      </c>
      <c r="F5" s="936" t="s">
        <v>1694</v>
      </c>
      <c r="G5" s="936" t="s">
        <v>1695</v>
      </c>
      <c r="H5" s="936" t="s">
        <v>1696</v>
      </c>
      <c r="I5" s="219" t="s">
        <v>375</v>
      </c>
      <c r="J5" s="533" t="s">
        <v>193</v>
      </c>
      <c r="K5" s="533" t="s">
        <v>53</v>
      </c>
      <c r="L5" s="533" t="s">
        <v>194</v>
      </c>
      <c r="M5" s="219" t="s">
        <v>376</v>
      </c>
      <c r="N5" s="533" t="s">
        <v>193</v>
      </c>
      <c r="O5" s="533" t="s">
        <v>53</v>
      </c>
      <c r="P5" s="533" t="s">
        <v>194</v>
      </c>
      <c r="Q5" s="219" t="s">
        <v>376</v>
      </c>
      <c r="R5" s="533" t="s">
        <v>193</v>
      </c>
      <c r="S5" s="533" t="s">
        <v>53</v>
      </c>
      <c r="T5" s="533" t="s">
        <v>194</v>
      </c>
      <c r="U5" s="219" t="s">
        <v>376</v>
      </c>
      <c r="V5" s="533" t="s">
        <v>195</v>
      </c>
      <c r="W5" s="533" t="s">
        <v>53</v>
      </c>
      <c r="X5" s="534" t="s">
        <v>194</v>
      </c>
      <c r="Y5" s="276" t="s">
        <v>376</v>
      </c>
    </row>
    <row r="6" spans="2:25" x14ac:dyDescent="0.25">
      <c r="B6" s="495" t="s">
        <v>1630</v>
      </c>
      <c r="C6" s="496" t="s">
        <v>1628</v>
      </c>
      <c r="D6" s="497" t="s">
        <v>1629</v>
      </c>
      <c r="E6" s="497">
        <v>30326</v>
      </c>
      <c r="F6" s="497"/>
      <c r="G6" s="497"/>
      <c r="H6" s="497"/>
      <c r="I6" s="498">
        <v>950000</v>
      </c>
      <c r="J6" s="498">
        <v>650000</v>
      </c>
      <c r="K6" s="498">
        <v>650000</v>
      </c>
      <c r="L6" s="498">
        <v>650000</v>
      </c>
      <c r="M6" s="498">
        <v>650000</v>
      </c>
      <c r="N6" s="498">
        <v>25000</v>
      </c>
      <c r="O6" s="498">
        <v>25000</v>
      </c>
      <c r="P6" s="498">
        <v>5000</v>
      </c>
      <c r="Q6" s="498">
        <v>5000</v>
      </c>
      <c r="R6" s="498"/>
      <c r="S6" s="498"/>
      <c r="T6" s="498"/>
      <c r="U6" s="498"/>
      <c r="V6" s="498"/>
      <c r="W6" s="498"/>
      <c r="X6" s="499"/>
      <c r="Y6" s="499"/>
    </row>
    <row r="7" spans="2:25" x14ac:dyDescent="0.25">
      <c r="B7" s="495" t="s">
        <v>1635</v>
      </c>
      <c r="C7" s="496" t="s">
        <v>1636</v>
      </c>
      <c r="D7" s="497" t="s">
        <v>28</v>
      </c>
      <c r="E7" s="497">
        <v>94105</v>
      </c>
      <c r="F7" s="497"/>
      <c r="G7" s="497"/>
      <c r="H7" s="497"/>
      <c r="I7" s="498">
        <v>80000</v>
      </c>
      <c r="J7" s="498">
        <v>20000</v>
      </c>
      <c r="K7" s="498">
        <v>20000</v>
      </c>
      <c r="L7" s="498">
        <v>20000</v>
      </c>
      <c r="M7" s="498">
        <v>20000</v>
      </c>
      <c r="N7" s="498">
        <v>25000</v>
      </c>
      <c r="O7" s="498">
        <v>25000</v>
      </c>
      <c r="P7" s="498">
        <v>5000</v>
      </c>
      <c r="Q7" s="498">
        <v>5000</v>
      </c>
      <c r="R7" s="498"/>
      <c r="S7" s="498"/>
      <c r="T7" s="498"/>
      <c r="U7" s="498"/>
      <c r="V7" s="498"/>
      <c r="W7" s="498"/>
      <c r="X7" s="499"/>
      <c r="Y7" s="499"/>
    </row>
    <row r="8" spans="2:25" hidden="1" x14ac:dyDescent="0.25">
      <c r="B8" s="495"/>
      <c r="C8" s="496"/>
      <c r="D8" s="497"/>
      <c r="E8" s="497"/>
      <c r="F8" s="497"/>
      <c r="G8" s="497"/>
      <c r="H8" s="497"/>
      <c r="I8" s="498"/>
      <c r="J8" s="498"/>
      <c r="K8" s="498"/>
      <c r="L8" s="498"/>
      <c r="M8" s="498"/>
      <c r="N8" s="498"/>
      <c r="O8" s="498"/>
      <c r="P8" s="498"/>
      <c r="Q8" s="498"/>
      <c r="R8" s="498"/>
      <c r="S8" s="498"/>
      <c r="T8" s="498"/>
      <c r="U8" s="498"/>
      <c r="V8" s="498"/>
      <c r="W8" s="498"/>
      <c r="X8" s="499"/>
      <c r="Y8" s="413"/>
    </row>
    <row r="9" spans="2:25" hidden="1" x14ac:dyDescent="0.25">
      <c r="B9" s="495"/>
      <c r="C9" s="496"/>
      <c r="D9" s="497"/>
      <c r="E9" s="497"/>
      <c r="F9" s="497"/>
      <c r="G9" s="497"/>
      <c r="H9" s="497"/>
      <c r="I9" s="498"/>
      <c r="J9" s="498"/>
      <c r="K9" s="498"/>
      <c r="L9" s="498"/>
      <c r="M9" s="498"/>
      <c r="N9" s="498"/>
      <c r="O9" s="498"/>
      <c r="P9" s="498"/>
      <c r="Q9" s="498"/>
      <c r="R9" s="498"/>
      <c r="S9" s="498"/>
      <c r="T9" s="498"/>
      <c r="U9" s="498"/>
      <c r="V9" s="498"/>
      <c r="W9" s="498"/>
      <c r="X9" s="499"/>
      <c r="Y9" s="413"/>
    </row>
    <row r="10" spans="2:25" hidden="1" x14ac:dyDescent="0.25">
      <c r="B10" s="495"/>
      <c r="C10" s="496"/>
      <c r="D10" s="497"/>
      <c r="E10" s="497"/>
      <c r="F10" s="497"/>
      <c r="G10" s="497"/>
      <c r="H10" s="497"/>
      <c r="I10" s="498"/>
      <c r="J10" s="498"/>
      <c r="K10" s="498"/>
      <c r="L10" s="498"/>
      <c r="M10" s="498"/>
      <c r="N10" s="498"/>
      <c r="O10" s="498"/>
      <c r="P10" s="498"/>
      <c r="Q10" s="498"/>
      <c r="R10" s="498"/>
      <c r="S10" s="498"/>
      <c r="T10" s="498"/>
      <c r="U10" s="498"/>
      <c r="V10" s="498"/>
      <c r="W10" s="498"/>
      <c r="X10" s="499"/>
      <c r="Y10" s="413"/>
    </row>
    <row r="11" spans="2:25" hidden="1" x14ac:dyDescent="0.25">
      <c r="B11" s="495"/>
      <c r="C11" s="496"/>
      <c r="D11" s="497"/>
      <c r="E11" s="497"/>
      <c r="F11" s="497"/>
      <c r="G11" s="497"/>
      <c r="H11" s="497"/>
      <c r="I11" s="498"/>
      <c r="J11" s="498"/>
      <c r="K11" s="498"/>
      <c r="L11" s="498"/>
      <c r="M11" s="498"/>
      <c r="N11" s="498"/>
      <c r="O11" s="498"/>
      <c r="P11" s="498"/>
      <c r="Q11" s="498"/>
      <c r="R11" s="498"/>
      <c r="S11" s="498"/>
      <c r="T11" s="498"/>
      <c r="U11" s="498"/>
      <c r="V11" s="498"/>
      <c r="W11" s="498"/>
      <c r="X11" s="499"/>
      <c r="Y11" s="413"/>
    </row>
    <row r="12" spans="2:25" hidden="1" x14ac:dyDescent="0.25">
      <c r="B12" s="495"/>
      <c r="C12" s="496"/>
      <c r="D12" s="497"/>
      <c r="E12" s="497"/>
      <c r="F12" s="497"/>
      <c r="G12" s="497"/>
      <c r="H12" s="497"/>
      <c r="I12" s="498"/>
      <c r="J12" s="498"/>
      <c r="K12" s="498"/>
      <c r="L12" s="498"/>
      <c r="M12" s="498"/>
      <c r="N12" s="498"/>
      <c r="O12" s="498"/>
      <c r="P12" s="498"/>
      <c r="Q12" s="498"/>
      <c r="R12" s="498"/>
      <c r="S12" s="498"/>
      <c r="T12" s="498"/>
      <c r="U12" s="498"/>
      <c r="V12" s="498"/>
      <c r="W12" s="498"/>
      <c r="X12" s="499"/>
      <c r="Y12" s="413"/>
    </row>
    <row r="13" spans="2:25" hidden="1" x14ac:dyDescent="0.25">
      <c r="B13" s="495"/>
      <c r="C13" s="496"/>
      <c r="D13" s="497"/>
      <c r="E13" s="497"/>
      <c r="F13" s="497"/>
      <c r="G13" s="497"/>
      <c r="H13" s="497"/>
      <c r="I13" s="498"/>
      <c r="J13" s="498"/>
      <c r="K13" s="498"/>
      <c r="L13" s="498"/>
      <c r="M13" s="498"/>
      <c r="N13" s="498"/>
      <c r="O13" s="498"/>
      <c r="P13" s="498"/>
      <c r="Q13" s="498"/>
      <c r="R13" s="498"/>
      <c r="S13" s="498"/>
      <c r="T13" s="498"/>
      <c r="U13" s="498"/>
      <c r="V13" s="498"/>
      <c r="W13" s="498"/>
      <c r="X13" s="499"/>
      <c r="Y13" s="413"/>
    </row>
    <row r="14" spans="2:25" hidden="1" x14ac:dyDescent="0.25">
      <c r="B14" s="495"/>
      <c r="C14" s="496"/>
      <c r="D14" s="497"/>
      <c r="E14" s="497"/>
      <c r="F14" s="497"/>
      <c r="G14" s="497"/>
      <c r="H14" s="497"/>
      <c r="I14" s="498"/>
      <c r="J14" s="498"/>
      <c r="K14" s="498"/>
      <c r="L14" s="498"/>
      <c r="M14" s="498"/>
      <c r="N14" s="498"/>
      <c r="O14" s="498"/>
      <c r="P14" s="498"/>
      <c r="Q14" s="498"/>
      <c r="R14" s="498"/>
      <c r="S14" s="498"/>
      <c r="T14" s="498"/>
      <c r="U14" s="498"/>
      <c r="V14" s="498"/>
      <c r="W14" s="498"/>
      <c r="X14" s="499"/>
      <c r="Y14" s="413"/>
    </row>
    <row r="15" spans="2:25" hidden="1" x14ac:dyDescent="0.25">
      <c r="B15" s="495"/>
      <c r="C15" s="496"/>
      <c r="D15" s="497"/>
      <c r="E15" s="497"/>
      <c r="F15" s="497"/>
      <c r="G15" s="497"/>
      <c r="H15" s="497"/>
      <c r="I15" s="498"/>
      <c r="J15" s="498"/>
      <c r="K15" s="498"/>
      <c r="L15" s="498"/>
      <c r="M15" s="498"/>
      <c r="N15" s="498"/>
      <c r="O15" s="498"/>
      <c r="P15" s="498"/>
      <c r="Q15" s="498"/>
      <c r="R15" s="498"/>
      <c r="S15" s="498"/>
      <c r="T15" s="498"/>
      <c r="U15" s="498"/>
      <c r="V15" s="498"/>
      <c r="W15" s="498"/>
      <c r="X15" s="499"/>
      <c r="Y15" s="413"/>
    </row>
    <row r="16" spans="2:25" hidden="1" x14ac:dyDescent="0.25">
      <c r="B16" s="495"/>
      <c r="C16" s="496"/>
      <c r="D16" s="497"/>
      <c r="E16" s="497"/>
      <c r="F16" s="497"/>
      <c r="G16" s="497"/>
      <c r="H16" s="497"/>
      <c r="I16" s="498"/>
      <c r="J16" s="498"/>
      <c r="K16" s="498"/>
      <c r="L16" s="498"/>
      <c r="M16" s="498"/>
      <c r="N16" s="498"/>
      <c r="O16" s="498"/>
      <c r="P16" s="498"/>
      <c r="Q16" s="498"/>
      <c r="R16" s="498"/>
      <c r="S16" s="498"/>
      <c r="T16" s="498"/>
      <c r="U16" s="498"/>
      <c r="V16" s="498"/>
      <c r="W16" s="498"/>
      <c r="X16" s="499"/>
      <c r="Y16" s="413"/>
    </row>
    <row r="17" spans="2:25" hidden="1" x14ac:dyDescent="0.25">
      <c r="B17" s="495"/>
      <c r="C17" s="496"/>
      <c r="D17" s="497"/>
      <c r="E17" s="497"/>
      <c r="F17" s="497"/>
      <c r="G17" s="497"/>
      <c r="H17" s="497"/>
      <c r="I17" s="498"/>
      <c r="J17" s="498"/>
      <c r="K17" s="498"/>
      <c r="L17" s="498"/>
      <c r="M17" s="498"/>
      <c r="N17" s="498"/>
      <c r="O17" s="498"/>
      <c r="P17" s="498"/>
      <c r="Q17" s="498"/>
      <c r="R17" s="498"/>
      <c r="S17" s="498"/>
      <c r="T17" s="498"/>
      <c r="U17" s="498"/>
      <c r="V17" s="498"/>
      <c r="W17" s="498"/>
      <c r="X17" s="499"/>
      <c r="Y17" s="413"/>
    </row>
    <row r="18" spans="2:25" hidden="1" x14ac:dyDescent="0.25">
      <c r="B18" s="495"/>
      <c r="C18" s="496"/>
      <c r="D18" s="497"/>
      <c r="E18" s="497"/>
      <c r="F18" s="497"/>
      <c r="G18" s="497"/>
      <c r="H18" s="497"/>
      <c r="I18" s="498"/>
      <c r="J18" s="498"/>
      <c r="K18" s="498"/>
      <c r="L18" s="498"/>
      <c r="M18" s="498"/>
      <c r="N18" s="498"/>
      <c r="O18" s="498"/>
      <c r="P18" s="498"/>
      <c r="Q18" s="498"/>
      <c r="R18" s="498"/>
      <c r="S18" s="498"/>
      <c r="T18" s="498"/>
      <c r="U18" s="498"/>
      <c r="V18" s="498"/>
      <c r="W18" s="498"/>
      <c r="X18" s="499"/>
      <c r="Y18" s="413"/>
    </row>
    <row r="19" spans="2:25" hidden="1" x14ac:dyDescent="0.25">
      <c r="B19" s="495"/>
      <c r="C19" s="496"/>
      <c r="D19" s="497"/>
      <c r="E19" s="497"/>
      <c r="F19" s="497"/>
      <c r="G19" s="497"/>
      <c r="H19" s="497"/>
      <c r="I19" s="498"/>
      <c r="J19" s="498"/>
      <c r="K19" s="498"/>
      <c r="L19" s="498"/>
      <c r="M19" s="498"/>
      <c r="N19" s="498"/>
      <c r="O19" s="498"/>
      <c r="P19" s="498"/>
      <c r="Q19" s="498"/>
      <c r="R19" s="498"/>
      <c r="S19" s="498"/>
      <c r="T19" s="498"/>
      <c r="U19" s="498"/>
      <c r="V19" s="498"/>
      <c r="W19" s="498"/>
      <c r="X19" s="499"/>
      <c r="Y19" s="413"/>
    </row>
    <row r="20" spans="2:25" hidden="1" x14ac:dyDescent="0.25">
      <c r="B20" s="495"/>
      <c r="C20" s="496"/>
      <c r="D20" s="497"/>
      <c r="E20" s="497"/>
      <c r="F20" s="497"/>
      <c r="G20" s="497"/>
      <c r="H20" s="497"/>
      <c r="I20" s="498"/>
      <c r="J20" s="498"/>
      <c r="K20" s="498"/>
      <c r="L20" s="498"/>
      <c r="M20" s="498"/>
      <c r="N20" s="498"/>
      <c r="O20" s="498"/>
      <c r="P20" s="498"/>
      <c r="Q20" s="498"/>
      <c r="R20" s="498"/>
      <c r="S20" s="498"/>
      <c r="T20" s="498"/>
      <c r="U20" s="498"/>
      <c r="V20" s="498"/>
      <c r="W20" s="498"/>
      <c r="X20" s="499"/>
      <c r="Y20" s="413"/>
    </row>
    <row r="21" spans="2:25" hidden="1" x14ac:dyDescent="0.25">
      <c r="B21" s="495"/>
      <c r="C21" s="496"/>
      <c r="D21" s="497"/>
      <c r="E21" s="497"/>
      <c r="F21" s="497"/>
      <c r="G21" s="497"/>
      <c r="H21" s="497"/>
      <c r="I21" s="498"/>
      <c r="J21" s="498"/>
      <c r="K21" s="498"/>
      <c r="L21" s="498"/>
      <c r="M21" s="498"/>
      <c r="N21" s="498"/>
      <c r="O21" s="498"/>
      <c r="P21" s="498"/>
      <c r="Q21" s="498"/>
      <c r="R21" s="498"/>
      <c r="S21" s="498"/>
      <c r="T21" s="498"/>
      <c r="U21" s="498"/>
      <c r="V21" s="498"/>
      <c r="W21" s="498"/>
      <c r="X21" s="499"/>
      <c r="Y21" s="413"/>
    </row>
    <row r="22" spans="2:25" hidden="1" x14ac:dyDescent="0.25">
      <c r="B22" s="495"/>
      <c r="C22" s="496"/>
      <c r="D22" s="497"/>
      <c r="E22" s="497"/>
      <c r="F22" s="497"/>
      <c r="G22" s="497"/>
      <c r="H22" s="497"/>
      <c r="I22" s="498"/>
      <c r="J22" s="498"/>
      <c r="K22" s="498"/>
      <c r="L22" s="498"/>
      <c r="M22" s="498"/>
      <c r="N22" s="498"/>
      <c r="O22" s="498"/>
      <c r="P22" s="498"/>
      <c r="Q22" s="498"/>
      <c r="R22" s="498"/>
      <c r="S22" s="498"/>
      <c r="T22" s="498"/>
      <c r="U22" s="498"/>
      <c r="V22" s="498"/>
      <c r="W22" s="498"/>
      <c r="X22" s="499"/>
      <c r="Y22" s="413"/>
    </row>
    <row r="23" spans="2:25" hidden="1" x14ac:dyDescent="0.25">
      <c r="B23" s="495"/>
      <c r="C23" s="496"/>
      <c r="D23" s="497"/>
      <c r="E23" s="497"/>
      <c r="F23" s="497"/>
      <c r="G23" s="497"/>
      <c r="H23" s="497"/>
      <c r="I23" s="498"/>
      <c r="J23" s="498"/>
      <c r="K23" s="498"/>
      <c r="L23" s="498"/>
      <c r="M23" s="498"/>
      <c r="N23" s="498"/>
      <c r="O23" s="498"/>
      <c r="P23" s="498"/>
      <c r="Q23" s="498"/>
      <c r="R23" s="498"/>
      <c r="S23" s="498"/>
      <c r="T23" s="498"/>
      <c r="U23" s="498"/>
      <c r="V23" s="498"/>
      <c r="W23" s="498"/>
      <c r="X23" s="499"/>
      <c r="Y23" s="413"/>
    </row>
    <row r="24" spans="2:25" hidden="1" x14ac:dyDescent="0.25">
      <c r="B24" s="495"/>
      <c r="C24" s="496"/>
      <c r="D24" s="497"/>
      <c r="E24" s="497"/>
      <c r="F24" s="497"/>
      <c r="G24" s="497"/>
      <c r="H24" s="497"/>
      <c r="I24" s="498"/>
      <c r="J24" s="498"/>
      <c r="K24" s="498"/>
      <c r="L24" s="498"/>
      <c r="M24" s="498"/>
      <c r="N24" s="498"/>
      <c r="O24" s="498"/>
      <c r="P24" s="498"/>
      <c r="Q24" s="498"/>
      <c r="R24" s="498"/>
      <c r="S24" s="498"/>
      <c r="T24" s="498"/>
      <c r="U24" s="498"/>
      <c r="V24" s="498"/>
      <c r="W24" s="498"/>
      <c r="X24" s="499"/>
      <c r="Y24" s="413"/>
    </row>
    <row r="25" spans="2:25" hidden="1" x14ac:dyDescent="0.25">
      <c r="B25" s="495"/>
      <c r="C25" s="496"/>
      <c r="D25" s="497"/>
      <c r="E25" s="497"/>
      <c r="F25" s="497"/>
      <c r="G25" s="497"/>
      <c r="H25" s="497"/>
      <c r="I25" s="498"/>
      <c r="J25" s="498"/>
      <c r="K25" s="498"/>
      <c r="L25" s="498"/>
      <c r="M25" s="498"/>
      <c r="N25" s="498"/>
      <c r="O25" s="498"/>
      <c r="P25" s="498"/>
      <c r="Q25" s="498"/>
      <c r="R25" s="498"/>
      <c r="S25" s="498"/>
      <c r="T25" s="498"/>
      <c r="U25" s="498"/>
      <c r="V25" s="498"/>
      <c r="W25" s="498"/>
      <c r="X25" s="499"/>
      <c r="Y25" s="413"/>
    </row>
    <row r="26" spans="2:25" hidden="1" x14ac:dyDescent="0.25">
      <c r="B26" s="495"/>
      <c r="C26" s="496"/>
      <c r="D26" s="497"/>
      <c r="E26" s="497"/>
      <c r="F26" s="497"/>
      <c r="G26" s="497"/>
      <c r="H26" s="497"/>
      <c r="I26" s="498"/>
      <c r="J26" s="498"/>
      <c r="K26" s="498"/>
      <c r="L26" s="498"/>
      <c r="M26" s="498"/>
      <c r="N26" s="498"/>
      <c r="O26" s="498"/>
      <c r="P26" s="498"/>
      <c r="Q26" s="498"/>
      <c r="R26" s="498"/>
      <c r="S26" s="498"/>
      <c r="T26" s="498"/>
      <c r="U26" s="498"/>
      <c r="V26" s="498"/>
      <c r="W26" s="498"/>
      <c r="X26" s="499"/>
      <c r="Y26" s="413"/>
    </row>
    <row r="27" spans="2:25" hidden="1" x14ac:dyDescent="0.25">
      <c r="B27" s="495"/>
      <c r="C27" s="496"/>
      <c r="D27" s="497"/>
      <c r="E27" s="497"/>
      <c r="F27" s="497"/>
      <c r="G27" s="497"/>
      <c r="H27" s="497"/>
      <c r="I27" s="498"/>
      <c r="J27" s="498"/>
      <c r="K27" s="498"/>
      <c r="L27" s="498"/>
      <c r="M27" s="498"/>
      <c r="N27" s="498"/>
      <c r="O27" s="498"/>
      <c r="P27" s="498"/>
      <c r="Q27" s="498"/>
      <c r="R27" s="498"/>
      <c r="S27" s="498"/>
      <c r="T27" s="498"/>
      <c r="U27" s="498"/>
      <c r="V27" s="498"/>
      <c r="W27" s="498"/>
      <c r="X27" s="499"/>
      <c r="Y27" s="413"/>
    </row>
    <row r="28" spans="2:25" hidden="1" x14ac:dyDescent="0.25">
      <c r="B28" s="495"/>
      <c r="C28" s="496"/>
      <c r="D28" s="497"/>
      <c r="E28" s="497"/>
      <c r="F28" s="497"/>
      <c r="G28" s="497"/>
      <c r="H28" s="497"/>
      <c r="I28" s="498"/>
      <c r="J28" s="498"/>
      <c r="K28" s="498"/>
      <c r="L28" s="498"/>
      <c r="M28" s="498"/>
      <c r="N28" s="498"/>
      <c r="O28" s="498"/>
      <c r="P28" s="498"/>
      <c r="Q28" s="498"/>
      <c r="R28" s="498"/>
      <c r="S28" s="498"/>
      <c r="T28" s="498"/>
      <c r="U28" s="498"/>
      <c r="V28" s="498"/>
      <c r="W28" s="498"/>
      <c r="X28" s="499"/>
      <c r="Y28" s="413"/>
    </row>
    <row r="29" spans="2:25" hidden="1" x14ac:dyDescent="0.25">
      <c r="B29" s="495"/>
      <c r="C29" s="496"/>
      <c r="D29" s="497"/>
      <c r="E29" s="497"/>
      <c r="F29" s="497"/>
      <c r="G29" s="497"/>
      <c r="H29" s="497"/>
      <c r="I29" s="498"/>
      <c r="J29" s="498"/>
      <c r="K29" s="498"/>
      <c r="L29" s="498"/>
      <c r="M29" s="498"/>
      <c r="N29" s="498"/>
      <c r="O29" s="498"/>
      <c r="P29" s="498"/>
      <c r="Q29" s="498"/>
      <c r="R29" s="498"/>
      <c r="S29" s="498"/>
      <c r="T29" s="498"/>
      <c r="U29" s="498"/>
      <c r="V29" s="498"/>
      <c r="W29" s="498"/>
      <c r="X29" s="499"/>
      <c r="Y29" s="413"/>
    </row>
    <row r="30" spans="2:25" hidden="1" x14ac:dyDescent="0.25">
      <c r="B30" s="495"/>
      <c r="C30" s="496"/>
      <c r="D30" s="497"/>
      <c r="E30" s="497"/>
      <c r="F30" s="497"/>
      <c r="G30" s="497"/>
      <c r="H30" s="497"/>
      <c r="I30" s="498"/>
      <c r="J30" s="498"/>
      <c r="K30" s="498"/>
      <c r="L30" s="498"/>
      <c r="M30" s="498"/>
      <c r="N30" s="498"/>
      <c r="O30" s="498"/>
      <c r="P30" s="498"/>
      <c r="Q30" s="498"/>
      <c r="R30" s="498"/>
      <c r="S30" s="498"/>
      <c r="T30" s="498"/>
      <c r="U30" s="498"/>
      <c r="V30" s="498"/>
      <c r="W30" s="498"/>
      <c r="X30" s="499"/>
      <c r="Y30" s="413"/>
    </row>
    <row r="31" spans="2:25" hidden="1" x14ac:dyDescent="0.25">
      <c r="B31" s="495"/>
      <c r="C31" s="496"/>
      <c r="D31" s="497"/>
      <c r="E31" s="497"/>
      <c r="F31" s="497"/>
      <c r="G31" s="497"/>
      <c r="H31" s="497"/>
      <c r="I31" s="498"/>
      <c r="J31" s="498"/>
      <c r="K31" s="498"/>
      <c r="L31" s="498"/>
      <c r="M31" s="498"/>
      <c r="N31" s="498"/>
      <c r="O31" s="498"/>
      <c r="P31" s="498"/>
      <c r="Q31" s="498"/>
      <c r="R31" s="498"/>
      <c r="S31" s="498"/>
      <c r="T31" s="498"/>
      <c r="U31" s="498"/>
      <c r="V31" s="498"/>
      <c r="W31" s="498"/>
      <c r="X31" s="499"/>
      <c r="Y31" s="413"/>
    </row>
    <row r="32" spans="2:25" hidden="1" x14ac:dyDescent="0.25">
      <c r="B32" s="495"/>
      <c r="C32" s="496"/>
      <c r="D32" s="497"/>
      <c r="E32" s="497"/>
      <c r="F32" s="497"/>
      <c r="G32" s="497"/>
      <c r="H32" s="497"/>
      <c r="I32" s="498"/>
      <c r="J32" s="498"/>
      <c r="K32" s="498"/>
      <c r="L32" s="498"/>
      <c r="M32" s="498"/>
      <c r="N32" s="498"/>
      <c r="O32" s="498"/>
      <c r="P32" s="498"/>
      <c r="Q32" s="498"/>
      <c r="R32" s="498"/>
      <c r="S32" s="498"/>
      <c r="T32" s="498"/>
      <c r="U32" s="498"/>
      <c r="V32" s="498"/>
      <c r="W32" s="498"/>
      <c r="X32" s="499"/>
      <c r="Y32" s="413"/>
    </row>
    <row r="33" spans="2:25" hidden="1" x14ac:dyDescent="0.25">
      <c r="B33" s="495"/>
      <c r="C33" s="496"/>
      <c r="D33" s="497"/>
      <c r="E33" s="497"/>
      <c r="F33" s="497"/>
      <c r="G33" s="497"/>
      <c r="H33" s="497"/>
      <c r="I33" s="498"/>
      <c r="J33" s="498"/>
      <c r="K33" s="498"/>
      <c r="L33" s="498"/>
      <c r="M33" s="498"/>
      <c r="N33" s="498"/>
      <c r="O33" s="498"/>
      <c r="P33" s="498"/>
      <c r="Q33" s="498"/>
      <c r="R33" s="498"/>
      <c r="S33" s="498"/>
      <c r="T33" s="498"/>
      <c r="U33" s="498"/>
      <c r="V33" s="498"/>
      <c r="W33" s="498"/>
      <c r="X33" s="499"/>
      <c r="Y33" s="413"/>
    </row>
    <row r="34" spans="2:25" hidden="1" x14ac:dyDescent="0.25">
      <c r="B34" s="495"/>
      <c r="C34" s="496"/>
      <c r="D34" s="497"/>
      <c r="E34" s="497"/>
      <c r="F34" s="497"/>
      <c r="G34" s="497"/>
      <c r="H34" s="497"/>
      <c r="I34" s="498"/>
      <c r="J34" s="498"/>
      <c r="K34" s="498"/>
      <c r="L34" s="498"/>
      <c r="M34" s="498"/>
      <c r="N34" s="498"/>
      <c r="O34" s="498"/>
      <c r="P34" s="498"/>
      <c r="Q34" s="498"/>
      <c r="R34" s="498"/>
      <c r="S34" s="498"/>
      <c r="T34" s="498"/>
      <c r="U34" s="498"/>
      <c r="V34" s="498"/>
      <c r="W34" s="498"/>
      <c r="X34" s="499"/>
      <c r="Y34" s="413"/>
    </row>
    <row r="35" spans="2:25" hidden="1" x14ac:dyDescent="0.25">
      <c r="B35" s="495"/>
      <c r="C35" s="496"/>
      <c r="D35" s="497"/>
      <c r="E35" s="497"/>
      <c r="F35" s="497"/>
      <c r="G35" s="497"/>
      <c r="H35" s="497"/>
      <c r="I35" s="498"/>
      <c r="J35" s="498"/>
      <c r="K35" s="498"/>
      <c r="L35" s="498"/>
      <c r="M35" s="498"/>
      <c r="N35" s="498"/>
      <c r="O35" s="498"/>
      <c r="P35" s="498"/>
      <c r="Q35" s="498"/>
      <c r="R35" s="498"/>
      <c r="S35" s="498"/>
      <c r="T35" s="498"/>
      <c r="U35" s="498"/>
      <c r="V35" s="498"/>
      <c r="W35" s="498"/>
      <c r="X35" s="499"/>
      <c r="Y35" s="413"/>
    </row>
    <row r="36" spans="2:25" hidden="1" x14ac:dyDescent="0.25">
      <c r="B36" s="495"/>
      <c r="C36" s="496"/>
      <c r="D36" s="497"/>
      <c r="E36" s="497"/>
      <c r="F36" s="497"/>
      <c r="G36" s="497"/>
      <c r="H36" s="497"/>
      <c r="I36" s="498"/>
      <c r="J36" s="498"/>
      <c r="K36" s="498"/>
      <c r="L36" s="498"/>
      <c r="M36" s="498"/>
      <c r="N36" s="498"/>
      <c r="O36" s="498"/>
      <c r="P36" s="498"/>
      <c r="Q36" s="498"/>
      <c r="R36" s="498"/>
      <c r="S36" s="498"/>
      <c r="T36" s="498"/>
      <c r="U36" s="498"/>
      <c r="V36" s="498"/>
      <c r="W36" s="498"/>
      <c r="X36" s="499"/>
      <c r="Y36" s="413"/>
    </row>
    <row r="37" spans="2:25" hidden="1" x14ac:dyDescent="0.25">
      <c r="B37" s="495"/>
      <c r="C37" s="496"/>
      <c r="D37" s="497"/>
      <c r="E37" s="497"/>
      <c r="F37" s="497"/>
      <c r="G37" s="497"/>
      <c r="H37" s="497"/>
      <c r="I37" s="498"/>
      <c r="J37" s="498"/>
      <c r="K37" s="498"/>
      <c r="L37" s="498"/>
      <c r="M37" s="498"/>
      <c r="N37" s="498"/>
      <c r="O37" s="498"/>
      <c r="P37" s="498"/>
      <c r="Q37" s="498"/>
      <c r="R37" s="498"/>
      <c r="S37" s="498"/>
      <c r="T37" s="498"/>
      <c r="U37" s="498"/>
      <c r="V37" s="498"/>
      <c r="W37" s="498"/>
      <c r="X37" s="499"/>
      <c r="Y37" s="413"/>
    </row>
    <row r="38" spans="2:25" hidden="1" x14ac:dyDescent="0.25">
      <c r="B38" s="495"/>
      <c r="C38" s="496"/>
      <c r="D38" s="497"/>
      <c r="E38" s="497"/>
      <c r="F38" s="497"/>
      <c r="G38" s="497"/>
      <c r="H38" s="497"/>
      <c r="I38" s="498"/>
      <c r="J38" s="498"/>
      <c r="K38" s="498"/>
      <c r="L38" s="498"/>
      <c r="M38" s="498"/>
      <c r="N38" s="498"/>
      <c r="O38" s="498"/>
      <c r="P38" s="498"/>
      <c r="Q38" s="498"/>
      <c r="R38" s="498"/>
      <c r="S38" s="498"/>
      <c r="T38" s="498"/>
      <c r="U38" s="498"/>
      <c r="V38" s="498"/>
      <c r="W38" s="498"/>
      <c r="X38" s="499"/>
      <c r="Y38" s="413"/>
    </row>
    <row r="39" spans="2:25" hidden="1" x14ac:dyDescent="0.25">
      <c r="B39" s="495"/>
      <c r="C39" s="496"/>
      <c r="D39" s="497"/>
      <c r="E39" s="497"/>
      <c r="F39" s="497"/>
      <c r="G39" s="497"/>
      <c r="H39" s="497"/>
      <c r="I39" s="498"/>
      <c r="J39" s="498"/>
      <c r="K39" s="498"/>
      <c r="L39" s="498"/>
      <c r="M39" s="498"/>
      <c r="N39" s="498"/>
      <c r="O39" s="498"/>
      <c r="P39" s="498"/>
      <c r="Q39" s="498"/>
      <c r="R39" s="498"/>
      <c r="S39" s="498"/>
      <c r="T39" s="498"/>
      <c r="U39" s="498"/>
      <c r="V39" s="498"/>
      <c r="W39" s="498"/>
      <c r="X39" s="499"/>
      <c r="Y39" s="413"/>
    </row>
    <row r="40" spans="2:25" hidden="1" x14ac:dyDescent="0.25">
      <c r="B40" s="495"/>
      <c r="C40" s="496"/>
      <c r="D40" s="497"/>
      <c r="E40" s="497"/>
      <c r="F40" s="497"/>
      <c r="G40" s="497"/>
      <c r="H40" s="497"/>
      <c r="I40" s="498"/>
      <c r="J40" s="498"/>
      <c r="K40" s="498"/>
      <c r="L40" s="498"/>
      <c r="M40" s="498"/>
      <c r="N40" s="498"/>
      <c r="O40" s="498"/>
      <c r="P40" s="498"/>
      <c r="Q40" s="498"/>
      <c r="R40" s="498"/>
      <c r="S40" s="498"/>
      <c r="T40" s="498"/>
      <c r="U40" s="498"/>
      <c r="V40" s="498"/>
      <c r="W40" s="498"/>
      <c r="X40" s="499"/>
      <c r="Y40" s="413"/>
    </row>
    <row r="41" spans="2:25" hidden="1" x14ac:dyDescent="0.25">
      <c r="B41" s="495"/>
      <c r="C41" s="496"/>
      <c r="D41" s="497"/>
      <c r="E41" s="497"/>
      <c r="F41" s="497"/>
      <c r="G41" s="497"/>
      <c r="H41" s="497"/>
      <c r="I41" s="498"/>
      <c r="J41" s="498"/>
      <c r="K41" s="498"/>
      <c r="L41" s="498"/>
      <c r="M41" s="498"/>
      <c r="N41" s="498"/>
      <c r="O41" s="498"/>
      <c r="P41" s="498"/>
      <c r="Q41" s="498"/>
      <c r="R41" s="498"/>
      <c r="S41" s="498"/>
      <c r="T41" s="498"/>
      <c r="U41" s="498"/>
      <c r="V41" s="498"/>
      <c r="W41" s="498"/>
      <c r="X41" s="499"/>
      <c r="Y41" s="413"/>
    </row>
    <row r="42" spans="2:25" hidden="1" x14ac:dyDescent="0.25">
      <c r="B42" s="495"/>
      <c r="C42" s="496"/>
      <c r="D42" s="497"/>
      <c r="E42" s="497"/>
      <c r="F42" s="497"/>
      <c r="G42" s="497"/>
      <c r="H42" s="497"/>
      <c r="I42" s="498"/>
      <c r="J42" s="498"/>
      <c r="K42" s="498"/>
      <c r="L42" s="498"/>
      <c r="M42" s="498"/>
      <c r="N42" s="498"/>
      <c r="O42" s="498"/>
      <c r="P42" s="498"/>
      <c r="Q42" s="498"/>
      <c r="R42" s="498"/>
      <c r="S42" s="498"/>
      <c r="T42" s="498"/>
      <c r="U42" s="498"/>
      <c r="V42" s="498"/>
      <c r="W42" s="498"/>
      <c r="X42" s="499"/>
      <c r="Y42" s="413"/>
    </row>
    <row r="43" spans="2:25" hidden="1" x14ac:dyDescent="0.25">
      <c r="B43" s="495"/>
      <c r="C43" s="496"/>
      <c r="D43" s="497"/>
      <c r="E43" s="497"/>
      <c r="F43" s="497"/>
      <c r="G43" s="497"/>
      <c r="H43" s="497"/>
      <c r="I43" s="498"/>
      <c r="J43" s="498"/>
      <c r="K43" s="498"/>
      <c r="L43" s="498"/>
      <c r="M43" s="498"/>
      <c r="N43" s="498"/>
      <c r="O43" s="498"/>
      <c r="P43" s="498"/>
      <c r="Q43" s="498"/>
      <c r="R43" s="498"/>
      <c r="S43" s="498"/>
      <c r="T43" s="498"/>
      <c r="U43" s="498"/>
      <c r="V43" s="498"/>
      <c r="W43" s="498"/>
      <c r="X43" s="499"/>
      <c r="Y43" s="413"/>
    </row>
    <row r="44" spans="2:25" hidden="1" x14ac:dyDescent="0.25">
      <c r="B44" s="495"/>
      <c r="C44" s="496"/>
      <c r="D44" s="497"/>
      <c r="E44" s="497"/>
      <c r="F44" s="497"/>
      <c r="G44" s="497"/>
      <c r="H44" s="497"/>
      <c r="I44" s="498"/>
      <c r="J44" s="498"/>
      <c r="K44" s="498"/>
      <c r="L44" s="498"/>
      <c r="M44" s="498"/>
      <c r="N44" s="498"/>
      <c r="O44" s="498"/>
      <c r="P44" s="498"/>
      <c r="Q44" s="498"/>
      <c r="R44" s="498"/>
      <c r="S44" s="498"/>
      <c r="T44" s="498"/>
      <c r="U44" s="498"/>
      <c r="V44" s="498"/>
      <c r="W44" s="498"/>
      <c r="X44" s="499"/>
      <c r="Y44" s="413"/>
    </row>
    <row r="45" spans="2:25" hidden="1" x14ac:dyDescent="0.25">
      <c r="B45" s="495"/>
      <c r="C45" s="496"/>
      <c r="D45" s="497"/>
      <c r="E45" s="497"/>
      <c r="F45" s="497"/>
      <c r="G45" s="497"/>
      <c r="H45" s="497"/>
      <c r="I45" s="498"/>
      <c r="J45" s="498"/>
      <c r="K45" s="498"/>
      <c r="L45" s="498"/>
      <c r="M45" s="498"/>
      <c r="N45" s="498"/>
      <c r="O45" s="498"/>
      <c r="P45" s="498"/>
      <c r="Q45" s="498"/>
      <c r="R45" s="498"/>
      <c r="S45" s="498"/>
      <c r="T45" s="498"/>
      <c r="U45" s="498"/>
      <c r="V45" s="498"/>
      <c r="W45" s="498"/>
      <c r="X45" s="499"/>
      <c r="Y45" s="413"/>
    </row>
    <row r="46" spans="2:25" hidden="1" x14ac:dyDescent="0.25">
      <c r="B46" s="495"/>
      <c r="C46" s="496"/>
      <c r="D46" s="497"/>
      <c r="E46" s="497"/>
      <c r="F46" s="497"/>
      <c r="G46" s="497"/>
      <c r="H46" s="497"/>
      <c r="I46" s="498"/>
      <c r="J46" s="498"/>
      <c r="K46" s="498"/>
      <c r="L46" s="498"/>
      <c r="M46" s="498"/>
      <c r="N46" s="498"/>
      <c r="O46" s="498"/>
      <c r="P46" s="498"/>
      <c r="Q46" s="498"/>
      <c r="R46" s="498"/>
      <c r="S46" s="498"/>
      <c r="T46" s="498"/>
      <c r="U46" s="498"/>
      <c r="V46" s="498"/>
      <c r="W46" s="498"/>
      <c r="X46" s="499"/>
      <c r="Y46" s="413"/>
    </row>
    <row r="47" spans="2:25" hidden="1" x14ac:dyDescent="0.25">
      <c r="B47" s="495"/>
      <c r="C47" s="496"/>
      <c r="D47" s="497"/>
      <c r="E47" s="497"/>
      <c r="F47" s="497"/>
      <c r="G47" s="497"/>
      <c r="H47" s="497"/>
      <c r="I47" s="498"/>
      <c r="J47" s="498"/>
      <c r="K47" s="498"/>
      <c r="L47" s="498"/>
      <c r="M47" s="498"/>
      <c r="N47" s="498"/>
      <c r="O47" s="498"/>
      <c r="P47" s="498"/>
      <c r="Q47" s="498"/>
      <c r="R47" s="498"/>
      <c r="S47" s="498"/>
      <c r="T47" s="498"/>
      <c r="U47" s="498"/>
      <c r="V47" s="498"/>
      <c r="W47" s="498"/>
      <c r="X47" s="499"/>
      <c r="Y47" s="413"/>
    </row>
    <row r="48" spans="2:25" hidden="1" x14ac:dyDescent="0.25">
      <c r="B48" s="495"/>
      <c r="C48" s="496"/>
      <c r="D48" s="497"/>
      <c r="E48" s="497"/>
      <c r="F48" s="497"/>
      <c r="G48" s="497"/>
      <c r="H48" s="497"/>
      <c r="I48" s="498"/>
      <c r="J48" s="498"/>
      <c r="K48" s="498"/>
      <c r="L48" s="498"/>
      <c r="M48" s="498"/>
      <c r="N48" s="498"/>
      <c r="O48" s="498"/>
      <c r="P48" s="498"/>
      <c r="Q48" s="498"/>
      <c r="R48" s="498"/>
      <c r="S48" s="498"/>
      <c r="T48" s="498"/>
      <c r="U48" s="498"/>
      <c r="V48" s="498"/>
      <c r="W48" s="498"/>
      <c r="X48" s="499"/>
      <c r="Y48" s="413"/>
    </row>
    <row r="49" spans="2:25" hidden="1" x14ac:dyDescent="0.25">
      <c r="B49" s="495"/>
      <c r="C49" s="496"/>
      <c r="D49" s="497"/>
      <c r="E49" s="497"/>
      <c r="F49" s="497"/>
      <c r="G49" s="497"/>
      <c r="H49" s="497"/>
      <c r="I49" s="498"/>
      <c r="J49" s="498"/>
      <c r="K49" s="498"/>
      <c r="L49" s="498"/>
      <c r="M49" s="498"/>
      <c r="N49" s="498"/>
      <c r="O49" s="498"/>
      <c r="P49" s="498"/>
      <c r="Q49" s="498"/>
      <c r="R49" s="498"/>
      <c r="S49" s="498"/>
      <c r="T49" s="498"/>
      <c r="U49" s="498"/>
      <c r="V49" s="498"/>
      <c r="W49" s="498"/>
      <c r="X49" s="499"/>
      <c r="Y49" s="413"/>
    </row>
    <row r="50" spans="2:25" hidden="1" x14ac:dyDescent="0.25">
      <c r="B50" s="495"/>
      <c r="C50" s="496"/>
      <c r="D50" s="497"/>
      <c r="E50" s="497"/>
      <c r="F50" s="497"/>
      <c r="G50" s="497"/>
      <c r="H50" s="497"/>
      <c r="I50" s="498"/>
      <c r="J50" s="498"/>
      <c r="K50" s="498"/>
      <c r="L50" s="498"/>
      <c r="M50" s="498"/>
      <c r="N50" s="498"/>
      <c r="O50" s="498"/>
      <c r="P50" s="498"/>
      <c r="Q50" s="498"/>
      <c r="R50" s="498"/>
      <c r="S50" s="498"/>
      <c r="T50" s="498"/>
      <c r="U50" s="498"/>
      <c r="V50" s="498"/>
      <c r="W50" s="498"/>
      <c r="X50" s="499"/>
      <c r="Y50" s="413"/>
    </row>
    <row r="51" spans="2:25" hidden="1" x14ac:dyDescent="0.25">
      <c r="B51" s="495"/>
      <c r="C51" s="496"/>
      <c r="D51" s="497"/>
      <c r="E51" s="497"/>
      <c r="F51" s="497"/>
      <c r="G51" s="497"/>
      <c r="H51" s="497"/>
      <c r="I51" s="498"/>
      <c r="J51" s="498"/>
      <c r="K51" s="498"/>
      <c r="L51" s="498"/>
      <c r="M51" s="498"/>
      <c r="N51" s="498"/>
      <c r="O51" s="498"/>
      <c r="P51" s="498"/>
      <c r="Q51" s="498"/>
      <c r="R51" s="498"/>
      <c r="S51" s="498"/>
      <c r="T51" s="498"/>
      <c r="U51" s="498"/>
      <c r="V51" s="498"/>
      <c r="W51" s="498"/>
      <c r="X51" s="499"/>
      <c r="Y51" s="413"/>
    </row>
    <row r="52" spans="2:25" hidden="1" x14ac:dyDescent="0.25">
      <c r="B52" s="495"/>
      <c r="C52" s="496"/>
      <c r="D52" s="497"/>
      <c r="E52" s="497"/>
      <c r="F52" s="497"/>
      <c r="G52" s="497"/>
      <c r="H52" s="497"/>
      <c r="I52" s="498"/>
      <c r="J52" s="498"/>
      <c r="K52" s="498"/>
      <c r="L52" s="498"/>
      <c r="M52" s="498"/>
      <c r="N52" s="498"/>
      <c r="O52" s="498"/>
      <c r="P52" s="498"/>
      <c r="Q52" s="498"/>
      <c r="R52" s="498"/>
      <c r="S52" s="498"/>
      <c r="T52" s="498"/>
      <c r="U52" s="498"/>
      <c r="V52" s="498"/>
      <c r="W52" s="498"/>
      <c r="X52" s="499"/>
      <c r="Y52" s="413"/>
    </row>
    <row r="53" spans="2:25" hidden="1" x14ac:dyDescent="0.25">
      <c r="B53" s="495"/>
      <c r="C53" s="496"/>
      <c r="D53" s="497"/>
      <c r="E53" s="497"/>
      <c r="F53" s="497"/>
      <c r="G53" s="497"/>
      <c r="H53" s="497"/>
      <c r="I53" s="498"/>
      <c r="J53" s="498"/>
      <c r="K53" s="498"/>
      <c r="L53" s="498"/>
      <c r="M53" s="498"/>
      <c r="N53" s="498"/>
      <c r="O53" s="498"/>
      <c r="P53" s="498"/>
      <c r="Q53" s="498"/>
      <c r="R53" s="498"/>
      <c r="S53" s="498"/>
      <c r="T53" s="498"/>
      <c r="U53" s="498"/>
      <c r="V53" s="498"/>
      <c r="W53" s="498"/>
      <c r="X53" s="499"/>
      <c r="Y53" s="413"/>
    </row>
    <row r="54" spans="2:25" hidden="1" x14ac:dyDescent="0.25">
      <c r="B54" s="495"/>
      <c r="C54" s="496"/>
      <c r="D54" s="497"/>
      <c r="E54" s="497"/>
      <c r="F54" s="497"/>
      <c r="G54" s="497"/>
      <c r="H54" s="497"/>
      <c r="I54" s="498"/>
      <c r="J54" s="498"/>
      <c r="K54" s="498"/>
      <c r="L54" s="498"/>
      <c r="M54" s="498"/>
      <c r="N54" s="498"/>
      <c r="O54" s="498"/>
      <c r="P54" s="498"/>
      <c r="Q54" s="498"/>
      <c r="R54" s="498"/>
      <c r="S54" s="498"/>
      <c r="T54" s="498"/>
      <c r="U54" s="498"/>
      <c r="V54" s="498"/>
      <c r="W54" s="498"/>
      <c r="X54" s="499"/>
      <c r="Y54" s="413"/>
    </row>
    <row r="55" spans="2:25" hidden="1" x14ac:dyDescent="0.25">
      <c r="B55" s="495"/>
      <c r="C55" s="496"/>
      <c r="D55" s="497"/>
      <c r="E55" s="497"/>
      <c r="F55" s="497"/>
      <c r="G55" s="497"/>
      <c r="H55" s="497"/>
      <c r="I55" s="498"/>
      <c r="J55" s="498"/>
      <c r="K55" s="498"/>
      <c r="L55" s="498"/>
      <c r="M55" s="498"/>
      <c r="N55" s="498"/>
      <c r="O55" s="498"/>
      <c r="P55" s="498"/>
      <c r="Q55" s="498"/>
      <c r="R55" s="498"/>
      <c r="S55" s="498"/>
      <c r="T55" s="498"/>
      <c r="U55" s="498"/>
      <c r="V55" s="498"/>
      <c r="W55" s="498"/>
      <c r="X55" s="499"/>
      <c r="Y55" s="413"/>
    </row>
    <row r="56" spans="2:25" hidden="1" x14ac:dyDescent="0.25">
      <c r="B56" s="495"/>
      <c r="C56" s="496"/>
      <c r="D56" s="497"/>
      <c r="E56" s="497"/>
      <c r="F56" s="497"/>
      <c r="G56" s="497"/>
      <c r="H56" s="497"/>
      <c r="I56" s="498"/>
      <c r="J56" s="498"/>
      <c r="K56" s="498"/>
      <c r="L56" s="498"/>
      <c r="M56" s="498"/>
      <c r="N56" s="498"/>
      <c r="O56" s="498"/>
      <c r="P56" s="498"/>
      <c r="Q56" s="498"/>
      <c r="R56" s="498"/>
      <c r="S56" s="498"/>
      <c r="T56" s="498"/>
      <c r="U56" s="498"/>
      <c r="V56" s="498"/>
      <c r="W56" s="498"/>
      <c r="X56" s="499"/>
      <c r="Y56" s="413"/>
    </row>
    <row r="57" spans="2:25" hidden="1" x14ac:dyDescent="0.25">
      <c r="B57" s="495"/>
      <c r="C57" s="496"/>
      <c r="D57" s="497"/>
      <c r="E57" s="497"/>
      <c r="F57" s="497"/>
      <c r="G57" s="497"/>
      <c r="H57" s="497"/>
      <c r="I57" s="498"/>
      <c r="J57" s="498"/>
      <c r="K57" s="498"/>
      <c r="L57" s="498"/>
      <c r="M57" s="498"/>
      <c r="N57" s="498"/>
      <c r="O57" s="498"/>
      <c r="P57" s="498"/>
      <c r="Q57" s="498"/>
      <c r="R57" s="498"/>
      <c r="S57" s="498"/>
      <c r="T57" s="498"/>
      <c r="U57" s="498"/>
      <c r="V57" s="498"/>
      <c r="W57" s="498"/>
      <c r="X57" s="499"/>
      <c r="Y57" s="413"/>
    </row>
    <row r="58" spans="2:25" hidden="1" x14ac:dyDescent="0.25">
      <c r="B58" s="495"/>
      <c r="C58" s="496"/>
      <c r="D58" s="497"/>
      <c r="E58" s="497"/>
      <c r="F58" s="497"/>
      <c r="G58" s="497"/>
      <c r="H58" s="497"/>
      <c r="I58" s="498"/>
      <c r="J58" s="498"/>
      <c r="K58" s="498"/>
      <c r="L58" s="498"/>
      <c r="M58" s="498"/>
      <c r="N58" s="498"/>
      <c r="O58" s="498"/>
      <c r="P58" s="498"/>
      <c r="Q58" s="498"/>
      <c r="R58" s="498"/>
      <c r="S58" s="498"/>
      <c r="T58" s="498"/>
      <c r="U58" s="498"/>
      <c r="V58" s="498"/>
      <c r="W58" s="498"/>
      <c r="X58" s="499"/>
      <c r="Y58" s="413"/>
    </row>
    <row r="59" spans="2:25" hidden="1" x14ac:dyDescent="0.25">
      <c r="B59" s="495"/>
      <c r="C59" s="496"/>
      <c r="D59" s="497"/>
      <c r="E59" s="497"/>
      <c r="F59" s="497"/>
      <c r="G59" s="497"/>
      <c r="H59" s="497"/>
      <c r="I59" s="498"/>
      <c r="J59" s="498"/>
      <c r="K59" s="498"/>
      <c r="L59" s="498"/>
      <c r="M59" s="498"/>
      <c r="N59" s="498"/>
      <c r="O59" s="498"/>
      <c r="P59" s="498"/>
      <c r="Q59" s="498"/>
      <c r="R59" s="498"/>
      <c r="S59" s="498"/>
      <c r="T59" s="498"/>
      <c r="U59" s="498"/>
      <c r="V59" s="498"/>
      <c r="W59" s="498"/>
      <c r="X59" s="499"/>
      <c r="Y59" s="413"/>
    </row>
    <row r="60" spans="2:25" hidden="1" x14ac:dyDescent="0.25">
      <c r="B60" s="495"/>
      <c r="C60" s="496"/>
      <c r="D60" s="497"/>
      <c r="E60" s="497"/>
      <c r="F60" s="497"/>
      <c r="G60" s="497"/>
      <c r="H60" s="497"/>
      <c r="I60" s="498"/>
      <c r="J60" s="498"/>
      <c r="K60" s="498"/>
      <c r="L60" s="498"/>
      <c r="M60" s="498"/>
      <c r="N60" s="498"/>
      <c r="O60" s="498"/>
      <c r="P60" s="498"/>
      <c r="Q60" s="498"/>
      <c r="R60" s="498"/>
      <c r="S60" s="498"/>
      <c r="T60" s="498"/>
      <c r="U60" s="498"/>
      <c r="V60" s="498"/>
      <c r="W60" s="498"/>
      <c r="X60" s="499"/>
      <c r="Y60" s="413"/>
    </row>
    <row r="61" spans="2:25" hidden="1" x14ac:dyDescent="0.25">
      <c r="B61" s="495"/>
      <c r="C61" s="496"/>
      <c r="D61" s="497"/>
      <c r="E61" s="497"/>
      <c r="F61" s="497"/>
      <c r="G61" s="497"/>
      <c r="H61" s="497"/>
      <c r="I61" s="498"/>
      <c r="J61" s="498"/>
      <c r="K61" s="498"/>
      <c r="L61" s="498"/>
      <c r="M61" s="498"/>
      <c r="N61" s="498"/>
      <c r="O61" s="498"/>
      <c r="P61" s="498"/>
      <c r="Q61" s="498"/>
      <c r="R61" s="498"/>
      <c r="S61" s="498"/>
      <c r="T61" s="498"/>
      <c r="U61" s="498"/>
      <c r="V61" s="498"/>
      <c r="W61" s="498"/>
      <c r="X61" s="499"/>
      <c r="Y61" s="413"/>
    </row>
    <row r="62" spans="2:25" hidden="1" x14ac:dyDescent="0.25">
      <c r="B62" s="495"/>
      <c r="C62" s="496"/>
      <c r="D62" s="497"/>
      <c r="E62" s="497"/>
      <c r="F62" s="497"/>
      <c r="G62" s="497"/>
      <c r="H62" s="497"/>
      <c r="I62" s="498"/>
      <c r="J62" s="498"/>
      <c r="K62" s="498"/>
      <c r="L62" s="498"/>
      <c r="M62" s="498"/>
      <c r="N62" s="498"/>
      <c r="O62" s="498"/>
      <c r="P62" s="498"/>
      <c r="Q62" s="498"/>
      <c r="R62" s="498"/>
      <c r="S62" s="498"/>
      <c r="T62" s="498"/>
      <c r="U62" s="498"/>
      <c r="V62" s="498"/>
      <c r="W62" s="498"/>
      <c r="X62" s="499"/>
      <c r="Y62" s="413"/>
    </row>
    <row r="63" spans="2:25" hidden="1" x14ac:dyDescent="0.25">
      <c r="B63" s="495"/>
      <c r="C63" s="496"/>
      <c r="D63" s="497"/>
      <c r="E63" s="497"/>
      <c r="F63" s="497"/>
      <c r="G63" s="497"/>
      <c r="H63" s="497"/>
      <c r="I63" s="498"/>
      <c r="J63" s="498"/>
      <c r="K63" s="498"/>
      <c r="L63" s="498"/>
      <c r="M63" s="498"/>
      <c r="N63" s="498"/>
      <c r="O63" s="498"/>
      <c r="P63" s="498"/>
      <c r="Q63" s="498"/>
      <c r="R63" s="498"/>
      <c r="S63" s="498"/>
      <c r="T63" s="498"/>
      <c r="U63" s="498"/>
      <c r="V63" s="498"/>
      <c r="W63" s="498"/>
      <c r="X63" s="499"/>
      <c r="Y63" s="413"/>
    </row>
    <row r="64" spans="2:25" hidden="1" x14ac:dyDescent="0.25">
      <c r="B64" s="495"/>
      <c r="C64" s="496"/>
      <c r="D64" s="497"/>
      <c r="E64" s="497"/>
      <c r="F64" s="497"/>
      <c r="G64" s="497"/>
      <c r="H64" s="497"/>
      <c r="I64" s="498"/>
      <c r="J64" s="498"/>
      <c r="K64" s="498"/>
      <c r="L64" s="498"/>
      <c r="M64" s="498"/>
      <c r="N64" s="498"/>
      <c r="O64" s="498"/>
      <c r="P64" s="498"/>
      <c r="Q64" s="498"/>
      <c r="R64" s="498"/>
      <c r="S64" s="498"/>
      <c r="T64" s="498"/>
      <c r="U64" s="498"/>
      <c r="V64" s="498"/>
      <c r="W64" s="498"/>
      <c r="X64" s="499"/>
      <c r="Y64" s="413"/>
    </row>
    <row r="65" spans="2:25" hidden="1" x14ac:dyDescent="0.25">
      <c r="B65" s="495"/>
      <c r="C65" s="496"/>
      <c r="D65" s="497"/>
      <c r="E65" s="497"/>
      <c r="F65" s="497"/>
      <c r="G65" s="497"/>
      <c r="H65" s="497"/>
      <c r="I65" s="498"/>
      <c r="J65" s="498"/>
      <c r="K65" s="498"/>
      <c r="L65" s="498"/>
      <c r="M65" s="498"/>
      <c r="N65" s="498"/>
      <c r="O65" s="498"/>
      <c r="P65" s="498"/>
      <c r="Q65" s="498"/>
      <c r="R65" s="498"/>
      <c r="S65" s="498"/>
      <c r="T65" s="498"/>
      <c r="U65" s="498"/>
      <c r="V65" s="498"/>
      <c r="W65" s="498"/>
      <c r="X65" s="499"/>
      <c r="Y65" s="413"/>
    </row>
  </sheetData>
  <mergeCells count="4">
    <mergeCell ref="J4:M4"/>
    <mergeCell ref="N4:Q4"/>
    <mergeCell ref="R4:U4"/>
    <mergeCell ref="V4:Y4"/>
  </mergeCells>
  <printOptions horizontalCentered="1"/>
  <pageMargins left="0.19685039370078741" right="0.19685039370078741" top="1.1811023622047245" bottom="1.2598425196850394" header="0.31496062992125984" footer="0.31496062992125984"/>
  <pageSetup scale="56" fitToHeight="0" orientation="landscape" r:id="rId1"/>
  <headerFooter scaleWithDoc="0">
    <oddHeader>&amp;L&amp;"Calibri,Bold"&amp;14 Property Coverage by Location</oddHeader>
    <oddFooter>&amp;L&amp;G&amp;CPage &amp;P of &amp;N</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pageSetUpPr fitToPage="1"/>
  </sheetPr>
  <dimension ref="B1:M117"/>
  <sheetViews>
    <sheetView showGridLines="0" view="pageBreakPreview" zoomScale="115" zoomScaleNormal="100" zoomScaleSheetLayoutView="115" workbookViewId="0">
      <selection activeCell="G39" sqref="G39"/>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15.7109375" style="16" customWidth="1"/>
    <col min="14" max="53" width="9.140625" style="16" customWidth="1"/>
    <col min="54" max="16384" width="9.140625" style="16"/>
  </cols>
  <sheetData>
    <row r="1" spans="2:13" ht="7.5" customHeight="1" x14ac:dyDescent="0.25">
      <c r="E1" s="450"/>
    </row>
    <row r="2" spans="2:13" ht="15.75" x14ac:dyDescent="0.25">
      <c r="B2" s="453" t="str">
        <f>Input!B311</f>
        <v>T5DC Business Auto</v>
      </c>
      <c r="E2" s="450"/>
      <c r="H2" s="454"/>
      <c r="I2" s="455"/>
      <c r="J2" s="455"/>
      <c r="L2" s="456" t="s">
        <v>391</v>
      </c>
      <c r="M2" s="381" t="s">
        <v>361</v>
      </c>
    </row>
    <row r="3" spans="2:13" x14ac:dyDescent="0.25">
      <c r="D3" s="455" t="str">
        <f xml:space="preserve"> IF(Input!D315=Input!G315,CHAR(254), "")</f>
        <v/>
      </c>
      <c r="E3" s="457"/>
      <c r="F3" s="458" t="str">
        <f xml:space="preserve"> IF(Input!E315=Input!G315,CHAR(254),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 customHeight="1" x14ac:dyDescent="0.25">
      <c r="B5" s="409" t="s">
        <v>60</v>
      </c>
      <c r="C5" s="412" t="str">
        <f>Input!B316</f>
        <v>Valley Forge Insurance Company (CNA)</v>
      </c>
      <c r="D5" s="390" t="str">
        <f>Input!D316</f>
        <v>Valley Forge Insurance Company (CNA)</v>
      </c>
      <c r="F5" s="413" t="str">
        <f>Input!E316</f>
        <v>Valley Forge Insurance Company (CNA)</v>
      </c>
      <c r="G5" s="211"/>
      <c r="H5" s="211"/>
      <c r="I5" s="211"/>
      <c r="J5" s="231"/>
      <c r="K5" s="231"/>
    </row>
    <row r="6" spans="2:13" x14ac:dyDescent="0.25">
      <c r="B6" s="409" t="s">
        <v>69</v>
      </c>
      <c r="C6" s="412" t="str">
        <f>Input!B318</f>
        <v>A: XV</v>
      </c>
      <c r="D6" s="390" t="str">
        <f>Input!D318</f>
        <v>A: XV</v>
      </c>
      <c r="F6" s="413" t="str">
        <f>Input!E318</f>
        <v>A: XV</v>
      </c>
      <c r="G6" s="211"/>
      <c r="H6" s="211"/>
      <c r="I6" s="211"/>
      <c r="J6" s="231"/>
      <c r="K6" s="231"/>
    </row>
    <row r="7" spans="2:13" x14ac:dyDescent="0.25">
      <c r="B7" s="409" t="str">
        <f>Input!B314</f>
        <v>Renewal Policy Number</v>
      </c>
      <c r="C7" s="467">
        <f>Input!C313</f>
        <v>6081081573</v>
      </c>
      <c r="D7" s="390">
        <f>Input!C314</f>
        <v>6081081573</v>
      </c>
      <c r="F7" s="413">
        <f>Input!C314</f>
        <v>6081081573</v>
      </c>
      <c r="G7" s="211"/>
      <c r="H7" s="211"/>
      <c r="I7" s="211"/>
      <c r="J7" s="231"/>
      <c r="K7" s="231"/>
    </row>
    <row r="8" spans="2:13" ht="15" customHeight="1" x14ac:dyDescent="0.25">
      <c r="B8" s="409" t="str">
        <f>Input!B6</f>
        <v>Renewal Policy Period</v>
      </c>
      <c r="C8" s="467" t="str">
        <f>Input!C5</f>
        <v>7/1/2022 - 7/1/2023</v>
      </c>
      <c r="D8" s="390" t="str">
        <f>Input!C6</f>
        <v>7/1/2023 - 7/1/2024</v>
      </c>
      <c r="F8" s="413" t="str">
        <f>Input!C6</f>
        <v>7/1/2023 - 7/1/2024</v>
      </c>
      <c r="G8" s="211"/>
      <c r="H8" s="211"/>
      <c r="I8" s="211"/>
      <c r="J8" s="231"/>
      <c r="K8" s="231"/>
    </row>
    <row r="9" spans="2:13" x14ac:dyDescent="0.25">
      <c r="B9" s="559" t="s">
        <v>340</v>
      </c>
      <c r="C9" s="559"/>
      <c r="D9" s="559"/>
      <c r="E9" s="414"/>
      <c r="F9" s="466"/>
      <c r="G9" s="211"/>
      <c r="H9" s="211"/>
      <c r="I9" s="211"/>
      <c r="J9" s="566"/>
      <c r="K9" s="566"/>
    </row>
    <row r="10" spans="2:13" x14ac:dyDescent="0.25">
      <c r="B10" s="479" t="str">
        <f>Input!C342</f>
        <v>Symbol</v>
      </c>
      <c r="C10" s="479"/>
      <c r="D10" s="479"/>
      <c r="E10" s="414"/>
      <c r="F10" s="466"/>
      <c r="G10" s="211"/>
      <c r="H10" s="211"/>
      <c r="I10" s="211"/>
      <c r="J10" s="566"/>
      <c r="K10" s="566"/>
    </row>
    <row r="11" spans="2:13" ht="42" customHeight="1" x14ac:dyDescent="0.25">
      <c r="B11" s="409" t="str">
        <f>Input!B343</f>
        <v xml:space="preserve">Liability </v>
      </c>
      <c r="C11" s="412" t="str">
        <f>Input!C343</f>
        <v>8 (Hired Autos); 
9 (Non-owned Autos)</v>
      </c>
      <c r="D11" s="390" t="str">
        <f>Input!F343</f>
        <v>8 (Hired Autos); 
9 (Non-owned Autos)</v>
      </c>
      <c r="E11" s="414"/>
      <c r="F11" s="413">
        <f>Input!I343</f>
        <v>0</v>
      </c>
      <c r="G11" s="211"/>
      <c r="H11" s="211"/>
      <c r="I11" s="211"/>
      <c r="J11" s="231"/>
      <c r="K11" s="231"/>
    </row>
    <row r="12" spans="2:13" hidden="1" x14ac:dyDescent="0.25">
      <c r="B12" s="409" t="str">
        <f>Input!B344</f>
        <v>Medical Payments</v>
      </c>
      <c r="C12" s="412">
        <f>Input!C344</f>
        <v>0</v>
      </c>
      <c r="D12" s="390">
        <f>Input!F344</f>
        <v>0</v>
      </c>
      <c r="E12" s="414"/>
      <c r="F12" s="413">
        <f>Input!I344</f>
        <v>0</v>
      </c>
      <c r="G12" s="211"/>
      <c r="H12" s="211"/>
      <c r="I12" s="211"/>
      <c r="J12" s="231"/>
      <c r="K12" s="231"/>
    </row>
    <row r="13" spans="2:13" hidden="1" x14ac:dyDescent="0.25">
      <c r="B13" s="409" t="str">
        <f>Input!B345</f>
        <v>Personal Injury Protection</v>
      </c>
      <c r="C13" s="412">
        <f>Input!C345</f>
        <v>0</v>
      </c>
      <c r="D13" s="390">
        <f>Input!F345</f>
        <v>0</v>
      </c>
      <c r="E13" s="414"/>
      <c r="F13" s="413">
        <f>Input!I345</f>
        <v>0</v>
      </c>
      <c r="G13" s="211"/>
      <c r="H13" s="211"/>
      <c r="I13" s="211"/>
      <c r="J13" s="231"/>
      <c r="K13" s="231"/>
    </row>
    <row r="14" spans="2:13" hidden="1" x14ac:dyDescent="0.25">
      <c r="B14" s="409" t="str">
        <f>Input!B346</f>
        <v>Uninsured Motorist</v>
      </c>
      <c r="C14" s="412">
        <f>Input!C346</f>
        <v>0</v>
      </c>
      <c r="D14" s="390">
        <f>Input!F346</f>
        <v>0</v>
      </c>
      <c r="E14" s="414"/>
      <c r="F14" s="413">
        <f>Input!I346</f>
        <v>0</v>
      </c>
      <c r="G14" s="211"/>
      <c r="H14" s="211"/>
      <c r="I14" s="211"/>
      <c r="J14" s="231"/>
      <c r="K14" s="231"/>
    </row>
    <row r="15" spans="2:13" hidden="1" x14ac:dyDescent="0.25">
      <c r="B15" s="409" t="str">
        <f>Input!B347</f>
        <v>Underinsured Motorist</v>
      </c>
      <c r="C15" s="412">
        <f>Input!C347</f>
        <v>0</v>
      </c>
      <c r="D15" s="390">
        <f>Input!F347</f>
        <v>0</v>
      </c>
      <c r="F15" s="413">
        <f>Input!I347</f>
        <v>0</v>
      </c>
      <c r="G15" s="211"/>
      <c r="H15" s="211"/>
      <c r="I15" s="211"/>
      <c r="J15" s="231"/>
      <c r="K15" s="231"/>
    </row>
    <row r="16" spans="2:13" x14ac:dyDescent="0.25">
      <c r="B16" s="479" t="s">
        <v>9</v>
      </c>
      <c r="C16" s="479"/>
      <c r="D16" s="479"/>
      <c r="E16" s="238"/>
      <c r="F16" s="466"/>
      <c r="G16" s="211"/>
      <c r="H16" s="211"/>
      <c r="I16" s="211"/>
      <c r="J16" s="566"/>
      <c r="K16" s="566"/>
    </row>
    <row r="17" spans="2:11" x14ac:dyDescent="0.25">
      <c r="B17" s="409" t="str">
        <f>Input!B343</f>
        <v xml:space="preserve">Liability </v>
      </c>
      <c r="C17" s="398">
        <f>Input!D343</f>
        <v>1000000</v>
      </c>
      <c r="D17" s="425">
        <f>Input!G343</f>
        <v>1000000</v>
      </c>
      <c r="E17" s="432"/>
      <c r="F17" s="427">
        <f>Input!J343</f>
        <v>0</v>
      </c>
      <c r="G17" s="211"/>
      <c r="H17" s="211"/>
      <c r="I17" s="211"/>
      <c r="J17" s="231"/>
      <c r="K17" s="231"/>
    </row>
    <row r="18" spans="2:11" hidden="1" x14ac:dyDescent="0.25">
      <c r="B18" s="409" t="str">
        <f>Input!B344</f>
        <v>Medical Payments</v>
      </c>
      <c r="C18" s="398">
        <f>Input!D344</f>
        <v>0</v>
      </c>
      <c r="D18" s="425">
        <f>Input!G344</f>
        <v>0</v>
      </c>
      <c r="E18" s="433"/>
      <c r="F18" s="427">
        <f>Input!J344</f>
        <v>0</v>
      </c>
      <c r="G18" s="211"/>
      <c r="H18" s="211"/>
      <c r="I18" s="211"/>
      <c r="J18" s="231"/>
      <c r="K18" s="231"/>
    </row>
    <row r="19" spans="2:11" hidden="1" x14ac:dyDescent="0.25">
      <c r="B19" s="409" t="str">
        <f>Input!B345</f>
        <v>Personal Injury Protection</v>
      </c>
      <c r="C19" s="398">
        <f>Input!D345</f>
        <v>0</v>
      </c>
      <c r="D19" s="425">
        <f>Input!G345</f>
        <v>0</v>
      </c>
      <c r="E19" s="434"/>
      <c r="F19" s="427">
        <f>Input!J345</f>
        <v>0</v>
      </c>
      <c r="G19" s="211"/>
      <c r="H19" s="211"/>
      <c r="I19" s="211"/>
      <c r="J19" s="231"/>
      <c r="K19" s="231"/>
    </row>
    <row r="20" spans="2:11" hidden="1" x14ac:dyDescent="0.25">
      <c r="B20" s="409" t="str">
        <f>Input!B346</f>
        <v>Uninsured Motorist</v>
      </c>
      <c r="C20" s="398">
        <f>Input!D346</f>
        <v>0</v>
      </c>
      <c r="D20" s="425">
        <f>Input!G346</f>
        <v>0</v>
      </c>
      <c r="F20" s="427">
        <f>Input!J346</f>
        <v>0</v>
      </c>
      <c r="G20" s="211"/>
      <c r="H20" s="211"/>
      <c r="I20" s="211"/>
      <c r="J20" s="231"/>
      <c r="K20" s="231"/>
    </row>
    <row r="21" spans="2:11" hidden="1" x14ac:dyDescent="0.25">
      <c r="B21" s="409" t="str">
        <f>Input!B347</f>
        <v>Underinsured Motorist</v>
      </c>
      <c r="C21" s="398">
        <f>Input!D347</f>
        <v>0</v>
      </c>
      <c r="D21" s="425">
        <f>Input!G347</f>
        <v>0</v>
      </c>
      <c r="F21" s="427">
        <f>Input!J347</f>
        <v>0</v>
      </c>
      <c r="G21" s="211"/>
      <c r="H21" s="211"/>
      <c r="I21" s="211"/>
      <c r="J21" s="231"/>
      <c r="K21" s="231"/>
    </row>
    <row r="22" spans="2:11" x14ac:dyDescent="0.25">
      <c r="B22" s="479" t="s">
        <v>37</v>
      </c>
      <c r="C22" s="479"/>
      <c r="D22" s="479"/>
      <c r="E22" s="426"/>
      <c r="F22" s="606"/>
      <c r="G22" s="211"/>
      <c r="H22" s="211"/>
      <c r="I22" s="211"/>
      <c r="J22" s="566"/>
      <c r="K22" s="566"/>
    </row>
    <row r="23" spans="2:11" x14ac:dyDescent="0.25">
      <c r="B23" s="402" t="str">
        <f>Input!B343</f>
        <v xml:space="preserve">Liability </v>
      </c>
      <c r="C23" s="403">
        <f>Input!E343</f>
        <v>0</v>
      </c>
      <c r="D23" s="431">
        <f>Input!H343</f>
        <v>0</v>
      </c>
      <c r="F23" s="430">
        <f>Input!K343</f>
        <v>0</v>
      </c>
      <c r="G23" s="211"/>
      <c r="H23" s="211"/>
      <c r="I23" s="211"/>
      <c r="J23" s="231"/>
      <c r="K23" s="231"/>
    </row>
    <row r="24" spans="2:11" hidden="1" x14ac:dyDescent="0.25">
      <c r="B24" s="402" t="str">
        <f>Input!B344</f>
        <v>Medical Payments</v>
      </c>
      <c r="C24" s="403">
        <f>Input!E344</f>
        <v>0</v>
      </c>
      <c r="D24" s="431">
        <f>Input!H344</f>
        <v>0</v>
      </c>
      <c r="F24" s="430">
        <f>Input!K344</f>
        <v>0</v>
      </c>
      <c r="G24" s="211"/>
      <c r="H24" s="211"/>
      <c r="I24" s="211"/>
      <c r="J24" s="231"/>
      <c r="K24" s="231"/>
    </row>
    <row r="25" spans="2:11" hidden="1" x14ac:dyDescent="0.25">
      <c r="B25" s="402" t="str">
        <f>Input!B345</f>
        <v>Personal Injury Protection</v>
      </c>
      <c r="C25" s="403">
        <f>Input!E345</f>
        <v>0</v>
      </c>
      <c r="D25" s="431">
        <f>Input!H345</f>
        <v>0</v>
      </c>
      <c r="F25" s="430">
        <f>Input!K345</f>
        <v>0</v>
      </c>
      <c r="G25" s="211"/>
      <c r="H25" s="211"/>
      <c r="I25" s="211"/>
      <c r="J25" s="231"/>
      <c r="K25" s="231"/>
    </row>
    <row r="26" spans="2:11" hidden="1" x14ac:dyDescent="0.25">
      <c r="B26" s="402" t="str">
        <f>Input!B346</f>
        <v>Uninsured Motorist</v>
      </c>
      <c r="C26" s="403">
        <f>Input!E346</f>
        <v>0</v>
      </c>
      <c r="D26" s="431">
        <f>Input!H346</f>
        <v>0</v>
      </c>
      <c r="F26" s="430">
        <f>Input!K346</f>
        <v>0</v>
      </c>
      <c r="G26" s="211"/>
      <c r="H26" s="211"/>
      <c r="I26" s="211"/>
      <c r="J26" s="231"/>
      <c r="K26" s="231"/>
    </row>
    <row r="27" spans="2:11" hidden="1" x14ac:dyDescent="0.25">
      <c r="B27" s="402" t="str">
        <f>Input!B347</f>
        <v>Underinsured Motorist</v>
      </c>
      <c r="C27" s="403">
        <f>Input!E347</f>
        <v>0</v>
      </c>
      <c r="D27" s="431">
        <f>Input!H347</f>
        <v>0</v>
      </c>
      <c r="F27" s="430">
        <f>Input!K347</f>
        <v>0</v>
      </c>
      <c r="G27" s="211"/>
      <c r="H27" s="211"/>
      <c r="I27" s="211"/>
      <c r="J27" s="231"/>
      <c r="K27" s="231"/>
    </row>
    <row r="28" spans="2:11" x14ac:dyDescent="0.25">
      <c r="B28" s="559" t="s">
        <v>341</v>
      </c>
      <c r="C28" s="559"/>
      <c r="D28" s="559"/>
      <c r="F28" s="562"/>
      <c r="G28" s="211"/>
      <c r="H28" s="211"/>
      <c r="I28" s="211"/>
      <c r="J28" s="566"/>
      <c r="K28" s="566"/>
    </row>
    <row r="29" spans="2:11" x14ac:dyDescent="0.25">
      <c r="B29" s="479" t="str">
        <f>Input!C351</f>
        <v>Symbol</v>
      </c>
      <c r="C29" s="479"/>
      <c r="D29" s="479"/>
      <c r="F29" s="562"/>
      <c r="G29" s="211"/>
      <c r="H29" s="211"/>
      <c r="I29" s="211"/>
      <c r="J29" s="566"/>
      <c r="K29" s="566"/>
    </row>
    <row r="30" spans="2:11" hidden="1" x14ac:dyDescent="0.25">
      <c r="B30" s="409" t="str">
        <f>Input!B352</f>
        <v>Owned Autos: Comprehensive</v>
      </c>
      <c r="C30" s="412">
        <f>Input!C352</f>
        <v>0</v>
      </c>
      <c r="D30" s="390">
        <f>Input!F352</f>
        <v>0</v>
      </c>
      <c r="F30" s="413">
        <f>Input!I352</f>
        <v>0</v>
      </c>
      <c r="G30" s="211"/>
      <c r="H30" s="211"/>
      <c r="I30" s="211"/>
      <c r="J30" s="231"/>
      <c r="K30" s="231"/>
    </row>
    <row r="31" spans="2:11" hidden="1" x14ac:dyDescent="0.25">
      <c r="B31" s="409" t="str">
        <f>Input!B353</f>
        <v>Owned Autos: Collision</v>
      </c>
      <c r="C31" s="412">
        <f>Input!C353</f>
        <v>0</v>
      </c>
      <c r="D31" s="390">
        <f>Input!F353</f>
        <v>0</v>
      </c>
      <c r="F31" s="413">
        <f>Input!I353</f>
        <v>0</v>
      </c>
      <c r="G31" s="211"/>
      <c r="H31" s="211"/>
      <c r="I31" s="211"/>
      <c r="J31" s="231"/>
      <c r="K31" s="231"/>
    </row>
    <row r="32" spans="2:11" x14ac:dyDescent="0.25">
      <c r="B32" s="409" t="str">
        <f>Input!B354</f>
        <v>Hired Auto: Comprehensive</v>
      </c>
      <c r="C32" s="412" t="str">
        <f>Input!C354</f>
        <v>8 (Hired Autos)</v>
      </c>
      <c r="D32" s="390" t="str">
        <f>Input!F354</f>
        <v>8 (Hired Autos)</v>
      </c>
      <c r="F32" s="413">
        <f>Input!I354</f>
        <v>0</v>
      </c>
      <c r="G32" s="211"/>
      <c r="H32" s="211"/>
      <c r="I32" s="211"/>
      <c r="J32" s="231"/>
      <c r="K32" s="231"/>
    </row>
    <row r="33" spans="2:11" x14ac:dyDescent="0.25">
      <c r="B33" s="409" t="str">
        <f>Input!B355</f>
        <v>Hired Auto: Collision</v>
      </c>
      <c r="C33" s="412" t="str">
        <f>Input!C355</f>
        <v>8 (Hired Autos)</v>
      </c>
      <c r="D33" s="390" t="str">
        <f>Input!F355</f>
        <v>8 (Hired Autos)</v>
      </c>
      <c r="F33" s="413">
        <f>Input!I355</f>
        <v>0</v>
      </c>
      <c r="G33" s="211"/>
      <c r="H33" s="211"/>
      <c r="I33" s="211"/>
      <c r="J33" s="231"/>
      <c r="K33" s="231"/>
    </row>
    <row r="34" spans="2:11" hidden="1" x14ac:dyDescent="0.25">
      <c r="B34" s="409" t="str">
        <f>Input!B356</f>
        <v>Towing</v>
      </c>
      <c r="C34" s="412">
        <f>Input!C356</f>
        <v>0</v>
      </c>
      <c r="D34" s="390">
        <f>Input!F356</f>
        <v>0</v>
      </c>
      <c r="F34" s="413">
        <f>Input!I356</f>
        <v>0</v>
      </c>
      <c r="G34" s="211"/>
      <c r="H34" s="211"/>
      <c r="I34" s="211"/>
      <c r="J34" s="231"/>
      <c r="K34" s="231"/>
    </row>
    <row r="35" spans="2:11" hidden="1" x14ac:dyDescent="0.25">
      <c r="B35" s="409" t="str">
        <f>Input!B357</f>
        <v>Rental Reimbursement</v>
      </c>
      <c r="C35" s="412">
        <f>Input!C357</f>
        <v>0</v>
      </c>
      <c r="D35" s="390">
        <f>Input!F357</f>
        <v>0</v>
      </c>
      <c r="F35" s="413">
        <f>Input!I357</f>
        <v>0</v>
      </c>
      <c r="G35" s="211"/>
      <c r="H35" s="211"/>
      <c r="I35" s="211"/>
      <c r="J35" s="231"/>
      <c r="K35" s="231"/>
    </row>
    <row r="36" spans="2:11" x14ac:dyDescent="0.25">
      <c r="B36" s="479" t="s">
        <v>9</v>
      </c>
      <c r="C36" s="479"/>
      <c r="D36" s="479"/>
      <c r="F36" s="562"/>
      <c r="G36" s="211"/>
      <c r="H36" s="211"/>
      <c r="I36" s="211"/>
      <c r="J36" s="566"/>
      <c r="K36" s="566"/>
    </row>
    <row r="37" spans="2:11" hidden="1" x14ac:dyDescent="0.25">
      <c r="B37" s="409" t="str">
        <f>Input!B352</f>
        <v>Owned Autos: Comprehensive</v>
      </c>
      <c r="C37" s="398">
        <f>Input!D352</f>
        <v>0</v>
      </c>
      <c r="D37" s="425">
        <f>Input!G352</f>
        <v>0</v>
      </c>
      <c r="F37" s="427">
        <f>Input!J352</f>
        <v>0</v>
      </c>
      <c r="G37" s="211"/>
      <c r="H37" s="211"/>
      <c r="I37" s="211"/>
      <c r="J37" s="231"/>
      <c r="K37" s="231"/>
    </row>
    <row r="38" spans="2:11" hidden="1" x14ac:dyDescent="0.25">
      <c r="B38" s="409" t="str">
        <f>Input!B353</f>
        <v>Owned Autos: Collision</v>
      </c>
      <c r="C38" s="398">
        <f>Input!D353</f>
        <v>0</v>
      </c>
      <c r="D38" s="425">
        <f>Input!G353</f>
        <v>0</v>
      </c>
      <c r="F38" s="427">
        <f>Input!J353</f>
        <v>0</v>
      </c>
      <c r="G38" s="211"/>
      <c r="H38" s="211"/>
      <c r="I38" s="211"/>
      <c r="J38" s="231"/>
      <c r="K38" s="231"/>
    </row>
    <row r="39" spans="2:11" ht="30" customHeight="1" x14ac:dyDescent="0.25">
      <c r="B39" s="409" t="str">
        <f>Input!B354</f>
        <v>Hired Auto: Comprehensive</v>
      </c>
      <c r="C39" s="398" t="str">
        <f>Input!D354</f>
        <v>ACV (Actual Cash Value)</v>
      </c>
      <c r="D39" s="425" t="str">
        <f>Input!G354</f>
        <v>ACV (Actual Cash Value)</v>
      </c>
      <c r="F39" s="427">
        <f>Input!J354</f>
        <v>0</v>
      </c>
      <c r="G39" s="211"/>
      <c r="H39" s="211"/>
      <c r="I39" s="211"/>
      <c r="J39" s="231"/>
      <c r="K39" s="231"/>
    </row>
    <row r="40" spans="2:11" ht="30" customHeight="1" x14ac:dyDescent="0.25">
      <c r="B40" s="409" t="str">
        <f>Input!B355</f>
        <v>Hired Auto: Collision</v>
      </c>
      <c r="C40" s="398" t="str">
        <f>Input!D355</f>
        <v>ACV (Actual Cash Value)</v>
      </c>
      <c r="D40" s="425" t="str">
        <f>Input!G355</f>
        <v>ACV (Actual Cash Value)</v>
      </c>
      <c r="F40" s="427">
        <f>Input!J355</f>
        <v>0</v>
      </c>
      <c r="G40" s="211"/>
      <c r="H40" s="211"/>
      <c r="I40" s="211"/>
      <c r="J40" s="231"/>
      <c r="K40" s="231"/>
    </row>
    <row r="41" spans="2:11" hidden="1" x14ac:dyDescent="0.25">
      <c r="B41" s="409" t="str">
        <f>Input!B356</f>
        <v>Towing</v>
      </c>
      <c r="C41" s="398">
        <f>Input!D356</f>
        <v>0</v>
      </c>
      <c r="D41" s="425">
        <f>Input!G356</f>
        <v>0</v>
      </c>
      <c r="F41" s="427">
        <f>Input!J356</f>
        <v>0</v>
      </c>
      <c r="G41" s="211"/>
      <c r="H41" s="211"/>
      <c r="I41" s="211"/>
      <c r="J41" s="231"/>
      <c r="K41" s="231"/>
    </row>
    <row r="42" spans="2:11" hidden="1" x14ac:dyDescent="0.25">
      <c r="B42" s="409" t="str">
        <f>Input!B357</f>
        <v>Rental Reimbursement</v>
      </c>
      <c r="C42" s="398">
        <f>Input!D357</f>
        <v>0</v>
      </c>
      <c r="D42" s="425">
        <f>Input!G357</f>
        <v>0</v>
      </c>
      <c r="F42" s="427">
        <f>Input!J357</f>
        <v>0</v>
      </c>
      <c r="G42" s="211"/>
      <c r="H42" s="211"/>
      <c r="I42" s="211"/>
      <c r="J42" s="231"/>
      <c r="K42" s="231"/>
    </row>
    <row r="43" spans="2:11" x14ac:dyDescent="0.25">
      <c r="B43" s="479" t="s">
        <v>37</v>
      </c>
      <c r="C43" s="479"/>
      <c r="D43" s="479"/>
      <c r="F43" s="562"/>
      <c r="G43" s="211"/>
      <c r="H43" s="211"/>
      <c r="I43" s="211"/>
      <c r="J43" s="566"/>
      <c r="K43" s="566"/>
    </row>
    <row r="44" spans="2:11" hidden="1" x14ac:dyDescent="0.25">
      <c r="B44" s="409" t="str">
        <f>Input!B352</f>
        <v>Owned Autos: Comprehensive</v>
      </c>
      <c r="C44" s="398">
        <f>Input!E352</f>
        <v>0</v>
      </c>
      <c r="D44" s="425">
        <f>Input!H352</f>
        <v>0</v>
      </c>
      <c r="F44" s="427">
        <f>Input!K352</f>
        <v>0</v>
      </c>
      <c r="G44" s="211"/>
      <c r="H44" s="211"/>
      <c r="I44" s="211"/>
      <c r="J44" s="231"/>
      <c r="K44" s="231"/>
    </row>
    <row r="45" spans="2:11" hidden="1" x14ac:dyDescent="0.25">
      <c r="B45" s="409" t="str">
        <f>Input!B353</f>
        <v>Owned Autos: Collision</v>
      </c>
      <c r="C45" s="398">
        <f>Input!E353</f>
        <v>0</v>
      </c>
      <c r="D45" s="425">
        <f>Input!H353</f>
        <v>0</v>
      </c>
      <c r="F45" s="427">
        <f>Input!K353</f>
        <v>0</v>
      </c>
      <c r="G45" s="211"/>
      <c r="H45" s="211"/>
      <c r="I45" s="211"/>
      <c r="J45" s="231"/>
      <c r="K45" s="231"/>
    </row>
    <row r="46" spans="2:11" x14ac:dyDescent="0.25">
      <c r="B46" s="409" t="str">
        <f>Input!B354</f>
        <v>Hired Auto: Comprehensive</v>
      </c>
      <c r="C46" s="398">
        <f>Input!E354</f>
        <v>100</v>
      </c>
      <c r="D46" s="425">
        <f>Input!H354</f>
        <v>100</v>
      </c>
      <c r="F46" s="427">
        <f>Input!K354</f>
        <v>0</v>
      </c>
      <c r="G46" s="211"/>
      <c r="H46" s="211"/>
      <c r="I46" s="211"/>
      <c r="J46" s="231"/>
      <c r="K46" s="231"/>
    </row>
    <row r="47" spans="2:11" x14ac:dyDescent="0.25">
      <c r="B47" s="409" t="str">
        <f>Input!B355</f>
        <v>Hired Auto: Collision</v>
      </c>
      <c r="C47" s="398">
        <f>Input!E355</f>
        <v>1000</v>
      </c>
      <c r="D47" s="425">
        <f>Input!H355</f>
        <v>1000</v>
      </c>
      <c r="F47" s="427">
        <f>Input!K355</f>
        <v>0</v>
      </c>
      <c r="G47" s="211"/>
      <c r="H47" s="211"/>
      <c r="I47" s="211"/>
      <c r="J47" s="231"/>
      <c r="K47" s="231"/>
    </row>
    <row r="48" spans="2:11" hidden="1" x14ac:dyDescent="0.25">
      <c r="B48" s="409" t="str">
        <f>Input!B356</f>
        <v>Towing</v>
      </c>
      <c r="C48" s="398">
        <f>Input!E356</f>
        <v>0</v>
      </c>
      <c r="D48" s="425">
        <f>Input!H356</f>
        <v>0</v>
      </c>
      <c r="F48" s="427">
        <f>Input!K356</f>
        <v>0</v>
      </c>
      <c r="G48" s="211"/>
      <c r="H48" s="211"/>
      <c r="I48" s="211"/>
      <c r="J48" s="231"/>
      <c r="K48" s="231"/>
    </row>
    <row r="49" spans="2:11" hidden="1" x14ac:dyDescent="0.25">
      <c r="B49" s="402" t="str">
        <f>Input!B357</f>
        <v>Rental Reimbursement</v>
      </c>
      <c r="C49" s="403">
        <f>Input!E357</f>
        <v>0</v>
      </c>
      <c r="D49" s="431">
        <f>Input!H357</f>
        <v>0</v>
      </c>
      <c r="F49" s="430">
        <f>Input!K357</f>
        <v>0</v>
      </c>
      <c r="G49" s="211"/>
      <c r="H49" s="211"/>
      <c r="I49" s="211"/>
      <c r="J49" s="231"/>
      <c r="K49" s="231"/>
    </row>
    <row r="50" spans="2:11" x14ac:dyDescent="0.25">
      <c r="B50" s="479" t="s">
        <v>367</v>
      </c>
      <c r="C50" s="479"/>
      <c r="D50" s="479"/>
      <c r="F50" s="562"/>
      <c r="G50" s="211"/>
      <c r="H50" s="211"/>
      <c r="I50" s="211"/>
      <c r="J50" s="566"/>
      <c r="K50" s="566"/>
    </row>
    <row r="51" spans="2:11" x14ac:dyDescent="0.25">
      <c r="B51" s="402" t="s">
        <v>343</v>
      </c>
      <c r="C51" s="428">
        <f>Input!B320</f>
        <v>3290</v>
      </c>
      <c r="D51" s="425">
        <f>Input!D320</f>
        <v>1734</v>
      </c>
      <c r="F51" s="427">
        <f>Input!E320</f>
        <v>1734</v>
      </c>
      <c r="G51" s="211"/>
      <c r="H51" s="211"/>
      <c r="I51" s="211"/>
      <c r="J51" s="231"/>
      <c r="K51" s="231"/>
    </row>
    <row r="52" spans="2:11" x14ac:dyDescent="0.25">
      <c r="B52" s="402" t="s">
        <v>366</v>
      </c>
      <c r="C52" s="428">
        <f>Input!B326</f>
        <v>0</v>
      </c>
      <c r="D52" s="425">
        <f>Input!D326</f>
        <v>0</v>
      </c>
      <c r="F52" s="427">
        <f>Input!E326</f>
        <v>0</v>
      </c>
      <c r="G52" s="211"/>
      <c r="H52" s="211"/>
      <c r="I52" s="211"/>
      <c r="J52" s="231"/>
      <c r="K52" s="231"/>
    </row>
    <row r="53" spans="2:11" x14ac:dyDescent="0.25">
      <c r="B53" s="402" t="s">
        <v>365</v>
      </c>
      <c r="C53" s="429">
        <f>Input!B328</f>
        <v>0</v>
      </c>
      <c r="D53" s="431">
        <f>Input!D328</f>
        <v>0</v>
      </c>
      <c r="F53" s="430">
        <f>Input!E328</f>
        <v>0</v>
      </c>
      <c r="G53" s="211"/>
      <c r="H53" s="211"/>
      <c r="I53" s="211"/>
      <c r="J53" s="231"/>
      <c r="K53" s="231"/>
    </row>
    <row r="54" spans="2:11" x14ac:dyDescent="0.25">
      <c r="B54" s="409" t="s">
        <v>368</v>
      </c>
      <c r="C54" s="428">
        <f>Input!B330</f>
        <v>3290</v>
      </c>
      <c r="D54" s="425">
        <f>Input!D330</f>
        <v>1734</v>
      </c>
      <c r="F54" s="427">
        <f>Input!E330</f>
        <v>1734</v>
      </c>
      <c r="G54" s="211"/>
      <c r="H54" s="211"/>
      <c r="I54" s="211"/>
      <c r="J54" s="231"/>
      <c r="K54" s="231"/>
    </row>
    <row r="55" spans="2:11" ht="7.5" customHeight="1" x14ac:dyDescent="0.25">
      <c r="B55" s="310"/>
      <c r="C55" s="228"/>
      <c r="D55" s="228"/>
      <c r="F55" s="461"/>
      <c r="G55" s="211"/>
      <c r="H55" s="211"/>
      <c r="I55" s="211"/>
      <c r="J55" s="381"/>
    </row>
    <row r="56" spans="2:11" x14ac:dyDescent="0.25">
      <c r="B56" s="1274" t="s">
        <v>144</v>
      </c>
      <c r="C56" s="1274"/>
      <c r="D56" s="1274"/>
      <c r="F56" s="274"/>
      <c r="G56" s="211"/>
      <c r="H56" s="211"/>
      <c r="I56" s="211"/>
      <c r="J56" s="381"/>
    </row>
    <row r="57" spans="2:11" x14ac:dyDescent="0.25">
      <c r="B57" s="1284" t="s">
        <v>1172</v>
      </c>
      <c r="C57" s="1285"/>
      <c r="D57" s="1285"/>
      <c r="E57" s="1285"/>
      <c r="F57" s="1286"/>
      <c r="G57" s="211"/>
      <c r="H57" s="211"/>
      <c r="I57" s="211"/>
      <c r="J57" s="381"/>
    </row>
    <row r="58" spans="2:11" ht="7.5" customHeight="1" x14ac:dyDescent="0.25">
      <c r="B58" s="380"/>
      <c r="C58" s="238"/>
      <c r="D58" s="238"/>
      <c r="F58" s="275"/>
      <c r="G58" s="211"/>
      <c r="H58" s="211"/>
      <c r="I58" s="211"/>
      <c r="J58" s="381"/>
    </row>
    <row r="59" spans="2:11" x14ac:dyDescent="0.25">
      <c r="B59" s="1274" t="s">
        <v>145</v>
      </c>
      <c r="C59" s="1274"/>
      <c r="D59" s="1274"/>
      <c r="F59" s="275"/>
      <c r="G59" s="211"/>
      <c r="H59" s="211"/>
      <c r="I59" s="211"/>
      <c r="J59" s="381"/>
    </row>
    <row r="60" spans="2:11" x14ac:dyDescent="0.25">
      <c r="B60" s="1284" t="s">
        <v>1172</v>
      </c>
      <c r="C60" s="1285"/>
      <c r="D60" s="1285"/>
      <c r="E60" s="1285"/>
      <c r="F60" s="1286"/>
      <c r="G60" s="211"/>
      <c r="H60" s="211"/>
      <c r="I60" s="211"/>
      <c r="J60" s="381"/>
    </row>
    <row r="61" spans="2:11" ht="7.5" customHeight="1" x14ac:dyDescent="0.25">
      <c r="B61" s="310"/>
      <c r="C61" s="228"/>
      <c r="D61" s="228"/>
      <c r="F61" s="275"/>
      <c r="G61" s="211"/>
      <c r="H61" s="211"/>
      <c r="I61" s="211"/>
      <c r="J61" s="381"/>
    </row>
    <row r="62" spans="2:11" x14ac:dyDescent="0.25">
      <c r="B62" s="523" t="s">
        <v>72</v>
      </c>
      <c r="C62" s="524" t="s">
        <v>62</v>
      </c>
      <c r="D62" s="525" t="s">
        <v>63</v>
      </c>
      <c r="F62" s="526" t="s">
        <v>146</v>
      </c>
      <c r="G62" s="211"/>
      <c r="H62" s="211"/>
      <c r="I62" s="211"/>
      <c r="J62" s="527" t="s">
        <v>1002</v>
      </c>
      <c r="K62" s="527" t="s">
        <v>363</v>
      </c>
    </row>
    <row r="63" spans="2:11" x14ac:dyDescent="0.25">
      <c r="B63" s="400" t="s">
        <v>73</v>
      </c>
      <c r="C63" s="711" t="s">
        <v>1033</v>
      </c>
      <c r="D63" s="390" t="s">
        <v>1033</v>
      </c>
      <c r="F63" s="413"/>
      <c r="G63" s="228" t="str">
        <f t="shared" ref="G63:G108" si="0">IF(OR(TRIM(D63)&lt;&gt;"",TRIM(F63)&lt;&gt;""),IF(AND(TRIM(D63)&lt;&gt;"",TRIM(F63)&lt;&gt;""),IF(OR(TRIM(C63)&lt;&gt;TRIM(D63),TRIM(C63)&lt;&gt;TRIM(F63)),"_",""),IF(TRIM(C63)&lt;&gt;TRIM(D63), "_", "")),"")</f>
        <v/>
      </c>
      <c r="H63" s="211"/>
      <c r="I63" s="211"/>
      <c r="J63" s="231"/>
      <c r="K63" s="231"/>
    </row>
    <row r="64" spans="2:11" x14ac:dyDescent="0.25">
      <c r="B64" s="400" t="s">
        <v>74</v>
      </c>
      <c r="C64" s="711" t="s">
        <v>1955</v>
      </c>
      <c r="D64" s="712" t="s">
        <v>1955</v>
      </c>
      <c r="F64" s="413"/>
      <c r="G64" s="228" t="str">
        <f t="shared" si="0"/>
        <v/>
      </c>
      <c r="H64" s="211"/>
      <c r="I64" s="211"/>
      <c r="J64" s="231"/>
      <c r="K64" s="231"/>
    </row>
    <row r="65" spans="2:11" x14ac:dyDescent="0.25">
      <c r="B65" s="400" t="s">
        <v>151</v>
      </c>
      <c r="C65" s="711" t="s">
        <v>1035</v>
      </c>
      <c r="D65" s="390" t="s">
        <v>1035</v>
      </c>
      <c r="F65" s="413"/>
      <c r="G65" s="228" t="str">
        <f t="shared" si="0"/>
        <v/>
      </c>
      <c r="H65" s="211"/>
      <c r="I65" s="211"/>
      <c r="J65" s="231"/>
      <c r="K65" s="231"/>
    </row>
    <row r="66" spans="2:11" x14ac:dyDescent="0.25">
      <c r="B66" s="400" t="s">
        <v>152</v>
      </c>
      <c r="C66" s="711" t="s">
        <v>284</v>
      </c>
      <c r="D66" s="390" t="s">
        <v>284</v>
      </c>
      <c r="F66" s="413"/>
      <c r="G66" s="228" t="str">
        <f t="shared" si="0"/>
        <v/>
      </c>
      <c r="H66" s="211"/>
      <c r="I66" s="211"/>
      <c r="J66" s="231"/>
      <c r="K66" s="231"/>
    </row>
    <row r="67" spans="2:11" x14ac:dyDescent="0.25">
      <c r="B67" s="722" t="s">
        <v>77</v>
      </c>
      <c r="C67" s="802" t="s">
        <v>1036</v>
      </c>
      <c r="D67" s="391" t="s">
        <v>1036</v>
      </c>
      <c r="F67" s="436"/>
      <c r="G67" s="228" t="str">
        <f t="shared" si="0"/>
        <v/>
      </c>
      <c r="H67" s="211"/>
      <c r="I67" s="211"/>
      <c r="J67" s="232"/>
      <c r="K67" s="232"/>
    </row>
    <row r="68" spans="2:11" ht="25.5" hidden="1" x14ac:dyDescent="0.25">
      <c r="B68" s="441" t="s">
        <v>1285</v>
      </c>
      <c r="C68" s="438"/>
      <c r="D68" s="599">
        <v>1</v>
      </c>
      <c r="F68" s="600">
        <v>1</v>
      </c>
      <c r="G68" s="228" t="str">
        <f t="shared" si="0"/>
        <v>_</v>
      </c>
      <c r="H68" s="211"/>
      <c r="I68" s="211"/>
      <c r="J68" s="447"/>
      <c r="K68" s="447"/>
    </row>
    <row r="69" spans="2:11" hidden="1" x14ac:dyDescent="0.25">
      <c r="B69" s="441" t="s">
        <v>703</v>
      </c>
      <c r="C69" s="438"/>
      <c r="D69" s="439">
        <v>1</v>
      </c>
      <c r="F69" s="440">
        <v>1</v>
      </c>
      <c r="G69" s="228" t="str">
        <f t="shared" si="0"/>
        <v>_</v>
      </c>
      <c r="H69" s="211"/>
      <c r="I69" s="211"/>
      <c r="J69" s="447"/>
      <c r="K69" s="447"/>
    </row>
    <row r="70" spans="2:11" hidden="1" x14ac:dyDescent="0.25">
      <c r="B70" s="368" t="s">
        <v>388</v>
      </c>
      <c r="C70" s="802" t="s">
        <v>1036</v>
      </c>
      <c r="D70" s="476">
        <v>50000</v>
      </c>
      <c r="F70" s="605">
        <v>50000</v>
      </c>
      <c r="G70" s="228" t="str">
        <f t="shared" si="0"/>
        <v>_</v>
      </c>
      <c r="H70" s="211"/>
      <c r="I70" s="211"/>
      <c r="J70" s="445"/>
      <c r="K70" s="445"/>
    </row>
    <row r="71" spans="2:11" x14ac:dyDescent="0.25">
      <c r="B71" s="400" t="s">
        <v>390</v>
      </c>
      <c r="C71" s="456" t="s">
        <v>391</v>
      </c>
      <c r="D71" s="797" t="s">
        <v>391</v>
      </c>
      <c r="F71" s="413"/>
      <c r="G71" s="228" t="str">
        <f t="shared" si="0"/>
        <v/>
      </c>
      <c r="H71" s="211"/>
      <c r="I71" s="211"/>
      <c r="J71" s="231"/>
      <c r="K71" s="231"/>
    </row>
    <row r="72" spans="2:11" x14ac:dyDescent="0.25">
      <c r="B72" s="400" t="s">
        <v>707</v>
      </c>
      <c r="C72" s="459" t="s">
        <v>157</v>
      </c>
      <c r="D72" s="692" t="s">
        <v>157</v>
      </c>
      <c r="E72" s="16"/>
      <c r="F72" s="413"/>
      <c r="G72" s="228" t="str">
        <f t="shared" si="0"/>
        <v/>
      </c>
      <c r="H72" s="211"/>
      <c r="I72" s="211"/>
      <c r="J72" s="231"/>
      <c r="K72" s="231"/>
    </row>
    <row r="73" spans="2:11" x14ac:dyDescent="0.25">
      <c r="B73" s="400" t="s">
        <v>708</v>
      </c>
      <c r="C73" s="459" t="s">
        <v>157</v>
      </c>
      <c r="D73" s="692" t="s">
        <v>157</v>
      </c>
      <c r="E73" s="16"/>
      <c r="F73" s="413"/>
      <c r="G73" s="228" t="str">
        <f t="shared" si="0"/>
        <v/>
      </c>
      <c r="H73" s="211"/>
      <c r="I73" s="211"/>
      <c r="J73" s="231"/>
      <c r="K73" s="231"/>
    </row>
    <row r="74" spans="2:11" x14ac:dyDescent="0.25">
      <c r="B74" s="400" t="s">
        <v>401</v>
      </c>
      <c r="C74" s="459" t="s">
        <v>157</v>
      </c>
      <c r="D74" s="692" t="s">
        <v>157</v>
      </c>
      <c r="E74" s="16"/>
      <c r="F74" s="413"/>
      <c r="G74" s="228" t="str">
        <f t="shared" si="0"/>
        <v/>
      </c>
      <c r="H74" s="211"/>
      <c r="I74" s="211"/>
      <c r="J74" s="231"/>
      <c r="K74" s="231"/>
    </row>
    <row r="75" spans="2:11" x14ac:dyDescent="0.25">
      <c r="B75" s="400" t="s">
        <v>164</v>
      </c>
      <c r="C75" s="459" t="s">
        <v>157</v>
      </c>
      <c r="D75" s="692" t="s">
        <v>157</v>
      </c>
      <c r="E75" s="16"/>
      <c r="F75" s="413"/>
      <c r="G75" s="228" t="str">
        <f t="shared" si="0"/>
        <v/>
      </c>
      <c r="H75" s="211"/>
      <c r="I75" s="211"/>
      <c r="J75" s="231"/>
      <c r="K75" s="231"/>
    </row>
    <row r="76" spans="2:11" ht="30" customHeight="1" x14ac:dyDescent="0.25">
      <c r="B76" s="400" t="s">
        <v>153</v>
      </c>
      <c r="C76" s="459" t="s">
        <v>157</v>
      </c>
      <c r="D76" s="692" t="s">
        <v>157</v>
      </c>
      <c r="E76" s="16"/>
      <c r="F76" s="413"/>
      <c r="G76" s="228" t="str">
        <f t="shared" si="0"/>
        <v/>
      </c>
      <c r="H76" s="211"/>
      <c r="I76" s="211"/>
      <c r="J76" s="231"/>
      <c r="K76" s="231"/>
    </row>
    <row r="77" spans="2:11" ht="45" customHeight="1" x14ac:dyDescent="0.25">
      <c r="B77" s="803" t="s">
        <v>1286</v>
      </c>
      <c r="C77" s="459" t="s">
        <v>157</v>
      </c>
      <c r="D77" s="692" t="s">
        <v>157</v>
      </c>
      <c r="E77" s="16"/>
      <c r="F77" s="413"/>
      <c r="G77" s="228" t="str">
        <f t="shared" si="0"/>
        <v/>
      </c>
      <c r="H77" s="211"/>
      <c r="I77" s="211"/>
      <c r="J77" s="231"/>
      <c r="K77" s="231"/>
    </row>
    <row r="78" spans="2:11" x14ac:dyDescent="0.25">
      <c r="B78" s="593" t="s">
        <v>715</v>
      </c>
      <c r="C78" s="589"/>
      <c r="D78" s="860"/>
      <c r="E78" s="530"/>
      <c r="F78" s="436"/>
      <c r="G78" s="228" t="str">
        <f t="shared" si="0"/>
        <v/>
      </c>
      <c r="H78" s="16"/>
      <c r="I78" s="586"/>
      <c r="J78" s="232"/>
      <c r="K78" s="232"/>
    </row>
    <row r="79" spans="2:11" x14ac:dyDescent="0.25">
      <c r="B79" s="590" t="s">
        <v>712</v>
      </c>
      <c r="C79" s="804" t="s">
        <v>1287</v>
      </c>
      <c r="D79" s="433" t="s">
        <v>1287</v>
      </c>
      <c r="E79" s="530"/>
      <c r="F79" s="440"/>
      <c r="G79" s="228" t="str">
        <f t="shared" si="0"/>
        <v/>
      </c>
      <c r="H79" s="16"/>
      <c r="I79" s="586"/>
      <c r="J79" s="447"/>
      <c r="K79" s="447"/>
    </row>
    <row r="80" spans="2:11" x14ac:dyDescent="0.25">
      <c r="B80" s="591" t="s">
        <v>713</v>
      </c>
      <c r="C80" s="805" t="s">
        <v>391</v>
      </c>
      <c r="D80" s="861" t="s">
        <v>391</v>
      </c>
      <c r="E80" s="530"/>
      <c r="F80" s="440"/>
      <c r="G80" s="228" t="str">
        <f t="shared" si="0"/>
        <v/>
      </c>
      <c r="H80" s="16"/>
      <c r="I80" s="586"/>
      <c r="J80" s="447"/>
      <c r="K80" s="447"/>
    </row>
    <row r="81" spans="2:11" x14ac:dyDescent="0.25">
      <c r="B81" s="400" t="s">
        <v>165</v>
      </c>
      <c r="C81" s="459" t="s">
        <v>157</v>
      </c>
      <c r="D81" s="692" t="s">
        <v>157</v>
      </c>
      <c r="F81" s="436"/>
      <c r="G81" s="228" t="str">
        <f t="shared" si="0"/>
        <v/>
      </c>
      <c r="H81" s="211"/>
      <c r="I81" s="211"/>
      <c r="J81" s="232"/>
      <c r="K81" s="232"/>
    </row>
    <row r="82" spans="2:11" x14ac:dyDescent="0.25">
      <c r="B82" s="400" t="s">
        <v>166</v>
      </c>
      <c r="C82" s="459" t="s">
        <v>157</v>
      </c>
      <c r="D82" s="692" t="s">
        <v>157</v>
      </c>
      <c r="F82" s="440"/>
      <c r="G82" s="228" t="str">
        <f t="shared" si="0"/>
        <v/>
      </c>
      <c r="H82" s="211"/>
      <c r="I82" s="211"/>
      <c r="J82" s="447"/>
      <c r="K82" s="447"/>
    </row>
    <row r="83" spans="2:11" ht="30" customHeight="1" x14ac:dyDescent="0.25">
      <c r="B83" s="400" t="s">
        <v>167</v>
      </c>
      <c r="C83" s="456" t="s">
        <v>391</v>
      </c>
      <c r="D83" s="797" t="s">
        <v>391</v>
      </c>
      <c r="F83" s="440"/>
      <c r="G83" s="228" t="str">
        <f t="shared" si="0"/>
        <v/>
      </c>
      <c r="H83" s="211"/>
      <c r="I83" s="211"/>
      <c r="J83" s="447"/>
      <c r="K83" s="447"/>
    </row>
    <row r="84" spans="2:11" hidden="1" x14ac:dyDescent="0.25">
      <c r="B84" s="442" t="s">
        <v>714</v>
      </c>
      <c r="C84" s="396"/>
      <c r="D84" s="424"/>
      <c r="F84" s="443"/>
      <c r="G84" s="228" t="str">
        <f t="shared" si="0"/>
        <v/>
      </c>
      <c r="H84" s="211"/>
      <c r="I84" s="211"/>
      <c r="J84" s="445"/>
      <c r="K84" s="445"/>
    </row>
    <row r="85" spans="2:11" hidden="1" x14ac:dyDescent="0.25">
      <c r="B85" s="400" t="s">
        <v>165</v>
      </c>
      <c r="C85" s="412"/>
      <c r="D85" s="390"/>
      <c r="E85" s="16"/>
      <c r="F85" s="413"/>
      <c r="G85" s="228" t="str">
        <f t="shared" si="0"/>
        <v/>
      </c>
      <c r="H85" s="211"/>
      <c r="I85" s="211"/>
      <c r="J85" s="231"/>
      <c r="K85" s="231"/>
    </row>
    <row r="86" spans="2:11" hidden="1" x14ac:dyDescent="0.25">
      <c r="B86" s="400" t="s">
        <v>166</v>
      </c>
      <c r="C86" s="412"/>
      <c r="D86" s="390"/>
      <c r="E86" s="16"/>
      <c r="F86" s="413"/>
      <c r="G86" s="228" t="str">
        <f t="shared" si="0"/>
        <v/>
      </c>
      <c r="H86" s="211"/>
      <c r="I86" s="211"/>
      <c r="J86" s="231"/>
      <c r="K86" s="231"/>
    </row>
    <row r="87" spans="2:11" ht="25.5" hidden="1" x14ac:dyDescent="0.25">
      <c r="B87" s="400" t="s">
        <v>167</v>
      </c>
      <c r="C87" s="412"/>
      <c r="D87" s="390"/>
      <c r="E87" s="16"/>
      <c r="F87" s="413"/>
      <c r="G87" s="228" t="str">
        <f t="shared" si="0"/>
        <v/>
      </c>
      <c r="H87" s="211"/>
      <c r="I87" s="211"/>
      <c r="J87" s="231"/>
      <c r="K87" s="231"/>
    </row>
    <row r="88" spans="2:11" hidden="1" x14ac:dyDescent="0.25">
      <c r="B88" s="400" t="s">
        <v>163</v>
      </c>
      <c r="C88" s="412"/>
      <c r="D88" s="390"/>
      <c r="E88" s="16"/>
      <c r="F88" s="413"/>
      <c r="G88" s="228" t="str">
        <f t="shared" si="0"/>
        <v/>
      </c>
      <c r="H88" s="211"/>
      <c r="I88" s="211"/>
      <c r="J88" s="231"/>
      <c r="K88" s="231"/>
    </row>
    <row r="89" spans="2:11" hidden="1" x14ac:dyDescent="0.25">
      <c r="B89" s="400" t="s">
        <v>402</v>
      </c>
      <c r="C89" s="412"/>
      <c r="D89" s="390"/>
      <c r="E89" s="16"/>
      <c r="F89" s="413"/>
      <c r="G89" s="228" t="str">
        <f t="shared" si="0"/>
        <v/>
      </c>
      <c r="H89" s="211"/>
      <c r="I89" s="211"/>
      <c r="J89" s="231"/>
      <c r="K89" s="231"/>
    </row>
    <row r="90" spans="2:11" hidden="1" x14ac:dyDescent="0.25">
      <c r="B90" s="400" t="s">
        <v>403</v>
      </c>
      <c r="C90" s="412"/>
      <c r="D90" s="390"/>
      <c r="E90" s="16"/>
      <c r="F90" s="413"/>
      <c r="G90" s="228" t="str">
        <f t="shared" si="0"/>
        <v/>
      </c>
      <c r="H90" s="211"/>
      <c r="I90" s="211"/>
      <c r="J90" s="231"/>
      <c r="K90" s="231"/>
    </row>
    <row r="91" spans="2:11" ht="15" hidden="1" customHeight="1" x14ac:dyDescent="0.25">
      <c r="B91" s="400" t="s">
        <v>748</v>
      </c>
      <c r="C91" s="412"/>
      <c r="D91" s="390"/>
      <c r="E91" s="16"/>
      <c r="F91" s="413"/>
      <c r="G91" s="228" t="str">
        <f t="shared" si="0"/>
        <v/>
      </c>
      <c r="H91" s="211"/>
      <c r="I91" s="211"/>
      <c r="J91" s="231"/>
      <c r="K91" s="231"/>
    </row>
    <row r="92" spans="2:11" ht="7.5" customHeight="1" x14ac:dyDescent="0.25">
      <c r="B92" s="310"/>
      <c r="C92" s="228"/>
      <c r="D92" s="228"/>
      <c r="E92" s="16"/>
      <c r="F92" s="275"/>
      <c r="G92" s="228" t="str">
        <f t="shared" si="0"/>
        <v/>
      </c>
      <c r="H92" s="211"/>
      <c r="I92" s="211"/>
      <c r="J92" s="381"/>
    </row>
    <row r="93" spans="2:11" x14ac:dyDescent="0.25">
      <c r="B93" s="523" t="s">
        <v>103</v>
      </c>
      <c r="C93" s="524" t="s">
        <v>62</v>
      </c>
      <c r="D93" s="525" t="s">
        <v>63</v>
      </c>
      <c r="E93" s="16"/>
      <c r="F93" s="526" t="s">
        <v>146</v>
      </c>
      <c r="G93" s="228" t="str">
        <f t="shared" si="0"/>
        <v>_</v>
      </c>
      <c r="H93" s="211"/>
      <c r="I93" s="211"/>
      <c r="J93" s="527" t="s">
        <v>1002</v>
      </c>
      <c r="K93" s="527" t="s">
        <v>363</v>
      </c>
    </row>
    <row r="94" spans="2:11" x14ac:dyDescent="0.25">
      <c r="B94" s="394" t="s">
        <v>850</v>
      </c>
      <c r="C94" s="707" t="s">
        <v>1052</v>
      </c>
      <c r="D94" s="708" t="s">
        <v>1052</v>
      </c>
      <c r="F94" s="443"/>
      <c r="G94" s="228" t="str">
        <f t="shared" si="0"/>
        <v/>
      </c>
      <c r="H94" s="211"/>
      <c r="I94" s="211"/>
      <c r="J94" s="231"/>
      <c r="K94" s="231"/>
    </row>
    <row r="95" spans="2:11" x14ac:dyDescent="0.25">
      <c r="B95" s="666" t="s">
        <v>878</v>
      </c>
      <c r="C95" s="709" t="s">
        <v>1053</v>
      </c>
      <c r="D95" s="710" t="s">
        <v>1053</v>
      </c>
      <c r="E95" s="16"/>
      <c r="F95" s="413"/>
      <c r="G95" s="228" t="str">
        <f t="shared" si="0"/>
        <v/>
      </c>
      <c r="H95" s="211"/>
      <c r="I95" s="211"/>
      <c r="J95" s="231"/>
      <c r="K95" s="231"/>
    </row>
    <row r="96" spans="2:11" x14ac:dyDescent="0.25">
      <c r="B96" s="400" t="s">
        <v>851</v>
      </c>
      <c r="C96" s="709" t="s">
        <v>1053</v>
      </c>
      <c r="D96" s="710" t="s">
        <v>1053</v>
      </c>
      <c r="E96" s="16"/>
      <c r="F96" s="413"/>
      <c r="G96" s="228" t="str">
        <f t="shared" si="0"/>
        <v/>
      </c>
      <c r="H96" s="211"/>
      <c r="I96" s="211"/>
      <c r="J96" s="231"/>
      <c r="K96" s="231"/>
    </row>
    <row r="97" spans="2:11" ht="7.5" customHeight="1" x14ac:dyDescent="0.25">
      <c r="B97" s="211"/>
      <c r="C97" s="228"/>
      <c r="D97" s="228"/>
      <c r="E97" s="16"/>
      <c r="F97" s="228"/>
      <c r="G97" s="228" t="str">
        <f t="shared" si="0"/>
        <v/>
      </c>
      <c r="H97" s="211"/>
      <c r="I97" s="211"/>
      <c r="J97" s="381"/>
    </row>
    <row r="98" spans="2:11" x14ac:dyDescent="0.25">
      <c r="B98" s="528" t="s">
        <v>359</v>
      </c>
      <c r="C98" s="524" t="s">
        <v>62</v>
      </c>
      <c r="D98" s="525" t="s">
        <v>63</v>
      </c>
      <c r="E98" s="16"/>
      <c r="F98" s="526" t="s">
        <v>146</v>
      </c>
      <c r="G98" s="228" t="str">
        <f t="shared" si="0"/>
        <v>_</v>
      </c>
      <c r="H98" s="211"/>
      <c r="I98" s="211"/>
      <c r="J98" s="527" t="s">
        <v>1002</v>
      </c>
      <c r="K98" s="527" t="s">
        <v>363</v>
      </c>
    </row>
    <row r="99" spans="2:11" x14ac:dyDescent="0.25">
      <c r="B99" s="400" t="s">
        <v>1288</v>
      </c>
      <c r="C99" s="412" t="s">
        <v>1716</v>
      </c>
      <c r="D99" s="712" t="s">
        <v>1716</v>
      </c>
      <c r="E99" s="16"/>
      <c r="F99" s="413"/>
      <c r="G99" s="228" t="str">
        <f t="shared" si="0"/>
        <v/>
      </c>
      <c r="H99" s="211"/>
      <c r="I99" s="211"/>
      <c r="J99" s="231"/>
      <c r="K99" s="231"/>
    </row>
    <row r="100" spans="2:11" x14ac:dyDescent="0.25">
      <c r="B100" s="368" t="s">
        <v>165</v>
      </c>
      <c r="C100" s="412" t="s">
        <v>1717</v>
      </c>
      <c r="D100" s="712" t="s">
        <v>1717</v>
      </c>
      <c r="E100" s="16"/>
      <c r="F100" s="413"/>
      <c r="G100" s="228" t="str">
        <f t="shared" si="0"/>
        <v/>
      </c>
      <c r="H100" s="211"/>
      <c r="I100" s="211"/>
      <c r="J100" s="231"/>
      <c r="K100" s="231"/>
    </row>
    <row r="101" spans="2:11" x14ac:dyDescent="0.25">
      <c r="B101" s="722" t="s">
        <v>1381</v>
      </c>
      <c r="C101" s="412" t="s">
        <v>1718</v>
      </c>
      <c r="D101" s="712" t="s">
        <v>1718</v>
      </c>
      <c r="E101" s="16"/>
      <c r="F101" s="413"/>
      <c r="G101" s="228" t="str">
        <f t="shared" si="0"/>
        <v/>
      </c>
      <c r="H101" s="211"/>
      <c r="I101" s="211"/>
      <c r="J101" s="231"/>
      <c r="K101" s="231"/>
    </row>
    <row r="102" spans="2:11" ht="15" customHeight="1" x14ac:dyDescent="0.25">
      <c r="B102" s="722" t="s">
        <v>1384</v>
      </c>
      <c r="C102" s="412" t="s">
        <v>1290</v>
      </c>
      <c r="D102" s="390" t="s">
        <v>1290</v>
      </c>
      <c r="E102" s="16"/>
      <c r="F102" s="413"/>
      <c r="G102" s="228" t="str">
        <f t="shared" si="0"/>
        <v/>
      </c>
      <c r="H102" s="211"/>
      <c r="I102" s="211"/>
      <c r="J102" s="231"/>
      <c r="K102" s="231"/>
    </row>
    <row r="103" spans="2:11" ht="15" customHeight="1" x14ac:dyDescent="0.25">
      <c r="B103" s="722" t="s">
        <v>1719</v>
      </c>
      <c r="C103" s="711" t="s">
        <v>1771</v>
      </c>
      <c r="D103" s="390" t="s">
        <v>1771</v>
      </c>
      <c r="E103" s="16"/>
      <c r="F103" s="413"/>
      <c r="G103" s="228" t="str">
        <f t="shared" si="0"/>
        <v/>
      </c>
      <c r="H103" s="211"/>
      <c r="I103" s="211"/>
      <c r="J103" s="231"/>
      <c r="K103" s="231"/>
    </row>
    <row r="104" spans="2:11" x14ac:dyDescent="0.25">
      <c r="B104" s="382" t="s">
        <v>1289</v>
      </c>
      <c r="C104" s="711" t="s">
        <v>1485</v>
      </c>
      <c r="D104" s="390" t="s">
        <v>1485</v>
      </c>
      <c r="E104" s="16"/>
      <c r="F104" s="413"/>
      <c r="G104" s="228" t="str">
        <f t="shared" si="0"/>
        <v/>
      </c>
      <c r="H104" s="211"/>
      <c r="I104" s="211"/>
      <c r="J104" s="231"/>
      <c r="K104" s="231"/>
    </row>
    <row r="105" spans="2:11" x14ac:dyDescent="0.25">
      <c r="B105" s="673" t="s">
        <v>1331</v>
      </c>
      <c r="C105" s="412" t="s">
        <v>1292</v>
      </c>
      <c r="D105" s="390" t="s">
        <v>1292</v>
      </c>
      <c r="E105" s="16"/>
      <c r="F105" s="413"/>
      <c r="G105" s="228" t="str">
        <f t="shared" si="0"/>
        <v/>
      </c>
      <c r="H105" s="211"/>
      <c r="I105" s="211"/>
      <c r="J105" s="231"/>
      <c r="K105" s="231"/>
    </row>
    <row r="106" spans="2:11" ht="15" customHeight="1" x14ac:dyDescent="0.25">
      <c r="B106" s="673" t="s">
        <v>1382</v>
      </c>
      <c r="C106" s="412" t="s">
        <v>1293</v>
      </c>
      <c r="D106" s="390" t="s">
        <v>1293</v>
      </c>
      <c r="E106" s="16"/>
      <c r="F106" s="413"/>
      <c r="G106" s="228" t="str">
        <f t="shared" si="0"/>
        <v/>
      </c>
      <c r="H106" s="211"/>
      <c r="I106" s="211"/>
      <c r="J106" s="231"/>
      <c r="K106" s="231"/>
    </row>
    <row r="107" spans="2:11" ht="15" customHeight="1" x14ac:dyDescent="0.25">
      <c r="B107" s="673" t="s">
        <v>1383</v>
      </c>
      <c r="C107" s="711" t="s">
        <v>1380</v>
      </c>
      <c r="D107" s="712" t="s">
        <v>1380</v>
      </c>
      <c r="E107" s="16"/>
      <c r="F107" s="413"/>
      <c r="G107" s="228" t="str">
        <f t="shared" si="0"/>
        <v/>
      </c>
      <c r="H107" s="211"/>
      <c r="I107" s="211"/>
      <c r="J107" s="231"/>
      <c r="K107" s="231"/>
    </row>
    <row r="108" spans="2:11" x14ac:dyDescent="0.25">
      <c r="B108" s="400"/>
      <c r="C108" s="412"/>
      <c r="D108" s="390"/>
      <c r="E108" s="16"/>
      <c r="F108" s="413"/>
      <c r="G108" s="228" t="str">
        <f t="shared" si="0"/>
        <v/>
      </c>
      <c r="H108" s="211"/>
      <c r="I108" s="211"/>
      <c r="J108" s="231"/>
      <c r="K108" s="231"/>
    </row>
    <row r="109" spans="2:11" x14ac:dyDescent="0.25">
      <c r="B109" s="400"/>
      <c r="C109" s="412"/>
      <c r="D109" s="390"/>
      <c r="E109" s="16"/>
      <c r="F109" s="413"/>
      <c r="G109" s="228" t="str">
        <f t="shared" ref="G109:G117" si="1">IF(OR(TRIM(D109)&lt;&gt;"",TRIM(F109)&lt;&gt;""),IF(AND(TRIM(D109)&lt;&gt;"",TRIM(F109)&lt;&gt;""),IF(OR(TRIM(C109)&lt;&gt;TRIM(D109),TRIM(C109)&lt;&gt;TRIM(F109)),"_",""),IF(TRIM(C109)&lt;&gt;TRIM(D109), "_", "")),"")</f>
        <v/>
      </c>
      <c r="H109" s="211"/>
      <c r="I109" s="211"/>
      <c r="J109" s="231"/>
      <c r="K109" s="231"/>
    </row>
    <row r="110" spans="2:11" x14ac:dyDescent="0.25">
      <c r="B110" s="400"/>
      <c r="C110" s="412"/>
      <c r="D110" s="390"/>
      <c r="E110" s="16"/>
      <c r="F110" s="413"/>
      <c r="G110" s="228" t="str">
        <f t="shared" si="1"/>
        <v/>
      </c>
      <c r="H110" s="211"/>
      <c r="I110" s="211"/>
      <c r="J110" s="231"/>
      <c r="K110" s="231"/>
    </row>
    <row r="111" spans="2:11" x14ac:dyDescent="0.25">
      <c r="B111" s="368"/>
      <c r="C111" s="412"/>
      <c r="D111" s="390"/>
      <c r="E111" s="16"/>
      <c r="F111" s="413"/>
      <c r="G111" s="228" t="str">
        <f t="shared" si="1"/>
        <v/>
      </c>
      <c r="H111" s="211"/>
      <c r="I111" s="211"/>
      <c r="J111" s="231"/>
      <c r="K111" s="231"/>
    </row>
    <row r="112" spans="2:11" x14ac:dyDescent="0.25">
      <c r="B112" s="368"/>
      <c r="C112" s="412"/>
      <c r="D112" s="390"/>
      <c r="E112" s="16"/>
      <c r="F112" s="413"/>
      <c r="G112" s="228" t="str">
        <f t="shared" si="1"/>
        <v/>
      </c>
      <c r="H112" s="211"/>
      <c r="I112" s="211"/>
      <c r="J112" s="231"/>
      <c r="K112" s="231"/>
    </row>
    <row r="113" spans="2:11" x14ac:dyDescent="0.25">
      <c r="B113" s="400"/>
      <c r="C113" s="412"/>
      <c r="D113" s="390"/>
      <c r="E113" s="16"/>
      <c r="F113" s="413"/>
      <c r="G113" s="228" t="str">
        <f t="shared" si="1"/>
        <v/>
      </c>
      <c r="H113" s="211"/>
      <c r="I113" s="211"/>
      <c r="J113" s="231"/>
      <c r="K113" s="231"/>
    </row>
    <row r="114" spans="2:11" x14ac:dyDescent="0.25">
      <c r="B114" s="368"/>
      <c r="C114" s="412"/>
      <c r="D114" s="390"/>
      <c r="E114" s="16"/>
      <c r="F114" s="413"/>
      <c r="G114" s="228" t="str">
        <f t="shared" si="1"/>
        <v/>
      </c>
      <c r="H114" s="211"/>
      <c r="I114" s="211"/>
      <c r="J114" s="231"/>
      <c r="K114" s="231"/>
    </row>
    <row r="115" spans="2:11" x14ac:dyDescent="0.25">
      <c r="B115" s="368"/>
      <c r="C115" s="412"/>
      <c r="D115" s="390"/>
      <c r="E115" s="16"/>
      <c r="F115" s="413"/>
      <c r="G115" s="228" t="str">
        <f t="shared" si="1"/>
        <v/>
      </c>
      <c r="H115" s="211"/>
      <c r="I115" s="211"/>
      <c r="J115" s="231"/>
      <c r="K115" s="231"/>
    </row>
    <row r="116" spans="2:11" x14ac:dyDescent="0.25">
      <c r="B116" s="368"/>
      <c r="C116" s="412"/>
      <c r="D116" s="390"/>
      <c r="E116" s="16"/>
      <c r="F116" s="413"/>
      <c r="G116" s="228" t="str">
        <f t="shared" si="1"/>
        <v/>
      </c>
      <c r="H116" s="211"/>
      <c r="I116" s="211"/>
      <c r="J116" s="231"/>
      <c r="K116" s="231"/>
    </row>
    <row r="117" spans="2:11" x14ac:dyDescent="0.25">
      <c r="B117" s="400"/>
      <c r="C117" s="412"/>
      <c r="D117" s="390"/>
      <c r="E117" s="16"/>
      <c r="F117" s="413"/>
      <c r="G117" s="228" t="str">
        <f t="shared" si="1"/>
        <v/>
      </c>
      <c r="H117" s="211"/>
      <c r="I117" s="211"/>
      <c r="J117" s="231"/>
      <c r="K117" s="231"/>
    </row>
  </sheetData>
  <mergeCells count="4">
    <mergeCell ref="B56:D56"/>
    <mergeCell ref="B59:D59"/>
    <mergeCell ref="B57:F57"/>
    <mergeCell ref="B60:F60"/>
  </mergeCells>
  <conditionalFormatting sqref="G118:G1048576 G1:G108">
    <cfRule type="cellIs" dxfId="197" priority="16" operator="equal">
      <formula>"_"</formula>
    </cfRule>
  </conditionalFormatting>
  <conditionalFormatting sqref="G118:G1048576">
    <cfRule type="cellIs" dxfId="196" priority="12" operator="equal">
      <formula>"_"</formula>
    </cfRule>
  </conditionalFormatting>
  <conditionalFormatting sqref="G109:G117">
    <cfRule type="cellIs" dxfId="195" priority="3"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T5DC Business Auto</oddHeader>
    <oddFooter>&amp;L&amp;G&amp;CPage &amp;P of &amp;N</oddFooter>
  </headerFooter>
  <rowBreaks count="1" manualBreakCount="1">
    <brk id="61" min="1" max="3" man="1"/>
  </row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B1:Q148"/>
  <sheetViews>
    <sheetView showGridLines="0" view="pageBreakPreview" zoomScaleNormal="100" zoomScaleSheetLayoutView="100" workbookViewId="0">
      <selection activeCell="I24" sqref="I24"/>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21.5703125" style="16" customWidth="1"/>
    <col min="14" max="53" width="9.140625" style="16" customWidth="1"/>
    <col min="54" max="16384" width="9.140625" style="16"/>
  </cols>
  <sheetData>
    <row r="1" spans="2:13" ht="7.5" customHeight="1" x14ac:dyDescent="0.25">
      <c r="E1" s="450"/>
    </row>
    <row r="2" spans="2:13" ht="15.75" x14ac:dyDescent="0.25">
      <c r="B2" s="453" t="str">
        <f>Input!B94</f>
        <v>T5DC Umbrella</v>
      </c>
      <c r="E2" s="450"/>
      <c r="H2" s="454"/>
      <c r="I2" s="455"/>
      <c r="J2" s="455"/>
      <c r="L2" s="456" t="s">
        <v>391</v>
      </c>
      <c r="M2" s="381" t="s">
        <v>361</v>
      </c>
    </row>
    <row r="3" spans="2:13" x14ac:dyDescent="0.25">
      <c r="D3" s="455" t="str">
        <f xml:space="preserve"> IF(Input!D98=Input!G98,CHAR(254), "")</f>
        <v/>
      </c>
      <c r="E3" s="457"/>
      <c r="F3" s="458" t="str">
        <f xml:space="preserve"> IF(Input!E98=Input!G98,CHAR(254),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 customHeight="1" x14ac:dyDescent="0.25">
      <c r="B5" s="409" t="s">
        <v>60</v>
      </c>
      <c r="C5" s="412" t="str">
        <f>Input!B99</f>
        <v>The Continental Insurance Company (CNA)</v>
      </c>
      <c r="D5" s="390" t="str">
        <f>Input!D99</f>
        <v>The Continental Insurance Company (CNA)</v>
      </c>
      <c r="F5" s="413" t="str">
        <f>Input!E99</f>
        <v>The Continental Insurance Company (CNA)</v>
      </c>
      <c r="J5" s="231"/>
      <c r="K5" s="231"/>
    </row>
    <row r="6" spans="2:13" x14ac:dyDescent="0.25">
      <c r="B6" s="409" t="s">
        <v>69</v>
      </c>
      <c r="C6" s="412" t="str">
        <f>Input!B101</f>
        <v>A: XV</v>
      </c>
      <c r="D6" s="390" t="str">
        <f>Input!D101</f>
        <v>A: XV</v>
      </c>
      <c r="F6" s="413" t="str">
        <f>Input!E101</f>
        <v>A: XV</v>
      </c>
      <c r="J6" s="231"/>
      <c r="K6" s="231"/>
    </row>
    <row r="7" spans="2:13" x14ac:dyDescent="0.25">
      <c r="B7" s="409" t="str">
        <f>Input!B97</f>
        <v>Renewal Policy Number</v>
      </c>
      <c r="C7" s="412">
        <f>Input!C96</f>
        <v>6080920557</v>
      </c>
      <c r="D7" s="390">
        <f>Input!C97</f>
        <v>6080920557</v>
      </c>
      <c r="F7" s="413">
        <f>Input!C97</f>
        <v>6080920557</v>
      </c>
      <c r="J7" s="231"/>
      <c r="K7" s="231"/>
    </row>
    <row r="8" spans="2:13" ht="3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09" t="s">
        <v>70</v>
      </c>
      <c r="C9" s="398">
        <f>Input!I122</f>
        <v>25000000</v>
      </c>
      <c r="D9" s="425">
        <f>Input!I123</f>
        <v>25000000</v>
      </c>
      <c r="E9" s="414"/>
      <c r="F9" s="427">
        <f>Input!I124</f>
        <v>0</v>
      </c>
      <c r="J9" s="231"/>
      <c r="K9" s="231"/>
    </row>
    <row r="10" spans="2:13" x14ac:dyDescent="0.25">
      <c r="B10" s="409" t="s">
        <v>199</v>
      </c>
      <c r="C10" s="398">
        <f>Input!J122</f>
        <v>25000000</v>
      </c>
      <c r="D10" s="425">
        <f>Input!J123</f>
        <v>25000000</v>
      </c>
      <c r="E10" s="414"/>
      <c r="F10" s="427">
        <f>Input!J124</f>
        <v>0</v>
      </c>
      <c r="J10" s="231"/>
      <c r="K10" s="231"/>
    </row>
    <row r="11" spans="2:13" x14ac:dyDescent="0.25">
      <c r="B11" s="477" t="str">
        <f>Input!K120</f>
        <v>Self-Insured Retention</v>
      </c>
      <c r="C11" s="403">
        <f>Input!K122</f>
        <v>10000</v>
      </c>
      <c r="D11" s="431">
        <f>Input!K123</f>
        <v>10000</v>
      </c>
      <c r="E11" s="414"/>
      <c r="F11" s="430">
        <f>Input!K124</f>
        <v>0</v>
      </c>
      <c r="J11" s="231"/>
      <c r="K11" s="231"/>
    </row>
    <row r="12" spans="2:13" x14ac:dyDescent="0.25">
      <c r="B12" s="479" t="s">
        <v>367</v>
      </c>
      <c r="C12" s="479"/>
      <c r="D12" s="479"/>
      <c r="F12" s="562"/>
      <c r="G12" s="211"/>
      <c r="H12" s="211"/>
      <c r="I12" s="211"/>
      <c r="J12" s="566"/>
      <c r="K12" s="566"/>
    </row>
    <row r="13" spans="2:13" x14ac:dyDescent="0.25">
      <c r="B13" s="402" t="s">
        <v>343</v>
      </c>
      <c r="C13" s="428">
        <f>Input!B103</f>
        <v>19225</v>
      </c>
      <c r="D13" s="425">
        <f>Input!D103</f>
        <v>22163</v>
      </c>
      <c r="E13" s="414"/>
      <c r="F13" s="427">
        <f>Input!E103</f>
        <v>22163</v>
      </c>
      <c r="J13" s="231"/>
      <c r="K13" s="231"/>
    </row>
    <row r="14" spans="2:13" x14ac:dyDescent="0.25">
      <c r="B14" s="402" t="s">
        <v>789</v>
      </c>
      <c r="C14" s="429">
        <f>C13*Input!B109</f>
        <v>0</v>
      </c>
      <c r="D14" s="431">
        <f>D13*Input!D109</f>
        <v>0</v>
      </c>
      <c r="E14" s="414"/>
      <c r="F14" s="430">
        <f>F13*Input!E109</f>
        <v>0</v>
      </c>
      <c r="J14" s="231"/>
      <c r="K14" s="231"/>
    </row>
    <row r="15" spans="2:13" x14ac:dyDescent="0.25">
      <c r="B15" s="402" t="s">
        <v>790</v>
      </c>
      <c r="C15" s="429">
        <f>Input!B111</f>
        <v>0</v>
      </c>
      <c r="D15" s="431">
        <f>Input!D111</f>
        <v>0</v>
      </c>
      <c r="E15" s="414"/>
      <c r="F15" s="430">
        <f>Input!E111</f>
        <v>0</v>
      </c>
      <c r="J15" s="231"/>
      <c r="K15" s="231"/>
    </row>
    <row r="16" spans="2:13" x14ac:dyDescent="0.25">
      <c r="B16" s="409" t="s">
        <v>369</v>
      </c>
      <c r="C16" s="428">
        <f>Input!B115</f>
        <v>19225</v>
      </c>
      <c r="D16" s="425">
        <f>Input!D115</f>
        <v>22163</v>
      </c>
      <c r="E16" s="414"/>
      <c r="F16" s="427">
        <f>Input!E115</f>
        <v>22163</v>
      </c>
      <c r="J16" s="231"/>
      <c r="K16" s="231"/>
    </row>
    <row r="17" spans="2:11" ht="7.5" customHeight="1" x14ac:dyDescent="0.25">
      <c r="B17" s="310"/>
      <c r="C17" s="414"/>
      <c r="D17" s="414"/>
      <c r="F17" s="461"/>
      <c r="J17" s="381"/>
    </row>
    <row r="18" spans="2:11" x14ac:dyDescent="0.25">
      <c r="B18" s="475" t="str">
        <f>Input!B389</f>
        <v>Schedule of Underlying Insurance</v>
      </c>
      <c r="C18" s="414"/>
      <c r="D18" s="414"/>
      <c r="E18" s="238"/>
      <c r="F18" s="461"/>
      <c r="J18" s="563"/>
      <c r="K18" s="563"/>
    </row>
    <row r="19" spans="2:11" x14ac:dyDescent="0.25">
      <c r="B19" s="486" t="str">
        <f>Input!B391</f>
        <v>Commercial General Liability</v>
      </c>
      <c r="C19" s="560"/>
      <c r="D19" s="560"/>
      <c r="E19" s="432"/>
      <c r="F19" s="529"/>
      <c r="G19" s="426"/>
      <c r="H19" s="211"/>
      <c r="I19" s="211"/>
      <c r="J19" s="566"/>
      <c r="K19" s="566"/>
    </row>
    <row r="20" spans="2:11" x14ac:dyDescent="0.25">
      <c r="B20" s="383" t="str">
        <f>Input!G390</f>
        <v>Policy Number</v>
      </c>
      <c r="C20" s="424">
        <f>Input!C129</f>
        <v>6080911471</v>
      </c>
      <c r="D20" s="424">
        <f>Input!G129</f>
        <v>6080911471</v>
      </c>
      <c r="E20" s="433"/>
      <c r="F20" s="424"/>
      <c r="G20" s="450"/>
      <c r="H20" s="450"/>
      <c r="I20" s="450"/>
      <c r="J20" s="231"/>
      <c r="K20" s="231"/>
    </row>
    <row r="21" spans="2:11" x14ac:dyDescent="0.25">
      <c r="B21" s="294" t="str">
        <f>Input!H390</f>
        <v>Limits of Liability</v>
      </c>
      <c r="C21" s="425">
        <f>Input!D129</f>
        <v>1000000</v>
      </c>
      <c r="D21" s="425">
        <f>Input!H129</f>
        <v>1000000</v>
      </c>
      <c r="E21" s="434"/>
      <c r="F21" s="390"/>
      <c r="G21" s="450"/>
      <c r="H21" s="450"/>
      <c r="I21" s="450"/>
      <c r="J21" s="231"/>
      <c r="K21" s="231"/>
    </row>
    <row r="22" spans="2:11" ht="45" customHeight="1" x14ac:dyDescent="0.25">
      <c r="B22" s="294" t="str">
        <f>Input!I390</f>
        <v>Insurer</v>
      </c>
      <c r="C22" s="390" t="str">
        <f>Input!E129</f>
        <v>Valley Forge Insurance Company (CNA)</v>
      </c>
      <c r="D22" s="390" t="str">
        <f>'T5DC Package - General Liab'!D5</f>
        <v>Valley Forge Insurance Company (CNA)</v>
      </c>
      <c r="F22" s="425"/>
      <c r="G22" s="450"/>
      <c r="H22" s="450"/>
      <c r="I22" s="450"/>
      <c r="J22" s="231"/>
      <c r="K22" s="231"/>
    </row>
    <row r="23" spans="2:11" ht="27.75" customHeight="1" x14ac:dyDescent="0.25">
      <c r="B23" s="382" t="str">
        <f>Input!J390</f>
        <v>Policy Period</v>
      </c>
      <c r="C23" s="391" t="str">
        <f>Input!F391</f>
        <v>7/1/2022 - 7/1/2023</v>
      </c>
      <c r="D23" s="391" t="str">
        <f>Input!J391</f>
        <v>7/1/2023 - 7/1/2024</v>
      </c>
      <c r="F23" s="425"/>
      <c r="G23" s="450"/>
      <c r="H23" s="450"/>
      <c r="I23" s="450"/>
      <c r="J23" s="231"/>
      <c r="K23" s="231"/>
    </row>
    <row r="24" spans="2:11" x14ac:dyDescent="0.25">
      <c r="B24" s="486" t="str">
        <f>Input!B392</f>
        <v>Employee Benefits Liability</v>
      </c>
      <c r="C24" s="560"/>
      <c r="D24" s="560"/>
      <c r="F24" s="425"/>
      <c r="G24" s="450"/>
      <c r="H24" s="450"/>
      <c r="I24" s="450"/>
      <c r="J24" s="231"/>
      <c r="K24" s="231"/>
    </row>
    <row r="25" spans="2:11" x14ac:dyDescent="0.25">
      <c r="B25" s="383" t="str">
        <f>Input!G390</f>
        <v>Policy Number</v>
      </c>
      <c r="C25" s="424">
        <f>Input!C130</f>
        <v>6080911471</v>
      </c>
      <c r="D25" s="424">
        <f>Input!G130</f>
        <v>6080911471</v>
      </c>
      <c r="F25" s="425"/>
      <c r="G25" s="450"/>
      <c r="H25" s="450"/>
      <c r="I25" s="450"/>
      <c r="J25" s="231"/>
      <c r="K25" s="231"/>
    </row>
    <row r="26" spans="2:11" x14ac:dyDescent="0.25">
      <c r="B26" s="383" t="str">
        <f>Input!H390</f>
        <v>Limits of Liability</v>
      </c>
      <c r="C26" s="476">
        <f>Input!D130</f>
        <v>1000000</v>
      </c>
      <c r="D26" s="425">
        <f>Input!H130</f>
        <v>1000000</v>
      </c>
      <c r="F26" s="425"/>
      <c r="G26" s="450"/>
      <c r="H26" s="450"/>
      <c r="I26" s="450"/>
      <c r="J26" s="231"/>
      <c r="K26" s="231"/>
    </row>
    <row r="27" spans="2:11" ht="38.25" x14ac:dyDescent="0.25">
      <c r="B27" s="383" t="str">
        <f>Input!I390</f>
        <v>Insurer</v>
      </c>
      <c r="C27" s="424" t="str">
        <f>Input!E131</f>
        <v>The Continental Insurance Company (CNA)</v>
      </c>
      <c r="D27" s="390" t="str">
        <f>D22</f>
        <v>Valley Forge Insurance Company (CNA)</v>
      </c>
      <c r="F27" s="425"/>
      <c r="G27" s="450"/>
      <c r="H27" s="450"/>
      <c r="I27" s="450"/>
      <c r="J27" s="231"/>
      <c r="K27" s="231"/>
    </row>
    <row r="28" spans="2:11" ht="15" customHeight="1" x14ac:dyDescent="0.25">
      <c r="B28" s="384" t="str">
        <f>Input!J390</f>
        <v>Policy Period</v>
      </c>
      <c r="C28" s="391" t="str">
        <f>Input!F392</f>
        <v>7/1/2022 - 7/1/2023</v>
      </c>
      <c r="D28" s="391" t="str">
        <f>Input!J392</f>
        <v>7/1/2023 - 7/1/2024</v>
      </c>
      <c r="F28" s="425"/>
      <c r="G28" s="450"/>
      <c r="H28" s="450"/>
      <c r="I28" s="450"/>
      <c r="J28" s="231"/>
      <c r="K28" s="231"/>
    </row>
    <row r="29" spans="2:11" x14ac:dyDescent="0.25">
      <c r="B29" s="486" t="str">
        <f>Input!B131</f>
        <v>Employer's Liability - AOS</v>
      </c>
      <c r="C29" s="560"/>
      <c r="D29" s="560"/>
      <c r="F29" s="425"/>
      <c r="G29" s="450"/>
      <c r="H29" s="450"/>
      <c r="I29" s="450"/>
      <c r="J29" s="231"/>
      <c r="K29" s="231"/>
    </row>
    <row r="30" spans="2:11" x14ac:dyDescent="0.25">
      <c r="B30" s="383" t="str">
        <f>Input!G390</f>
        <v>Policy Number</v>
      </c>
      <c r="C30" s="424">
        <f>Input!C131</f>
        <v>6080910403</v>
      </c>
      <c r="D30" s="424">
        <f>Input!G393</f>
        <v>6080910403</v>
      </c>
      <c r="F30" s="425"/>
      <c r="G30" s="450"/>
      <c r="H30" s="450"/>
      <c r="I30" s="450"/>
      <c r="J30" s="231"/>
      <c r="K30" s="231"/>
    </row>
    <row r="31" spans="2:11" x14ac:dyDescent="0.25">
      <c r="B31" s="383" t="str">
        <f>Input!H390</f>
        <v>Limits of Liability</v>
      </c>
      <c r="C31" s="476">
        <f>Input!D131</f>
        <v>1000000</v>
      </c>
      <c r="D31" s="425">
        <f>Input!H393</f>
        <v>1000000</v>
      </c>
      <c r="F31" s="425"/>
      <c r="G31" s="450"/>
      <c r="H31" s="450"/>
      <c r="I31" s="450"/>
      <c r="J31" s="231"/>
      <c r="K31" s="231"/>
    </row>
    <row r="32" spans="2:11" ht="45" customHeight="1" x14ac:dyDescent="0.25">
      <c r="B32" s="383" t="str">
        <f>Input!I390</f>
        <v>Insurer</v>
      </c>
      <c r="C32" s="424" t="str">
        <f>Input!E393</f>
        <v>The Continental Insurance Company (CNA)</v>
      </c>
      <c r="D32" s="390" t="str">
        <f>Input!I393</f>
        <v>American Casualty Company Of Reading, PA</v>
      </c>
      <c r="F32" s="425"/>
      <c r="G32" s="450"/>
      <c r="H32" s="450"/>
      <c r="I32" s="450"/>
      <c r="J32" s="231"/>
      <c r="K32" s="231"/>
    </row>
    <row r="33" spans="2:11" ht="15" customHeight="1" x14ac:dyDescent="0.25">
      <c r="B33" s="384" t="str">
        <f>Input!J390</f>
        <v>Policy Period</v>
      </c>
      <c r="C33" s="391" t="str">
        <f>Input!F393</f>
        <v>7/1/2022 - 7/1/2023</v>
      </c>
      <c r="D33" s="391" t="str">
        <f>Input!J393</f>
        <v>7/1/2023 - 7/1/2024</v>
      </c>
      <c r="F33" s="425"/>
      <c r="G33" s="450"/>
      <c r="H33" s="450"/>
      <c r="I33" s="450"/>
      <c r="J33" s="231"/>
      <c r="K33" s="231"/>
    </row>
    <row r="34" spans="2:11" x14ac:dyDescent="0.25">
      <c r="B34" s="486" t="str">
        <f>Input!B138</f>
        <v>Employer's Liability - CA</v>
      </c>
      <c r="C34" s="560"/>
      <c r="D34" s="560"/>
      <c r="F34" s="425"/>
      <c r="G34" s="450"/>
      <c r="H34" s="450"/>
      <c r="I34" s="450"/>
      <c r="J34" s="231"/>
      <c r="K34" s="231"/>
    </row>
    <row r="35" spans="2:11" x14ac:dyDescent="0.25">
      <c r="B35" s="383" t="str">
        <f>Input!G390</f>
        <v>Policy Number</v>
      </c>
      <c r="C35" s="424">
        <f>Input!C138</f>
        <v>6080910868</v>
      </c>
      <c r="D35" s="424">
        <f>Input!G138</f>
        <v>6080910868</v>
      </c>
      <c r="F35" s="425"/>
      <c r="G35" s="450"/>
      <c r="H35" s="450"/>
      <c r="I35" s="450"/>
      <c r="J35" s="231"/>
      <c r="K35" s="231"/>
    </row>
    <row r="36" spans="2:11" x14ac:dyDescent="0.25">
      <c r="B36" s="383" t="str">
        <f>Input!H390</f>
        <v>Limits of Liability</v>
      </c>
      <c r="C36" s="476">
        <f>Input!D138</f>
        <v>1000000</v>
      </c>
      <c r="D36" s="425">
        <f>Input!H138</f>
        <v>1000000</v>
      </c>
      <c r="F36" s="425"/>
      <c r="G36" s="450"/>
      <c r="H36" s="450"/>
      <c r="I36" s="450"/>
      <c r="J36" s="231"/>
      <c r="K36" s="231"/>
    </row>
    <row r="37" spans="2:11" ht="45" customHeight="1" x14ac:dyDescent="0.25">
      <c r="B37" s="383" t="str">
        <f>Input!I390</f>
        <v>Insurer</v>
      </c>
      <c r="C37" s="424" t="str">
        <f>Input!E138</f>
        <v>The Continental Insurance Company (CNA)</v>
      </c>
      <c r="D37" s="390" t="str">
        <f>Input!I138</f>
        <v>The Continental Insurance Company (CNA)</v>
      </c>
      <c r="F37" s="425"/>
      <c r="G37" s="450"/>
      <c r="H37" s="450"/>
      <c r="I37" s="450"/>
      <c r="J37" s="231"/>
      <c r="K37" s="231"/>
    </row>
    <row r="38" spans="2:11" ht="15" customHeight="1" x14ac:dyDescent="0.25">
      <c r="B38" s="384" t="str">
        <f>Input!J390</f>
        <v>Policy Period</v>
      </c>
      <c r="C38" s="812" t="str">
        <f>C33</f>
        <v>7/1/2022 - 7/1/2023</v>
      </c>
      <c r="D38" s="812" t="str">
        <f>Input!J138</f>
        <v>7/1/2023 - 7/1/2024</v>
      </c>
      <c r="F38" s="425"/>
      <c r="G38" s="450"/>
      <c r="H38" s="450"/>
      <c r="I38" s="450"/>
      <c r="J38" s="231"/>
      <c r="K38" s="231"/>
    </row>
    <row r="39" spans="2:11" x14ac:dyDescent="0.25">
      <c r="B39" s="486" t="str">
        <f>Input!B394</f>
        <v>Stop Gap</v>
      </c>
      <c r="C39" s="560"/>
      <c r="D39" s="560"/>
      <c r="F39" s="425"/>
      <c r="G39" s="450"/>
      <c r="H39" s="450"/>
      <c r="I39" s="450"/>
      <c r="J39" s="231"/>
      <c r="K39" s="231"/>
    </row>
    <row r="40" spans="2:11" x14ac:dyDescent="0.25">
      <c r="B40" s="383" t="str">
        <f>Input!C390</f>
        <v>Policy Number</v>
      </c>
      <c r="C40" s="424">
        <f>Input!C132</f>
        <v>6080911471</v>
      </c>
      <c r="D40" s="424">
        <f>Input!G132</f>
        <v>6080911471</v>
      </c>
      <c r="F40" s="425"/>
      <c r="G40" s="450"/>
      <c r="H40" s="450"/>
      <c r="I40" s="450"/>
      <c r="J40" s="231"/>
      <c r="K40" s="231"/>
    </row>
    <row r="41" spans="2:11" x14ac:dyDescent="0.25">
      <c r="B41" s="383" t="str">
        <f>Input!D390</f>
        <v>Limits of Liability</v>
      </c>
      <c r="C41" s="476">
        <f>Input!D132</f>
        <v>1000000</v>
      </c>
      <c r="D41" s="425">
        <f>Input!H132</f>
        <v>1000000</v>
      </c>
      <c r="F41" s="425"/>
      <c r="G41" s="450"/>
      <c r="H41" s="450"/>
      <c r="I41" s="450"/>
      <c r="J41" s="231"/>
      <c r="K41" s="231"/>
    </row>
    <row r="42" spans="2:11" ht="45" customHeight="1" x14ac:dyDescent="0.25">
      <c r="B42" s="383" t="str">
        <f>Input!E390</f>
        <v>Insurer</v>
      </c>
      <c r="C42" s="424" t="str">
        <f>Input!E132</f>
        <v>Valley Forge Insurance Company (CNA)</v>
      </c>
      <c r="D42" s="390" t="str">
        <f>D22</f>
        <v>Valley Forge Insurance Company (CNA)</v>
      </c>
      <c r="F42" s="425"/>
      <c r="G42" s="450"/>
      <c r="H42" s="450"/>
      <c r="I42" s="450"/>
      <c r="J42" s="231"/>
      <c r="K42" s="231"/>
    </row>
    <row r="43" spans="2:11" ht="15" customHeight="1" x14ac:dyDescent="0.25">
      <c r="B43" s="384" t="str">
        <f>Input!F390</f>
        <v>Policy Period</v>
      </c>
      <c r="C43" s="812" t="str">
        <f>Input!F132</f>
        <v>7/1/2022 - 7/1/2023</v>
      </c>
      <c r="D43" s="812" t="str">
        <f>Input!J132</f>
        <v>7/1/2023 - 7/1/2024</v>
      </c>
      <c r="F43" s="425"/>
      <c r="G43" s="450"/>
      <c r="H43" s="450"/>
      <c r="I43" s="450"/>
      <c r="J43" s="231"/>
      <c r="K43" s="231"/>
    </row>
    <row r="44" spans="2:11" x14ac:dyDescent="0.25">
      <c r="B44" s="486" t="str">
        <f>Input!B395</f>
        <v>Auto Liability</v>
      </c>
      <c r="C44" s="560"/>
      <c r="D44" s="560"/>
      <c r="F44" s="425"/>
      <c r="G44" s="450"/>
      <c r="H44" s="450"/>
      <c r="I44" s="450"/>
      <c r="J44" s="231"/>
      <c r="K44" s="231"/>
    </row>
    <row r="45" spans="2:11" x14ac:dyDescent="0.25">
      <c r="B45" s="383" t="str">
        <f>Input!G390</f>
        <v>Policy Number</v>
      </c>
      <c r="C45" s="424">
        <f>Input!C133</f>
        <v>6081081573</v>
      </c>
      <c r="D45" s="424">
        <f>Input!G133</f>
        <v>6081081573</v>
      </c>
      <c r="F45" s="425"/>
      <c r="G45" s="450"/>
      <c r="H45" s="450"/>
      <c r="I45" s="450"/>
      <c r="J45" s="231"/>
      <c r="K45" s="231"/>
    </row>
    <row r="46" spans="2:11" x14ac:dyDescent="0.25">
      <c r="B46" s="383" t="str">
        <f>Input!H390</f>
        <v>Limits of Liability</v>
      </c>
      <c r="C46" s="476">
        <f>Input!D133</f>
        <v>1000000</v>
      </c>
      <c r="D46" s="425">
        <f>Input!H133</f>
        <v>1000000</v>
      </c>
      <c r="F46" s="425"/>
      <c r="G46" s="450"/>
      <c r="H46" s="450"/>
      <c r="I46" s="450"/>
      <c r="J46" s="231"/>
      <c r="K46" s="231"/>
    </row>
    <row r="47" spans="2:11" ht="45" customHeight="1" x14ac:dyDescent="0.25">
      <c r="B47" s="383" t="str">
        <f>Input!I390</f>
        <v>Insurer</v>
      </c>
      <c r="C47" s="424" t="str">
        <f>Input!E133</f>
        <v>Valley Forge Insurance Company (CNA)</v>
      </c>
      <c r="D47" s="390" t="str">
        <f>Input!I133</f>
        <v>Valley Forge Insurance Company (CNA)</v>
      </c>
      <c r="F47" s="425"/>
      <c r="G47" s="450"/>
      <c r="H47" s="450"/>
      <c r="I47" s="450"/>
      <c r="J47" s="231"/>
      <c r="K47" s="231"/>
    </row>
    <row r="48" spans="2:11" ht="15" customHeight="1" x14ac:dyDescent="0.25">
      <c r="B48" s="384" t="str">
        <f>Input!J390</f>
        <v>Policy Period</v>
      </c>
      <c r="C48" s="391" t="str">
        <f>Input!F395</f>
        <v>7/1/2022 - 7/1/2023</v>
      </c>
      <c r="D48" s="391" t="str">
        <f>Input!J395</f>
        <v>7/1/2023 - 7/1/2024</v>
      </c>
      <c r="F48" s="425"/>
      <c r="G48" s="450"/>
      <c r="H48" s="450"/>
      <c r="I48" s="450"/>
      <c r="J48" s="231"/>
      <c r="K48" s="231"/>
    </row>
    <row r="49" spans="2:11" x14ac:dyDescent="0.25">
      <c r="B49" s="486" t="str">
        <f>Input!B396</f>
        <v>Foreign General Liability</v>
      </c>
      <c r="C49" s="560"/>
      <c r="D49" s="560"/>
      <c r="F49" s="425"/>
      <c r="G49" s="450"/>
      <c r="H49" s="450"/>
      <c r="I49" s="450"/>
      <c r="J49" s="231"/>
      <c r="K49" s="231"/>
    </row>
    <row r="50" spans="2:11" x14ac:dyDescent="0.25">
      <c r="B50" s="383" t="str">
        <f>Input!G390</f>
        <v>Policy Number</v>
      </c>
      <c r="C50" s="424" t="str">
        <f>'T5DC Foreign Package'!D7</f>
        <v>TBD</v>
      </c>
      <c r="D50" s="424" t="str">
        <f>C50</f>
        <v>TBD</v>
      </c>
      <c r="F50" s="425"/>
      <c r="G50" s="450"/>
      <c r="H50" s="450"/>
      <c r="I50" s="450"/>
      <c r="J50" s="231"/>
      <c r="K50" s="231"/>
    </row>
    <row r="51" spans="2:11" x14ac:dyDescent="0.25">
      <c r="B51" s="383" t="str">
        <f>Input!H390</f>
        <v>Limits of Liability</v>
      </c>
      <c r="C51" s="476">
        <f>'T5DC Foreign Package'!C11</f>
        <v>1000000</v>
      </c>
      <c r="D51" s="425">
        <f>Input!H134</f>
        <v>1000000</v>
      </c>
      <c r="F51" s="425"/>
      <c r="G51" s="450"/>
      <c r="H51" s="450"/>
      <c r="I51" s="450"/>
      <c r="J51" s="231"/>
      <c r="K51" s="231"/>
    </row>
    <row r="52" spans="2:11" ht="45" customHeight="1" x14ac:dyDescent="0.25">
      <c r="B52" s="383" t="str">
        <f>Input!I390</f>
        <v>Insurer</v>
      </c>
      <c r="C52" s="424" t="str">
        <f>Input!E135</f>
        <v>The Continental Insurance Company (CNA)</v>
      </c>
      <c r="D52" s="390" t="str">
        <f>Input!I134</f>
        <v>The Continental Insurance Company (CNA)</v>
      </c>
      <c r="F52" s="425"/>
      <c r="G52" s="450"/>
      <c r="H52" s="450"/>
      <c r="I52" s="450"/>
      <c r="J52" s="231"/>
      <c r="K52" s="231"/>
    </row>
    <row r="53" spans="2:11" ht="15.75" customHeight="1" x14ac:dyDescent="0.25">
      <c r="B53" s="384" t="str">
        <f>Input!J390</f>
        <v>Policy Period</v>
      </c>
      <c r="C53" s="780" t="s">
        <v>1887</v>
      </c>
      <c r="D53" s="746" t="s">
        <v>1888</v>
      </c>
      <c r="F53" s="425"/>
      <c r="G53" s="450"/>
      <c r="H53" s="450"/>
      <c r="I53" s="450"/>
      <c r="J53" s="231"/>
      <c r="K53" s="231"/>
    </row>
    <row r="54" spans="2:11" x14ac:dyDescent="0.25">
      <c r="B54" s="486" t="str">
        <f>Input!B397</f>
        <v>Foreign Employee Benefits Liability</v>
      </c>
      <c r="C54" s="560"/>
      <c r="D54" s="560"/>
      <c r="F54" s="425"/>
      <c r="G54" s="450"/>
      <c r="H54" s="450"/>
      <c r="I54" s="450"/>
      <c r="J54" s="231"/>
      <c r="K54" s="231"/>
    </row>
    <row r="55" spans="2:11" x14ac:dyDescent="0.25">
      <c r="B55" s="383" t="str">
        <f>Input!G390</f>
        <v>Policy Number</v>
      </c>
      <c r="C55" s="424" t="str">
        <f>C50</f>
        <v>TBD</v>
      </c>
      <c r="D55" s="424" t="str">
        <f>C55</f>
        <v>TBD</v>
      </c>
      <c r="F55" s="425"/>
      <c r="G55" s="450"/>
      <c r="H55" s="450"/>
      <c r="I55" s="450"/>
      <c r="J55" s="231"/>
      <c r="K55" s="231"/>
    </row>
    <row r="56" spans="2:11" x14ac:dyDescent="0.25">
      <c r="B56" s="383" t="str">
        <f>Input!H390</f>
        <v>Limits of Liability</v>
      </c>
      <c r="C56" s="476">
        <f>C51</f>
        <v>1000000</v>
      </c>
      <c r="D56" s="425">
        <f>Input!H135</f>
        <v>1000000</v>
      </c>
      <c r="F56" s="425"/>
      <c r="G56" s="450"/>
      <c r="H56" s="450"/>
      <c r="I56" s="450"/>
      <c r="J56" s="231"/>
      <c r="K56" s="231"/>
    </row>
    <row r="57" spans="2:11" ht="45" customHeight="1" x14ac:dyDescent="0.25">
      <c r="B57" s="383" t="str">
        <f>Input!I390</f>
        <v>Insurer</v>
      </c>
      <c r="C57" s="424" t="str">
        <f>Input!E135</f>
        <v>The Continental Insurance Company (CNA)</v>
      </c>
      <c r="D57" s="390" t="str">
        <f>Input!I135</f>
        <v>The Continental Insurance Company (CNA)</v>
      </c>
      <c r="F57" s="425"/>
      <c r="G57" s="450"/>
      <c r="H57" s="450"/>
      <c r="I57" s="450"/>
      <c r="J57" s="231"/>
      <c r="K57" s="231"/>
    </row>
    <row r="58" spans="2:11" ht="15.75" customHeight="1" x14ac:dyDescent="0.25">
      <c r="B58" s="384" t="str">
        <f>Input!J390</f>
        <v>Policy Period</v>
      </c>
      <c r="C58" s="812" t="str">
        <f>C53</f>
        <v>10/16/2021 - 1/1/2022</v>
      </c>
      <c r="D58" s="391" t="str">
        <f>D53</f>
        <v>1/1/2022 - 1/1/2023</v>
      </c>
      <c r="F58" s="425"/>
      <c r="G58" s="450"/>
      <c r="H58" s="450"/>
      <c r="I58" s="450"/>
      <c r="J58" s="231"/>
      <c r="K58" s="231"/>
    </row>
    <row r="59" spans="2:11" x14ac:dyDescent="0.25">
      <c r="B59" s="486" t="str">
        <f>Input!B398</f>
        <v>Foreign Employer's Liability</v>
      </c>
      <c r="C59" s="560"/>
      <c r="D59" s="560"/>
      <c r="F59" s="425"/>
      <c r="G59" s="450"/>
      <c r="H59" s="450"/>
      <c r="I59" s="450"/>
      <c r="J59" s="231"/>
      <c r="K59" s="231"/>
    </row>
    <row r="60" spans="2:11" x14ac:dyDescent="0.25">
      <c r="B60" s="383" t="str">
        <f>Input!G390</f>
        <v>Policy Number</v>
      </c>
      <c r="C60" s="424" t="str">
        <f>C55</f>
        <v>TBD</v>
      </c>
      <c r="D60" s="424" t="str">
        <f>C60</f>
        <v>TBD</v>
      </c>
      <c r="F60" s="425"/>
      <c r="G60" s="450"/>
      <c r="H60" s="450"/>
      <c r="I60" s="450"/>
      <c r="J60" s="231"/>
      <c r="K60" s="231"/>
    </row>
    <row r="61" spans="2:11" x14ac:dyDescent="0.25">
      <c r="B61" s="383" t="str">
        <f>Input!H390</f>
        <v>Limits of Liability</v>
      </c>
      <c r="C61" s="476">
        <f>C56</f>
        <v>1000000</v>
      </c>
      <c r="D61" s="425">
        <f>Input!H136</f>
        <v>1000000</v>
      </c>
      <c r="E61" s="426"/>
      <c r="F61" s="425"/>
      <c r="G61" s="450"/>
      <c r="H61" s="450"/>
      <c r="I61" s="450"/>
      <c r="J61" s="231"/>
      <c r="K61" s="231"/>
    </row>
    <row r="62" spans="2:11" ht="45" customHeight="1" x14ac:dyDescent="0.25">
      <c r="B62" s="383" t="str">
        <f>Input!I390</f>
        <v>Insurer</v>
      </c>
      <c r="C62" s="424" t="str">
        <f>Input!E136</f>
        <v>The Continental Insurance Company (CNA)</v>
      </c>
      <c r="D62" s="390" t="str">
        <f>Input!I136</f>
        <v>The Continental Insurance Company (CNA)</v>
      </c>
      <c r="F62" s="390"/>
      <c r="G62" s="450"/>
      <c r="H62" s="450"/>
      <c r="I62" s="450"/>
      <c r="J62" s="231"/>
      <c r="K62" s="231"/>
    </row>
    <row r="63" spans="2:11" ht="15.75" customHeight="1" x14ac:dyDescent="0.25">
      <c r="B63" s="384" t="str">
        <f>Input!J390</f>
        <v>Policy Period</v>
      </c>
      <c r="C63" s="812" t="str">
        <f>C58</f>
        <v>10/16/2021 - 1/1/2022</v>
      </c>
      <c r="D63" s="812" t="str">
        <f>D58</f>
        <v>1/1/2022 - 1/1/2023</v>
      </c>
      <c r="F63" s="390"/>
      <c r="G63" s="450"/>
      <c r="H63" s="450"/>
      <c r="I63" s="450"/>
      <c r="J63" s="231"/>
      <c r="K63" s="231"/>
    </row>
    <row r="64" spans="2:11" x14ac:dyDescent="0.25">
      <c r="B64" s="486" t="str">
        <f>Input!B399</f>
        <v>Foreign Auto Liability</v>
      </c>
      <c r="C64" s="560"/>
      <c r="D64" s="560"/>
      <c r="F64" s="390"/>
      <c r="G64" s="450"/>
      <c r="H64" s="450"/>
      <c r="I64" s="450"/>
      <c r="J64" s="231"/>
      <c r="K64" s="231"/>
    </row>
    <row r="65" spans="2:11" x14ac:dyDescent="0.25">
      <c r="B65" s="383" t="str">
        <f>Input!G390</f>
        <v>Policy Number</v>
      </c>
      <c r="C65" s="424" t="str">
        <f>C60</f>
        <v>TBD</v>
      </c>
      <c r="D65" s="424" t="str">
        <f>C65</f>
        <v>TBD</v>
      </c>
      <c r="F65" s="390"/>
      <c r="G65" s="450"/>
      <c r="H65" s="450"/>
      <c r="I65" s="450"/>
      <c r="J65" s="231"/>
      <c r="K65" s="231"/>
    </row>
    <row r="66" spans="2:11" x14ac:dyDescent="0.25">
      <c r="B66" s="383" t="str">
        <f>Input!H390</f>
        <v>Limits of Liability</v>
      </c>
      <c r="C66" s="476">
        <f>C61</f>
        <v>1000000</v>
      </c>
      <c r="D66" s="425">
        <f>Input!H137</f>
        <v>1000000</v>
      </c>
      <c r="F66" s="390"/>
      <c r="G66" s="450"/>
      <c r="H66" s="450"/>
      <c r="I66" s="450"/>
      <c r="J66" s="231"/>
      <c r="K66" s="231"/>
    </row>
    <row r="67" spans="2:11" ht="45" customHeight="1" x14ac:dyDescent="0.25">
      <c r="B67" s="383" t="str">
        <f>Input!I390</f>
        <v>Insurer</v>
      </c>
      <c r="C67" s="424" t="str">
        <f>Input!E137</f>
        <v>The Continental Insurance Company (CNA)</v>
      </c>
      <c r="D67" s="390" t="str">
        <f>Input!I137</f>
        <v>The Continental Insurance Company (CNA)</v>
      </c>
      <c r="F67" s="390"/>
      <c r="G67" s="450"/>
      <c r="H67" s="450"/>
      <c r="I67" s="450"/>
      <c r="J67" s="231"/>
      <c r="K67" s="231"/>
    </row>
    <row r="68" spans="2:11" ht="15" customHeight="1" x14ac:dyDescent="0.25">
      <c r="B68" s="294" t="str">
        <f>Input!J390</f>
        <v>Policy Period</v>
      </c>
      <c r="C68" s="612" t="str">
        <f>C63</f>
        <v>10/16/2021 - 1/1/2022</v>
      </c>
      <c r="D68" s="612" t="str">
        <f>D63</f>
        <v>1/1/2022 - 1/1/2023</v>
      </c>
      <c r="F68" s="390"/>
      <c r="G68" s="450"/>
      <c r="H68" s="450"/>
      <c r="I68" s="450"/>
      <c r="J68" s="231"/>
      <c r="K68" s="231"/>
    </row>
    <row r="69" spans="2:11" ht="7.5" customHeight="1" x14ac:dyDescent="0.25">
      <c r="B69" s="310"/>
      <c r="C69" s="228"/>
      <c r="D69" s="228"/>
      <c r="F69" s="275"/>
      <c r="J69" s="381"/>
    </row>
    <row r="70" spans="2:11" x14ac:dyDescent="0.25">
      <c r="B70" s="1274" t="s">
        <v>144</v>
      </c>
      <c r="C70" s="1274"/>
      <c r="D70" s="1274"/>
      <c r="F70" s="274"/>
      <c r="J70" s="381"/>
    </row>
    <row r="71" spans="2:11" x14ac:dyDescent="0.25">
      <c r="B71" s="1275" t="s">
        <v>1954</v>
      </c>
      <c r="C71" s="1275"/>
      <c r="D71" s="1275"/>
      <c r="E71" s="1044"/>
      <c r="F71" s="1045"/>
      <c r="J71" s="381"/>
    </row>
    <row r="72" spans="2:11" ht="7.5" customHeight="1" x14ac:dyDescent="0.25">
      <c r="B72" s="380"/>
      <c r="C72" s="238"/>
      <c r="D72" s="238"/>
      <c r="F72" s="275"/>
      <c r="J72" s="381"/>
    </row>
    <row r="73" spans="2:11" x14ac:dyDescent="0.25">
      <c r="B73" s="1274" t="s">
        <v>145</v>
      </c>
      <c r="C73" s="1274"/>
      <c r="D73" s="1274"/>
      <c r="F73" s="275"/>
      <c r="J73" s="381"/>
    </row>
    <row r="74" spans="2:11" x14ac:dyDescent="0.25">
      <c r="B74" s="1275" t="s">
        <v>1952</v>
      </c>
      <c r="C74" s="1275"/>
      <c r="D74" s="1275"/>
      <c r="E74" s="1275"/>
      <c r="F74" s="1045"/>
      <c r="J74" s="381"/>
    </row>
    <row r="75" spans="2:11" ht="7.5" customHeight="1" x14ac:dyDescent="0.25">
      <c r="B75" s="310"/>
      <c r="C75" s="228"/>
      <c r="D75" s="228"/>
      <c r="F75" s="275"/>
      <c r="J75" s="381"/>
    </row>
    <row r="76" spans="2:11" x14ac:dyDescent="0.25">
      <c r="B76" s="528" t="s">
        <v>72</v>
      </c>
      <c r="C76" s="524" t="s">
        <v>62</v>
      </c>
      <c r="D76" s="525" t="s">
        <v>63</v>
      </c>
      <c r="F76" s="526" t="s">
        <v>146</v>
      </c>
      <c r="J76" s="527" t="s">
        <v>1002</v>
      </c>
      <c r="K76" s="527" t="s">
        <v>363</v>
      </c>
    </row>
    <row r="77" spans="2:11" x14ac:dyDescent="0.25">
      <c r="B77" s="400" t="s">
        <v>73</v>
      </c>
      <c r="C77" s="711" t="s">
        <v>1033</v>
      </c>
      <c r="D77" s="390" t="s">
        <v>1033</v>
      </c>
      <c r="F77" s="413"/>
      <c r="G77" s="228" t="str">
        <f t="shared" ref="G77:G141" si="0">IF(OR(TRIM(D77)&lt;&gt;"",TRIM(F77)&lt;&gt;""),IF(AND(TRIM(D77)&lt;&gt;"",TRIM(F77)&lt;&gt;""),IF(OR(TRIM(C77)&lt;&gt;TRIM(D77),TRIM(C77)&lt;&gt;TRIM(F77)),"_",""),IF(TRIM(C77)&lt;&gt;TRIM(D77), "_", "")),"")</f>
        <v/>
      </c>
      <c r="H77" s="211"/>
      <c r="I77" s="211"/>
      <c r="J77" s="231"/>
      <c r="K77" s="231"/>
    </row>
    <row r="78" spans="2:11" ht="15" customHeight="1" x14ac:dyDescent="0.25">
      <c r="B78" s="400" t="s">
        <v>74</v>
      </c>
      <c r="C78" s="711" t="s">
        <v>1332</v>
      </c>
      <c r="D78" s="390" t="s">
        <v>1332</v>
      </c>
      <c r="F78" s="413"/>
      <c r="G78" s="228" t="str">
        <f t="shared" si="0"/>
        <v/>
      </c>
      <c r="H78" s="211"/>
      <c r="I78" s="211"/>
      <c r="J78" s="231"/>
      <c r="K78" s="231"/>
    </row>
    <row r="79" spans="2:11" x14ac:dyDescent="0.25">
      <c r="B79" s="400" t="s">
        <v>151</v>
      </c>
      <c r="C79" s="711" t="s">
        <v>1035</v>
      </c>
      <c r="D79" s="390" t="s">
        <v>1035</v>
      </c>
      <c r="F79" s="436"/>
      <c r="G79" s="228" t="str">
        <f t="shared" si="0"/>
        <v/>
      </c>
      <c r="H79" s="211"/>
      <c r="I79" s="211"/>
      <c r="J79" s="232"/>
      <c r="K79" s="232"/>
    </row>
    <row r="80" spans="2:11" x14ac:dyDescent="0.25">
      <c r="B80" s="400" t="s">
        <v>152</v>
      </c>
      <c r="C80" s="711" t="s">
        <v>284</v>
      </c>
      <c r="D80" s="390" t="s">
        <v>284</v>
      </c>
      <c r="F80" s="440"/>
      <c r="G80" s="228" t="str">
        <f t="shared" si="0"/>
        <v/>
      </c>
      <c r="H80" s="211"/>
      <c r="I80" s="211"/>
      <c r="J80" s="447"/>
      <c r="K80" s="447"/>
    </row>
    <row r="81" spans="2:17" x14ac:dyDescent="0.25">
      <c r="B81" s="400" t="s">
        <v>77</v>
      </c>
      <c r="C81" s="711" t="s">
        <v>1036</v>
      </c>
      <c r="D81" s="390" t="s">
        <v>1036</v>
      </c>
      <c r="F81" s="443"/>
      <c r="G81" s="228" t="str">
        <f t="shared" si="0"/>
        <v/>
      </c>
      <c r="H81" s="211"/>
      <c r="I81" s="211"/>
      <c r="J81" s="445"/>
      <c r="K81" s="445"/>
    </row>
    <row r="82" spans="2:17" x14ac:dyDescent="0.25">
      <c r="B82" s="400" t="s">
        <v>390</v>
      </c>
      <c r="C82" s="459" t="s">
        <v>157</v>
      </c>
      <c r="D82" s="692" t="s">
        <v>157</v>
      </c>
      <c r="F82" s="436"/>
      <c r="G82" s="228" t="str">
        <f t="shared" si="0"/>
        <v/>
      </c>
      <c r="H82" s="16"/>
      <c r="I82" s="16"/>
      <c r="J82" s="232"/>
      <c r="K82" s="232"/>
    </row>
    <row r="83" spans="2:17" x14ac:dyDescent="0.25">
      <c r="B83" s="400" t="s">
        <v>754</v>
      </c>
      <c r="C83" s="459" t="s">
        <v>157</v>
      </c>
      <c r="D83" s="692" t="s">
        <v>157</v>
      </c>
      <c r="F83" s="440"/>
      <c r="G83" s="228" t="str">
        <f t="shared" si="0"/>
        <v/>
      </c>
      <c r="H83" s="211"/>
      <c r="I83" s="211"/>
      <c r="J83" s="447"/>
      <c r="K83" s="447"/>
    </row>
    <row r="84" spans="2:17" x14ac:dyDescent="0.25">
      <c r="B84" s="400" t="s">
        <v>168</v>
      </c>
      <c r="C84" s="459" t="s">
        <v>157</v>
      </c>
      <c r="D84" s="692" t="s">
        <v>157</v>
      </c>
      <c r="F84" s="443"/>
      <c r="G84" s="228" t="str">
        <f t="shared" si="0"/>
        <v/>
      </c>
      <c r="H84" s="211"/>
      <c r="I84" s="211"/>
      <c r="J84" s="445"/>
      <c r="K84" s="445"/>
    </row>
    <row r="85" spans="2:17" x14ac:dyDescent="0.25">
      <c r="B85" s="400" t="s">
        <v>169</v>
      </c>
      <c r="C85" s="456" t="s">
        <v>391</v>
      </c>
      <c r="D85" s="797" t="s">
        <v>391</v>
      </c>
      <c r="F85" s="413"/>
      <c r="G85" s="228" t="str">
        <f t="shared" si="0"/>
        <v/>
      </c>
      <c r="H85" s="211"/>
      <c r="I85" s="211"/>
      <c r="J85" s="231"/>
      <c r="K85" s="231"/>
    </row>
    <row r="86" spans="2:17" x14ac:dyDescent="0.25">
      <c r="B86" s="400" t="s">
        <v>170</v>
      </c>
      <c r="C86" s="459" t="s">
        <v>157</v>
      </c>
      <c r="D86" s="692" t="s">
        <v>157</v>
      </c>
      <c r="F86" s="413"/>
      <c r="G86" s="228" t="str">
        <f t="shared" si="0"/>
        <v/>
      </c>
      <c r="H86" s="211"/>
      <c r="I86" s="211"/>
      <c r="J86" s="231"/>
      <c r="K86" s="231"/>
    </row>
    <row r="87" spans="2:17" ht="15" customHeight="1" x14ac:dyDescent="0.25">
      <c r="B87" s="368" t="s">
        <v>707</v>
      </c>
      <c r="C87" s="459" t="s">
        <v>157</v>
      </c>
      <c r="D87" s="692" t="s">
        <v>157</v>
      </c>
      <c r="F87" s="413"/>
      <c r="G87" s="228" t="str">
        <f t="shared" si="0"/>
        <v/>
      </c>
      <c r="H87" s="211"/>
      <c r="I87" s="211"/>
      <c r="J87" s="231"/>
      <c r="K87" s="231"/>
      <c r="M87" s="1150" t="s">
        <v>987</v>
      </c>
      <c r="N87" s="1150"/>
      <c r="O87" s="1150"/>
      <c r="P87" s="1150"/>
      <c r="Q87" s="1150"/>
    </row>
    <row r="88" spans="2:17" ht="15" hidden="1" customHeight="1" x14ac:dyDescent="0.25">
      <c r="B88" s="441" t="s">
        <v>704</v>
      </c>
      <c r="C88" s="438"/>
      <c r="D88" s="439"/>
      <c r="F88" s="413"/>
      <c r="G88" s="228" t="str">
        <f t="shared" si="0"/>
        <v/>
      </c>
      <c r="H88" s="211"/>
      <c r="I88" s="211"/>
      <c r="J88" s="231"/>
      <c r="K88" s="231"/>
      <c r="L88" s="690"/>
      <c r="M88" s="1150"/>
      <c r="N88" s="1150"/>
      <c r="O88" s="1150"/>
      <c r="P88" s="1150"/>
      <c r="Q88" s="1150"/>
    </row>
    <row r="89" spans="2:17" ht="15" hidden="1" customHeight="1" x14ac:dyDescent="0.25">
      <c r="B89" s="442" t="s">
        <v>705</v>
      </c>
      <c r="C89" s="396"/>
      <c r="D89" s="424"/>
      <c r="F89" s="413"/>
      <c r="G89" s="228" t="str">
        <f t="shared" si="0"/>
        <v/>
      </c>
      <c r="H89" s="211"/>
      <c r="I89" s="211"/>
      <c r="J89" s="231"/>
      <c r="K89" s="231"/>
      <c r="L89" s="690"/>
      <c r="M89" s="1150"/>
      <c r="N89" s="1150"/>
      <c r="O89" s="1150"/>
      <c r="P89" s="1150"/>
      <c r="Q89" s="1150"/>
    </row>
    <row r="90" spans="2:17" ht="15" customHeight="1" x14ac:dyDescent="0.25">
      <c r="B90" s="400" t="s">
        <v>708</v>
      </c>
      <c r="C90" s="459" t="s">
        <v>157</v>
      </c>
      <c r="D90" s="692" t="s">
        <v>157</v>
      </c>
      <c r="F90" s="413"/>
      <c r="G90" s="228" t="str">
        <f t="shared" si="0"/>
        <v/>
      </c>
      <c r="H90" s="211"/>
      <c r="I90" s="211"/>
      <c r="J90" s="231"/>
      <c r="K90" s="231"/>
      <c r="L90" s="690"/>
      <c r="M90" s="1150"/>
      <c r="N90" s="1150"/>
      <c r="O90" s="1150"/>
      <c r="P90" s="1150"/>
      <c r="Q90" s="1150"/>
    </row>
    <row r="91" spans="2:17" ht="15" customHeight="1" x14ac:dyDescent="0.25">
      <c r="B91" s="400" t="s">
        <v>706</v>
      </c>
      <c r="C91" s="459" t="s">
        <v>157</v>
      </c>
      <c r="D91" s="692" t="s">
        <v>157</v>
      </c>
      <c r="F91" s="413"/>
      <c r="G91" s="228" t="str">
        <f t="shared" si="0"/>
        <v/>
      </c>
      <c r="H91" s="211"/>
      <c r="I91" s="211"/>
      <c r="J91" s="231"/>
      <c r="K91" s="231"/>
      <c r="L91" s="690"/>
      <c r="M91" s="1150"/>
      <c r="N91" s="1150"/>
      <c r="O91" s="1150"/>
      <c r="P91" s="1150"/>
      <c r="Q91" s="1150"/>
    </row>
    <row r="92" spans="2:17" ht="15" customHeight="1" x14ac:dyDescent="0.25">
      <c r="B92" s="400" t="s">
        <v>709</v>
      </c>
      <c r="C92" s="456" t="s">
        <v>391</v>
      </c>
      <c r="D92" s="797" t="s">
        <v>391</v>
      </c>
      <c r="F92" s="413"/>
      <c r="G92" s="228" t="str">
        <f t="shared" si="0"/>
        <v/>
      </c>
      <c r="H92" s="211"/>
      <c r="I92" s="211"/>
      <c r="J92" s="231"/>
      <c r="K92" s="231"/>
      <c r="L92" s="690"/>
      <c r="M92" s="1150"/>
      <c r="N92" s="1150"/>
      <c r="O92" s="1150"/>
      <c r="P92" s="1150"/>
      <c r="Q92" s="1150"/>
    </row>
    <row r="93" spans="2:17" ht="15" customHeight="1" x14ac:dyDescent="0.25">
      <c r="B93" s="400" t="s">
        <v>710</v>
      </c>
      <c r="C93" s="456" t="s">
        <v>391</v>
      </c>
      <c r="D93" s="797" t="s">
        <v>391</v>
      </c>
      <c r="F93" s="413"/>
      <c r="G93" s="228" t="str">
        <f t="shared" si="0"/>
        <v/>
      </c>
      <c r="H93" s="211"/>
      <c r="I93" s="211"/>
      <c r="J93" s="231"/>
      <c r="K93" s="231"/>
      <c r="L93" s="690"/>
      <c r="M93" s="1150"/>
      <c r="N93" s="1150"/>
      <c r="O93" s="1150"/>
      <c r="P93" s="1150"/>
      <c r="Q93" s="1150"/>
    </row>
    <row r="94" spans="2:17" ht="15" customHeight="1" x14ac:dyDescent="0.25">
      <c r="B94" s="446" t="s">
        <v>418</v>
      </c>
      <c r="C94" s="807" t="s">
        <v>391</v>
      </c>
      <c r="D94" s="787" t="s">
        <v>391</v>
      </c>
      <c r="F94" s="413"/>
      <c r="G94" s="228" t="str">
        <f t="shared" si="0"/>
        <v/>
      </c>
      <c r="H94" s="211"/>
      <c r="I94" s="211"/>
      <c r="J94" s="231"/>
      <c r="K94" s="231"/>
      <c r="L94" s="690"/>
      <c r="M94" s="1150"/>
      <c r="N94" s="1150"/>
      <c r="O94" s="1150"/>
      <c r="P94" s="1150"/>
      <c r="Q94" s="1150"/>
    </row>
    <row r="95" spans="2:17" ht="15" customHeight="1" x14ac:dyDescent="0.25">
      <c r="B95" s="400" t="s">
        <v>154</v>
      </c>
      <c r="C95" s="456" t="s">
        <v>391</v>
      </c>
      <c r="D95" s="797" t="s">
        <v>391</v>
      </c>
      <c r="F95" s="413"/>
      <c r="G95" s="228" t="str">
        <f t="shared" si="0"/>
        <v/>
      </c>
      <c r="H95" s="211"/>
      <c r="I95" s="211"/>
      <c r="J95" s="231"/>
      <c r="K95" s="231"/>
      <c r="L95" s="690"/>
      <c r="M95" s="1150"/>
      <c r="N95" s="1150"/>
      <c r="O95" s="1150"/>
      <c r="P95" s="1150"/>
      <c r="Q95" s="1150"/>
    </row>
    <row r="96" spans="2:17" ht="15" customHeight="1" x14ac:dyDescent="0.25">
      <c r="B96" s="400" t="s">
        <v>155</v>
      </c>
      <c r="C96" s="459" t="s">
        <v>157</v>
      </c>
      <c r="D96" s="692" t="s">
        <v>157</v>
      </c>
      <c r="F96" s="413"/>
      <c r="G96" s="228" t="str">
        <f t="shared" si="0"/>
        <v/>
      </c>
      <c r="H96" s="211"/>
      <c r="I96" s="211"/>
      <c r="J96" s="231"/>
      <c r="K96" s="231"/>
      <c r="L96" s="690"/>
      <c r="M96" s="1150"/>
      <c r="N96" s="1150"/>
      <c r="O96" s="1150"/>
      <c r="P96" s="1150"/>
      <c r="Q96" s="1150"/>
    </row>
    <row r="97" spans="2:17" ht="15" customHeight="1" x14ac:dyDescent="0.25">
      <c r="B97" s="368" t="s">
        <v>163</v>
      </c>
      <c r="C97" s="848" t="s">
        <v>157</v>
      </c>
      <c r="D97" s="862" t="s">
        <v>157</v>
      </c>
      <c r="F97" s="413"/>
      <c r="G97" s="228" t="str">
        <f t="shared" si="0"/>
        <v/>
      </c>
      <c r="H97" s="211"/>
      <c r="I97" s="211"/>
      <c r="J97" s="231"/>
      <c r="K97" s="231"/>
      <c r="L97" s="690"/>
      <c r="M97" s="1150"/>
      <c r="N97" s="1150"/>
      <c r="O97" s="1150"/>
      <c r="P97" s="1150"/>
      <c r="Q97" s="1150"/>
    </row>
    <row r="98" spans="2:17" ht="15" hidden="1" customHeight="1" x14ac:dyDescent="0.25">
      <c r="B98" s="876" t="s">
        <v>1103</v>
      </c>
      <c r="C98" s="438"/>
      <c r="D98" s="439"/>
      <c r="F98" s="413"/>
      <c r="G98" s="228" t="str">
        <f t="shared" si="0"/>
        <v/>
      </c>
      <c r="H98" s="211"/>
      <c r="I98" s="211"/>
      <c r="J98" s="231"/>
      <c r="K98" s="231"/>
      <c r="L98" s="690"/>
      <c r="M98" s="1150"/>
      <c r="N98" s="1150"/>
      <c r="O98" s="1150"/>
      <c r="P98" s="1150"/>
      <c r="Q98" s="1150"/>
    </row>
    <row r="99" spans="2:17" ht="15" hidden="1" customHeight="1" x14ac:dyDescent="0.25">
      <c r="B99" s="441" t="s">
        <v>712</v>
      </c>
      <c r="C99" s="438"/>
      <c r="D99" s="439"/>
      <c r="F99" s="413"/>
      <c r="G99" s="228" t="str">
        <f t="shared" si="0"/>
        <v/>
      </c>
      <c r="H99" s="211"/>
      <c r="I99" s="211"/>
      <c r="J99" s="231"/>
      <c r="K99" s="231"/>
      <c r="L99" s="690"/>
      <c r="M99" s="1150"/>
      <c r="N99" s="1150"/>
      <c r="O99" s="1150"/>
      <c r="P99" s="1150"/>
      <c r="Q99" s="1150"/>
    </row>
    <row r="100" spans="2:17" ht="15" hidden="1" customHeight="1" x14ac:dyDescent="0.25">
      <c r="B100" s="441" t="s">
        <v>713</v>
      </c>
      <c r="C100" s="438"/>
      <c r="D100" s="439"/>
      <c r="F100" s="413"/>
      <c r="G100" s="228" t="str">
        <f t="shared" si="0"/>
        <v/>
      </c>
      <c r="H100" s="211"/>
      <c r="I100" s="211"/>
      <c r="J100" s="231"/>
      <c r="K100" s="231"/>
      <c r="L100" s="690"/>
      <c r="M100" s="1150"/>
      <c r="N100" s="1150"/>
      <c r="O100" s="1150"/>
      <c r="P100" s="1150"/>
      <c r="Q100" s="1150"/>
    </row>
    <row r="101" spans="2:17" ht="15" customHeight="1" x14ac:dyDescent="0.25">
      <c r="B101" s="580" t="s">
        <v>715</v>
      </c>
      <c r="C101" s="438"/>
      <c r="D101" s="439"/>
      <c r="F101" s="413"/>
      <c r="G101" s="228" t="str">
        <f t="shared" si="0"/>
        <v/>
      </c>
      <c r="H101" s="211"/>
      <c r="I101" s="211"/>
      <c r="J101" s="231"/>
      <c r="K101" s="231"/>
      <c r="L101" s="690"/>
      <c r="M101" s="1150"/>
      <c r="N101" s="1150"/>
      <c r="O101" s="1150"/>
      <c r="P101" s="1150"/>
      <c r="Q101" s="1150"/>
    </row>
    <row r="102" spans="2:17" ht="15" customHeight="1" x14ac:dyDescent="0.25">
      <c r="B102" s="441" t="s">
        <v>712</v>
      </c>
      <c r="C102" s="806" t="s">
        <v>391</v>
      </c>
      <c r="D102" s="776" t="s">
        <v>391</v>
      </c>
      <c r="F102" s="413"/>
      <c r="G102" s="228" t="str">
        <f t="shared" si="0"/>
        <v/>
      </c>
      <c r="H102" s="211"/>
      <c r="I102" s="211"/>
      <c r="J102" s="231"/>
      <c r="K102" s="231"/>
      <c r="L102" s="690"/>
      <c r="M102" s="1150"/>
      <c r="N102" s="1150"/>
      <c r="O102" s="1150"/>
      <c r="P102" s="1150"/>
      <c r="Q102" s="1150"/>
    </row>
    <row r="103" spans="2:17" ht="15" customHeight="1" x14ac:dyDescent="0.25">
      <c r="B103" s="441" t="s">
        <v>713</v>
      </c>
      <c r="C103" s="807" t="s">
        <v>391</v>
      </c>
      <c r="D103" s="787" t="s">
        <v>391</v>
      </c>
      <c r="F103" s="413"/>
      <c r="G103" s="228" t="str">
        <f t="shared" si="0"/>
        <v/>
      </c>
      <c r="H103" s="211"/>
      <c r="I103" s="211"/>
      <c r="J103" s="231"/>
      <c r="K103" s="231"/>
      <c r="L103" s="690"/>
      <c r="M103" s="1150"/>
      <c r="N103" s="1150"/>
      <c r="O103" s="1150"/>
      <c r="P103" s="1150"/>
      <c r="Q103" s="1150"/>
    </row>
    <row r="104" spans="2:17" ht="15" hidden="1" customHeight="1" x14ac:dyDescent="0.25">
      <c r="B104" s="442" t="s">
        <v>714</v>
      </c>
      <c r="C104" s="396"/>
      <c r="D104" s="424"/>
      <c r="F104" s="413"/>
      <c r="G104" s="228" t="str">
        <f t="shared" si="0"/>
        <v/>
      </c>
      <c r="H104" s="211"/>
      <c r="I104" s="211"/>
      <c r="J104" s="231"/>
      <c r="K104" s="231"/>
      <c r="L104" s="690"/>
      <c r="M104" s="1150"/>
      <c r="N104" s="1150"/>
      <c r="O104" s="1150"/>
      <c r="P104" s="1150"/>
      <c r="Q104" s="1150"/>
    </row>
    <row r="105" spans="2:17" x14ac:dyDescent="0.25">
      <c r="B105" s="400" t="s">
        <v>716</v>
      </c>
      <c r="C105" s="459" t="s">
        <v>157</v>
      </c>
      <c r="D105" s="692" t="s">
        <v>157</v>
      </c>
      <c r="F105" s="413"/>
      <c r="G105" s="228" t="str">
        <f t="shared" si="0"/>
        <v/>
      </c>
      <c r="H105" s="211"/>
      <c r="I105" s="211"/>
      <c r="J105" s="231"/>
      <c r="K105" s="231"/>
      <c r="L105" s="690"/>
      <c r="M105" s="1150"/>
      <c r="N105" s="1150"/>
      <c r="O105" s="1150"/>
      <c r="P105" s="1150"/>
      <c r="Q105" s="1150"/>
    </row>
    <row r="106" spans="2:17" ht="25.5" hidden="1" customHeight="1" x14ac:dyDescent="0.25">
      <c r="B106" s="444" t="s">
        <v>697</v>
      </c>
      <c r="C106" s="396"/>
      <c r="D106" s="424"/>
      <c r="F106" s="413"/>
      <c r="G106" s="228" t="str">
        <f t="shared" si="0"/>
        <v/>
      </c>
      <c r="H106" s="211"/>
      <c r="I106" s="211"/>
      <c r="J106" s="231"/>
      <c r="K106" s="231"/>
      <c r="L106" s="690"/>
      <c r="M106" s="1150"/>
      <c r="N106" s="1150"/>
      <c r="O106" s="1150"/>
      <c r="P106" s="1150"/>
      <c r="Q106" s="1150"/>
    </row>
    <row r="107" spans="2:17" x14ac:dyDescent="0.25">
      <c r="B107" s="211"/>
      <c r="C107" s="228"/>
      <c r="D107" s="228"/>
      <c r="F107" s="413"/>
      <c r="G107" s="228" t="str">
        <f t="shared" si="0"/>
        <v/>
      </c>
      <c r="H107" s="211"/>
      <c r="I107" s="211"/>
      <c r="J107" s="231"/>
      <c r="K107" s="231"/>
      <c r="L107" s="690"/>
      <c r="M107" s="1150"/>
      <c r="N107" s="1150"/>
      <c r="O107" s="1150"/>
      <c r="P107" s="1150"/>
      <c r="Q107" s="1150"/>
    </row>
    <row r="108" spans="2:17" ht="15" customHeight="1" x14ac:dyDescent="0.25">
      <c r="B108" s="528" t="s">
        <v>103</v>
      </c>
      <c r="C108" s="524" t="s">
        <v>62</v>
      </c>
      <c r="D108" s="525" t="s">
        <v>63</v>
      </c>
      <c r="F108" s="413"/>
      <c r="G108" s="228" t="str">
        <f t="shared" si="0"/>
        <v>_</v>
      </c>
      <c r="H108" s="211"/>
      <c r="I108" s="211"/>
      <c r="J108" s="231"/>
      <c r="K108" s="231"/>
      <c r="L108" s="690"/>
      <c r="M108" s="1150"/>
      <c r="N108" s="1150"/>
      <c r="O108" s="1150"/>
      <c r="P108" s="1150"/>
      <c r="Q108" s="1150"/>
    </row>
    <row r="109" spans="2:17" ht="15" customHeight="1" x14ac:dyDescent="0.25">
      <c r="B109" s="691" t="s">
        <v>1690</v>
      </c>
      <c r="C109" s="459" t="s">
        <v>157</v>
      </c>
      <c r="D109" s="692" t="s">
        <v>157</v>
      </c>
      <c r="F109" s="413"/>
      <c r="G109" s="228" t="str">
        <f t="shared" si="0"/>
        <v/>
      </c>
      <c r="H109" s="211"/>
      <c r="I109" s="211"/>
      <c r="J109" s="231"/>
      <c r="K109" s="231"/>
      <c r="L109" s="690"/>
      <c r="M109" s="1150"/>
      <c r="N109" s="1150"/>
      <c r="O109" s="1150"/>
      <c r="P109" s="1150"/>
      <c r="Q109" s="1150"/>
    </row>
    <row r="110" spans="2:17" ht="15" customHeight="1" x14ac:dyDescent="0.25">
      <c r="B110" s="400" t="s">
        <v>676</v>
      </c>
      <c r="C110" s="709" t="s">
        <v>1053</v>
      </c>
      <c r="D110" s="710" t="s">
        <v>1053</v>
      </c>
      <c r="F110" s="413"/>
      <c r="G110" s="228" t="str">
        <f t="shared" si="0"/>
        <v/>
      </c>
      <c r="H110" s="211"/>
      <c r="I110" s="211"/>
      <c r="J110" s="231"/>
      <c r="K110" s="231"/>
      <c r="L110" s="690"/>
      <c r="M110" s="1150"/>
      <c r="N110" s="1150"/>
      <c r="O110" s="1150"/>
      <c r="P110" s="1150"/>
      <c r="Q110" s="1150"/>
    </row>
    <row r="111" spans="2:17" ht="15" customHeight="1" x14ac:dyDescent="0.25">
      <c r="B111" s="400" t="s">
        <v>526</v>
      </c>
      <c r="C111" s="709" t="s">
        <v>1053</v>
      </c>
      <c r="D111" s="710" t="s">
        <v>1053</v>
      </c>
      <c r="F111" s="413"/>
      <c r="G111" s="228" t="str">
        <f t="shared" si="0"/>
        <v/>
      </c>
      <c r="H111" s="211"/>
      <c r="I111" s="211"/>
      <c r="J111" s="231"/>
      <c r="K111" s="231"/>
      <c r="L111" s="690"/>
      <c r="M111" s="1150"/>
      <c r="N111" s="1150"/>
      <c r="O111" s="1150"/>
      <c r="P111" s="1150"/>
      <c r="Q111" s="1150"/>
    </row>
    <row r="112" spans="2:17" ht="15" customHeight="1" x14ac:dyDescent="0.25">
      <c r="B112" s="400" t="s">
        <v>524</v>
      </c>
      <c r="C112" s="709" t="s">
        <v>1053</v>
      </c>
      <c r="D112" s="710" t="s">
        <v>1053</v>
      </c>
      <c r="F112" s="413"/>
      <c r="G112" s="228" t="str">
        <f t="shared" si="0"/>
        <v/>
      </c>
      <c r="H112" s="211"/>
      <c r="I112" s="211"/>
      <c r="J112" s="231"/>
      <c r="K112" s="231"/>
      <c r="L112" s="690"/>
      <c r="M112" s="1150"/>
      <c r="N112" s="1150"/>
      <c r="O112" s="1150"/>
      <c r="P112" s="1150"/>
      <c r="Q112" s="1150"/>
    </row>
    <row r="113" spans="2:17" ht="15" customHeight="1" x14ac:dyDescent="0.25">
      <c r="B113" s="400" t="s">
        <v>529</v>
      </c>
      <c r="C113" s="709" t="s">
        <v>1053</v>
      </c>
      <c r="D113" s="710" t="s">
        <v>1053</v>
      </c>
      <c r="F113" s="413"/>
      <c r="G113" s="228" t="str">
        <f t="shared" si="0"/>
        <v/>
      </c>
      <c r="H113" s="211"/>
      <c r="I113" s="211"/>
      <c r="J113" s="231"/>
      <c r="K113" s="231"/>
      <c r="L113" s="690"/>
      <c r="M113" s="1150"/>
      <c r="N113" s="1150"/>
      <c r="O113" s="1150"/>
      <c r="P113" s="1150"/>
      <c r="Q113" s="1150"/>
    </row>
    <row r="114" spans="2:17" ht="15" customHeight="1" x14ac:dyDescent="0.25">
      <c r="B114" s="400" t="s">
        <v>525</v>
      </c>
      <c r="C114" s="709" t="s">
        <v>1053</v>
      </c>
      <c r="D114" s="710" t="s">
        <v>1053</v>
      </c>
      <c r="F114" s="413"/>
      <c r="G114" s="228" t="str">
        <f t="shared" si="0"/>
        <v/>
      </c>
      <c r="H114" s="211"/>
      <c r="I114" s="211"/>
      <c r="J114" s="231"/>
      <c r="K114" s="231"/>
      <c r="L114" s="690"/>
      <c r="M114" s="1150"/>
      <c r="N114" s="1150"/>
      <c r="O114" s="1150"/>
      <c r="P114" s="1150"/>
      <c r="Q114" s="1150"/>
    </row>
    <row r="115" spans="2:17" ht="15" hidden="1" customHeight="1" x14ac:dyDescent="0.25">
      <c r="B115" s="814" t="s">
        <v>528</v>
      </c>
      <c r="C115" s="810"/>
      <c r="D115" s="785"/>
      <c r="F115" s="413"/>
      <c r="G115" s="228" t="str">
        <f t="shared" si="0"/>
        <v/>
      </c>
      <c r="H115" s="211"/>
      <c r="I115" s="211"/>
      <c r="J115" s="231"/>
      <c r="K115" s="231"/>
      <c r="L115" s="690"/>
      <c r="M115" s="1150"/>
      <c r="N115" s="1150"/>
      <c r="O115" s="1150"/>
      <c r="P115" s="1150"/>
      <c r="Q115" s="1150"/>
    </row>
    <row r="116" spans="2:17" x14ac:dyDescent="0.25">
      <c r="B116" s="400" t="s">
        <v>527</v>
      </c>
      <c r="C116" s="709" t="s">
        <v>1053</v>
      </c>
      <c r="D116" s="710" t="s">
        <v>1053</v>
      </c>
      <c r="F116" s="275"/>
      <c r="G116" s="228" t="str">
        <f t="shared" si="0"/>
        <v/>
      </c>
      <c r="J116" s="381"/>
      <c r="L116" s="690"/>
      <c r="M116" s="1150"/>
      <c r="N116" s="1150"/>
      <c r="O116" s="1150"/>
      <c r="P116" s="1150"/>
      <c r="Q116" s="1150"/>
    </row>
    <row r="117" spans="2:17" x14ac:dyDescent="0.25">
      <c r="B117" s="368" t="s">
        <v>718</v>
      </c>
      <c r="C117" s="811" t="s">
        <v>1053</v>
      </c>
      <c r="D117" s="779" t="s">
        <v>1053</v>
      </c>
      <c r="F117" s="748"/>
      <c r="G117" s="228" t="str">
        <f t="shared" si="0"/>
        <v/>
      </c>
      <c r="J117" s="527" t="s">
        <v>1002</v>
      </c>
      <c r="K117" s="527" t="s">
        <v>363</v>
      </c>
      <c r="M117" s="1150"/>
      <c r="N117" s="1150"/>
      <c r="O117" s="1150"/>
      <c r="P117" s="1150"/>
      <c r="Q117" s="1150"/>
    </row>
    <row r="118" spans="2:17" ht="15" customHeight="1" x14ac:dyDescent="0.25">
      <c r="B118" s="596" t="s">
        <v>727</v>
      </c>
      <c r="C118" s="807" t="s">
        <v>391</v>
      </c>
      <c r="D118" s="787" t="s">
        <v>391</v>
      </c>
      <c r="F118" s="749"/>
      <c r="G118" s="228" t="str">
        <f t="shared" si="0"/>
        <v/>
      </c>
      <c r="J118" s="527"/>
      <c r="K118" s="527"/>
      <c r="M118" s="1150" t="s">
        <v>990</v>
      </c>
      <c r="N118" s="1150"/>
      <c r="O118" s="1150"/>
      <c r="P118" s="1150"/>
      <c r="Q118" s="1150"/>
    </row>
    <row r="119" spans="2:17" ht="15" hidden="1" customHeight="1" x14ac:dyDescent="0.25">
      <c r="B119" s="368" t="s">
        <v>253</v>
      </c>
      <c r="C119" s="811" t="s">
        <v>1053</v>
      </c>
      <c r="D119" s="391"/>
      <c r="F119" s="413"/>
      <c r="G119" s="228" t="str">
        <f t="shared" si="0"/>
        <v/>
      </c>
      <c r="H119" s="211"/>
      <c r="I119" s="211"/>
      <c r="J119" s="231"/>
      <c r="K119" s="231"/>
      <c r="M119" s="1150"/>
      <c r="N119" s="1150"/>
      <c r="O119" s="1150"/>
      <c r="P119" s="1150"/>
      <c r="Q119" s="1150"/>
    </row>
    <row r="120" spans="2:17" ht="15" hidden="1" customHeight="1" x14ac:dyDescent="0.25">
      <c r="B120" s="442" t="s">
        <v>717</v>
      </c>
      <c r="C120" s="808" t="s">
        <v>157</v>
      </c>
      <c r="D120" s="424"/>
      <c r="E120" s="16"/>
      <c r="F120" s="413"/>
      <c r="G120" s="228" t="str">
        <f t="shared" si="0"/>
        <v/>
      </c>
      <c r="H120" s="211"/>
      <c r="I120" s="211"/>
      <c r="J120" s="231"/>
      <c r="K120" s="231"/>
      <c r="M120" s="1150"/>
      <c r="N120" s="1150"/>
      <c r="O120" s="1150"/>
      <c r="P120" s="1150"/>
      <c r="Q120" s="1150"/>
    </row>
    <row r="121" spans="2:17" ht="15" hidden="1" customHeight="1" x14ac:dyDescent="0.25">
      <c r="B121" s="400" t="s">
        <v>721</v>
      </c>
      <c r="C121" s="709" t="s">
        <v>1053</v>
      </c>
      <c r="D121" s="390"/>
      <c r="E121" s="16"/>
      <c r="F121" s="413"/>
      <c r="G121" s="228" t="str">
        <f t="shared" si="0"/>
        <v/>
      </c>
      <c r="H121" s="211"/>
      <c r="I121" s="211"/>
      <c r="J121" s="231"/>
      <c r="K121" s="231"/>
      <c r="M121" s="1150"/>
      <c r="N121" s="1150"/>
      <c r="O121" s="1150"/>
      <c r="P121" s="1150"/>
      <c r="Q121" s="1150"/>
    </row>
    <row r="122" spans="2:17" ht="25.5" hidden="1" customHeight="1" x14ac:dyDescent="0.25">
      <c r="B122" s="400" t="s">
        <v>156</v>
      </c>
      <c r="C122" s="709" t="s">
        <v>1053</v>
      </c>
      <c r="D122" s="390"/>
      <c r="E122" s="16"/>
      <c r="F122" s="413"/>
      <c r="G122" s="228" t="str">
        <f t="shared" si="0"/>
        <v/>
      </c>
      <c r="H122" s="211"/>
      <c r="I122" s="211"/>
      <c r="J122" s="231"/>
      <c r="K122" s="231"/>
      <c r="M122" s="1150"/>
      <c r="N122" s="1150"/>
      <c r="O122" s="1150"/>
      <c r="P122" s="1150"/>
      <c r="Q122" s="1150"/>
    </row>
    <row r="123" spans="2:17" ht="15" hidden="1" customHeight="1" x14ac:dyDescent="0.25">
      <c r="B123" s="400" t="s">
        <v>108</v>
      </c>
      <c r="C123" s="412"/>
      <c r="D123" s="390"/>
      <c r="E123" s="16"/>
      <c r="F123" s="413"/>
      <c r="G123" s="228" t="str">
        <f t="shared" si="0"/>
        <v/>
      </c>
      <c r="H123" s="211"/>
      <c r="I123" s="211"/>
      <c r="J123" s="231"/>
      <c r="K123" s="231"/>
      <c r="M123" s="1150"/>
      <c r="N123" s="1150"/>
      <c r="O123" s="1150"/>
      <c r="P123" s="1150"/>
      <c r="Q123" s="1150"/>
    </row>
    <row r="124" spans="2:17" ht="15" hidden="1" customHeight="1" x14ac:dyDescent="0.25">
      <c r="B124" s="400" t="s">
        <v>109</v>
      </c>
      <c r="C124" s="412"/>
      <c r="D124" s="390"/>
      <c r="E124" s="16"/>
      <c r="F124" s="413"/>
      <c r="G124" s="228" t="str">
        <f t="shared" si="0"/>
        <v/>
      </c>
      <c r="H124" s="211"/>
      <c r="I124" s="211"/>
      <c r="J124" s="231"/>
      <c r="K124" s="231"/>
      <c r="M124" s="1150"/>
      <c r="N124" s="1150"/>
      <c r="O124" s="1150"/>
      <c r="P124" s="1150"/>
      <c r="Q124" s="1150"/>
    </row>
    <row r="125" spans="2:17" ht="15" hidden="1" customHeight="1" x14ac:dyDescent="0.25">
      <c r="B125" s="400" t="s">
        <v>110</v>
      </c>
      <c r="C125" s="412"/>
      <c r="D125" s="390"/>
      <c r="E125" s="16"/>
      <c r="F125" s="413"/>
      <c r="G125" s="228" t="str">
        <f t="shared" si="0"/>
        <v/>
      </c>
      <c r="H125" s="211"/>
      <c r="I125" s="211"/>
      <c r="J125" s="231"/>
      <c r="K125" s="231"/>
      <c r="M125" s="1150"/>
      <c r="N125" s="1150"/>
      <c r="O125" s="1150"/>
      <c r="P125" s="1150"/>
      <c r="Q125" s="1150"/>
    </row>
    <row r="126" spans="2:17" ht="25.5" hidden="1" customHeight="1" x14ac:dyDescent="0.25">
      <c r="B126" s="400" t="s">
        <v>111</v>
      </c>
      <c r="C126" s="412"/>
      <c r="D126" s="390"/>
      <c r="E126" s="16"/>
      <c r="F126" s="413"/>
      <c r="G126" s="228" t="str">
        <f t="shared" si="0"/>
        <v/>
      </c>
      <c r="H126" s="211"/>
      <c r="I126" s="211"/>
      <c r="J126" s="231"/>
      <c r="K126" s="231"/>
      <c r="M126" s="1150"/>
      <c r="N126" s="1150"/>
      <c r="O126" s="1150"/>
      <c r="P126" s="1150"/>
      <c r="Q126" s="1150"/>
    </row>
    <row r="127" spans="2:17" ht="15" hidden="1" customHeight="1" x14ac:dyDescent="0.25">
      <c r="B127" s="400" t="s">
        <v>112</v>
      </c>
      <c r="C127" s="412"/>
      <c r="D127" s="390"/>
      <c r="E127" s="16"/>
      <c r="F127" s="413"/>
      <c r="G127" s="228" t="str">
        <f t="shared" si="0"/>
        <v/>
      </c>
      <c r="H127" s="211"/>
      <c r="I127" s="211"/>
      <c r="J127" s="231"/>
      <c r="K127" s="231"/>
      <c r="M127" s="1150"/>
      <c r="N127" s="1150"/>
      <c r="O127" s="1150"/>
      <c r="P127" s="1150"/>
      <c r="Q127" s="1150"/>
    </row>
    <row r="128" spans="2:17" ht="15" hidden="1" customHeight="1" x14ac:dyDescent="0.25">
      <c r="B128" s="400" t="s">
        <v>113</v>
      </c>
      <c r="C128" s="412"/>
      <c r="D128" s="390"/>
      <c r="E128" s="16"/>
      <c r="F128" s="413"/>
      <c r="G128" s="228" t="str">
        <f t="shared" si="0"/>
        <v/>
      </c>
      <c r="H128" s="211"/>
      <c r="I128" s="211"/>
      <c r="J128" s="231"/>
      <c r="K128" s="231"/>
      <c r="M128" s="1150"/>
      <c r="N128" s="1150"/>
      <c r="O128" s="1150"/>
      <c r="P128" s="1150"/>
      <c r="Q128" s="1150"/>
    </row>
    <row r="129" spans="2:17" ht="15" hidden="1" customHeight="1" x14ac:dyDescent="0.25">
      <c r="B129" s="400" t="s">
        <v>114</v>
      </c>
      <c r="C129" s="412"/>
      <c r="D129" s="390"/>
      <c r="E129" s="16"/>
      <c r="F129" s="413"/>
      <c r="G129" s="228" t="str">
        <f t="shared" si="0"/>
        <v/>
      </c>
      <c r="H129" s="211"/>
      <c r="I129" s="211"/>
      <c r="J129" s="231"/>
      <c r="K129" s="231"/>
      <c r="M129" s="1150"/>
      <c r="N129" s="1150"/>
      <c r="O129" s="1150"/>
      <c r="P129" s="1150"/>
      <c r="Q129" s="1150"/>
    </row>
    <row r="130" spans="2:17" ht="25.5" hidden="1" customHeight="1" x14ac:dyDescent="0.25">
      <c r="B130" s="400" t="s">
        <v>115</v>
      </c>
      <c r="C130" s="412"/>
      <c r="D130" s="390"/>
      <c r="E130" s="16"/>
      <c r="F130" s="413"/>
      <c r="G130" s="228" t="str">
        <f t="shared" si="0"/>
        <v/>
      </c>
      <c r="H130" s="211"/>
      <c r="I130" s="211"/>
      <c r="J130" s="231"/>
      <c r="K130" s="231"/>
      <c r="M130" s="1150"/>
      <c r="N130" s="1150"/>
      <c r="O130" s="1150"/>
      <c r="P130" s="1150"/>
      <c r="Q130" s="1150"/>
    </row>
    <row r="131" spans="2:17" ht="25.5" hidden="1" customHeight="1" x14ac:dyDescent="0.25">
      <c r="B131" s="400" t="s">
        <v>116</v>
      </c>
      <c r="C131" s="412"/>
      <c r="D131" s="390"/>
      <c r="E131" s="16"/>
      <c r="F131" s="413"/>
      <c r="G131" s="228" t="str">
        <f t="shared" si="0"/>
        <v/>
      </c>
      <c r="H131" s="211"/>
      <c r="I131" s="211"/>
      <c r="J131" s="231"/>
      <c r="K131" s="231"/>
      <c r="M131" s="1150"/>
      <c r="N131" s="1150"/>
      <c r="O131" s="1150"/>
      <c r="P131" s="1150"/>
      <c r="Q131" s="1150"/>
    </row>
    <row r="132" spans="2:17" ht="15" hidden="1" customHeight="1" x14ac:dyDescent="0.25">
      <c r="B132" s="400" t="s">
        <v>117</v>
      </c>
      <c r="C132" s="412"/>
      <c r="D132" s="390"/>
      <c r="E132" s="16"/>
      <c r="F132" s="413"/>
      <c r="G132" s="228" t="str">
        <f t="shared" si="0"/>
        <v/>
      </c>
      <c r="H132" s="211"/>
      <c r="I132" s="211"/>
      <c r="J132" s="231"/>
      <c r="K132" s="231"/>
      <c r="M132" s="1150"/>
      <c r="N132" s="1150"/>
      <c r="O132" s="1150"/>
      <c r="P132" s="1150"/>
      <c r="Q132" s="1150"/>
    </row>
    <row r="133" spans="2:17" ht="15" hidden="1" customHeight="1" x14ac:dyDescent="0.25">
      <c r="B133" s="400" t="s">
        <v>118</v>
      </c>
      <c r="C133" s="412"/>
      <c r="D133" s="390"/>
      <c r="E133" s="16"/>
      <c r="F133" s="413"/>
      <c r="G133" s="228" t="str">
        <f t="shared" si="0"/>
        <v/>
      </c>
      <c r="H133" s="211"/>
      <c r="I133" s="211"/>
      <c r="J133" s="231"/>
      <c r="K133" s="231"/>
      <c r="M133" s="1150"/>
      <c r="N133" s="1150"/>
      <c r="O133" s="1150"/>
      <c r="P133" s="1150"/>
      <c r="Q133" s="1150"/>
    </row>
    <row r="134" spans="2:17" ht="25.5" hidden="1" customHeight="1" x14ac:dyDescent="0.25">
      <c r="B134" s="400" t="s">
        <v>119</v>
      </c>
      <c r="C134" s="412"/>
      <c r="D134" s="390"/>
      <c r="E134" s="16"/>
      <c r="F134" s="413"/>
      <c r="G134" s="228" t="str">
        <f t="shared" si="0"/>
        <v/>
      </c>
      <c r="H134" s="211"/>
      <c r="I134" s="211"/>
      <c r="J134" s="231"/>
      <c r="K134" s="231"/>
      <c r="M134" s="1150"/>
      <c r="N134" s="1150"/>
      <c r="O134" s="1150"/>
      <c r="P134" s="1150"/>
      <c r="Q134" s="1150"/>
    </row>
    <row r="135" spans="2:17" ht="25.5" hidden="1" customHeight="1" x14ac:dyDescent="0.25">
      <c r="B135" s="400" t="s">
        <v>120</v>
      </c>
      <c r="C135" s="412"/>
      <c r="D135" s="390"/>
      <c r="E135" s="16"/>
      <c r="F135" s="413"/>
      <c r="G135" s="228" t="str">
        <f t="shared" si="0"/>
        <v/>
      </c>
      <c r="H135" s="211"/>
      <c r="I135" s="211"/>
      <c r="J135" s="231"/>
      <c r="K135" s="231"/>
      <c r="M135" s="1150"/>
      <c r="N135" s="1150"/>
      <c r="O135" s="1150"/>
      <c r="P135" s="1150"/>
      <c r="Q135" s="1150"/>
    </row>
    <row r="136" spans="2:17" ht="15" hidden="1" customHeight="1" x14ac:dyDescent="0.25">
      <c r="B136" s="400" t="s">
        <v>121</v>
      </c>
      <c r="C136" s="412"/>
      <c r="D136" s="390"/>
      <c r="E136" s="16"/>
      <c r="F136" s="413"/>
      <c r="G136" s="228" t="str">
        <f t="shared" si="0"/>
        <v/>
      </c>
      <c r="H136" s="211"/>
      <c r="I136" s="211"/>
      <c r="J136" s="231"/>
      <c r="K136" s="231"/>
      <c r="M136" s="1150"/>
      <c r="N136" s="1150"/>
      <c r="O136" s="1150"/>
      <c r="P136" s="1150"/>
      <c r="Q136" s="1150"/>
    </row>
    <row r="137" spans="2:17" ht="15" hidden="1" customHeight="1" x14ac:dyDescent="0.25">
      <c r="B137" s="400" t="s">
        <v>122</v>
      </c>
      <c r="C137" s="412"/>
      <c r="D137" s="390"/>
      <c r="F137" s="413"/>
      <c r="G137" s="228" t="str">
        <f t="shared" si="0"/>
        <v/>
      </c>
      <c r="H137" s="211"/>
      <c r="I137" s="211"/>
      <c r="J137" s="231"/>
      <c r="K137" s="231"/>
      <c r="M137" s="1150"/>
      <c r="N137" s="1150"/>
      <c r="O137" s="1150"/>
      <c r="P137" s="1150"/>
      <c r="Q137" s="1150"/>
    </row>
    <row r="138" spans="2:17" ht="15" hidden="1" customHeight="1" x14ac:dyDescent="0.25">
      <c r="B138" s="400" t="s">
        <v>123</v>
      </c>
      <c r="C138" s="412"/>
      <c r="D138" s="390"/>
      <c r="E138" s="16"/>
      <c r="F138" s="413"/>
      <c r="G138" s="228" t="str">
        <f t="shared" si="0"/>
        <v/>
      </c>
      <c r="H138" s="211"/>
      <c r="I138" s="211"/>
      <c r="J138" s="231"/>
      <c r="K138" s="231"/>
      <c r="M138" s="1150"/>
      <c r="N138" s="1150"/>
      <c r="O138" s="1150"/>
      <c r="P138" s="1150"/>
      <c r="Q138" s="1150"/>
    </row>
    <row r="139" spans="2:17" ht="25.5" hidden="1" customHeight="1" x14ac:dyDescent="0.25">
      <c r="B139" s="400" t="s">
        <v>124</v>
      </c>
      <c r="C139" s="412"/>
      <c r="D139" s="390"/>
      <c r="E139" s="16"/>
      <c r="F139" s="413"/>
      <c r="G139" s="228" t="str">
        <f t="shared" si="0"/>
        <v/>
      </c>
      <c r="H139" s="211"/>
      <c r="I139" s="211"/>
      <c r="J139" s="231"/>
      <c r="K139" s="231"/>
      <c r="M139" s="1150"/>
      <c r="N139" s="1150"/>
      <c r="O139" s="1150"/>
      <c r="P139" s="1150"/>
      <c r="Q139" s="1150"/>
    </row>
    <row r="140" spans="2:17" ht="38.25" hidden="1" customHeight="1" x14ac:dyDescent="0.25">
      <c r="B140" s="400" t="s">
        <v>125</v>
      </c>
      <c r="C140" s="412"/>
      <c r="D140" s="390"/>
      <c r="E140" s="16"/>
      <c r="F140" s="413"/>
      <c r="G140" s="228" t="str">
        <f t="shared" si="0"/>
        <v/>
      </c>
      <c r="H140" s="211"/>
      <c r="I140" s="211"/>
      <c r="J140" s="231"/>
      <c r="K140" s="231"/>
      <c r="M140" s="1150"/>
      <c r="N140" s="1150"/>
      <c r="O140" s="1150"/>
      <c r="P140" s="1150"/>
      <c r="Q140" s="1150"/>
    </row>
    <row r="141" spans="2:17" ht="7.5" customHeight="1" x14ac:dyDescent="0.25">
      <c r="E141" s="16"/>
      <c r="G141" s="228" t="str">
        <f t="shared" si="0"/>
        <v/>
      </c>
      <c r="J141" s="381"/>
      <c r="M141" s="1150"/>
      <c r="N141" s="1150"/>
      <c r="O141" s="1150"/>
      <c r="P141" s="1150"/>
      <c r="Q141" s="1150"/>
    </row>
    <row r="142" spans="2:17" x14ac:dyDescent="0.25">
      <c r="B142" s="528" t="s">
        <v>359</v>
      </c>
      <c r="C142" s="524" t="s">
        <v>62</v>
      </c>
      <c r="D142" s="525" t="s">
        <v>63</v>
      </c>
      <c r="E142" s="16"/>
      <c r="F142" s="526" t="s">
        <v>146</v>
      </c>
      <c r="G142" s="228" t="str">
        <f t="shared" ref="G142:G148" si="1">IF(OR(TRIM(D142)&lt;&gt;"",TRIM(F142)&lt;&gt;""),IF(AND(TRIM(D142)&lt;&gt;"",TRIM(F142)&lt;&gt;""),IF(OR(TRIM(C142)&lt;&gt;TRIM(D142),TRIM(C142)&lt;&gt;TRIM(F142)),"_",""),IF(TRIM(C142)&lt;&gt;TRIM(D142), "_", "")),"")</f>
        <v>_</v>
      </c>
      <c r="H142" s="211"/>
      <c r="I142" s="211"/>
      <c r="J142" s="527" t="s">
        <v>1002</v>
      </c>
      <c r="K142" s="527" t="s">
        <v>363</v>
      </c>
      <c r="M142" s="1150"/>
      <c r="N142" s="1150"/>
      <c r="O142" s="1150"/>
      <c r="P142" s="1150"/>
      <c r="Q142" s="1150"/>
    </row>
    <row r="143" spans="2:17" ht="15" customHeight="1" x14ac:dyDescent="0.25">
      <c r="B143" s="673" t="s">
        <v>1339</v>
      </c>
      <c r="C143" s="711" t="s">
        <v>1476</v>
      </c>
      <c r="D143" s="390" t="s">
        <v>1476</v>
      </c>
      <c r="E143" s="16"/>
      <c r="F143" s="413"/>
      <c r="G143" s="228" t="str">
        <f t="shared" si="1"/>
        <v/>
      </c>
      <c r="H143" s="211"/>
      <c r="I143" s="211"/>
      <c r="J143" s="231"/>
      <c r="K143" s="231"/>
    </row>
    <row r="144" spans="2:17" ht="15" customHeight="1" x14ac:dyDescent="0.25">
      <c r="B144" s="722" t="s">
        <v>1383</v>
      </c>
      <c r="C144" s="711" t="s">
        <v>1389</v>
      </c>
      <c r="D144" s="712" t="s">
        <v>1389</v>
      </c>
      <c r="E144" s="16"/>
      <c r="F144" s="413"/>
      <c r="G144" s="228" t="str">
        <f t="shared" si="1"/>
        <v/>
      </c>
      <c r="H144" s="211"/>
      <c r="I144" s="211"/>
      <c r="J144" s="231"/>
      <c r="K144" s="231"/>
    </row>
    <row r="145" spans="2:11" ht="30" customHeight="1" x14ac:dyDescent="0.25">
      <c r="B145" s="722" t="s">
        <v>1388</v>
      </c>
      <c r="C145" s="711" t="s">
        <v>1387</v>
      </c>
      <c r="D145" s="390" t="s">
        <v>1387</v>
      </c>
      <c r="E145" s="16"/>
      <c r="F145" s="413"/>
      <c r="G145" s="228" t="str">
        <f t="shared" si="1"/>
        <v/>
      </c>
      <c r="H145" s="211"/>
      <c r="I145" s="211"/>
      <c r="J145" s="231"/>
      <c r="K145" s="231"/>
    </row>
    <row r="146" spans="2:11" ht="30" customHeight="1" x14ac:dyDescent="0.25">
      <c r="B146" s="722" t="s">
        <v>1335</v>
      </c>
      <c r="C146" s="711" t="s">
        <v>1333</v>
      </c>
      <c r="D146" s="390" t="s">
        <v>1333</v>
      </c>
      <c r="E146" s="16"/>
      <c r="F146" s="413"/>
      <c r="G146" s="228" t="str">
        <f t="shared" si="1"/>
        <v/>
      </c>
      <c r="H146" s="211"/>
      <c r="I146" s="211"/>
      <c r="J146" s="231"/>
      <c r="K146" s="231"/>
    </row>
    <row r="147" spans="2:11" ht="30" customHeight="1" x14ac:dyDescent="0.25">
      <c r="B147" s="674" t="s">
        <v>1336</v>
      </c>
      <c r="C147" s="711" t="s">
        <v>1334</v>
      </c>
      <c r="D147" s="712" t="s">
        <v>1334</v>
      </c>
      <c r="E147" s="16"/>
      <c r="F147" s="413"/>
      <c r="G147" s="228" t="str">
        <f t="shared" si="1"/>
        <v/>
      </c>
      <c r="H147" s="211"/>
      <c r="I147" s="211"/>
      <c r="J147" s="231"/>
      <c r="K147" s="231"/>
    </row>
    <row r="148" spans="2:11" x14ac:dyDescent="0.25">
      <c r="G148" s="228" t="str">
        <f t="shared" si="1"/>
        <v/>
      </c>
    </row>
  </sheetData>
  <mergeCells count="6">
    <mergeCell ref="M87:Q117"/>
    <mergeCell ref="M118:Q142"/>
    <mergeCell ref="B70:D70"/>
    <mergeCell ref="B73:D73"/>
    <mergeCell ref="B71:D71"/>
    <mergeCell ref="B74:E74"/>
  </mergeCells>
  <conditionalFormatting sqref="G1:G11 G13:G1048576">
    <cfRule type="cellIs" dxfId="194" priority="17" operator="equal">
      <formula>"_"</formula>
    </cfRule>
  </conditionalFormatting>
  <conditionalFormatting sqref="G12">
    <cfRule type="cellIs" dxfId="193" priority="7"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T5DC Umbrella</oddHeader>
    <oddFooter>&amp;L&amp;G&amp;CPage &amp;P of &amp;N</oddFooter>
  </headerFooter>
  <rowBreaks count="3" manualBreakCount="3">
    <brk id="33" min="1" max="3" man="1"/>
    <brk id="58" min="1" max="3" man="1"/>
    <brk id="97" min="1" max="3" man="1"/>
  </row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EC97-DD8E-454D-A8C4-340B90ED9D01}">
  <sheetPr codeName="Sheet39">
    <pageSetUpPr fitToPage="1"/>
  </sheetPr>
  <dimension ref="B1:O101"/>
  <sheetViews>
    <sheetView showGridLines="0" view="pageBreakPreview" zoomScale="115" zoomScaleNormal="100" zoomScaleSheetLayoutView="115" workbookViewId="0">
      <selection activeCell="J21" sqref="J21"/>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10.42578125" style="16" customWidth="1"/>
    <col min="13" max="13" width="24" style="16" customWidth="1"/>
    <col min="14" max="53" width="9.140625" style="16" customWidth="1"/>
    <col min="54" max="16384" width="9.140625" style="16"/>
  </cols>
  <sheetData>
    <row r="1" spans="2:13" ht="7.5" customHeight="1" x14ac:dyDescent="0.25">
      <c r="E1" s="450"/>
    </row>
    <row r="2" spans="2:13" ht="15.75" x14ac:dyDescent="0.2">
      <c r="B2" s="453" t="str">
        <f>Input!B1199</f>
        <v>T5DC Excess Liability</v>
      </c>
      <c r="C2" s="577"/>
      <c r="E2" s="450"/>
      <c r="H2" s="454"/>
      <c r="I2" s="455"/>
      <c r="J2" s="455"/>
      <c r="L2" s="456" t="s">
        <v>391</v>
      </c>
      <c r="M2" s="381" t="s">
        <v>361</v>
      </c>
    </row>
    <row r="3" spans="2:13" x14ac:dyDescent="0.25">
      <c r="D3" s="455" t="str">
        <f xml:space="preserve"> IF(Input!D407=Input!G407,CHAR(254), "")</f>
        <v/>
      </c>
      <c r="E3" s="457"/>
      <c r="F3" s="458" t="str">
        <f xml:space="preserve"> IF(Input!E407=Input!G407,CHAR(254),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0.5" customHeight="1" x14ac:dyDescent="0.25">
      <c r="B5" s="409" t="s">
        <v>60</v>
      </c>
      <c r="C5" s="412" t="str">
        <f>Input!B1204</f>
        <v>Travelers Property Casualty Company of America</v>
      </c>
      <c r="D5" s="390" t="str">
        <f>Input!D1204</f>
        <v>Travelers Property Casualty Company of America</v>
      </c>
      <c r="F5" s="413" t="str">
        <f>Input!E408</f>
        <v xml:space="preserve">RSUI Indemnity Company </v>
      </c>
      <c r="J5" s="231"/>
      <c r="K5" s="231"/>
    </row>
    <row r="6" spans="2:13" x14ac:dyDescent="0.25">
      <c r="B6" s="409" t="s">
        <v>69</v>
      </c>
      <c r="C6" s="412" t="str">
        <f>Input!B1206</f>
        <v>A++:XV</v>
      </c>
      <c r="D6" s="412" t="str">
        <f>Input!D1206</f>
        <v>A++:XV</v>
      </c>
      <c r="F6" s="413" t="str">
        <f>Input!E410</f>
        <v>A+: XIV</v>
      </c>
      <c r="J6" s="231"/>
      <c r="K6" s="231"/>
    </row>
    <row r="7" spans="2:13" ht="15" customHeight="1" x14ac:dyDescent="0.25">
      <c r="B7" s="409" t="str">
        <f>Input!B406</f>
        <v>Renewal Policy Number</v>
      </c>
      <c r="C7" s="711" t="str">
        <f>Input!C1201</f>
        <v>EX-4S236512</v>
      </c>
      <c r="D7" s="711" t="str">
        <f>Input!C1202</f>
        <v>TBD</v>
      </c>
      <c r="F7" s="413" t="str">
        <f>Input!C406</f>
        <v>TBD</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09" t="s">
        <v>18</v>
      </c>
      <c r="C9" s="398">
        <f>Input!G1225</f>
        <v>25000000</v>
      </c>
      <c r="D9" s="398">
        <f>Input!G1226</f>
        <v>25000000</v>
      </c>
      <c r="E9" s="414"/>
      <c r="F9" s="427">
        <f>Input!G431</f>
        <v>0</v>
      </c>
      <c r="J9" s="231"/>
      <c r="K9" s="231"/>
    </row>
    <row r="10" spans="2:13" x14ac:dyDescent="0.25">
      <c r="B10" s="409" t="s">
        <v>71</v>
      </c>
      <c r="C10" s="398">
        <f>Input!H1225</f>
        <v>25000000</v>
      </c>
      <c r="D10" s="398">
        <f>Input!H1226</f>
        <v>25000000</v>
      </c>
      <c r="E10" s="414"/>
      <c r="F10" s="427">
        <f>Input!H431</f>
        <v>0</v>
      </c>
      <c r="J10" s="231"/>
      <c r="K10" s="231"/>
    </row>
    <row r="11" spans="2:13" x14ac:dyDescent="0.25">
      <c r="B11" s="477" t="str">
        <f>Input!I427</f>
        <v>Self-Insured Retention</v>
      </c>
      <c r="C11" s="403">
        <f>Input!I1225</f>
        <v>0</v>
      </c>
      <c r="D11" s="431">
        <f>Input!I1226</f>
        <v>0</v>
      </c>
      <c r="E11" s="414"/>
      <c r="F11" s="430">
        <f>Input!I431</f>
        <v>0</v>
      </c>
      <c r="J11" s="231"/>
      <c r="K11" s="231"/>
    </row>
    <row r="12" spans="2:13" x14ac:dyDescent="0.25">
      <c r="B12" s="479" t="s">
        <v>367</v>
      </c>
      <c r="C12" s="479"/>
      <c r="D12" s="479"/>
      <c r="F12" s="562"/>
      <c r="G12" s="211"/>
      <c r="H12" s="211"/>
      <c r="I12" s="211"/>
      <c r="J12" s="566"/>
      <c r="K12" s="566"/>
    </row>
    <row r="13" spans="2:13" x14ac:dyDescent="0.25">
      <c r="B13" s="402" t="s">
        <v>343</v>
      </c>
      <c r="C13" s="428">
        <f>Input!B1218</f>
        <v>37013.050000000003</v>
      </c>
      <c r="D13" s="425">
        <f>Input!D1218</f>
        <v>27775</v>
      </c>
      <c r="E13" s="414"/>
      <c r="F13" s="427">
        <f>Input!E412</f>
        <v>39077.5</v>
      </c>
      <c r="J13" s="231"/>
      <c r="K13" s="231"/>
    </row>
    <row r="14" spans="2:13" x14ac:dyDescent="0.25">
      <c r="B14" s="402" t="s">
        <v>366</v>
      </c>
      <c r="C14" s="428">
        <f>Input!B418</f>
        <v>0</v>
      </c>
      <c r="D14" s="425">
        <f>Input!D418</f>
        <v>0</v>
      </c>
      <c r="E14" s="414"/>
      <c r="F14" s="427">
        <f>Input!E418</f>
        <v>0</v>
      </c>
      <c r="J14" s="231"/>
      <c r="K14" s="231"/>
    </row>
    <row r="15" spans="2:13" x14ac:dyDescent="0.25">
      <c r="B15" s="402" t="s">
        <v>365</v>
      </c>
      <c r="C15" s="429">
        <v>0</v>
      </c>
      <c r="D15" s="431">
        <v>0</v>
      </c>
      <c r="E15" s="414"/>
      <c r="F15" s="430">
        <f>Input!E420</f>
        <v>1000</v>
      </c>
      <c r="J15" s="231"/>
      <c r="K15" s="231"/>
    </row>
    <row r="16" spans="2:13" x14ac:dyDescent="0.25">
      <c r="B16" s="409" t="s">
        <v>368</v>
      </c>
      <c r="C16" s="428">
        <f>Input!B1218</f>
        <v>37013.050000000003</v>
      </c>
      <c r="D16" s="425">
        <f>Input!D1218</f>
        <v>27775</v>
      </c>
      <c r="F16" s="427">
        <f>Input!E422</f>
        <v>40077.5</v>
      </c>
      <c r="J16" s="231"/>
      <c r="K16" s="231"/>
    </row>
    <row r="17" spans="2:11" ht="7.5" customHeight="1" x14ac:dyDescent="0.25">
      <c r="B17" s="310"/>
      <c r="C17" s="414"/>
      <c r="D17" s="414"/>
      <c r="E17" s="238"/>
      <c r="F17" s="461"/>
      <c r="J17" s="381"/>
    </row>
    <row r="18" spans="2:11" x14ac:dyDescent="0.25">
      <c r="B18" s="462" t="str">
        <f>Input!B432</f>
        <v>Schedule of Underlying Insurance</v>
      </c>
      <c r="C18" s="414"/>
      <c r="D18" s="414"/>
      <c r="E18" s="432"/>
      <c r="F18" s="461"/>
      <c r="J18" s="381"/>
    </row>
    <row r="19" spans="2:11" x14ac:dyDescent="0.25">
      <c r="B19" s="486" t="str">
        <f>Input!B94</f>
        <v>T5DC Umbrella</v>
      </c>
      <c r="C19" s="560"/>
      <c r="D19" s="560"/>
      <c r="E19" s="433"/>
      <c r="F19" s="529"/>
      <c r="J19" s="694" t="s">
        <v>1002</v>
      </c>
      <c r="K19" s="566" t="s">
        <v>363</v>
      </c>
    </row>
    <row r="20" spans="2:11" x14ac:dyDescent="0.25">
      <c r="B20" s="464" t="str">
        <f>Input!C441</f>
        <v>Policy Number</v>
      </c>
      <c r="C20" s="424">
        <f>Input!C96</f>
        <v>6080920557</v>
      </c>
      <c r="D20" s="424">
        <f>Input!C97</f>
        <v>6080920557</v>
      </c>
      <c r="E20" s="434"/>
      <c r="F20" s="424">
        <f>D20</f>
        <v>6080920557</v>
      </c>
      <c r="J20" s="231"/>
      <c r="K20" s="231"/>
    </row>
    <row r="21" spans="2:11" x14ac:dyDescent="0.25">
      <c r="B21" s="815" t="str">
        <f>Input!D440</f>
        <v>Limits of Liability</v>
      </c>
      <c r="C21" s="760"/>
      <c r="D21" s="760"/>
      <c r="F21" s="390"/>
      <c r="J21" s="231"/>
      <c r="K21" s="231"/>
    </row>
    <row r="22" spans="2:11" x14ac:dyDescent="0.25">
      <c r="B22" s="478" t="str">
        <f>Input!D441</f>
        <v>Each Occurrence</v>
      </c>
      <c r="C22" s="425">
        <f>Input!I122</f>
        <v>25000000</v>
      </c>
      <c r="D22" s="425">
        <f>Input!I123</f>
        <v>25000000</v>
      </c>
      <c r="F22" s="425">
        <f>D22</f>
        <v>25000000</v>
      </c>
      <c r="J22" s="231"/>
      <c r="K22" s="231"/>
    </row>
    <row r="23" spans="2:11" x14ac:dyDescent="0.25">
      <c r="B23" s="478" t="str">
        <f>Input!E441</f>
        <v>Aggregate</v>
      </c>
      <c r="C23" s="425">
        <f>Input!J122</f>
        <v>25000000</v>
      </c>
      <c r="D23" s="425">
        <f>Input!J123</f>
        <v>25000000</v>
      </c>
      <c r="E23" s="426"/>
      <c r="F23" s="425">
        <f>D23</f>
        <v>25000000</v>
      </c>
      <c r="J23" s="231"/>
      <c r="K23" s="231"/>
    </row>
    <row r="24" spans="2:11" x14ac:dyDescent="0.25">
      <c r="B24" s="491" t="str">
        <f>Input!F441</f>
        <v>Self-Insured Retention</v>
      </c>
      <c r="C24" s="425">
        <f>Input!K122</f>
        <v>10000</v>
      </c>
      <c r="D24" s="425">
        <f>Input!K123</f>
        <v>10000</v>
      </c>
      <c r="F24" s="425">
        <f>D24</f>
        <v>10000</v>
      </c>
      <c r="J24" s="231"/>
      <c r="K24" s="231"/>
    </row>
    <row r="25" spans="2:11" ht="45.75" customHeight="1" x14ac:dyDescent="0.25">
      <c r="B25" s="491" t="str">
        <f>Input!G441</f>
        <v>Insurer</v>
      </c>
      <c r="C25" s="390" t="str">
        <f>Input!B99</f>
        <v>The Continental Insurance Company (CNA)</v>
      </c>
      <c r="D25" s="390" t="str">
        <f>Input!D99</f>
        <v>The Continental Insurance Company (CNA)</v>
      </c>
      <c r="F25" s="390" t="str">
        <f>D25</f>
        <v>The Continental Insurance Company (CNA)</v>
      </c>
      <c r="J25" s="231"/>
      <c r="K25" s="231"/>
    </row>
    <row r="26" spans="2:11" ht="15.75" customHeight="1" x14ac:dyDescent="0.25">
      <c r="B26" s="491" t="str">
        <f>Input!H441</f>
        <v>Policy Period</v>
      </c>
      <c r="C26" s="390" t="str">
        <f>Input!H437</f>
        <v>7/1/2022 - 7/1/2023</v>
      </c>
      <c r="D26" s="390" t="str">
        <f>Input!C6</f>
        <v>7/1/2023 - 7/1/2024</v>
      </c>
      <c r="F26" s="390" t="str">
        <f>D26</f>
        <v>7/1/2023 - 7/1/2024</v>
      </c>
      <c r="J26" s="231"/>
      <c r="K26" s="231"/>
    </row>
    <row r="27" spans="2:11" ht="7.5" customHeight="1" x14ac:dyDescent="0.25">
      <c r="B27" s="310"/>
      <c r="C27" s="228"/>
      <c r="D27" s="228"/>
      <c r="F27" s="275"/>
      <c r="J27" s="381"/>
    </row>
    <row r="28" spans="2:11" x14ac:dyDescent="0.25">
      <c r="B28" s="1274" t="s">
        <v>144</v>
      </c>
      <c r="C28" s="1274"/>
      <c r="D28" s="1274"/>
      <c r="F28" s="274"/>
      <c r="J28" s="381"/>
    </row>
    <row r="29" spans="2:11" ht="44.25" customHeight="1" x14ac:dyDescent="0.25">
      <c r="B29" s="1275" t="s">
        <v>1992</v>
      </c>
      <c r="C29" s="1275"/>
      <c r="D29" s="1275"/>
      <c r="E29" s="1050"/>
      <c r="F29" s="1051"/>
      <c r="J29" s="381"/>
    </row>
    <row r="30" spans="2:11" ht="7.5" customHeight="1" x14ac:dyDescent="0.25">
      <c r="B30" s="380"/>
      <c r="C30" s="238"/>
      <c r="D30" s="238"/>
      <c r="F30" s="275"/>
      <c r="J30" s="381"/>
    </row>
    <row r="31" spans="2:11" x14ac:dyDescent="0.25">
      <c r="B31" s="1274" t="s">
        <v>145</v>
      </c>
      <c r="C31" s="1274"/>
      <c r="D31" s="1274"/>
      <c r="F31" s="275"/>
      <c r="J31" s="381"/>
    </row>
    <row r="32" spans="2:11" x14ac:dyDescent="0.25">
      <c r="B32" s="1049" t="s">
        <v>1172</v>
      </c>
      <c r="C32" s="1050"/>
      <c r="D32" s="1050"/>
      <c r="E32" s="1050"/>
      <c r="F32" s="1051"/>
      <c r="J32" s="381"/>
    </row>
    <row r="33" spans="2:15" ht="7.5" customHeight="1" x14ac:dyDescent="0.25">
      <c r="B33" s="310"/>
      <c r="C33" s="228"/>
      <c r="D33" s="228"/>
      <c r="F33" s="275"/>
      <c r="J33" s="381"/>
    </row>
    <row r="34" spans="2:15" x14ac:dyDescent="0.25">
      <c r="B34" s="523" t="s">
        <v>72</v>
      </c>
      <c r="C34" s="524" t="s">
        <v>62</v>
      </c>
      <c r="D34" s="525" t="s">
        <v>63</v>
      </c>
      <c r="F34" s="526" t="s">
        <v>146</v>
      </c>
      <c r="J34" s="527" t="s">
        <v>1002</v>
      </c>
      <c r="K34" s="527" t="s">
        <v>363</v>
      </c>
    </row>
    <row r="35" spans="2:15" x14ac:dyDescent="0.25">
      <c r="B35" s="400" t="s">
        <v>73</v>
      </c>
      <c r="C35" s="711" t="s">
        <v>1033</v>
      </c>
      <c r="D35" s="712" t="s">
        <v>1033</v>
      </c>
      <c r="F35" s="413"/>
      <c r="G35" s="450" t="str">
        <f t="shared" ref="G35:G96" si="0">IF(OR(TRIM(D35)&lt;&gt;"",TRIM(F35)&lt;&gt;""),IF(AND(TRIM(D35)&lt;&gt;"",TRIM(F35)&lt;&gt;""),IF(OR(TRIM(C35)&lt;&gt;TRIM(D35),TRIM(C35)&lt;&gt;TRIM(F35)),"_",""),IF(TRIM(C35)&lt;&gt;TRIM(D35), "_", "")),"")</f>
        <v/>
      </c>
      <c r="J35" s="231"/>
      <c r="K35" s="231"/>
    </row>
    <row r="36" spans="2:15" x14ac:dyDescent="0.25">
      <c r="B36" s="400" t="s">
        <v>74</v>
      </c>
      <c r="C36" s="711" t="s">
        <v>1783</v>
      </c>
      <c r="D36" s="711" t="s">
        <v>1783</v>
      </c>
      <c r="F36" s="413"/>
      <c r="G36" s="450" t="str">
        <f t="shared" si="0"/>
        <v/>
      </c>
      <c r="J36" s="231"/>
      <c r="K36" s="231"/>
    </row>
    <row r="37" spans="2:15" x14ac:dyDescent="0.25">
      <c r="B37" s="400" t="s">
        <v>151</v>
      </c>
      <c r="C37" s="711" t="s">
        <v>1035</v>
      </c>
      <c r="D37" s="712" t="s">
        <v>1035</v>
      </c>
      <c r="F37" s="413"/>
      <c r="G37" s="450" t="str">
        <f t="shared" si="0"/>
        <v/>
      </c>
      <c r="J37" s="231"/>
      <c r="K37" s="231"/>
    </row>
    <row r="38" spans="2:15" x14ac:dyDescent="0.25">
      <c r="B38" s="400" t="s">
        <v>152</v>
      </c>
      <c r="C38" s="711" t="s">
        <v>284</v>
      </c>
      <c r="D38" s="712" t="s">
        <v>284</v>
      </c>
      <c r="F38" s="413"/>
      <c r="G38" s="450" t="str">
        <f t="shared" si="0"/>
        <v/>
      </c>
      <c r="J38" s="231"/>
      <c r="K38" s="231"/>
    </row>
    <row r="39" spans="2:15" x14ac:dyDescent="0.25">
      <c r="B39" s="400" t="s">
        <v>77</v>
      </c>
      <c r="C39" s="711" t="s">
        <v>1036</v>
      </c>
      <c r="D39" s="712" t="s">
        <v>1036</v>
      </c>
      <c r="F39" s="413"/>
      <c r="G39" s="450" t="str">
        <f t="shared" si="0"/>
        <v/>
      </c>
      <c r="J39" s="231"/>
      <c r="K39" s="231"/>
    </row>
    <row r="40" spans="2:15" x14ac:dyDescent="0.25">
      <c r="B40" s="400" t="s">
        <v>390</v>
      </c>
      <c r="C40" s="459" t="s">
        <v>157</v>
      </c>
      <c r="D40" s="692" t="s">
        <v>157</v>
      </c>
      <c r="F40" s="413"/>
      <c r="G40" s="450" t="str">
        <f t="shared" si="0"/>
        <v/>
      </c>
      <c r="J40" s="231"/>
      <c r="K40" s="231"/>
    </row>
    <row r="41" spans="2:15" x14ac:dyDescent="0.25">
      <c r="B41" s="400" t="s">
        <v>755</v>
      </c>
      <c r="C41" s="459" t="s">
        <v>157</v>
      </c>
      <c r="D41" s="692" t="s">
        <v>157</v>
      </c>
      <c r="F41" s="413"/>
      <c r="G41" s="450" t="str">
        <f t="shared" si="0"/>
        <v/>
      </c>
      <c r="J41" s="231"/>
      <c r="K41" s="231"/>
      <c r="M41" s="1150" t="s">
        <v>986</v>
      </c>
      <c r="N41" s="1150"/>
      <c r="O41" s="1150"/>
    </row>
    <row r="42" spans="2:15" ht="38.25" hidden="1" x14ac:dyDescent="0.25">
      <c r="B42" s="932" t="s">
        <v>1692</v>
      </c>
      <c r="C42" s="924"/>
      <c r="D42" s="925"/>
      <c r="E42" s="926"/>
      <c r="F42" s="933"/>
      <c r="G42" s="450" t="str">
        <f t="shared" si="0"/>
        <v/>
      </c>
      <c r="J42" s="231"/>
      <c r="K42" s="231"/>
      <c r="M42" s="1150"/>
      <c r="N42" s="1150"/>
      <c r="O42" s="1150"/>
    </row>
    <row r="43" spans="2:15" s="452" customFormat="1" hidden="1" x14ac:dyDescent="0.25">
      <c r="B43" s="814" t="s">
        <v>168</v>
      </c>
      <c r="C43" s="810"/>
      <c r="D43" s="785"/>
      <c r="E43" s="16"/>
      <c r="F43" s="413"/>
      <c r="G43" s="450" t="str">
        <f t="shared" si="0"/>
        <v/>
      </c>
      <c r="J43" s="231"/>
      <c r="K43" s="231"/>
      <c r="M43" s="1150"/>
      <c r="N43" s="1150"/>
      <c r="O43" s="1150"/>
    </row>
    <row r="44" spans="2:15" s="452" customFormat="1" x14ac:dyDescent="0.25">
      <c r="B44" s="400" t="s">
        <v>169</v>
      </c>
      <c r="C44" s="456" t="s">
        <v>391</v>
      </c>
      <c r="D44" s="797" t="s">
        <v>391</v>
      </c>
      <c r="E44" s="16"/>
      <c r="F44" s="413"/>
      <c r="G44" s="450" t="str">
        <f t="shared" si="0"/>
        <v/>
      </c>
      <c r="J44" s="231"/>
      <c r="K44" s="231"/>
      <c r="M44" s="1150"/>
      <c r="N44" s="1150"/>
      <c r="O44" s="1150"/>
    </row>
    <row r="45" spans="2:15" s="452" customFormat="1" hidden="1" x14ac:dyDescent="0.25">
      <c r="B45" s="400" t="s">
        <v>170</v>
      </c>
      <c r="C45" s="412"/>
      <c r="D45" s="390"/>
      <c r="E45" s="16"/>
      <c r="F45" s="413"/>
      <c r="G45" s="450" t="str">
        <f t="shared" si="0"/>
        <v/>
      </c>
      <c r="J45" s="231"/>
      <c r="K45" s="231"/>
      <c r="M45" s="689"/>
      <c r="N45" s="689"/>
      <c r="O45" s="689"/>
    </row>
    <row r="46" spans="2:15" ht="15" hidden="1" customHeight="1" x14ac:dyDescent="0.25">
      <c r="B46" s="368" t="s">
        <v>707</v>
      </c>
      <c r="C46" s="435"/>
      <c r="D46" s="391"/>
      <c r="F46" s="436"/>
      <c r="G46" s="450" t="str">
        <f t="shared" si="0"/>
        <v/>
      </c>
      <c r="H46" s="211"/>
      <c r="I46" s="211"/>
      <c r="J46" s="232"/>
      <c r="K46" s="232"/>
      <c r="M46" s="689"/>
      <c r="N46" s="689"/>
      <c r="O46" s="689"/>
    </row>
    <row r="47" spans="2:15" hidden="1" x14ac:dyDescent="0.25">
      <c r="B47" s="441" t="s">
        <v>704</v>
      </c>
      <c r="C47" s="438"/>
      <c r="D47" s="439"/>
      <c r="F47" s="440"/>
      <c r="G47" s="450" t="str">
        <f t="shared" si="0"/>
        <v/>
      </c>
      <c r="H47" s="211"/>
      <c r="I47" s="211"/>
      <c r="J47" s="447"/>
      <c r="K47" s="447"/>
      <c r="M47" s="689"/>
      <c r="N47" s="689"/>
      <c r="O47" s="689"/>
    </row>
    <row r="48" spans="2:15" hidden="1" x14ac:dyDescent="0.25">
      <c r="B48" s="442" t="s">
        <v>705</v>
      </c>
      <c r="C48" s="396"/>
      <c r="D48" s="424"/>
      <c r="F48" s="443"/>
      <c r="G48" s="450" t="str">
        <f t="shared" si="0"/>
        <v/>
      </c>
      <c r="H48" s="211"/>
      <c r="I48" s="211"/>
      <c r="J48" s="445"/>
      <c r="K48" s="445"/>
      <c r="M48" s="689"/>
      <c r="N48" s="689"/>
      <c r="O48" s="689"/>
    </row>
    <row r="49" spans="2:15" hidden="1" x14ac:dyDescent="0.25">
      <c r="B49" s="400" t="s">
        <v>708</v>
      </c>
      <c r="C49" s="412"/>
      <c r="D49" s="390"/>
      <c r="F49" s="413"/>
      <c r="G49" s="450" t="str">
        <f t="shared" si="0"/>
        <v/>
      </c>
      <c r="H49" s="211"/>
      <c r="I49" s="211"/>
      <c r="J49" s="231"/>
      <c r="K49" s="231"/>
      <c r="M49" s="689"/>
      <c r="N49" s="689"/>
      <c r="O49" s="689"/>
    </row>
    <row r="50" spans="2:15" ht="15" hidden="1" customHeight="1" x14ac:dyDescent="0.25">
      <c r="B50" s="400" t="s">
        <v>706</v>
      </c>
      <c r="C50" s="412"/>
      <c r="D50" s="390"/>
      <c r="F50" s="413"/>
      <c r="G50" s="450" t="str">
        <f t="shared" si="0"/>
        <v/>
      </c>
      <c r="H50" s="211"/>
      <c r="I50" s="211"/>
      <c r="J50" s="231"/>
      <c r="K50" s="231"/>
      <c r="M50" s="689"/>
      <c r="N50" s="689"/>
      <c r="O50" s="689"/>
    </row>
    <row r="51" spans="2:15" hidden="1" x14ac:dyDescent="0.25">
      <c r="B51" s="400" t="s">
        <v>709</v>
      </c>
      <c r="C51" s="412"/>
      <c r="D51" s="390"/>
      <c r="F51" s="413"/>
      <c r="G51" s="450" t="str">
        <f t="shared" si="0"/>
        <v/>
      </c>
      <c r="H51" s="211"/>
      <c r="I51" s="211"/>
      <c r="J51" s="231"/>
      <c r="K51" s="231"/>
      <c r="M51" s="689"/>
      <c r="N51" s="689"/>
      <c r="O51" s="689"/>
    </row>
    <row r="52" spans="2:15" hidden="1" x14ac:dyDescent="0.25">
      <c r="B52" s="400" t="s">
        <v>710</v>
      </c>
      <c r="C52" s="412"/>
      <c r="D52" s="390"/>
      <c r="F52" s="413"/>
      <c r="G52" s="450" t="str">
        <f t="shared" si="0"/>
        <v/>
      </c>
      <c r="H52" s="211"/>
      <c r="I52" s="211"/>
      <c r="J52" s="231"/>
      <c r="K52" s="231"/>
      <c r="M52" s="689"/>
      <c r="N52" s="689"/>
      <c r="O52" s="689"/>
    </row>
    <row r="53" spans="2:15" hidden="1" x14ac:dyDescent="0.25">
      <c r="B53" s="400" t="s">
        <v>418</v>
      </c>
      <c r="C53" s="412"/>
      <c r="D53" s="390"/>
      <c r="F53" s="413"/>
      <c r="G53" s="450" t="str">
        <f t="shared" si="0"/>
        <v/>
      </c>
      <c r="H53" s="211"/>
      <c r="I53" s="211"/>
      <c r="J53" s="231"/>
      <c r="K53" s="231"/>
      <c r="M53" s="689"/>
      <c r="N53" s="689"/>
      <c r="O53" s="689"/>
    </row>
    <row r="54" spans="2:15" hidden="1" x14ac:dyDescent="0.25">
      <c r="B54" s="400" t="s">
        <v>154</v>
      </c>
      <c r="C54" s="412"/>
      <c r="D54" s="390"/>
      <c r="F54" s="413"/>
      <c r="G54" s="450" t="str">
        <f t="shared" si="0"/>
        <v/>
      </c>
      <c r="H54" s="211"/>
      <c r="I54" s="211"/>
      <c r="J54" s="231"/>
      <c r="K54" s="231"/>
      <c r="M54" s="689"/>
      <c r="N54" s="689"/>
      <c r="O54" s="689"/>
    </row>
    <row r="55" spans="2:15" ht="25.5" hidden="1" x14ac:dyDescent="0.25">
      <c r="B55" s="400" t="s">
        <v>155</v>
      </c>
      <c r="C55" s="412"/>
      <c r="D55" s="390"/>
      <c r="F55" s="413"/>
      <c r="G55" s="450" t="str">
        <f t="shared" si="0"/>
        <v/>
      </c>
      <c r="H55" s="211"/>
      <c r="I55" s="211"/>
      <c r="J55" s="231"/>
      <c r="K55" s="231"/>
      <c r="M55" s="689"/>
      <c r="N55" s="689"/>
      <c r="O55" s="689"/>
    </row>
    <row r="56" spans="2:15" hidden="1" x14ac:dyDescent="0.25">
      <c r="B56" s="400" t="s">
        <v>163</v>
      </c>
      <c r="C56" s="412"/>
      <c r="D56" s="390"/>
      <c r="F56" s="413"/>
      <c r="G56" s="450" t="str">
        <f t="shared" si="0"/>
        <v/>
      </c>
      <c r="H56" s="211"/>
      <c r="I56" s="211"/>
      <c r="J56" s="231"/>
      <c r="K56" s="231"/>
      <c r="M56" s="689"/>
      <c r="N56" s="689"/>
      <c r="O56" s="689"/>
    </row>
    <row r="57" spans="2:15" hidden="1" x14ac:dyDescent="0.25">
      <c r="B57" s="400" t="s">
        <v>711</v>
      </c>
      <c r="C57" s="412"/>
      <c r="D57" s="390"/>
      <c r="F57" s="413"/>
      <c r="G57" s="450" t="str">
        <f t="shared" si="0"/>
        <v/>
      </c>
      <c r="H57" s="211"/>
      <c r="I57" s="211"/>
      <c r="J57" s="231"/>
      <c r="K57" s="231"/>
      <c r="M57" s="689"/>
      <c r="N57" s="689"/>
      <c r="O57" s="689"/>
    </row>
    <row r="58" spans="2:15" hidden="1" x14ac:dyDescent="0.25">
      <c r="B58" s="368" t="s">
        <v>715</v>
      </c>
      <c r="C58" s="435"/>
      <c r="D58" s="391"/>
      <c r="F58" s="436"/>
      <c r="G58" s="450" t="str">
        <f t="shared" si="0"/>
        <v/>
      </c>
      <c r="H58" s="211"/>
      <c r="I58" s="211"/>
      <c r="J58" s="232"/>
      <c r="K58" s="232"/>
      <c r="M58" s="689"/>
      <c r="N58" s="689"/>
      <c r="O58" s="689"/>
    </row>
    <row r="59" spans="2:15" hidden="1" x14ac:dyDescent="0.25">
      <c r="B59" s="441" t="s">
        <v>712</v>
      </c>
      <c r="C59" s="438"/>
      <c r="D59" s="439"/>
      <c r="F59" s="440"/>
      <c r="G59" s="450" t="str">
        <f t="shared" si="0"/>
        <v/>
      </c>
      <c r="H59" s="211"/>
      <c r="I59" s="211"/>
      <c r="J59" s="447"/>
      <c r="K59" s="447"/>
      <c r="M59" s="689"/>
      <c r="N59" s="689"/>
      <c r="O59" s="689"/>
    </row>
    <row r="60" spans="2:15" hidden="1" x14ac:dyDescent="0.25">
      <c r="B60" s="441" t="s">
        <v>713</v>
      </c>
      <c r="C60" s="438"/>
      <c r="D60" s="439"/>
      <c r="F60" s="440"/>
      <c r="G60" s="450" t="str">
        <f t="shared" si="0"/>
        <v/>
      </c>
      <c r="H60" s="211"/>
      <c r="I60" s="211"/>
      <c r="J60" s="447"/>
      <c r="K60" s="447"/>
      <c r="M60" s="689"/>
      <c r="N60" s="689"/>
      <c r="O60" s="689"/>
    </row>
    <row r="61" spans="2:15" hidden="1" x14ac:dyDescent="0.25">
      <c r="B61" s="442" t="s">
        <v>714</v>
      </c>
      <c r="C61" s="396"/>
      <c r="D61" s="424"/>
      <c r="F61" s="443"/>
      <c r="G61" s="450" t="str">
        <f t="shared" si="0"/>
        <v/>
      </c>
      <c r="H61" s="211"/>
      <c r="I61" s="211"/>
      <c r="J61" s="445"/>
      <c r="K61" s="445"/>
      <c r="M61" s="689"/>
      <c r="N61" s="689"/>
      <c r="O61" s="689"/>
    </row>
    <row r="62" spans="2:15" hidden="1" x14ac:dyDescent="0.25">
      <c r="B62" s="368" t="s">
        <v>716</v>
      </c>
      <c r="C62" s="435"/>
      <c r="D62" s="391"/>
      <c r="F62" s="436"/>
      <c r="G62" s="450" t="str">
        <f t="shared" si="0"/>
        <v/>
      </c>
      <c r="H62" s="211"/>
      <c r="I62" s="211"/>
      <c r="J62" s="232"/>
      <c r="K62" s="232"/>
      <c r="M62" s="689"/>
      <c r="N62" s="689"/>
      <c r="O62" s="689"/>
    </row>
    <row r="63" spans="2:15" hidden="1" x14ac:dyDescent="0.25">
      <c r="B63" s="444" t="s">
        <v>697</v>
      </c>
      <c r="C63" s="396"/>
      <c r="D63" s="424"/>
      <c r="F63" s="443"/>
      <c r="G63" s="450" t="str">
        <f t="shared" si="0"/>
        <v/>
      </c>
      <c r="H63" s="211"/>
      <c r="I63" s="211"/>
      <c r="J63" s="445"/>
      <c r="K63" s="445"/>
      <c r="M63" s="689"/>
      <c r="N63" s="689"/>
      <c r="O63" s="689"/>
    </row>
    <row r="64" spans="2:15" ht="7.5" customHeight="1" x14ac:dyDescent="0.25">
      <c r="B64" s="310"/>
      <c r="C64" s="228"/>
      <c r="D64" s="228"/>
      <c r="F64" s="275"/>
      <c r="G64" s="450" t="str">
        <f t="shared" si="0"/>
        <v/>
      </c>
      <c r="J64" s="381"/>
      <c r="M64" s="689"/>
      <c r="N64" s="689"/>
      <c r="O64" s="689"/>
    </row>
    <row r="65" spans="2:15" x14ac:dyDescent="0.25">
      <c r="B65" s="523" t="s">
        <v>103</v>
      </c>
      <c r="C65" s="524" t="s">
        <v>62</v>
      </c>
      <c r="D65" s="525" t="s">
        <v>63</v>
      </c>
      <c r="F65" s="526" t="s">
        <v>146</v>
      </c>
      <c r="G65" s="450" t="str">
        <f t="shared" si="0"/>
        <v>_</v>
      </c>
      <c r="J65" s="527" t="s">
        <v>1002</v>
      </c>
      <c r="K65" s="527" t="s">
        <v>363</v>
      </c>
      <c r="M65" s="689"/>
      <c r="N65" s="689"/>
      <c r="O65" s="689"/>
    </row>
    <row r="66" spans="2:15" hidden="1" x14ac:dyDescent="0.25">
      <c r="B66" s="930" t="s">
        <v>988</v>
      </c>
      <c r="C66" s="928" t="s">
        <v>157</v>
      </c>
      <c r="D66" s="931" t="s">
        <v>157</v>
      </c>
      <c r="E66" s="934"/>
      <c r="F66" s="935"/>
      <c r="G66" s="450" t="str">
        <f t="shared" si="0"/>
        <v/>
      </c>
      <c r="J66" s="527"/>
      <c r="K66" s="527"/>
      <c r="M66" s="689"/>
      <c r="N66" s="689"/>
      <c r="O66" s="689"/>
    </row>
    <row r="67" spans="2:15" ht="25.5" hidden="1" x14ac:dyDescent="0.25">
      <c r="B67" s="932" t="s">
        <v>1691</v>
      </c>
      <c r="C67" s="928"/>
      <c r="D67" s="931"/>
      <c r="E67" s="926"/>
      <c r="F67" s="935"/>
      <c r="G67" s="450" t="str">
        <f t="shared" si="0"/>
        <v/>
      </c>
      <c r="J67" s="527"/>
      <c r="K67" s="527"/>
      <c r="M67" s="689"/>
      <c r="N67" s="689"/>
      <c r="O67" s="689"/>
    </row>
    <row r="68" spans="2:15" x14ac:dyDescent="0.25">
      <c r="B68" s="691" t="s">
        <v>988</v>
      </c>
      <c r="C68" s="459" t="s">
        <v>157</v>
      </c>
      <c r="D68" s="692" t="s">
        <v>157</v>
      </c>
      <c r="F68" s="526"/>
      <c r="G68" s="450" t="str">
        <f t="shared" si="0"/>
        <v/>
      </c>
      <c r="J68" s="527"/>
      <c r="K68" s="527"/>
      <c r="M68" s="1150" t="s">
        <v>989</v>
      </c>
      <c r="N68" s="1150"/>
      <c r="O68" s="1150"/>
    </row>
    <row r="69" spans="2:15" ht="15" hidden="1" customHeight="1" x14ac:dyDescent="0.25">
      <c r="B69" s="400" t="s">
        <v>719</v>
      </c>
      <c r="C69" s="412"/>
      <c r="D69" s="390"/>
      <c r="F69" s="413"/>
      <c r="G69" s="450" t="str">
        <f t="shared" si="0"/>
        <v/>
      </c>
      <c r="H69" s="211"/>
      <c r="I69" s="211"/>
      <c r="J69" s="231"/>
      <c r="K69" s="231"/>
      <c r="M69" s="1150"/>
      <c r="N69" s="1150"/>
      <c r="O69" s="1150"/>
    </row>
    <row r="70" spans="2:15" ht="15" hidden="1" customHeight="1" x14ac:dyDescent="0.25">
      <c r="B70" s="400" t="s">
        <v>676</v>
      </c>
      <c r="C70" s="412"/>
      <c r="D70" s="390"/>
      <c r="F70" s="413"/>
      <c r="G70" s="450" t="str">
        <f t="shared" si="0"/>
        <v/>
      </c>
      <c r="H70" s="211"/>
      <c r="I70" s="211"/>
      <c r="J70" s="231"/>
      <c r="K70" s="231"/>
      <c r="M70" s="1150"/>
      <c r="N70" s="1150"/>
      <c r="O70" s="1150"/>
    </row>
    <row r="71" spans="2:15" ht="15" hidden="1" customHeight="1" x14ac:dyDescent="0.25">
      <c r="B71" s="400" t="s">
        <v>720</v>
      </c>
      <c r="C71" s="412"/>
      <c r="D71" s="390"/>
      <c r="F71" s="413"/>
      <c r="G71" s="450" t="str">
        <f t="shared" si="0"/>
        <v/>
      </c>
      <c r="H71" s="211"/>
      <c r="I71" s="211"/>
      <c r="J71" s="231"/>
      <c r="K71" s="231"/>
      <c r="M71" s="1150"/>
      <c r="N71" s="1150"/>
      <c r="O71" s="1150"/>
    </row>
    <row r="72" spans="2:15" ht="15" hidden="1" customHeight="1" x14ac:dyDescent="0.25">
      <c r="B72" s="400" t="s">
        <v>526</v>
      </c>
      <c r="C72" s="412"/>
      <c r="D72" s="390"/>
      <c r="F72" s="413"/>
      <c r="G72" s="450" t="str">
        <f t="shared" si="0"/>
        <v/>
      </c>
      <c r="H72" s="211"/>
      <c r="I72" s="211"/>
      <c r="J72" s="231"/>
      <c r="K72" s="231"/>
      <c r="M72" s="1150"/>
      <c r="N72" s="1150"/>
      <c r="O72" s="1150"/>
    </row>
    <row r="73" spans="2:15" ht="15" hidden="1" customHeight="1" x14ac:dyDescent="0.25">
      <c r="B73" s="400" t="s">
        <v>524</v>
      </c>
      <c r="C73" s="412"/>
      <c r="D73" s="390"/>
      <c r="F73" s="413"/>
      <c r="G73" s="450" t="str">
        <f t="shared" si="0"/>
        <v/>
      </c>
      <c r="H73" s="211"/>
      <c r="I73" s="211"/>
      <c r="J73" s="231"/>
      <c r="K73" s="231"/>
      <c r="M73" s="1150"/>
      <c r="N73" s="1150"/>
      <c r="O73" s="1150"/>
    </row>
    <row r="74" spans="2:15" ht="15" hidden="1" customHeight="1" x14ac:dyDescent="0.25">
      <c r="B74" s="400" t="s">
        <v>529</v>
      </c>
      <c r="C74" s="412"/>
      <c r="D74" s="390"/>
      <c r="F74" s="413"/>
      <c r="G74" s="450" t="str">
        <f t="shared" si="0"/>
        <v/>
      </c>
      <c r="H74" s="211"/>
      <c r="I74" s="211"/>
      <c r="J74" s="231"/>
      <c r="K74" s="231"/>
      <c r="M74" s="1150"/>
      <c r="N74" s="1150"/>
      <c r="O74" s="1150"/>
    </row>
    <row r="75" spans="2:15" ht="15" hidden="1" customHeight="1" x14ac:dyDescent="0.25">
      <c r="B75" s="400" t="s">
        <v>525</v>
      </c>
      <c r="C75" s="412"/>
      <c r="D75" s="390"/>
      <c r="F75" s="413"/>
      <c r="G75" s="450" t="str">
        <f t="shared" si="0"/>
        <v/>
      </c>
      <c r="H75" s="211"/>
      <c r="I75" s="211"/>
      <c r="J75" s="231"/>
      <c r="K75" s="231"/>
      <c r="M75" s="1150"/>
      <c r="N75" s="1150"/>
      <c r="O75" s="1150"/>
    </row>
    <row r="76" spans="2:15" ht="15" hidden="1" customHeight="1" x14ac:dyDescent="0.25">
      <c r="B76" s="400" t="s">
        <v>528</v>
      </c>
      <c r="C76" s="412"/>
      <c r="D76" s="390"/>
      <c r="F76" s="413"/>
      <c r="G76" s="450" t="str">
        <f t="shared" si="0"/>
        <v/>
      </c>
      <c r="H76" s="211"/>
      <c r="I76" s="211"/>
      <c r="J76" s="231"/>
      <c r="K76" s="231"/>
      <c r="M76" s="1150"/>
      <c r="N76" s="1150"/>
      <c r="O76" s="1150"/>
    </row>
    <row r="77" spans="2:15" ht="15" hidden="1" customHeight="1" x14ac:dyDescent="0.25">
      <c r="B77" s="400" t="s">
        <v>527</v>
      </c>
      <c r="C77" s="412"/>
      <c r="D77" s="390"/>
      <c r="F77" s="413"/>
      <c r="G77" s="450" t="str">
        <f t="shared" si="0"/>
        <v/>
      </c>
      <c r="H77" s="211"/>
      <c r="I77" s="211"/>
      <c r="J77" s="231"/>
      <c r="K77" s="231"/>
      <c r="M77" s="1150"/>
      <c r="N77" s="1150"/>
      <c r="O77" s="1150"/>
    </row>
    <row r="78" spans="2:15" ht="15" hidden="1" customHeight="1" x14ac:dyDescent="0.25">
      <c r="B78" s="368" t="s">
        <v>718</v>
      </c>
      <c r="C78" s="435"/>
      <c r="D78" s="391"/>
      <c r="F78" s="436"/>
      <c r="G78" s="450" t="str">
        <f t="shared" si="0"/>
        <v/>
      </c>
      <c r="H78" s="211"/>
      <c r="I78" s="211"/>
      <c r="J78" s="232"/>
      <c r="K78" s="232"/>
      <c r="M78" s="1150"/>
      <c r="N78" s="1150"/>
      <c r="O78" s="1150"/>
    </row>
    <row r="79" spans="2:15" ht="45" hidden="1" customHeight="1" x14ac:dyDescent="0.25">
      <c r="B79" s="596" t="s">
        <v>727</v>
      </c>
      <c r="C79" s="396"/>
      <c r="D79" s="424"/>
      <c r="F79" s="443"/>
      <c r="G79" s="450" t="str">
        <f t="shared" si="0"/>
        <v/>
      </c>
      <c r="H79" s="211"/>
      <c r="I79" s="211"/>
      <c r="J79" s="445"/>
      <c r="K79" s="445"/>
      <c r="M79" s="1150"/>
      <c r="N79" s="1150"/>
      <c r="O79" s="1150"/>
    </row>
    <row r="80" spans="2:15" ht="15" hidden="1" customHeight="1" x14ac:dyDescent="0.25">
      <c r="B80" s="368" t="s">
        <v>253</v>
      </c>
      <c r="C80" s="435"/>
      <c r="D80" s="391"/>
      <c r="F80" s="436"/>
      <c r="G80" s="450" t="str">
        <f t="shared" si="0"/>
        <v/>
      </c>
      <c r="H80" s="211"/>
      <c r="I80" s="211"/>
      <c r="J80" s="232"/>
      <c r="K80" s="232"/>
      <c r="M80" s="1150"/>
      <c r="N80" s="1150"/>
      <c r="O80" s="1150"/>
    </row>
    <row r="81" spans="2:15" ht="15" hidden="1" customHeight="1" x14ac:dyDescent="0.25">
      <c r="B81" s="442" t="s">
        <v>717</v>
      </c>
      <c r="C81" s="396"/>
      <c r="D81" s="424"/>
      <c r="F81" s="443"/>
      <c r="G81" s="450" t="str">
        <f t="shared" si="0"/>
        <v/>
      </c>
      <c r="H81" s="211"/>
      <c r="I81" s="211"/>
      <c r="J81" s="445"/>
      <c r="K81" s="445"/>
      <c r="M81" s="1150"/>
      <c r="N81" s="1150"/>
      <c r="O81" s="1150"/>
    </row>
    <row r="82" spans="2:15" ht="15" hidden="1" customHeight="1" x14ac:dyDescent="0.25">
      <c r="B82" s="400" t="s">
        <v>721</v>
      </c>
      <c r="C82" s="412"/>
      <c r="D82" s="390"/>
      <c r="F82" s="413"/>
      <c r="G82" s="450" t="str">
        <f t="shared" si="0"/>
        <v/>
      </c>
      <c r="H82" s="211"/>
      <c r="I82" s="211"/>
      <c r="J82" s="231"/>
      <c r="K82" s="231"/>
      <c r="M82" s="1150"/>
      <c r="N82" s="1150"/>
      <c r="O82" s="1150"/>
    </row>
    <row r="83" spans="2:15" ht="30" hidden="1" customHeight="1" x14ac:dyDescent="0.25">
      <c r="B83" s="400" t="s">
        <v>156</v>
      </c>
      <c r="C83" s="412"/>
      <c r="D83" s="390"/>
      <c r="F83" s="413"/>
      <c r="G83" s="450" t="str">
        <f t="shared" si="0"/>
        <v/>
      </c>
      <c r="H83" s="211"/>
      <c r="I83" s="211"/>
      <c r="J83" s="231"/>
      <c r="K83" s="231"/>
      <c r="M83" s="1150"/>
      <c r="N83" s="1150"/>
      <c r="O83" s="1150"/>
    </row>
    <row r="84" spans="2:15" ht="7.5" customHeight="1" x14ac:dyDescent="0.25">
      <c r="E84" s="16"/>
      <c r="G84" s="450" t="str">
        <f t="shared" si="0"/>
        <v/>
      </c>
      <c r="J84" s="381"/>
      <c r="M84" s="1150"/>
      <c r="N84" s="1150"/>
      <c r="O84" s="1150"/>
    </row>
    <row r="85" spans="2:15" x14ac:dyDescent="0.25">
      <c r="B85" s="528" t="s">
        <v>359</v>
      </c>
      <c r="C85" s="524" t="s">
        <v>62</v>
      </c>
      <c r="D85" s="525" t="s">
        <v>63</v>
      </c>
      <c r="E85" s="16"/>
      <c r="F85" s="526" t="s">
        <v>146</v>
      </c>
      <c r="G85" s="450" t="str">
        <f t="shared" si="0"/>
        <v>_</v>
      </c>
      <c r="H85" s="211"/>
      <c r="I85" s="211"/>
      <c r="J85" s="527" t="s">
        <v>1002</v>
      </c>
      <c r="K85" s="527" t="s">
        <v>363</v>
      </c>
      <c r="M85" s="1150"/>
      <c r="N85" s="1150"/>
      <c r="O85" s="1150"/>
    </row>
    <row r="86" spans="2:15" x14ac:dyDescent="0.25">
      <c r="B86" s="673" t="s">
        <v>1993</v>
      </c>
      <c r="C86" s="711" t="s">
        <v>2003</v>
      </c>
      <c r="D86" s="711" t="s">
        <v>2003</v>
      </c>
      <c r="E86" s="16"/>
      <c r="G86" s="450" t="str">
        <f t="shared" si="0"/>
        <v/>
      </c>
    </row>
    <row r="87" spans="2:15" x14ac:dyDescent="0.25">
      <c r="B87" s="673" t="s">
        <v>1994</v>
      </c>
      <c r="C87" s="711" t="s">
        <v>2004</v>
      </c>
      <c r="D87" s="711" t="s">
        <v>2004</v>
      </c>
      <c r="E87" s="16"/>
      <c r="G87" s="450" t="str">
        <f t="shared" si="0"/>
        <v/>
      </c>
    </row>
    <row r="88" spans="2:15" ht="15.75" customHeight="1" x14ac:dyDescent="0.25">
      <c r="B88" s="673" t="s">
        <v>1804</v>
      </c>
      <c r="C88" s="711" t="s">
        <v>1788</v>
      </c>
      <c r="D88" s="711" t="s">
        <v>1788</v>
      </c>
      <c r="E88" s="16"/>
      <c r="G88" s="450" t="str">
        <f t="shared" si="0"/>
        <v/>
      </c>
    </row>
    <row r="89" spans="2:15" x14ac:dyDescent="0.25">
      <c r="B89" s="673" t="s">
        <v>1995</v>
      </c>
      <c r="C89" s="711" t="s">
        <v>2005</v>
      </c>
      <c r="D89" s="711" t="s">
        <v>2005</v>
      </c>
      <c r="E89" s="16"/>
      <c r="G89" s="450" t="str">
        <f t="shared" si="0"/>
        <v/>
      </c>
    </row>
    <row r="90" spans="2:15" x14ac:dyDescent="0.25">
      <c r="B90" s="673" t="s">
        <v>1805</v>
      </c>
      <c r="C90" s="711" t="s">
        <v>1789</v>
      </c>
      <c r="D90" s="711" t="s">
        <v>1789</v>
      </c>
      <c r="E90" s="16"/>
      <c r="G90" s="450" t="str">
        <f t="shared" si="0"/>
        <v/>
      </c>
    </row>
    <row r="91" spans="2:15" x14ac:dyDescent="0.25">
      <c r="B91" s="673" t="s">
        <v>1996</v>
      </c>
      <c r="C91" s="711" t="s">
        <v>2006</v>
      </c>
      <c r="D91" s="711" t="s">
        <v>2006</v>
      </c>
      <c r="E91" s="16"/>
      <c r="G91" s="450" t="str">
        <f t="shared" si="0"/>
        <v/>
      </c>
    </row>
    <row r="92" spans="2:15" x14ac:dyDescent="0.25">
      <c r="B92" s="673" t="s">
        <v>1806</v>
      </c>
      <c r="C92" s="711" t="s">
        <v>1790</v>
      </c>
      <c r="D92" s="711" t="s">
        <v>1790</v>
      </c>
      <c r="E92" s="16"/>
      <c r="G92" s="450" t="str">
        <f t="shared" si="0"/>
        <v/>
      </c>
    </row>
    <row r="93" spans="2:15" x14ac:dyDescent="0.25">
      <c r="B93" s="673" t="s">
        <v>1586</v>
      </c>
      <c r="C93" s="711" t="s">
        <v>1791</v>
      </c>
      <c r="D93" s="711" t="s">
        <v>1791</v>
      </c>
      <c r="E93" s="16"/>
      <c r="G93" s="450" t="str">
        <f t="shared" si="0"/>
        <v/>
      </c>
    </row>
    <row r="94" spans="2:15" x14ac:dyDescent="0.25">
      <c r="B94" s="673" t="s">
        <v>1301</v>
      </c>
      <c r="C94" s="711" t="s">
        <v>1792</v>
      </c>
      <c r="D94" s="711" t="s">
        <v>1792</v>
      </c>
      <c r="E94" s="16"/>
      <c r="G94" s="450" t="str">
        <f t="shared" si="0"/>
        <v/>
      </c>
    </row>
    <row r="95" spans="2:15" x14ac:dyDescent="0.25">
      <c r="B95" s="673" t="s">
        <v>1997</v>
      </c>
      <c r="C95" s="711" t="s">
        <v>2007</v>
      </c>
      <c r="D95" s="711" t="s">
        <v>2007</v>
      </c>
      <c r="E95" s="16"/>
      <c r="G95" s="450" t="str">
        <f t="shared" si="0"/>
        <v/>
      </c>
    </row>
    <row r="96" spans="2:15" ht="25.5" x14ac:dyDescent="0.25">
      <c r="B96" s="673" t="s">
        <v>1998</v>
      </c>
      <c r="C96" s="711" t="s">
        <v>1794</v>
      </c>
      <c r="D96" s="711" t="s">
        <v>1794</v>
      </c>
      <c r="E96" s="16"/>
      <c r="G96" s="450" t="str">
        <f t="shared" si="0"/>
        <v/>
      </c>
    </row>
    <row r="97" spans="2:5" ht="25.5" x14ac:dyDescent="0.25">
      <c r="B97" s="673" t="s">
        <v>1999</v>
      </c>
      <c r="C97" s="711" t="s">
        <v>2008</v>
      </c>
      <c r="D97" s="711" t="s">
        <v>2008</v>
      </c>
      <c r="E97" s="16"/>
    </row>
    <row r="98" spans="2:5" x14ac:dyDescent="0.25">
      <c r="B98" s="673" t="s">
        <v>2000</v>
      </c>
      <c r="C98" s="711" t="s">
        <v>1799</v>
      </c>
      <c r="D98" s="711" t="s">
        <v>1799</v>
      </c>
      <c r="E98" s="16"/>
    </row>
    <row r="99" spans="2:5" x14ac:dyDescent="0.25">
      <c r="B99" s="673" t="s">
        <v>1814</v>
      </c>
      <c r="C99" s="711" t="s">
        <v>1800</v>
      </c>
      <c r="D99" s="711" t="s">
        <v>1800</v>
      </c>
      <c r="E99" s="16"/>
    </row>
    <row r="100" spans="2:5" x14ac:dyDescent="0.25">
      <c r="B100" s="673" t="s">
        <v>2001</v>
      </c>
      <c r="C100" s="711" t="s">
        <v>1801</v>
      </c>
      <c r="D100" s="711" t="s">
        <v>1801</v>
      </c>
    </row>
    <row r="101" spans="2:5" x14ac:dyDescent="0.25">
      <c r="B101" s="673" t="s">
        <v>2002</v>
      </c>
      <c r="C101" s="711" t="s">
        <v>2009</v>
      </c>
      <c r="D101" s="711" t="s">
        <v>2009</v>
      </c>
    </row>
  </sheetData>
  <mergeCells count="5">
    <mergeCell ref="B28:D28"/>
    <mergeCell ref="B31:D31"/>
    <mergeCell ref="M41:O44"/>
    <mergeCell ref="M68:O85"/>
    <mergeCell ref="B29:D29"/>
  </mergeCells>
  <conditionalFormatting sqref="G1:G11 G13:G1048576">
    <cfRule type="cellIs" dxfId="192" priority="3" operator="equal">
      <formula>"_"</formula>
    </cfRule>
  </conditionalFormatting>
  <conditionalFormatting sqref="G35:G96">
    <cfRule type="cellIs" dxfId="191" priority="2" operator="equal">
      <formula>"_"</formula>
    </cfRule>
  </conditionalFormatting>
  <conditionalFormatting sqref="G12">
    <cfRule type="cellIs" dxfId="190"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T5DC Excess Liability</oddHeader>
    <oddFooter>&amp;L&amp;G&amp;CPage &amp;P of &amp;N</oddFooter>
  </headerFooter>
  <rowBreaks count="1" manualBreakCount="1">
    <brk id="30" min="1" max="3" man="1"/>
  </row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pageSetUpPr fitToPage="1"/>
  </sheetPr>
  <dimension ref="B1:M135"/>
  <sheetViews>
    <sheetView showGridLines="0" view="pageBreakPreview" topLeftCell="A86" zoomScale="115" zoomScaleNormal="100" zoomScaleSheetLayoutView="115" workbookViewId="0">
      <selection activeCell="G64" sqref="G64"/>
    </sheetView>
  </sheetViews>
  <sheetFormatPr defaultColWidth="9.140625" defaultRowHeight="15" x14ac:dyDescent="0.25"/>
  <cols>
    <col min="1" max="1" width="2.28515625" style="16" customWidth="1"/>
    <col min="2" max="2" width="47.85546875" style="16" customWidth="1"/>
    <col min="3" max="4" width="16.42578125" style="450" customWidth="1"/>
    <col min="5" max="5" width="5.7109375" style="228" customWidth="1"/>
    <col min="6" max="6" width="16.42578125" style="451" customWidth="1"/>
    <col min="7" max="7" width="6.140625" style="452" customWidth="1"/>
    <col min="8" max="9" width="2.85546875" style="452" customWidth="1"/>
    <col min="10" max="10" width="32.140625" style="452" customWidth="1"/>
    <col min="11" max="11" width="32.140625" style="381" customWidth="1"/>
    <col min="12" max="12" width="9.140625" style="16" customWidth="1"/>
    <col min="13" max="13" width="25" style="16" customWidth="1"/>
    <col min="14" max="53" width="9.140625" style="16" customWidth="1"/>
    <col min="54" max="16384" width="9.140625" style="16"/>
  </cols>
  <sheetData>
    <row r="1" spans="2:13" ht="7.5" customHeight="1" x14ac:dyDescent="0.25">
      <c r="E1" s="450"/>
    </row>
    <row r="2" spans="2:13" ht="15.75" x14ac:dyDescent="0.25">
      <c r="B2" s="453" t="str">
        <f>Input!B227</f>
        <v>Workers Compensation</v>
      </c>
      <c r="E2" s="450"/>
      <c r="H2" s="454"/>
      <c r="I2" s="455"/>
      <c r="J2" s="455"/>
      <c r="L2" s="456" t="s">
        <v>391</v>
      </c>
      <c r="M2" s="381" t="s">
        <v>361</v>
      </c>
    </row>
    <row r="3" spans="2:13" x14ac:dyDescent="0.25">
      <c r="D3" s="455" t="str">
        <f xml:space="preserve"> IF(Input!D231=Input!G231,CHAR(254), "")</f>
        <v/>
      </c>
      <c r="E3" s="457"/>
      <c r="F3" s="458" t="str">
        <f xml:space="preserve"> IF(Input!E231=Input!G231,CHAR(254),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75" customHeight="1" x14ac:dyDescent="0.25">
      <c r="B5" s="409" t="s">
        <v>60</v>
      </c>
      <c r="C5" s="412" t="str">
        <f>Input!B232</f>
        <v>The Continental Insurance Company (CNA)</v>
      </c>
      <c r="D5" s="390" t="str">
        <f>Input!D232</f>
        <v>American Casualty Company Of Reading, PA</v>
      </c>
      <c r="F5" s="413" t="str">
        <f>Input!E232</f>
        <v>American Casualty Company Of Reading, PA</v>
      </c>
      <c r="G5" s="450"/>
      <c r="J5" s="231"/>
      <c r="K5" s="231"/>
    </row>
    <row r="6" spans="2:13" x14ac:dyDescent="0.25">
      <c r="B6" s="409" t="s">
        <v>69</v>
      </c>
      <c r="C6" s="412" t="str">
        <f>Input!B234</f>
        <v>A: XV</v>
      </c>
      <c r="D6" s="390" t="str">
        <f>Input!D234</f>
        <v>A: XV</v>
      </c>
      <c r="F6" s="413" t="str">
        <f>Input!E234</f>
        <v>A: XV</v>
      </c>
      <c r="G6" s="450"/>
      <c r="J6" s="231"/>
      <c r="K6" s="231"/>
    </row>
    <row r="7" spans="2:13" x14ac:dyDescent="0.25">
      <c r="B7" s="409" t="str">
        <f>Input!B230</f>
        <v>Renewal Policy Number</v>
      </c>
      <c r="C7" s="711">
        <f>Input!C229</f>
        <v>6080910403</v>
      </c>
      <c r="D7" s="390">
        <f>Input!C230</f>
        <v>6080910403</v>
      </c>
      <c r="F7" s="413">
        <f>Input!C230</f>
        <v>6080910403</v>
      </c>
      <c r="G7" s="450"/>
      <c r="J7" s="231"/>
      <c r="K7" s="231"/>
    </row>
    <row r="8" spans="2:13" ht="15" customHeight="1" x14ac:dyDescent="0.25">
      <c r="B8" s="409" t="str">
        <f>Input!B6</f>
        <v>Renewal Policy Period</v>
      </c>
      <c r="C8" s="412" t="str">
        <f>Input!C5</f>
        <v>7/1/2022 - 7/1/2023</v>
      </c>
      <c r="D8" s="390" t="str">
        <f>Input!C6</f>
        <v>7/1/2023 - 7/1/2024</v>
      </c>
      <c r="F8" s="413" t="str">
        <f>Input!C6</f>
        <v>7/1/2023 - 7/1/2024</v>
      </c>
      <c r="G8" s="450"/>
      <c r="J8" s="231"/>
      <c r="K8" s="231"/>
    </row>
    <row r="9" spans="2:13" x14ac:dyDescent="0.25">
      <c r="B9" s="409" t="str">
        <f>Input!B256</f>
        <v>Workers Compensation</v>
      </c>
      <c r="C9" s="398" t="str">
        <f>Input!C256</f>
        <v>Statutory Benefit</v>
      </c>
      <c r="D9" s="425" t="str">
        <f>Input!D256</f>
        <v>Statutory Benefit</v>
      </c>
      <c r="E9" s="414"/>
      <c r="F9" s="427">
        <f>Input!E256</f>
        <v>0</v>
      </c>
      <c r="G9" s="450"/>
      <c r="J9" s="231"/>
      <c r="K9" s="231"/>
    </row>
    <row r="10" spans="2:13" ht="58.5" customHeight="1" x14ac:dyDescent="0.25">
      <c r="B10" s="409" t="str">
        <f>Input!B257</f>
        <v>States Scheduled under Part One (WC)</v>
      </c>
      <c r="C10" s="412" t="str">
        <f>Input!C257</f>
        <v>AL, AR, CO, FL, GA, HI, IL, IN, MD, MN, MO, NC, NJ, OR, PA, SC, TN, TX, VA, WV</v>
      </c>
      <c r="D10" s="390" t="str">
        <f>Input!D257</f>
        <v>AL, AR, AZ, CO, FL, GA, HI, IA, IL, MD, MN, MO, NC, NJ, OR, PA, TX, VA, WV</v>
      </c>
      <c r="E10" s="414"/>
      <c r="F10" s="413">
        <f>Input!E257</f>
        <v>0</v>
      </c>
      <c r="G10" s="450"/>
      <c r="J10" s="231"/>
      <c r="K10" s="231"/>
    </row>
    <row r="11" spans="2:13" ht="30" customHeight="1" x14ac:dyDescent="0.25">
      <c r="B11" s="400" t="str">
        <f>Input!B258</f>
        <v>Part Two - Employer's Liability - Bodily Injury By Accident - Each Accident</v>
      </c>
      <c r="C11" s="398">
        <f>Input!C258</f>
        <v>1000000</v>
      </c>
      <c r="D11" s="425">
        <f>Input!D258</f>
        <v>1000000</v>
      </c>
      <c r="E11" s="414"/>
      <c r="F11" s="427">
        <f>Input!E258</f>
        <v>0</v>
      </c>
      <c r="G11" s="450"/>
      <c r="J11" s="231"/>
      <c r="K11" s="231"/>
    </row>
    <row r="12" spans="2:13" ht="30" customHeight="1" x14ac:dyDescent="0.25">
      <c r="B12" s="400" t="str">
        <f>Input!B259</f>
        <v>Part Two - Employer's Liability - Bodily Injury By Disease - Each Employee</v>
      </c>
      <c r="C12" s="398">
        <f>Input!C259</f>
        <v>1000000</v>
      </c>
      <c r="D12" s="425">
        <f>Input!D259</f>
        <v>1000000</v>
      </c>
      <c r="E12" s="414"/>
      <c r="F12" s="427">
        <f>Input!E259</f>
        <v>0</v>
      </c>
      <c r="G12" s="450"/>
      <c r="J12" s="231"/>
      <c r="K12" s="231"/>
    </row>
    <row r="13" spans="2:13" ht="30" customHeight="1" x14ac:dyDescent="0.25">
      <c r="B13" s="400" t="str">
        <f>Input!B260</f>
        <v>Part Two - Employer's Liability - Bodily Injury By Disease - Policy Limit</v>
      </c>
      <c r="C13" s="398">
        <f>Input!C260</f>
        <v>1000000</v>
      </c>
      <c r="D13" s="425">
        <f>Input!D260</f>
        <v>1000000</v>
      </c>
      <c r="E13" s="414"/>
      <c r="F13" s="427">
        <f>Input!E260</f>
        <v>0</v>
      </c>
      <c r="G13" s="450"/>
      <c r="J13" s="231"/>
      <c r="K13" s="231"/>
    </row>
    <row r="14" spans="2:13" ht="60" customHeight="1" x14ac:dyDescent="0.25">
      <c r="B14" s="409" t="str">
        <f>Input!B261</f>
        <v>Other States Insurance Part Three</v>
      </c>
      <c r="C14" s="398" t="str">
        <f>Input!C261</f>
        <v>All States except those listed above in Part One and monopolistic states</v>
      </c>
      <c r="D14" s="425" t="str">
        <f>Input!D261</f>
        <v>All States except those listed above in Part One and monopolistic states</v>
      </c>
      <c r="E14" s="414"/>
      <c r="F14" s="427">
        <f>Input!E261</f>
        <v>0</v>
      </c>
      <c r="G14" s="450"/>
      <c r="J14" s="231"/>
      <c r="K14" s="231"/>
    </row>
    <row r="15" spans="2:13" x14ac:dyDescent="0.25">
      <c r="B15" s="409" t="str">
        <f>Input!B262</f>
        <v>Deductible</v>
      </c>
      <c r="C15" s="398">
        <f>Input!C262</f>
        <v>0</v>
      </c>
      <c r="D15" s="425">
        <f>Input!D262</f>
        <v>0</v>
      </c>
      <c r="F15" s="427">
        <f>Input!E262</f>
        <v>0</v>
      </c>
      <c r="G15" s="450"/>
      <c r="J15" s="231"/>
      <c r="K15" s="231"/>
    </row>
    <row r="16" spans="2:13" x14ac:dyDescent="0.25">
      <c r="B16" s="409" t="s">
        <v>394</v>
      </c>
      <c r="C16" s="469">
        <f>Input!G256</f>
        <v>0.89</v>
      </c>
      <c r="D16" s="470">
        <f>Input!H256</f>
        <v>0.84</v>
      </c>
      <c r="E16" s="238"/>
      <c r="F16" s="471">
        <f>Input!H256</f>
        <v>0.84</v>
      </c>
      <c r="G16" s="450"/>
      <c r="J16" s="231"/>
      <c r="K16" s="231"/>
    </row>
    <row r="17" spans="2:11" hidden="1" x14ac:dyDescent="0.25">
      <c r="B17" s="574" t="s">
        <v>744</v>
      </c>
      <c r="C17" s="574"/>
      <c r="D17" s="574"/>
      <c r="E17" s="414"/>
      <c r="F17" s="562"/>
      <c r="G17" s="228"/>
      <c r="H17" s="211"/>
      <c r="I17" s="211"/>
      <c r="J17" s="575"/>
      <c r="K17" s="575"/>
    </row>
    <row r="18" spans="2:11" hidden="1" x14ac:dyDescent="0.25">
      <c r="B18" s="402" t="s">
        <v>158</v>
      </c>
      <c r="C18" s="469">
        <f>Input!G257</f>
        <v>0</v>
      </c>
      <c r="D18" s="470">
        <f>Input!H257</f>
        <v>0</v>
      </c>
      <c r="E18" s="432"/>
      <c r="F18" s="471">
        <f>Input!H257</f>
        <v>0</v>
      </c>
      <c r="G18" s="450"/>
      <c r="J18" s="231"/>
      <c r="K18" s="231"/>
    </row>
    <row r="19" spans="2:11" hidden="1" x14ac:dyDescent="0.25">
      <c r="B19" s="402" t="s">
        <v>735</v>
      </c>
      <c r="C19" s="469">
        <f>Input!G258</f>
        <v>0</v>
      </c>
      <c r="D19" s="470">
        <f>Input!H258</f>
        <v>0</v>
      </c>
      <c r="E19" s="433"/>
      <c r="F19" s="471">
        <f>Input!H258</f>
        <v>0</v>
      </c>
      <c r="G19" s="450"/>
      <c r="J19" s="231"/>
      <c r="K19" s="231"/>
    </row>
    <row r="20" spans="2:11" hidden="1" x14ac:dyDescent="0.25">
      <c r="B20" s="402" t="s">
        <v>731</v>
      </c>
      <c r="C20" s="469">
        <f>Input!G259</f>
        <v>0</v>
      </c>
      <c r="D20" s="470">
        <f>Input!H259</f>
        <v>0</v>
      </c>
      <c r="E20" s="433"/>
      <c r="F20" s="471">
        <f>Input!H259</f>
        <v>0</v>
      </c>
      <c r="G20" s="450"/>
      <c r="J20" s="231"/>
      <c r="K20" s="231"/>
    </row>
    <row r="21" spans="2:11" hidden="1" x14ac:dyDescent="0.25">
      <c r="B21" s="402" t="s">
        <v>734</v>
      </c>
      <c r="C21" s="469">
        <f>Input!G260</f>
        <v>0</v>
      </c>
      <c r="D21" s="470">
        <f>Input!H260</f>
        <v>0</v>
      </c>
      <c r="E21" s="433"/>
      <c r="F21" s="471">
        <f>Input!H260</f>
        <v>0</v>
      </c>
      <c r="G21" s="450"/>
      <c r="J21" s="231"/>
      <c r="K21" s="231"/>
    </row>
    <row r="22" spans="2:11" hidden="1" x14ac:dyDescent="0.25">
      <c r="B22" s="402" t="s">
        <v>730</v>
      </c>
      <c r="C22" s="469">
        <f>Input!G261</f>
        <v>0</v>
      </c>
      <c r="D22" s="470">
        <f>Input!H261</f>
        <v>0</v>
      </c>
      <c r="E22" s="433"/>
      <c r="F22" s="471">
        <f>Input!H261</f>
        <v>0</v>
      </c>
      <c r="G22" s="450"/>
      <c r="J22" s="231"/>
      <c r="K22" s="231"/>
    </row>
    <row r="23" spans="2:11" hidden="1" x14ac:dyDescent="0.25">
      <c r="B23" s="402" t="s">
        <v>728</v>
      </c>
      <c r="C23" s="469">
        <f>Input!G262</f>
        <v>0</v>
      </c>
      <c r="D23" s="470">
        <f>Input!H262</f>
        <v>0</v>
      </c>
      <c r="E23" s="433"/>
      <c r="F23" s="471">
        <f>Input!H262</f>
        <v>0</v>
      </c>
      <c r="G23" s="450"/>
      <c r="J23" s="231"/>
      <c r="K23" s="231"/>
    </row>
    <row r="24" spans="2:11" hidden="1" x14ac:dyDescent="0.25">
      <c r="B24" s="402" t="s">
        <v>159</v>
      </c>
      <c r="C24" s="469">
        <f>Input!G263</f>
        <v>0</v>
      </c>
      <c r="D24" s="470">
        <f>Input!H263</f>
        <v>0</v>
      </c>
      <c r="E24" s="433"/>
      <c r="F24" s="471">
        <f>Input!H263</f>
        <v>0</v>
      </c>
      <c r="G24" s="450"/>
      <c r="J24" s="231"/>
      <c r="K24" s="231"/>
    </row>
    <row r="25" spans="2:11" hidden="1" x14ac:dyDescent="0.25">
      <c r="B25" s="402" t="s">
        <v>732</v>
      </c>
      <c r="C25" s="469">
        <f>Input!G264</f>
        <v>0</v>
      </c>
      <c r="D25" s="470">
        <f>Input!H264</f>
        <v>0</v>
      </c>
      <c r="E25" s="433"/>
      <c r="F25" s="471">
        <f>Input!H264</f>
        <v>0</v>
      </c>
      <c r="G25" s="450"/>
      <c r="J25" s="231"/>
      <c r="K25" s="231"/>
    </row>
    <row r="26" spans="2:11" hidden="1" x14ac:dyDescent="0.25">
      <c r="B26" s="402" t="s">
        <v>733</v>
      </c>
      <c r="C26" s="469">
        <f>Input!G265</f>
        <v>0</v>
      </c>
      <c r="D26" s="470">
        <f>Input!H265</f>
        <v>0</v>
      </c>
      <c r="E26" s="434"/>
      <c r="F26" s="471">
        <f>Input!H265</f>
        <v>0</v>
      </c>
      <c r="G26" s="450"/>
      <c r="J26" s="231"/>
      <c r="K26" s="231"/>
    </row>
    <row r="27" spans="2:11" hidden="1" x14ac:dyDescent="0.25">
      <c r="B27" s="402" t="s">
        <v>160</v>
      </c>
      <c r="C27" s="469">
        <f>Input!G266</f>
        <v>0</v>
      </c>
      <c r="D27" s="470">
        <f>Input!H266</f>
        <v>0</v>
      </c>
      <c r="E27" s="434"/>
      <c r="F27" s="471">
        <f>Input!H266</f>
        <v>0</v>
      </c>
      <c r="G27" s="450"/>
      <c r="J27" s="231"/>
      <c r="K27" s="231"/>
    </row>
    <row r="28" spans="2:11" hidden="1" x14ac:dyDescent="0.25">
      <c r="B28" s="402" t="s">
        <v>729</v>
      </c>
      <c r="C28" s="469">
        <f>Input!G267</f>
        <v>0</v>
      </c>
      <c r="D28" s="470">
        <f>Input!H267</f>
        <v>0</v>
      </c>
      <c r="E28" s="434"/>
      <c r="F28" s="471">
        <f>Input!H267</f>
        <v>0</v>
      </c>
      <c r="G28" s="450"/>
      <c r="J28" s="231"/>
      <c r="K28" s="231"/>
    </row>
    <row r="29" spans="2:11" x14ac:dyDescent="0.25">
      <c r="B29" s="479" t="s">
        <v>367</v>
      </c>
      <c r="C29" s="479"/>
      <c r="D29" s="479"/>
      <c r="F29" s="562"/>
      <c r="G29" s="211"/>
      <c r="H29" s="211"/>
      <c r="I29" s="211"/>
      <c r="J29" s="566"/>
      <c r="K29" s="566"/>
    </row>
    <row r="30" spans="2:11" ht="15" customHeight="1" x14ac:dyDescent="0.25">
      <c r="B30" s="402" t="s">
        <v>343</v>
      </c>
      <c r="C30" s="428">
        <f>Input!B236</f>
        <v>88961</v>
      </c>
      <c r="D30" s="425">
        <f>Input!D236</f>
        <v>108984</v>
      </c>
      <c r="F30" s="427">
        <f>Input!E236</f>
        <v>108984</v>
      </c>
      <c r="G30" s="450"/>
      <c r="J30" s="231"/>
      <c r="K30" s="231"/>
    </row>
    <row r="31" spans="2:11" x14ac:dyDescent="0.25">
      <c r="B31" s="402" t="s">
        <v>366</v>
      </c>
      <c r="C31" s="428">
        <f>Input!B242</f>
        <v>852</v>
      </c>
      <c r="D31" s="425">
        <f>Input!D242</f>
        <v>1015</v>
      </c>
      <c r="F31" s="427">
        <f>Input!E242</f>
        <v>1015</v>
      </c>
      <c r="G31" s="450"/>
      <c r="J31" s="231"/>
      <c r="K31" s="231"/>
    </row>
    <row r="32" spans="2:11" x14ac:dyDescent="0.25">
      <c r="B32" s="402" t="s">
        <v>365</v>
      </c>
      <c r="C32" s="429">
        <f>Input!B244</f>
        <v>0</v>
      </c>
      <c r="D32" s="431">
        <f>Input!D244</f>
        <v>0</v>
      </c>
      <c r="E32" s="426"/>
      <c r="F32" s="430">
        <f>Input!E244</f>
        <v>0</v>
      </c>
      <c r="G32" s="450"/>
      <c r="J32" s="231"/>
      <c r="K32" s="231"/>
    </row>
    <row r="33" spans="2:11" x14ac:dyDescent="0.25">
      <c r="B33" s="409" t="s">
        <v>368</v>
      </c>
      <c r="C33" s="428">
        <f>Input!B246</f>
        <v>89813</v>
      </c>
      <c r="D33" s="425">
        <f>Input!D246</f>
        <v>109999</v>
      </c>
      <c r="F33" s="427">
        <f>Input!E246</f>
        <v>109999</v>
      </c>
      <c r="G33" s="450"/>
      <c r="J33" s="231"/>
      <c r="K33" s="231"/>
    </row>
    <row r="34" spans="2:11" ht="7.5" customHeight="1" x14ac:dyDescent="0.25">
      <c r="B34" s="310"/>
      <c r="C34" s="228"/>
      <c r="D34" s="228"/>
      <c r="F34" s="275"/>
      <c r="J34" s="381"/>
    </row>
    <row r="35" spans="2:11" x14ac:dyDescent="0.25">
      <c r="B35" s="1274" t="s">
        <v>144</v>
      </c>
      <c r="C35" s="1274"/>
      <c r="D35" s="1274"/>
      <c r="F35" s="274"/>
      <c r="J35" s="381"/>
    </row>
    <row r="36" spans="2:11" x14ac:dyDescent="0.25">
      <c r="B36" s="1275" t="s">
        <v>1172</v>
      </c>
      <c r="C36" s="1276"/>
      <c r="D36" s="1276"/>
      <c r="E36" s="1276"/>
      <c r="F36" s="1277"/>
      <c r="J36" s="381"/>
    </row>
    <row r="37" spans="2:11" ht="7.5" customHeight="1" x14ac:dyDescent="0.25">
      <c r="B37" s="380"/>
      <c r="C37" s="238"/>
      <c r="D37" s="238"/>
      <c r="F37" s="275"/>
      <c r="J37" s="381"/>
    </row>
    <row r="38" spans="2:11" x14ac:dyDescent="0.25">
      <c r="B38" s="1274" t="s">
        <v>145</v>
      </c>
      <c r="C38" s="1274"/>
      <c r="D38" s="1274"/>
      <c r="F38" s="275"/>
      <c r="J38" s="381"/>
    </row>
    <row r="39" spans="2:11" x14ac:dyDescent="0.25">
      <c r="B39" s="1275" t="s">
        <v>1172</v>
      </c>
      <c r="C39" s="1276"/>
      <c r="D39" s="1276"/>
      <c r="E39" s="1276"/>
      <c r="F39" s="1277"/>
      <c r="J39" s="381"/>
    </row>
    <row r="40" spans="2:11" ht="7.5" customHeight="1" x14ac:dyDescent="0.25">
      <c r="B40" s="310"/>
      <c r="C40" s="228"/>
      <c r="D40" s="228"/>
      <c r="F40" s="275"/>
      <c r="J40" s="381"/>
    </row>
    <row r="41" spans="2:11" x14ac:dyDescent="0.25">
      <c r="B41" s="523" t="s">
        <v>72</v>
      </c>
      <c r="C41" s="524" t="s">
        <v>62</v>
      </c>
      <c r="D41" s="525" t="s">
        <v>63</v>
      </c>
      <c r="F41" s="526" t="s">
        <v>146</v>
      </c>
      <c r="J41" s="527" t="s">
        <v>1002</v>
      </c>
      <c r="K41" s="527" t="s">
        <v>363</v>
      </c>
    </row>
    <row r="42" spans="2:11" x14ac:dyDescent="0.25">
      <c r="B42" s="400" t="s">
        <v>73</v>
      </c>
      <c r="C42" s="711" t="s">
        <v>1033</v>
      </c>
      <c r="D42" s="390" t="s">
        <v>1033</v>
      </c>
      <c r="F42" s="413"/>
      <c r="G42" s="450" t="str">
        <f t="shared" ref="G42:G105" si="0">IF(OR(TRIM(D42)&lt;&gt;"",TRIM(F42)&lt;&gt;""),IF(AND(TRIM(D42)&lt;&gt;"",TRIM(F42)&lt;&gt;""),IF(OR(TRIM(C42)&lt;&gt;TRIM(D42),TRIM(C42)&lt;&gt;TRIM(F42)),"_",""),IF(TRIM(C42)&lt;&gt;TRIM(D42), "_", "")),"")</f>
        <v/>
      </c>
      <c r="J42" s="231"/>
      <c r="K42" s="231"/>
    </row>
    <row r="43" spans="2:11" ht="15" customHeight="1" x14ac:dyDescent="0.25">
      <c r="B43" s="400" t="s">
        <v>74</v>
      </c>
      <c r="C43" s="711" t="s">
        <v>1342</v>
      </c>
      <c r="D43" s="390" t="s">
        <v>1342</v>
      </c>
      <c r="F43" s="413"/>
      <c r="G43" s="450" t="str">
        <f t="shared" si="0"/>
        <v/>
      </c>
      <c r="J43" s="231"/>
      <c r="K43" s="231"/>
    </row>
    <row r="44" spans="2:11" x14ac:dyDescent="0.25">
      <c r="B44" s="400" t="s">
        <v>151</v>
      </c>
      <c r="C44" s="711" t="s">
        <v>1035</v>
      </c>
      <c r="D44" s="390" t="s">
        <v>1035</v>
      </c>
      <c r="F44" s="413"/>
      <c r="G44" s="450" t="str">
        <f t="shared" si="0"/>
        <v/>
      </c>
      <c r="J44" s="231"/>
      <c r="K44" s="231"/>
    </row>
    <row r="45" spans="2:11" x14ac:dyDescent="0.25">
      <c r="B45" s="400" t="s">
        <v>152</v>
      </c>
      <c r="C45" s="711" t="s">
        <v>284</v>
      </c>
      <c r="D45" s="390" t="s">
        <v>284</v>
      </c>
      <c r="F45" s="413"/>
      <c r="G45" s="450" t="str">
        <f t="shared" si="0"/>
        <v/>
      </c>
      <c r="J45" s="231"/>
      <c r="K45" s="231"/>
    </row>
    <row r="46" spans="2:11" x14ac:dyDescent="0.25">
      <c r="B46" s="400" t="s">
        <v>77</v>
      </c>
      <c r="C46" s="711" t="s">
        <v>871</v>
      </c>
      <c r="D46" s="390" t="s">
        <v>871</v>
      </c>
      <c r="F46" s="436"/>
      <c r="G46" s="450" t="str">
        <f t="shared" si="0"/>
        <v/>
      </c>
      <c r="J46" s="232"/>
      <c r="K46" s="232"/>
    </row>
    <row r="47" spans="2:11" hidden="1" x14ac:dyDescent="0.25">
      <c r="B47" s="665" t="s">
        <v>877</v>
      </c>
      <c r="C47" s="438"/>
      <c r="D47" s="439"/>
      <c r="F47" s="440"/>
      <c r="G47" s="450" t="str">
        <f t="shared" si="0"/>
        <v/>
      </c>
      <c r="J47" s="447"/>
      <c r="K47" s="447"/>
    </row>
    <row r="48" spans="2:11" ht="25.5" hidden="1" x14ac:dyDescent="0.25">
      <c r="B48" s="595" t="s">
        <v>745</v>
      </c>
      <c r="C48" s="438">
        <v>8601</v>
      </c>
      <c r="D48" s="439">
        <v>8601</v>
      </c>
      <c r="F48" s="440">
        <v>8601</v>
      </c>
      <c r="G48" s="450" t="str">
        <f t="shared" si="0"/>
        <v/>
      </c>
      <c r="J48" s="447"/>
      <c r="K48" s="447"/>
    </row>
    <row r="49" spans="2:11" hidden="1" x14ac:dyDescent="0.25">
      <c r="B49" s="595" t="s">
        <v>532</v>
      </c>
      <c r="C49" s="598">
        <v>1</v>
      </c>
      <c r="D49" s="599">
        <v>1</v>
      </c>
      <c r="F49" s="600">
        <v>1</v>
      </c>
      <c r="G49" s="450" t="str">
        <f t="shared" si="0"/>
        <v/>
      </c>
      <c r="J49" s="447"/>
      <c r="K49" s="447"/>
    </row>
    <row r="50" spans="2:11" hidden="1" x14ac:dyDescent="0.25">
      <c r="B50" s="595" t="s">
        <v>703</v>
      </c>
      <c r="C50" s="601">
        <v>1000000</v>
      </c>
      <c r="D50" s="602">
        <v>1000000</v>
      </c>
      <c r="F50" s="603">
        <v>1000000</v>
      </c>
      <c r="G50" s="450" t="str">
        <f t="shared" si="0"/>
        <v/>
      </c>
      <c r="J50" s="447"/>
      <c r="K50" s="447"/>
    </row>
    <row r="51" spans="2:11" hidden="1" x14ac:dyDescent="0.25">
      <c r="B51" s="595" t="s">
        <v>746</v>
      </c>
      <c r="C51" s="438">
        <v>8603</v>
      </c>
      <c r="D51" s="439">
        <v>8603</v>
      </c>
      <c r="F51" s="440">
        <v>8603</v>
      </c>
      <c r="G51" s="450" t="str">
        <f t="shared" si="0"/>
        <v/>
      </c>
      <c r="J51" s="447"/>
      <c r="K51" s="447"/>
    </row>
    <row r="52" spans="2:11" hidden="1" x14ac:dyDescent="0.25">
      <c r="B52" s="595" t="s">
        <v>532</v>
      </c>
      <c r="C52" s="598">
        <v>1</v>
      </c>
      <c r="D52" s="599">
        <v>1</v>
      </c>
      <c r="F52" s="600">
        <v>1</v>
      </c>
      <c r="G52" s="450" t="str">
        <f t="shared" si="0"/>
        <v/>
      </c>
      <c r="J52" s="447"/>
      <c r="K52" s="447"/>
    </row>
    <row r="53" spans="2:11" hidden="1" x14ac:dyDescent="0.25">
      <c r="B53" s="595" t="s">
        <v>703</v>
      </c>
      <c r="C53" s="601">
        <v>1000000</v>
      </c>
      <c r="D53" s="602">
        <v>1000000</v>
      </c>
      <c r="F53" s="603">
        <v>1000000</v>
      </c>
      <c r="G53" s="450" t="str">
        <f t="shared" si="0"/>
        <v/>
      </c>
      <c r="J53" s="447"/>
      <c r="K53" s="447"/>
    </row>
    <row r="54" spans="2:11" ht="15" hidden="1" customHeight="1" x14ac:dyDescent="0.25">
      <c r="B54" s="595" t="s">
        <v>747</v>
      </c>
      <c r="C54" s="438">
        <v>8810</v>
      </c>
      <c r="D54" s="439">
        <v>8810</v>
      </c>
      <c r="F54" s="440">
        <v>8810</v>
      </c>
      <c r="G54" s="450" t="str">
        <f t="shared" si="0"/>
        <v/>
      </c>
      <c r="J54" s="447"/>
      <c r="K54" s="447"/>
    </row>
    <row r="55" spans="2:11" hidden="1" x14ac:dyDescent="0.25">
      <c r="B55" s="595" t="s">
        <v>532</v>
      </c>
      <c r="C55" s="598">
        <v>1</v>
      </c>
      <c r="D55" s="599">
        <v>1</v>
      </c>
      <c r="F55" s="600">
        <v>1</v>
      </c>
      <c r="G55" s="450" t="str">
        <f t="shared" si="0"/>
        <v/>
      </c>
      <c r="J55" s="447"/>
      <c r="K55" s="447"/>
    </row>
    <row r="56" spans="2:11" hidden="1" x14ac:dyDescent="0.25">
      <c r="B56" s="595" t="s">
        <v>703</v>
      </c>
      <c r="C56" s="601">
        <v>1000000</v>
      </c>
      <c r="D56" s="602">
        <v>1000000</v>
      </c>
      <c r="F56" s="603">
        <v>1000000</v>
      </c>
      <c r="G56" s="450" t="str">
        <f t="shared" si="0"/>
        <v/>
      </c>
      <c r="J56" s="447"/>
      <c r="K56" s="447"/>
    </row>
    <row r="57" spans="2:11" x14ac:dyDescent="0.25">
      <c r="B57" s="383" t="s">
        <v>388</v>
      </c>
      <c r="C57" s="604">
        <v>390</v>
      </c>
      <c r="D57" s="476">
        <v>390</v>
      </c>
      <c r="F57" s="605"/>
      <c r="G57" s="450" t="str">
        <f t="shared" si="0"/>
        <v/>
      </c>
      <c r="J57" s="445"/>
      <c r="K57" s="445"/>
    </row>
    <row r="58" spans="2:11" x14ac:dyDescent="0.25">
      <c r="B58" s="400" t="s">
        <v>390</v>
      </c>
      <c r="C58" s="459" t="s">
        <v>157</v>
      </c>
      <c r="D58" s="692" t="s">
        <v>157</v>
      </c>
      <c r="F58" s="413"/>
      <c r="G58" s="450" t="str">
        <f t="shared" si="0"/>
        <v/>
      </c>
      <c r="J58" s="231"/>
      <c r="K58" s="231"/>
    </row>
    <row r="59" spans="2:11" hidden="1" x14ac:dyDescent="0.25">
      <c r="B59" s="368" t="s">
        <v>726</v>
      </c>
      <c r="C59" s="435"/>
      <c r="D59" s="391"/>
      <c r="F59" s="436"/>
      <c r="G59" s="450" t="str">
        <f t="shared" si="0"/>
        <v/>
      </c>
      <c r="J59" s="232"/>
      <c r="K59" s="232"/>
    </row>
    <row r="60" spans="2:11" hidden="1" x14ac:dyDescent="0.25">
      <c r="B60" s="441" t="s">
        <v>722</v>
      </c>
      <c r="C60" s="806" t="s">
        <v>391</v>
      </c>
      <c r="D60" s="776" t="s">
        <v>391</v>
      </c>
      <c r="F60" s="440"/>
      <c r="G60" s="450" t="str">
        <f t="shared" si="0"/>
        <v/>
      </c>
      <c r="J60" s="447"/>
      <c r="K60" s="447"/>
    </row>
    <row r="61" spans="2:11" hidden="1" x14ac:dyDescent="0.25">
      <c r="B61" s="441" t="s">
        <v>723</v>
      </c>
      <c r="C61" s="806" t="s">
        <v>391</v>
      </c>
      <c r="D61" s="776" t="s">
        <v>391</v>
      </c>
      <c r="F61" s="440"/>
      <c r="G61" s="450" t="str">
        <f t="shared" si="0"/>
        <v/>
      </c>
      <c r="J61" s="447"/>
      <c r="K61" s="447"/>
    </row>
    <row r="62" spans="2:11" hidden="1" x14ac:dyDescent="0.25">
      <c r="B62" s="441" t="s">
        <v>724</v>
      </c>
      <c r="C62" s="816" t="s">
        <v>157</v>
      </c>
      <c r="D62" s="748" t="s">
        <v>157</v>
      </c>
      <c r="F62" s="440"/>
      <c r="G62" s="450" t="str">
        <f t="shared" si="0"/>
        <v/>
      </c>
      <c r="J62" s="447"/>
      <c r="K62" s="447"/>
    </row>
    <row r="63" spans="2:11" hidden="1" x14ac:dyDescent="0.25">
      <c r="B63" s="441" t="s">
        <v>725</v>
      </c>
      <c r="C63" s="806" t="s">
        <v>391</v>
      </c>
      <c r="D63" s="776" t="s">
        <v>391</v>
      </c>
      <c r="F63" s="443"/>
      <c r="G63" s="450" t="str">
        <f t="shared" si="0"/>
        <v/>
      </c>
      <c r="J63" s="445"/>
      <c r="K63" s="445"/>
    </row>
    <row r="64" spans="2:11" x14ac:dyDescent="0.25">
      <c r="B64" s="446" t="s">
        <v>398</v>
      </c>
      <c r="C64" s="807" t="s">
        <v>391</v>
      </c>
      <c r="D64" s="787" t="s">
        <v>391</v>
      </c>
      <c r="F64" s="413"/>
      <c r="G64" s="450" t="str">
        <f t="shared" si="0"/>
        <v/>
      </c>
      <c r="J64" s="231"/>
      <c r="K64" s="231"/>
    </row>
    <row r="65" spans="2:11" ht="15" customHeight="1" x14ac:dyDescent="0.25">
      <c r="B65" s="446" t="s">
        <v>424</v>
      </c>
      <c r="C65" s="807" t="s">
        <v>391</v>
      </c>
      <c r="D65" s="787" t="s">
        <v>391</v>
      </c>
      <c r="F65" s="413"/>
      <c r="G65" s="450" t="str">
        <f t="shared" si="0"/>
        <v/>
      </c>
      <c r="J65" s="231"/>
      <c r="K65" s="231"/>
    </row>
    <row r="66" spans="2:11" x14ac:dyDescent="0.25">
      <c r="B66" s="400" t="s">
        <v>161</v>
      </c>
      <c r="C66" s="456" t="s">
        <v>391</v>
      </c>
      <c r="D66" s="797" t="s">
        <v>391</v>
      </c>
      <c r="F66" s="413"/>
      <c r="G66" s="450" t="str">
        <f t="shared" si="0"/>
        <v/>
      </c>
      <c r="J66" s="231"/>
      <c r="K66" s="231"/>
    </row>
    <row r="67" spans="2:11" x14ac:dyDescent="0.25">
      <c r="B67" s="400" t="s">
        <v>162</v>
      </c>
      <c r="C67" s="459" t="s">
        <v>157</v>
      </c>
      <c r="D67" s="692" t="s">
        <v>157</v>
      </c>
      <c r="F67" s="413"/>
      <c r="G67" s="450" t="str">
        <f t="shared" si="0"/>
        <v/>
      </c>
      <c r="J67" s="231"/>
      <c r="K67" s="231"/>
    </row>
    <row r="68" spans="2:11" x14ac:dyDescent="0.25">
      <c r="B68" s="400" t="s">
        <v>163</v>
      </c>
      <c r="C68" s="456" t="s">
        <v>391</v>
      </c>
      <c r="D68" s="797" t="s">
        <v>391</v>
      </c>
      <c r="F68" s="413"/>
      <c r="G68" s="450" t="str">
        <f t="shared" si="0"/>
        <v/>
      </c>
      <c r="J68" s="231"/>
      <c r="K68" s="231"/>
    </row>
    <row r="69" spans="2:11" hidden="1" x14ac:dyDescent="0.25">
      <c r="B69" s="722" t="s">
        <v>1103</v>
      </c>
      <c r="C69" s="435"/>
      <c r="D69" s="391"/>
      <c r="E69" s="530"/>
      <c r="F69" s="436"/>
      <c r="G69" s="450" t="str">
        <f t="shared" si="0"/>
        <v/>
      </c>
      <c r="H69" s="16"/>
      <c r="I69" s="586"/>
      <c r="J69" s="232"/>
      <c r="K69" s="232"/>
    </row>
    <row r="70" spans="2:11" hidden="1" x14ac:dyDescent="0.25">
      <c r="B70" s="441" t="s">
        <v>712</v>
      </c>
      <c r="C70" s="438"/>
      <c r="D70" s="439"/>
      <c r="E70" s="530"/>
      <c r="F70" s="440"/>
      <c r="G70" s="450" t="str">
        <f t="shared" si="0"/>
        <v/>
      </c>
      <c r="H70" s="16"/>
      <c r="I70" s="586"/>
      <c r="J70" s="447"/>
      <c r="K70" s="447"/>
    </row>
    <row r="71" spans="2:11" hidden="1" x14ac:dyDescent="0.25">
      <c r="B71" s="441" t="s">
        <v>713</v>
      </c>
      <c r="C71" s="438"/>
      <c r="D71" s="439"/>
      <c r="E71" s="530"/>
      <c r="F71" s="440"/>
      <c r="G71" s="450" t="str">
        <f t="shared" si="0"/>
        <v/>
      </c>
      <c r="H71" s="16"/>
      <c r="I71" s="586"/>
      <c r="J71" s="447"/>
      <c r="K71" s="447"/>
    </row>
    <row r="72" spans="2:11" x14ac:dyDescent="0.25">
      <c r="B72" s="368" t="s">
        <v>715</v>
      </c>
      <c r="C72" s="435"/>
      <c r="D72" s="391"/>
      <c r="F72" s="436"/>
      <c r="G72" s="450" t="str">
        <f t="shared" si="0"/>
        <v/>
      </c>
      <c r="H72" s="16"/>
      <c r="I72" s="16"/>
      <c r="J72" s="232"/>
      <c r="K72" s="232"/>
    </row>
    <row r="73" spans="2:11" x14ac:dyDescent="0.25">
      <c r="B73" s="441" t="s">
        <v>712</v>
      </c>
      <c r="C73" s="748" t="s">
        <v>157</v>
      </c>
      <c r="D73" s="748" t="s">
        <v>157</v>
      </c>
      <c r="F73" s="440"/>
      <c r="G73" s="450" t="str">
        <f t="shared" si="0"/>
        <v/>
      </c>
      <c r="H73" s="16"/>
      <c r="I73" s="16"/>
      <c r="J73" s="447"/>
      <c r="K73" s="447"/>
    </row>
    <row r="74" spans="2:11" x14ac:dyDescent="0.25">
      <c r="B74" s="441" t="s">
        <v>713</v>
      </c>
      <c r="C74" s="749" t="s">
        <v>157</v>
      </c>
      <c r="D74" s="749" t="s">
        <v>157</v>
      </c>
      <c r="F74" s="440"/>
      <c r="G74" s="450" t="str">
        <f t="shared" si="0"/>
        <v/>
      </c>
      <c r="H74" s="16"/>
      <c r="I74" s="16"/>
      <c r="J74" s="447"/>
      <c r="K74" s="447"/>
    </row>
    <row r="75" spans="2:11" hidden="1" x14ac:dyDescent="0.25">
      <c r="B75" s="442" t="s">
        <v>714</v>
      </c>
      <c r="C75" s="438"/>
      <c r="D75" s="439"/>
      <c r="F75" s="440"/>
      <c r="G75" s="450" t="str">
        <f t="shared" si="0"/>
        <v/>
      </c>
      <c r="H75" s="16"/>
      <c r="I75" s="16"/>
      <c r="J75" s="447"/>
      <c r="K75" s="447"/>
    </row>
    <row r="76" spans="2:11" hidden="1" x14ac:dyDescent="0.25">
      <c r="B76" s="400" t="s">
        <v>399</v>
      </c>
      <c r="C76" s="412"/>
      <c r="D76" s="390"/>
      <c r="F76" s="413"/>
      <c r="G76" s="450" t="str">
        <f t="shared" si="0"/>
        <v/>
      </c>
      <c r="J76" s="231"/>
      <c r="K76" s="231"/>
    </row>
    <row r="77" spans="2:11" hidden="1" x14ac:dyDescent="0.25">
      <c r="B77" s="400" t="s">
        <v>400</v>
      </c>
      <c r="C77" s="412"/>
      <c r="D77" s="390"/>
      <c r="F77" s="413"/>
      <c r="G77" s="450" t="str">
        <f t="shared" si="0"/>
        <v/>
      </c>
      <c r="J77" s="231"/>
      <c r="K77" s="231"/>
    </row>
    <row r="78" spans="2:11" x14ac:dyDescent="0.25">
      <c r="B78" s="400" t="s">
        <v>420</v>
      </c>
      <c r="C78" s="456" t="s">
        <v>391</v>
      </c>
      <c r="D78" s="797" t="s">
        <v>391</v>
      </c>
      <c r="F78" s="413"/>
      <c r="G78" s="450" t="str">
        <f t="shared" si="0"/>
        <v/>
      </c>
      <c r="J78" s="231"/>
      <c r="K78" s="231"/>
    </row>
    <row r="79" spans="2:11" x14ac:dyDescent="0.25">
      <c r="B79" s="400" t="s">
        <v>421</v>
      </c>
      <c r="C79" s="456" t="s">
        <v>391</v>
      </c>
      <c r="D79" s="797" t="s">
        <v>391</v>
      </c>
      <c r="F79" s="413"/>
      <c r="G79" s="450" t="str">
        <f t="shared" si="0"/>
        <v/>
      </c>
      <c r="J79" s="231"/>
      <c r="K79" s="231"/>
    </row>
    <row r="80" spans="2:11" ht="7.5" customHeight="1" x14ac:dyDescent="0.25">
      <c r="B80" s="310"/>
      <c r="C80" s="228"/>
      <c r="D80" s="228"/>
      <c r="F80" s="275"/>
      <c r="G80" s="450" t="str">
        <f t="shared" si="0"/>
        <v/>
      </c>
      <c r="J80" s="381"/>
    </row>
    <row r="81" spans="2:11" x14ac:dyDescent="0.25">
      <c r="B81" s="523" t="s">
        <v>103</v>
      </c>
      <c r="C81" s="524" t="s">
        <v>62</v>
      </c>
      <c r="D81" s="525" t="s">
        <v>63</v>
      </c>
      <c r="F81" s="526" t="s">
        <v>146</v>
      </c>
      <c r="G81" s="450" t="str">
        <f t="shared" si="0"/>
        <v>_</v>
      </c>
      <c r="J81" s="527" t="s">
        <v>1002</v>
      </c>
      <c r="K81" s="527" t="s">
        <v>363</v>
      </c>
    </row>
    <row r="82" spans="2:11" ht="45" customHeight="1" x14ac:dyDescent="0.25">
      <c r="B82" s="446" t="s">
        <v>515</v>
      </c>
      <c r="C82" s="817" t="s">
        <v>1053</v>
      </c>
      <c r="D82" s="828" t="s">
        <v>1053</v>
      </c>
      <c r="F82" s="443"/>
      <c r="G82" s="450" t="str">
        <f t="shared" si="0"/>
        <v/>
      </c>
      <c r="H82" s="450"/>
      <c r="I82" s="450"/>
      <c r="J82" s="231"/>
      <c r="K82" s="231"/>
    </row>
    <row r="83" spans="2:11" ht="30" customHeight="1" x14ac:dyDescent="0.25">
      <c r="B83" s="446" t="s">
        <v>542</v>
      </c>
      <c r="C83" s="817" t="s">
        <v>1053</v>
      </c>
      <c r="D83" s="828" t="s">
        <v>1053</v>
      </c>
      <c r="F83" s="443"/>
      <c r="G83" s="450" t="str">
        <f t="shared" si="0"/>
        <v/>
      </c>
      <c r="H83" s="450"/>
      <c r="I83" s="450"/>
      <c r="J83" s="231"/>
      <c r="K83" s="231"/>
    </row>
    <row r="84" spans="2:11" ht="30" customHeight="1" x14ac:dyDescent="0.25">
      <c r="B84" s="446" t="s">
        <v>517</v>
      </c>
      <c r="C84" s="817" t="s">
        <v>1053</v>
      </c>
      <c r="D84" s="828" t="s">
        <v>1053</v>
      </c>
      <c r="F84" s="443"/>
      <c r="G84" s="450" t="str">
        <f t="shared" si="0"/>
        <v/>
      </c>
      <c r="H84" s="450"/>
      <c r="I84" s="450"/>
      <c r="J84" s="231"/>
      <c r="K84" s="231"/>
    </row>
    <row r="85" spans="2:11" ht="45" customHeight="1" x14ac:dyDescent="0.25">
      <c r="B85" s="446" t="s">
        <v>518</v>
      </c>
      <c r="C85" s="817" t="s">
        <v>1053</v>
      </c>
      <c r="D85" s="828" t="s">
        <v>1053</v>
      </c>
      <c r="F85" s="443"/>
      <c r="G85" s="450" t="str">
        <f t="shared" si="0"/>
        <v/>
      </c>
      <c r="H85" s="450"/>
      <c r="I85" s="450"/>
      <c r="J85" s="231"/>
      <c r="K85" s="231"/>
    </row>
    <row r="86" spans="2:11" ht="45" customHeight="1" x14ac:dyDescent="0.25">
      <c r="B86" s="446" t="s">
        <v>519</v>
      </c>
      <c r="C86" s="817" t="s">
        <v>1053</v>
      </c>
      <c r="D86" s="828" t="s">
        <v>1053</v>
      </c>
      <c r="F86" s="443"/>
      <c r="G86" s="450" t="str">
        <f t="shared" si="0"/>
        <v/>
      </c>
      <c r="H86" s="450"/>
      <c r="I86" s="450"/>
      <c r="J86" s="231"/>
      <c r="K86" s="231"/>
    </row>
    <row r="87" spans="2:11" x14ac:dyDescent="0.25">
      <c r="B87" s="446" t="s">
        <v>520</v>
      </c>
      <c r="C87" s="817" t="s">
        <v>1053</v>
      </c>
      <c r="D87" s="828" t="s">
        <v>1053</v>
      </c>
      <c r="F87" s="443"/>
      <c r="G87" s="450" t="str">
        <f t="shared" si="0"/>
        <v/>
      </c>
      <c r="H87" s="450"/>
      <c r="I87" s="450"/>
      <c r="J87" s="231"/>
      <c r="K87" s="231"/>
    </row>
    <row r="88" spans="2:11" ht="75" customHeight="1" x14ac:dyDescent="0.25">
      <c r="B88" s="446" t="s">
        <v>521</v>
      </c>
      <c r="C88" s="817" t="s">
        <v>1053</v>
      </c>
      <c r="D88" s="828" t="s">
        <v>1053</v>
      </c>
      <c r="F88" s="443"/>
      <c r="G88" s="450" t="str">
        <f t="shared" si="0"/>
        <v/>
      </c>
      <c r="H88" s="450"/>
      <c r="I88" s="450"/>
      <c r="J88" s="231"/>
      <c r="K88" s="231"/>
    </row>
    <row r="89" spans="2:11" ht="30" customHeight="1" x14ac:dyDescent="0.25">
      <c r="B89" s="446" t="s">
        <v>522</v>
      </c>
      <c r="C89" s="817" t="s">
        <v>1053</v>
      </c>
      <c r="D89" s="828" t="s">
        <v>1053</v>
      </c>
      <c r="F89" s="443"/>
      <c r="G89" s="450" t="str">
        <f t="shared" si="0"/>
        <v/>
      </c>
      <c r="H89" s="450"/>
      <c r="I89" s="450"/>
      <c r="J89" s="231"/>
      <c r="K89" s="231"/>
    </row>
    <row r="90" spans="2:11" ht="15" customHeight="1" x14ac:dyDescent="0.25">
      <c r="B90" s="400" t="s">
        <v>523</v>
      </c>
      <c r="C90" s="817" t="s">
        <v>1053</v>
      </c>
      <c r="D90" s="828" t="s">
        <v>1053</v>
      </c>
      <c r="F90" s="413"/>
      <c r="G90" s="450" t="str">
        <f t="shared" si="0"/>
        <v/>
      </c>
      <c r="H90" s="450"/>
      <c r="I90" s="450"/>
      <c r="J90" s="231"/>
      <c r="K90" s="231"/>
    </row>
    <row r="91" spans="2:11" ht="7.5" customHeight="1" x14ac:dyDescent="0.25">
      <c r="B91" s="211"/>
      <c r="C91" s="228"/>
      <c r="D91" s="228"/>
      <c r="F91" s="228"/>
      <c r="G91" s="450" t="str">
        <f t="shared" si="0"/>
        <v/>
      </c>
      <c r="H91" s="450"/>
      <c r="I91" s="450"/>
      <c r="J91" s="381"/>
    </row>
    <row r="92" spans="2:11" x14ac:dyDescent="0.25">
      <c r="B92" s="528" t="s">
        <v>359</v>
      </c>
      <c r="C92" s="524" t="s">
        <v>62</v>
      </c>
      <c r="D92" s="525" t="s">
        <v>63</v>
      </c>
      <c r="F92" s="526" t="s">
        <v>146</v>
      </c>
      <c r="G92" s="450" t="str">
        <f t="shared" si="0"/>
        <v>_</v>
      </c>
      <c r="H92" s="211"/>
      <c r="I92" s="211"/>
      <c r="J92" s="527" t="s">
        <v>1002</v>
      </c>
      <c r="K92" s="527" t="s">
        <v>363</v>
      </c>
    </row>
    <row r="93" spans="2:11" x14ac:dyDescent="0.25">
      <c r="B93" s="673" t="s">
        <v>1343</v>
      </c>
      <c r="C93" s="711" t="s">
        <v>1353</v>
      </c>
      <c r="D93" s="390" t="s">
        <v>1353</v>
      </c>
      <c r="F93" s="413"/>
      <c r="G93" s="450" t="str">
        <f t="shared" si="0"/>
        <v/>
      </c>
      <c r="H93" s="211"/>
      <c r="I93" s="211"/>
      <c r="J93" s="231"/>
      <c r="K93" s="231"/>
    </row>
    <row r="94" spans="2:11" x14ac:dyDescent="0.25">
      <c r="B94" s="722" t="s">
        <v>1344</v>
      </c>
      <c r="C94" s="711" t="s">
        <v>1354</v>
      </c>
      <c r="D94" s="390" t="s">
        <v>1354</v>
      </c>
      <c r="F94" s="413"/>
      <c r="G94" s="450" t="str">
        <f t="shared" si="0"/>
        <v/>
      </c>
      <c r="H94" s="211"/>
      <c r="I94" s="211"/>
      <c r="J94" s="231"/>
      <c r="K94" s="231"/>
    </row>
    <row r="95" spans="2:11" x14ac:dyDescent="0.25">
      <c r="B95" s="722" t="s">
        <v>1345</v>
      </c>
      <c r="C95" s="711" t="s">
        <v>1355</v>
      </c>
      <c r="D95" s="390" t="s">
        <v>1355</v>
      </c>
      <c r="F95" s="413"/>
      <c r="G95" s="450" t="str">
        <f t="shared" si="0"/>
        <v/>
      </c>
      <c r="H95" s="211"/>
      <c r="I95" s="211"/>
      <c r="J95" s="231"/>
      <c r="K95" s="231"/>
    </row>
    <row r="96" spans="2:11" x14ac:dyDescent="0.25">
      <c r="B96" s="673" t="s">
        <v>1347</v>
      </c>
      <c r="C96" s="711" t="s">
        <v>1357</v>
      </c>
      <c r="D96" s="390" t="s">
        <v>1357</v>
      </c>
      <c r="E96" s="16"/>
      <c r="F96" s="413"/>
      <c r="G96" s="450" t="str">
        <f t="shared" si="0"/>
        <v/>
      </c>
      <c r="H96" s="211"/>
      <c r="I96" s="211"/>
      <c r="J96" s="231"/>
      <c r="K96" s="231"/>
    </row>
    <row r="97" spans="2:11" x14ac:dyDescent="0.25">
      <c r="B97" s="673" t="s">
        <v>1347</v>
      </c>
      <c r="C97" s="711" t="s">
        <v>1358</v>
      </c>
      <c r="D97" s="390" t="s">
        <v>1358</v>
      </c>
      <c r="E97" s="16"/>
      <c r="F97" s="413"/>
      <c r="G97" s="450" t="str">
        <f t="shared" si="0"/>
        <v/>
      </c>
      <c r="H97" s="211"/>
      <c r="I97" s="211"/>
      <c r="J97" s="231"/>
      <c r="K97" s="231"/>
    </row>
    <row r="98" spans="2:11" ht="15" customHeight="1" x14ac:dyDescent="0.25">
      <c r="B98" s="722" t="s">
        <v>1348</v>
      </c>
      <c r="C98" s="711" t="s">
        <v>1359</v>
      </c>
      <c r="D98" s="390" t="s">
        <v>1359</v>
      </c>
      <c r="E98" s="16"/>
      <c r="F98" s="413"/>
      <c r="G98" s="450" t="str">
        <f t="shared" si="0"/>
        <v/>
      </c>
      <c r="H98" s="211"/>
      <c r="I98" s="211"/>
      <c r="J98" s="231"/>
      <c r="K98" s="231"/>
    </row>
    <row r="99" spans="2:11" x14ac:dyDescent="0.25">
      <c r="B99" s="673" t="s">
        <v>1349</v>
      </c>
      <c r="C99" s="711" t="s">
        <v>1360</v>
      </c>
      <c r="D99" s="390" t="s">
        <v>1360</v>
      </c>
      <c r="E99" s="16"/>
      <c r="F99" s="413"/>
      <c r="G99" s="450" t="str">
        <f t="shared" si="0"/>
        <v/>
      </c>
      <c r="H99" s="211"/>
      <c r="I99" s="211"/>
      <c r="J99" s="231"/>
      <c r="K99" s="231"/>
    </row>
    <row r="100" spans="2:11" ht="30" customHeight="1" x14ac:dyDescent="0.25">
      <c r="B100" s="673" t="s">
        <v>1774</v>
      </c>
      <c r="C100" s="711" t="s">
        <v>1361</v>
      </c>
      <c r="D100" s="390" t="s">
        <v>1361</v>
      </c>
      <c r="E100" s="16"/>
      <c r="F100" s="413"/>
      <c r="G100" s="450" t="str">
        <f t="shared" si="0"/>
        <v/>
      </c>
      <c r="H100" s="211"/>
      <c r="I100" s="211"/>
      <c r="J100" s="231"/>
      <c r="K100" s="231"/>
    </row>
    <row r="101" spans="2:11" x14ac:dyDescent="0.25">
      <c r="B101" s="673" t="s">
        <v>1350</v>
      </c>
      <c r="C101" s="711" t="s">
        <v>1362</v>
      </c>
      <c r="D101" s="390" t="s">
        <v>1362</v>
      </c>
      <c r="E101" s="16"/>
      <c r="F101" s="413"/>
      <c r="G101" s="450" t="str">
        <f t="shared" si="0"/>
        <v/>
      </c>
      <c r="H101" s="211"/>
      <c r="I101" s="211"/>
      <c r="J101" s="231"/>
      <c r="K101" s="231"/>
    </row>
    <row r="102" spans="2:11" ht="15.75" customHeight="1" x14ac:dyDescent="0.25">
      <c r="B102" s="722" t="s">
        <v>1773</v>
      </c>
      <c r="C102" s="711" t="s">
        <v>1363</v>
      </c>
      <c r="D102" s="390" t="s">
        <v>1363</v>
      </c>
      <c r="E102" s="16"/>
      <c r="F102" s="413"/>
      <c r="G102" s="450" t="str">
        <f t="shared" si="0"/>
        <v/>
      </c>
      <c r="H102" s="211"/>
      <c r="I102" s="211"/>
      <c r="J102" s="231"/>
      <c r="K102" s="231"/>
    </row>
    <row r="103" spans="2:11" x14ac:dyDescent="0.25">
      <c r="B103" s="722" t="s">
        <v>1351</v>
      </c>
      <c r="C103" s="711" t="s">
        <v>1364</v>
      </c>
      <c r="D103" s="390" t="s">
        <v>1364</v>
      </c>
      <c r="E103" s="16"/>
      <c r="F103" s="413"/>
      <c r="G103" s="450" t="str">
        <f t="shared" si="0"/>
        <v/>
      </c>
      <c r="H103" s="211"/>
      <c r="I103" s="211"/>
      <c r="J103" s="231"/>
      <c r="K103" s="231"/>
    </row>
    <row r="104" spans="2:11" x14ac:dyDescent="0.25">
      <c r="B104" s="673" t="s">
        <v>1352</v>
      </c>
      <c r="C104" s="711" t="s">
        <v>1365</v>
      </c>
      <c r="D104" s="390" t="s">
        <v>1365</v>
      </c>
      <c r="E104" s="16"/>
      <c r="F104" s="413"/>
      <c r="G104" s="450" t="str">
        <f t="shared" si="0"/>
        <v/>
      </c>
      <c r="H104" s="211"/>
      <c r="I104" s="211"/>
      <c r="J104" s="231"/>
      <c r="K104" s="231"/>
    </row>
    <row r="105" spans="2:11" x14ac:dyDescent="0.25">
      <c r="B105" s="368"/>
      <c r="C105" s="412"/>
      <c r="D105" s="390"/>
      <c r="E105" s="16"/>
      <c r="F105" s="413"/>
      <c r="G105" s="450" t="str">
        <f t="shared" si="0"/>
        <v/>
      </c>
      <c r="H105" s="211"/>
      <c r="I105" s="211"/>
      <c r="J105" s="231"/>
      <c r="K105" s="231"/>
    </row>
    <row r="106" spans="2:11" x14ac:dyDescent="0.25">
      <c r="B106" s="368"/>
      <c r="C106" s="412"/>
      <c r="D106" s="390"/>
      <c r="E106" s="16"/>
      <c r="F106" s="413"/>
      <c r="G106" s="228" t="str">
        <f t="shared" ref="G106:G108" si="1">IF(OR(TRIM(D106)&lt;&gt;"",TRIM(F106)&lt;&gt;""),IF(AND(TRIM(D106)&lt;&gt;"",TRIM(F106)&lt;&gt;""),IF(OR(TRIM(C106)&lt;&gt;TRIM(D106),TRIM(C106)&lt;&gt;TRIM(F106)),"_",""),IF(TRIM(C106)&lt;&gt;TRIM(D106), "_", "")),"")</f>
        <v/>
      </c>
      <c r="H106" s="211"/>
      <c r="I106" s="211"/>
      <c r="J106" s="231"/>
      <c r="K106" s="231"/>
    </row>
    <row r="107" spans="2:11" x14ac:dyDescent="0.25">
      <c r="B107" s="368"/>
      <c r="C107" s="412"/>
      <c r="D107" s="390"/>
      <c r="E107" s="16"/>
      <c r="F107" s="413"/>
      <c r="G107" s="228" t="str">
        <f t="shared" si="1"/>
        <v/>
      </c>
      <c r="H107" s="211"/>
      <c r="I107" s="211"/>
      <c r="J107" s="231"/>
      <c r="K107" s="231"/>
    </row>
    <row r="108" spans="2:11" x14ac:dyDescent="0.25">
      <c r="B108" s="368"/>
      <c r="C108" s="412"/>
      <c r="D108" s="390"/>
      <c r="E108" s="16"/>
      <c r="F108" s="413"/>
      <c r="G108" s="228" t="str">
        <f t="shared" si="1"/>
        <v/>
      </c>
      <c r="H108" s="211"/>
      <c r="I108" s="211"/>
      <c r="J108" s="231"/>
      <c r="K108" s="231"/>
    </row>
    <row r="109" spans="2:11" x14ac:dyDescent="0.25">
      <c r="B109" s="368"/>
      <c r="C109" s="412"/>
      <c r="D109" s="390"/>
      <c r="E109" s="16"/>
    </row>
    <row r="110" spans="2:11" x14ac:dyDescent="0.25">
      <c r="B110" s="368"/>
      <c r="C110" s="412"/>
      <c r="D110" s="390"/>
      <c r="E110" s="16"/>
    </row>
    <row r="111" spans="2:11" x14ac:dyDescent="0.25">
      <c r="B111" s="368"/>
      <c r="C111" s="412"/>
      <c r="D111" s="390"/>
      <c r="E111" s="16"/>
    </row>
    <row r="112" spans="2:11" x14ac:dyDescent="0.25">
      <c r="B112" s="368"/>
      <c r="C112" s="412"/>
      <c r="D112" s="390"/>
      <c r="E112" s="16"/>
    </row>
    <row r="113" spans="2:5" x14ac:dyDescent="0.25">
      <c r="B113" s="368"/>
      <c r="C113" s="412"/>
      <c r="D113" s="390"/>
    </row>
    <row r="114" spans="2:5" x14ac:dyDescent="0.25">
      <c r="B114" s="368"/>
      <c r="C114" s="412"/>
      <c r="D114" s="390"/>
      <c r="E114" s="16"/>
    </row>
    <row r="115" spans="2:5" x14ac:dyDescent="0.25">
      <c r="B115" s="368"/>
      <c r="C115" s="412"/>
      <c r="D115" s="390"/>
      <c r="E115" s="16"/>
    </row>
    <row r="116" spans="2:5" x14ac:dyDescent="0.25">
      <c r="B116" s="368"/>
      <c r="C116" s="412"/>
      <c r="D116" s="390"/>
      <c r="E116" s="16"/>
    </row>
    <row r="117" spans="2:5" x14ac:dyDescent="0.25">
      <c r="B117" s="368"/>
      <c r="C117" s="412"/>
      <c r="D117" s="390"/>
      <c r="E117" s="16"/>
    </row>
    <row r="118" spans="2:5" x14ac:dyDescent="0.25">
      <c r="B118" s="368"/>
      <c r="C118" s="412"/>
      <c r="D118" s="390"/>
      <c r="E118" s="16"/>
    </row>
    <row r="119" spans="2:5" x14ac:dyDescent="0.25">
      <c r="B119" s="368"/>
      <c r="E119" s="16"/>
    </row>
    <row r="120" spans="2:5" x14ac:dyDescent="0.25">
      <c r="B120" s="368"/>
      <c r="E120" s="16"/>
    </row>
    <row r="121" spans="2:5" x14ac:dyDescent="0.25">
      <c r="B121" s="368"/>
      <c r="E121" s="16"/>
    </row>
    <row r="122" spans="2:5" x14ac:dyDescent="0.25">
      <c r="B122" s="368"/>
      <c r="E122" s="16"/>
    </row>
    <row r="123" spans="2:5" x14ac:dyDescent="0.25">
      <c r="B123" s="368"/>
      <c r="E123" s="16"/>
    </row>
    <row r="124" spans="2:5" x14ac:dyDescent="0.25">
      <c r="B124" s="368"/>
      <c r="E124" s="16"/>
    </row>
    <row r="125" spans="2:5" x14ac:dyDescent="0.25">
      <c r="E125" s="16"/>
    </row>
    <row r="126" spans="2:5" x14ac:dyDescent="0.25">
      <c r="E126" s="16"/>
    </row>
    <row r="127" spans="2:5" x14ac:dyDescent="0.25">
      <c r="E127" s="16"/>
    </row>
    <row r="128" spans="2:5" x14ac:dyDescent="0.25">
      <c r="E128" s="16"/>
    </row>
    <row r="129" spans="5:5" x14ac:dyDescent="0.25">
      <c r="E129" s="16"/>
    </row>
    <row r="130" spans="5:5" x14ac:dyDescent="0.25">
      <c r="E130" s="16"/>
    </row>
    <row r="131" spans="5:5" x14ac:dyDescent="0.25">
      <c r="E131" s="16"/>
    </row>
    <row r="132" spans="5:5" x14ac:dyDescent="0.25">
      <c r="E132" s="16"/>
    </row>
    <row r="133" spans="5:5" x14ac:dyDescent="0.25">
      <c r="E133" s="16"/>
    </row>
    <row r="134" spans="5:5" x14ac:dyDescent="0.25">
      <c r="E134" s="16"/>
    </row>
    <row r="135" spans="5:5" x14ac:dyDescent="0.25">
      <c r="E135" s="16"/>
    </row>
  </sheetData>
  <mergeCells count="4">
    <mergeCell ref="B35:D35"/>
    <mergeCell ref="B38:D38"/>
    <mergeCell ref="B36:F36"/>
    <mergeCell ref="B39:F39"/>
  </mergeCells>
  <conditionalFormatting sqref="G1:G16 G24 G27 G18 G30:G1048576">
    <cfRule type="cellIs" dxfId="189" priority="53" operator="equal">
      <formula>"_"</formula>
    </cfRule>
  </conditionalFormatting>
  <conditionalFormatting sqref="G42:G105">
    <cfRule type="cellIs" dxfId="188" priority="52" operator="equal">
      <formula>"_"</formula>
    </cfRule>
  </conditionalFormatting>
  <conditionalFormatting sqref="G42:G105">
    <cfRule type="cellIs" dxfId="187" priority="51" operator="equal">
      <formula>"_"</formula>
    </cfRule>
  </conditionalFormatting>
  <conditionalFormatting sqref="G42:G105">
    <cfRule type="cellIs" dxfId="186" priority="50" operator="equal">
      <formula>"_"</formula>
    </cfRule>
  </conditionalFormatting>
  <conditionalFormatting sqref="G109:G1048576">
    <cfRule type="cellIs" dxfId="185" priority="46" operator="equal">
      <formula>"_"</formula>
    </cfRule>
  </conditionalFormatting>
  <conditionalFormatting sqref="G5:G16 G24 G30:G33 G27 G18">
    <cfRule type="cellIs" dxfId="184" priority="42" operator="equal">
      <formula>"_"</formula>
    </cfRule>
  </conditionalFormatting>
  <conditionalFormatting sqref="G5:G16 G24 G30:G33 G27 G18">
    <cfRule type="cellIs" dxfId="183" priority="41" operator="equal">
      <formula>"_"</formula>
    </cfRule>
  </conditionalFormatting>
  <conditionalFormatting sqref="G5:G16 G24 G30:G33 G27 G18">
    <cfRule type="cellIs" dxfId="182" priority="40" operator="equal">
      <formula>"_"</formula>
    </cfRule>
  </conditionalFormatting>
  <conditionalFormatting sqref="G23">
    <cfRule type="cellIs" dxfId="181" priority="38" operator="equal">
      <formula>"_"</formula>
    </cfRule>
  </conditionalFormatting>
  <conditionalFormatting sqref="G23">
    <cfRule type="cellIs" dxfId="180" priority="37" operator="equal">
      <formula>"_"</formula>
    </cfRule>
  </conditionalFormatting>
  <conditionalFormatting sqref="G23">
    <cfRule type="cellIs" dxfId="179" priority="36" operator="equal">
      <formula>"_"</formula>
    </cfRule>
  </conditionalFormatting>
  <conditionalFormatting sqref="G23">
    <cfRule type="cellIs" dxfId="178" priority="35" operator="equal">
      <formula>"_"</formula>
    </cfRule>
  </conditionalFormatting>
  <conditionalFormatting sqref="G28">
    <cfRule type="cellIs" dxfId="177" priority="34" operator="equal">
      <formula>"_"</formula>
    </cfRule>
  </conditionalFormatting>
  <conditionalFormatting sqref="G28">
    <cfRule type="cellIs" dxfId="176" priority="33" operator="equal">
      <formula>"_"</formula>
    </cfRule>
  </conditionalFormatting>
  <conditionalFormatting sqref="G28">
    <cfRule type="cellIs" dxfId="175" priority="32" operator="equal">
      <formula>"_"</formula>
    </cfRule>
  </conditionalFormatting>
  <conditionalFormatting sqref="G28">
    <cfRule type="cellIs" dxfId="174" priority="31" operator="equal">
      <formula>"_"</formula>
    </cfRule>
  </conditionalFormatting>
  <conditionalFormatting sqref="G22">
    <cfRule type="cellIs" dxfId="173" priority="30" operator="equal">
      <formula>"_"</formula>
    </cfRule>
  </conditionalFormatting>
  <conditionalFormatting sqref="G22">
    <cfRule type="cellIs" dxfId="172" priority="29" operator="equal">
      <formula>"_"</formula>
    </cfRule>
  </conditionalFormatting>
  <conditionalFormatting sqref="G22">
    <cfRule type="cellIs" dxfId="171" priority="28" operator="equal">
      <formula>"_"</formula>
    </cfRule>
  </conditionalFormatting>
  <conditionalFormatting sqref="G22">
    <cfRule type="cellIs" dxfId="170" priority="27" operator="equal">
      <formula>"_"</formula>
    </cfRule>
  </conditionalFormatting>
  <conditionalFormatting sqref="G20">
    <cfRule type="cellIs" dxfId="169" priority="26" operator="equal">
      <formula>"_"</formula>
    </cfRule>
  </conditionalFormatting>
  <conditionalFormatting sqref="G20">
    <cfRule type="cellIs" dxfId="168" priority="25" operator="equal">
      <formula>"_"</formula>
    </cfRule>
  </conditionalFormatting>
  <conditionalFormatting sqref="G20">
    <cfRule type="cellIs" dxfId="167" priority="24" operator="equal">
      <formula>"_"</formula>
    </cfRule>
  </conditionalFormatting>
  <conditionalFormatting sqref="G20">
    <cfRule type="cellIs" dxfId="166" priority="23" operator="equal">
      <formula>"_"</formula>
    </cfRule>
  </conditionalFormatting>
  <conditionalFormatting sqref="G25">
    <cfRule type="cellIs" dxfId="165" priority="22" operator="equal">
      <formula>"_"</formula>
    </cfRule>
  </conditionalFormatting>
  <conditionalFormatting sqref="G25">
    <cfRule type="cellIs" dxfId="164" priority="21" operator="equal">
      <formula>"_"</formula>
    </cfRule>
  </conditionalFormatting>
  <conditionalFormatting sqref="G25">
    <cfRule type="cellIs" dxfId="163" priority="20" operator="equal">
      <formula>"_"</formula>
    </cfRule>
  </conditionalFormatting>
  <conditionalFormatting sqref="G25">
    <cfRule type="cellIs" dxfId="162" priority="19" operator="equal">
      <formula>"_"</formula>
    </cfRule>
  </conditionalFormatting>
  <conditionalFormatting sqref="G26">
    <cfRule type="cellIs" dxfId="161" priority="18" operator="equal">
      <formula>"_"</formula>
    </cfRule>
  </conditionalFormatting>
  <conditionalFormatting sqref="G26">
    <cfRule type="cellIs" dxfId="160" priority="17" operator="equal">
      <formula>"_"</formula>
    </cfRule>
  </conditionalFormatting>
  <conditionalFormatting sqref="G26">
    <cfRule type="cellIs" dxfId="159" priority="16" operator="equal">
      <formula>"_"</formula>
    </cfRule>
  </conditionalFormatting>
  <conditionalFormatting sqref="G26">
    <cfRule type="cellIs" dxfId="158" priority="15" operator="equal">
      <formula>"_"</formula>
    </cfRule>
  </conditionalFormatting>
  <conditionalFormatting sqref="G21">
    <cfRule type="cellIs" dxfId="157" priority="14" operator="equal">
      <formula>"_"</formula>
    </cfRule>
  </conditionalFormatting>
  <conditionalFormatting sqref="G21">
    <cfRule type="cellIs" dxfId="156" priority="13" operator="equal">
      <formula>"_"</formula>
    </cfRule>
  </conditionalFormatting>
  <conditionalFormatting sqref="G21">
    <cfRule type="cellIs" dxfId="155" priority="12" operator="equal">
      <formula>"_"</formula>
    </cfRule>
  </conditionalFormatting>
  <conditionalFormatting sqref="G21">
    <cfRule type="cellIs" dxfId="154" priority="11" operator="equal">
      <formula>"_"</formula>
    </cfRule>
  </conditionalFormatting>
  <conditionalFormatting sqref="G19">
    <cfRule type="cellIs" dxfId="153" priority="10" operator="equal">
      <formula>"_"</formula>
    </cfRule>
  </conditionalFormatting>
  <conditionalFormatting sqref="G19">
    <cfRule type="cellIs" dxfId="152" priority="9" operator="equal">
      <formula>"_"</formula>
    </cfRule>
  </conditionalFormatting>
  <conditionalFormatting sqref="G19">
    <cfRule type="cellIs" dxfId="151" priority="8" operator="equal">
      <formula>"_"</formula>
    </cfRule>
  </conditionalFormatting>
  <conditionalFormatting sqref="G19">
    <cfRule type="cellIs" dxfId="150" priority="7" operator="equal">
      <formula>"_"</formula>
    </cfRule>
  </conditionalFormatting>
  <conditionalFormatting sqref="G17">
    <cfRule type="cellIs" dxfId="149" priority="6" operator="equal">
      <formula>"_"</formula>
    </cfRule>
  </conditionalFormatting>
  <conditionalFormatting sqref="G29">
    <cfRule type="cellIs" dxfId="148" priority="3"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Workers Compensation</oddHeader>
    <oddFooter>&amp;L&amp;G&amp;CPage &amp;P of &amp;N</oddFooter>
  </headerFooter>
  <rowBreaks count="2" manualBreakCount="2">
    <brk id="40" min="1" max="3" man="1"/>
    <brk id="90" min="1" max="3" man="1"/>
  </rowBreaks>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pageSetUpPr fitToPage="1"/>
  </sheetPr>
  <dimension ref="B1:M123"/>
  <sheetViews>
    <sheetView showGridLines="0" view="pageBreakPreview" zoomScale="115" zoomScaleNormal="100" zoomScaleSheetLayoutView="115" workbookViewId="0">
      <selection activeCell="D104" sqref="D104"/>
    </sheetView>
  </sheetViews>
  <sheetFormatPr defaultColWidth="9.140625" defaultRowHeight="15" x14ac:dyDescent="0.25"/>
  <cols>
    <col min="1" max="1" width="2.28515625" style="16" customWidth="1"/>
    <col min="2" max="2" width="47.85546875" style="16" customWidth="1"/>
    <col min="3" max="4" width="16.42578125" style="450" customWidth="1"/>
    <col min="5" max="5" width="5.7109375" style="228" customWidth="1"/>
    <col min="6" max="6" width="16.42578125" style="451" customWidth="1"/>
    <col min="7" max="7" width="6.140625" style="452" customWidth="1"/>
    <col min="8" max="9" width="2.85546875" style="452" customWidth="1"/>
    <col min="10" max="10" width="32.140625" style="452" customWidth="1"/>
    <col min="11" max="11" width="32.140625" style="381" customWidth="1"/>
    <col min="12" max="12" width="9.140625" style="16" customWidth="1"/>
    <col min="13" max="13" width="25" style="16" customWidth="1"/>
    <col min="14" max="53" width="9.140625" style="16" customWidth="1"/>
    <col min="54" max="16384" width="9.140625" style="16"/>
  </cols>
  <sheetData>
    <row r="1" spans="2:13" ht="7.5" customHeight="1" x14ac:dyDescent="0.25">
      <c r="E1" s="450"/>
    </row>
    <row r="2" spans="2:13" ht="15.75" x14ac:dyDescent="0.25">
      <c r="B2" s="453" t="str">
        <f>Input!B269</f>
        <v>Workers Compensation - CA Only</v>
      </c>
      <c r="E2" s="450"/>
      <c r="H2" s="454"/>
      <c r="I2" s="455"/>
      <c r="J2" s="455"/>
      <c r="L2" s="456" t="s">
        <v>391</v>
      </c>
      <c r="M2" s="381" t="s">
        <v>361</v>
      </c>
    </row>
    <row r="3" spans="2:13" x14ac:dyDescent="0.25">
      <c r="D3" s="455" t="str">
        <f xml:space="preserve"> IF(Input!D273=Input!G273,CHAR(254), "")</f>
        <v/>
      </c>
      <c r="E3" s="457"/>
      <c r="F3" s="458" t="str">
        <f xml:space="preserve"> IF(Input!E273=Input!G273,CHAR(254),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 customHeight="1" x14ac:dyDescent="0.25">
      <c r="B5" s="409" t="s">
        <v>60</v>
      </c>
      <c r="C5" s="412" t="str">
        <f>Input!B274</f>
        <v>The Continental Insurance Company (CNA)</v>
      </c>
      <c r="D5" s="390" t="str">
        <f>Input!D274</f>
        <v>The Continental Insurance Company (CNA)</v>
      </c>
      <c r="F5" s="413" t="str">
        <f>Input!E274</f>
        <v>The Continental Insurance Company (CNA)</v>
      </c>
      <c r="J5" s="231"/>
      <c r="K5" s="231"/>
    </row>
    <row r="6" spans="2:13" x14ac:dyDescent="0.25">
      <c r="B6" s="409" t="s">
        <v>69</v>
      </c>
      <c r="C6" s="412" t="str">
        <f>Input!B276</f>
        <v>A: XV</v>
      </c>
      <c r="D6" s="390" t="str">
        <f>Input!D276</f>
        <v>A: XV</v>
      </c>
      <c r="F6" s="413" t="str">
        <f>Input!E276</f>
        <v>A: XV</v>
      </c>
      <c r="J6" s="231"/>
      <c r="K6" s="231"/>
    </row>
    <row r="7" spans="2:13" x14ac:dyDescent="0.25">
      <c r="B7" s="409" t="str">
        <f>Input!B272</f>
        <v>Renewal Policy Number</v>
      </c>
      <c r="C7" s="711">
        <f>Input!C271</f>
        <v>6080910868</v>
      </c>
      <c r="D7" s="390">
        <f>Input!C272</f>
        <v>6080910868</v>
      </c>
      <c r="F7" s="413">
        <f>Input!C272</f>
        <v>6080910868</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09" t="str">
        <f>Input!B298</f>
        <v>Workers Compensation</v>
      </c>
      <c r="C9" s="398" t="str">
        <f>Input!C298</f>
        <v>Statutory Benefit</v>
      </c>
      <c r="D9" s="425" t="str">
        <f>Input!D298</f>
        <v>Statutory Benefit</v>
      </c>
      <c r="E9" s="414"/>
      <c r="F9" s="427">
        <f>Input!E298</f>
        <v>0</v>
      </c>
      <c r="J9" s="231"/>
      <c r="K9" s="231"/>
    </row>
    <row r="10" spans="2:13" x14ac:dyDescent="0.25">
      <c r="B10" s="409" t="str">
        <f>Input!B299</f>
        <v>States Scheduled under Part One (WC)</v>
      </c>
      <c r="C10" s="412" t="str">
        <f>Input!C299</f>
        <v>CA</v>
      </c>
      <c r="D10" s="390" t="str">
        <f>Input!D299</f>
        <v>CA</v>
      </c>
      <c r="E10" s="414"/>
      <c r="F10" s="413">
        <f>Input!E299</f>
        <v>0</v>
      </c>
      <c r="J10" s="231"/>
      <c r="K10" s="231"/>
    </row>
    <row r="11" spans="2:13" ht="30" customHeight="1" x14ac:dyDescent="0.25">
      <c r="B11" s="400" t="str">
        <f>Input!B300</f>
        <v>Part Two - Employer's Liability - Bodily Injury By Accident - Each Accident</v>
      </c>
      <c r="C11" s="398">
        <f>Input!C300</f>
        <v>1000000</v>
      </c>
      <c r="D11" s="425">
        <f>Input!D300</f>
        <v>1000000</v>
      </c>
      <c r="E11" s="414"/>
      <c r="F11" s="427">
        <f>Input!E300</f>
        <v>0</v>
      </c>
      <c r="J11" s="231"/>
      <c r="K11" s="231"/>
    </row>
    <row r="12" spans="2:13" ht="30" customHeight="1" x14ac:dyDescent="0.25">
      <c r="B12" s="400" t="str">
        <f>Input!B301</f>
        <v>Part Two - Employer's Liability - Bodily Injury By Disease - Each Employee</v>
      </c>
      <c r="C12" s="398">
        <f>Input!C301</f>
        <v>1000000</v>
      </c>
      <c r="D12" s="425">
        <f>Input!D301</f>
        <v>1000000</v>
      </c>
      <c r="E12" s="414"/>
      <c r="F12" s="427">
        <f>Input!E301</f>
        <v>0</v>
      </c>
      <c r="J12" s="231"/>
      <c r="K12" s="231"/>
    </row>
    <row r="13" spans="2:13" ht="30" customHeight="1" x14ac:dyDescent="0.25">
      <c r="B13" s="400" t="str">
        <f>Input!B302</f>
        <v>Part Two - Employer's Liability - Bodily Injury By Disease - Policy Limit</v>
      </c>
      <c r="C13" s="398">
        <f>Input!C302</f>
        <v>1000000</v>
      </c>
      <c r="D13" s="425">
        <f>Input!D302</f>
        <v>1000000</v>
      </c>
      <c r="E13" s="414"/>
      <c r="F13" s="427">
        <f>Input!E302</f>
        <v>0</v>
      </c>
      <c r="J13" s="231"/>
      <c r="K13" s="231"/>
    </row>
    <row r="14" spans="2:13" ht="63.75" x14ac:dyDescent="0.25">
      <c r="B14" s="400" t="str">
        <f>Input!B303</f>
        <v>Other States Insurance Part Three</v>
      </c>
      <c r="C14" s="398" t="str">
        <f>Input!C303</f>
        <v>All States except those listed above in Part One and monopolistic states</v>
      </c>
      <c r="D14" s="425" t="str">
        <f>Input!D303</f>
        <v>All States except those listed above in Part One and monopolistic states</v>
      </c>
      <c r="E14" s="414"/>
      <c r="F14" s="427">
        <f>Input!E303</f>
        <v>0</v>
      </c>
      <c r="J14" s="231"/>
      <c r="K14" s="231"/>
    </row>
    <row r="15" spans="2:13" x14ac:dyDescent="0.25">
      <c r="B15" s="409" t="str">
        <f>Input!B304</f>
        <v>Deductible</v>
      </c>
      <c r="C15" s="398">
        <f>Input!C304</f>
        <v>0</v>
      </c>
      <c r="D15" s="425">
        <f>Input!D304</f>
        <v>0</v>
      </c>
      <c r="F15" s="427">
        <f>Input!E304</f>
        <v>0</v>
      </c>
      <c r="J15" s="231"/>
      <c r="K15" s="231"/>
    </row>
    <row r="16" spans="2:13" hidden="1" x14ac:dyDescent="0.25">
      <c r="B16" s="409" t="s">
        <v>394</v>
      </c>
      <c r="C16" s="469">
        <f>Input!G298</f>
        <v>0</v>
      </c>
      <c r="D16" s="470">
        <f>Input!H298</f>
        <v>0</v>
      </c>
      <c r="E16" s="238"/>
      <c r="F16" s="471">
        <f>Input!H298</f>
        <v>0</v>
      </c>
      <c r="J16" s="231"/>
      <c r="K16" s="231"/>
    </row>
    <row r="17" spans="2:11" hidden="1" x14ac:dyDescent="0.25">
      <c r="B17" s="574" t="s">
        <v>744</v>
      </c>
      <c r="C17" s="574"/>
      <c r="D17" s="574"/>
      <c r="E17" s="414"/>
      <c r="F17" s="562"/>
      <c r="G17" s="228"/>
      <c r="H17" s="211"/>
      <c r="I17" s="211"/>
      <c r="J17" s="575"/>
      <c r="K17" s="575"/>
    </row>
    <row r="18" spans="2:11" x14ac:dyDescent="0.25">
      <c r="B18" s="402" t="s">
        <v>158</v>
      </c>
      <c r="C18" s="469">
        <f>Input!G299</f>
        <v>0.82</v>
      </c>
      <c r="D18" s="470">
        <f>Input!H299</f>
        <v>0.81</v>
      </c>
      <c r="E18" s="432"/>
      <c r="F18" s="471">
        <f>Input!H299</f>
        <v>0.81</v>
      </c>
      <c r="G18" s="450"/>
      <c r="J18" s="231"/>
      <c r="K18" s="231"/>
    </row>
    <row r="19" spans="2:11" hidden="1" x14ac:dyDescent="0.25">
      <c r="B19" s="402" t="s">
        <v>735</v>
      </c>
      <c r="C19" s="469">
        <f>Input!G300</f>
        <v>0</v>
      </c>
      <c r="D19" s="470">
        <f>Input!H300</f>
        <v>0</v>
      </c>
      <c r="E19" s="433"/>
      <c r="F19" s="471">
        <f>Input!H300</f>
        <v>0</v>
      </c>
      <c r="G19" s="450"/>
      <c r="J19" s="231"/>
      <c r="K19" s="231"/>
    </row>
    <row r="20" spans="2:11" hidden="1" x14ac:dyDescent="0.25">
      <c r="B20" s="402" t="s">
        <v>731</v>
      </c>
      <c r="C20" s="469">
        <f>Input!G301</f>
        <v>0</v>
      </c>
      <c r="D20" s="470">
        <f>Input!H301</f>
        <v>0</v>
      </c>
      <c r="E20" s="433"/>
      <c r="F20" s="471">
        <f>Input!H301</f>
        <v>0</v>
      </c>
      <c r="G20" s="450"/>
      <c r="J20" s="231"/>
      <c r="K20" s="231"/>
    </row>
    <row r="21" spans="2:11" hidden="1" x14ac:dyDescent="0.25">
      <c r="B21" s="402" t="s">
        <v>734</v>
      </c>
      <c r="C21" s="469">
        <f>Input!G302</f>
        <v>0</v>
      </c>
      <c r="D21" s="470">
        <f>Input!H302</f>
        <v>0</v>
      </c>
      <c r="E21" s="433"/>
      <c r="F21" s="471">
        <f>Input!H302</f>
        <v>0</v>
      </c>
      <c r="G21" s="450"/>
      <c r="J21" s="231"/>
      <c r="K21" s="231"/>
    </row>
    <row r="22" spans="2:11" hidden="1" x14ac:dyDescent="0.25">
      <c r="B22" s="402" t="s">
        <v>730</v>
      </c>
      <c r="C22" s="469">
        <f>Input!G303</f>
        <v>0</v>
      </c>
      <c r="D22" s="470">
        <f>Input!H303</f>
        <v>0</v>
      </c>
      <c r="E22" s="433"/>
      <c r="F22" s="471">
        <f>Input!H303</f>
        <v>0</v>
      </c>
      <c r="G22" s="450"/>
      <c r="J22" s="231"/>
      <c r="K22" s="231"/>
    </row>
    <row r="23" spans="2:11" hidden="1" x14ac:dyDescent="0.25">
      <c r="B23" s="402" t="s">
        <v>728</v>
      </c>
      <c r="C23" s="469">
        <f>Input!G304</f>
        <v>0</v>
      </c>
      <c r="D23" s="470">
        <f>Input!H304</f>
        <v>0</v>
      </c>
      <c r="E23" s="433"/>
      <c r="F23" s="471">
        <f>Input!H304</f>
        <v>0</v>
      </c>
      <c r="G23" s="450"/>
      <c r="J23" s="231"/>
      <c r="K23" s="231"/>
    </row>
    <row r="24" spans="2:11" hidden="1" x14ac:dyDescent="0.25">
      <c r="B24" s="402" t="s">
        <v>159</v>
      </c>
      <c r="C24" s="469">
        <f>Input!G305</f>
        <v>0</v>
      </c>
      <c r="D24" s="470">
        <f>Input!H305</f>
        <v>0</v>
      </c>
      <c r="E24" s="433"/>
      <c r="F24" s="471">
        <f>Input!H305</f>
        <v>0</v>
      </c>
      <c r="G24" s="450"/>
      <c r="J24" s="231"/>
      <c r="K24" s="231"/>
    </row>
    <row r="25" spans="2:11" hidden="1" x14ac:dyDescent="0.25">
      <c r="B25" s="402" t="s">
        <v>732</v>
      </c>
      <c r="C25" s="469">
        <f>Input!G306</f>
        <v>0</v>
      </c>
      <c r="D25" s="470">
        <f>Input!H306</f>
        <v>0</v>
      </c>
      <c r="E25" s="433"/>
      <c r="F25" s="471">
        <f>Input!H306</f>
        <v>0</v>
      </c>
      <c r="G25" s="450"/>
      <c r="J25" s="231"/>
      <c r="K25" s="231"/>
    </row>
    <row r="26" spans="2:11" hidden="1" x14ac:dyDescent="0.25">
      <c r="B26" s="402" t="s">
        <v>733</v>
      </c>
      <c r="C26" s="469">
        <f>Input!G307</f>
        <v>0</v>
      </c>
      <c r="D26" s="470">
        <f>Input!H307</f>
        <v>0</v>
      </c>
      <c r="E26" s="434"/>
      <c r="F26" s="471">
        <f>Input!H307</f>
        <v>0</v>
      </c>
      <c r="G26" s="450"/>
      <c r="J26" s="231"/>
      <c r="K26" s="231"/>
    </row>
    <row r="27" spans="2:11" hidden="1" x14ac:dyDescent="0.25">
      <c r="B27" s="402" t="s">
        <v>160</v>
      </c>
      <c r="C27" s="469">
        <f>Input!G308</f>
        <v>0</v>
      </c>
      <c r="D27" s="470">
        <f>Input!H308</f>
        <v>0</v>
      </c>
      <c r="E27" s="434"/>
      <c r="F27" s="471">
        <f>Input!H308</f>
        <v>0</v>
      </c>
      <c r="G27" s="450"/>
      <c r="J27" s="231"/>
      <c r="K27" s="231"/>
    </row>
    <row r="28" spans="2:11" hidden="1" x14ac:dyDescent="0.25">
      <c r="B28" s="402" t="s">
        <v>729</v>
      </c>
      <c r="C28" s="469">
        <f>Input!G309</f>
        <v>0</v>
      </c>
      <c r="D28" s="470">
        <f>Input!H309</f>
        <v>0</v>
      </c>
      <c r="E28" s="434"/>
      <c r="F28" s="471">
        <f>Input!H309</f>
        <v>0</v>
      </c>
      <c r="G28" s="450"/>
      <c r="J28" s="231"/>
      <c r="K28" s="231"/>
    </row>
    <row r="29" spans="2:11" x14ac:dyDescent="0.25">
      <c r="B29" s="479" t="s">
        <v>367</v>
      </c>
      <c r="C29" s="479"/>
      <c r="D29" s="479"/>
      <c r="F29" s="562"/>
      <c r="G29" s="211"/>
      <c r="H29" s="211"/>
      <c r="I29" s="211"/>
      <c r="J29" s="566"/>
      <c r="K29" s="566"/>
    </row>
    <row r="30" spans="2:11" x14ac:dyDescent="0.25">
      <c r="B30" s="402" t="s">
        <v>343</v>
      </c>
      <c r="C30" s="428">
        <f>Input!B278</f>
        <v>3344</v>
      </c>
      <c r="D30" s="425">
        <f>Input!D278</f>
        <v>7995</v>
      </c>
      <c r="F30" s="427">
        <f>Input!E278</f>
        <v>7995</v>
      </c>
      <c r="J30" s="231"/>
      <c r="K30" s="231"/>
    </row>
    <row r="31" spans="2:11" x14ac:dyDescent="0.25">
      <c r="B31" s="402" t="s">
        <v>366</v>
      </c>
      <c r="C31" s="428">
        <f>Input!B284</f>
        <v>198</v>
      </c>
      <c r="D31" s="425">
        <f>Input!D284</f>
        <v>469</v>
      </c>
      <c r="F31" s="427">
        <f>Input!E284</f>
        <v>469</v>
      </c>
      <c r="J31" s="231"/>
      <c r="K31" s="231"/>
    </row>
    <row r="32" spans="2:11" x14ac:dyDescent="0.25">
      <c r="B32" s="402" t="s">
        <v>365</v>
      </c>
      <c r="C32" s="429">
        <f>Input!B286</f>
        <v>0</v>
      </c>
      <c r="D32" s="431">
        <f>Input!D286</f>
        <v>0</v>
      </c>
      <c r="E32" s="426"/>
      <c r="F32" s="430">
        <f>Input!E286</f>
        <v>0</v>
      </c>
      <c r="J32" s="231"/>
      <c r="K32" s="231"/>
    </row>
    <row r="33" spans="2:11" x14ac:dyDescent="0.25">
      <c r="B33" s="409" t="s">
        <v>368</v>
      </c>
      <c r="C33" s="428">
        <f>Input!B288</f>
        <v>3542</v>
      </c>
      <c r="D33" s="425">
        <f>Input!D288</f>
        <v>8464</v>
      </c>
      <c r="F33" s="427">
        <f>Input!E288</f>
        <v>8464</v>
      </c>
      <c r="J33" s="231"/>
      <c r="K33" s="231"/>
    </row>
    <row r="34" spans="2:11" ht="7.5" customHeight="1" x14ac:dyDescent="0.25">
      <c r="B34" s="310"/>
      <c r="C34" s="228"/>
      <c r="D34" s="228"/>
      <c r="F34" s="275"/>
      <c r="J34" s="381"/>
    </row>
    <row r="35" spans="2:11" x14ac:dyDescent="0.25">
      <c r="B35" s="1274" t="s">
        <v>144</v>
      </c>
      <c r="C35" s="1274"/>
      <c r="D35" s="1274"/>
      <c r="F35" s="274"/>
      <c r="J35" s="381"/>
    </row>
    <row r="36" spans="2:11" x14ac:dyDescent="0.25">
      <c r="B36" s="1275" t="s">
        <v>1172</v>
      </c>
      <c r="C36" s="1276"/>
      <c r="D36" s="1276"/>
      <c r="E36" s="1276"/>
      <c r="F36" s="1277"/>
      <c r="J36" s="381"/>
    </row>
    <row r="37" spans="2:11" ht="7.5" customHeight="1" x14ac:dyDescent="0.25">
      <c r="B37" s="380"/>
      <c r="C37" s="238"/>
      <c r="D37" s="238"/>
      <c r="F37" s="275"/>
      <c r="J37" s="381"/>
    </row>
    <row r="38" spans="2:11" x14ac:dyDescent="0.25">
      <c r="B38" s="1274" t="s">
        <v>145</v>
      </c>
      <c r="C38" s="1274"/>
      <c r="D38" s="1274"/>
      <c r="F38" s="275"/>
      <c r="J38" s="381"/>
    </row>
    <row r="39" spans="2:11" x14ac:dyDescent="0.25">
      <c r="B39" s="1275" t="s">
        <v>1172</v>
      </c>
      <c r="C39" s="1276"/>
      <c r="D39" s="1276"/>
      <c r="E39" s="1276"/>
      <c r="F39" s="1277"/>
      <c r="J39" s="381"/>
    </row>
    <row r="40" spans="2:11" ht="7.5" customHeight="1" x14ac:dyDescent="0.25">
      <c r="B40" s="310"/>
      <c r="C40" s="228"/>
      <c r="D40" s="228"/>
      <c r="F40" s="275"/>
      <c r="J40" s="381"/>
    </row>
    <row r="41" spans="2:11" x14ac:dyDescent="0.25">
      <c r="B41" s="523" t="s">
        <v>72</v>
      </c>
      <c r="C41" s="524" t="s">
        <v>62</v>
      </c>
      <c r="D41" s="525" t="s">
        <v>63</v>
      </c>
      <c r="F41" s="526" t="s">
        <v>146</v>
      </c>
      <c r="J41" s="527" t="s">
        <v>1002</v>
      </c>
      <c r="K41" s="527" t="s">
        <v>363</v>
      </c>
    </row>
    <row r="42" spans="2:11" x14ac:dyDescent="0.25">
      <c r="B42" s="400" t="s">
        <v>73</v>
      </c>
      <c r="C42" s="711" t="s">
        <v>1033</v>
      </c>
      <c r="D42" s="712" t="s">
        <v>1033</v>
      </c>
      <c r="F42" s="413"/>
      <c r="G42" s="450" t="str">
        <f t="shared" ref="G42:G101" si="0">IF(OR(TRIM(D42)&lt;&gt;"",TRIM(F42)&lt;&gt;""),IF(AND(TRIM(D42)&lt;&gt;"",TRIM(F42)&lt;&gt;""),IF(OR(TRIM(C42)&lt;&gt;TRIM(D42),TRIM(C42)&lt;&gt;TRIM(F42)),"_",""),IF(TRIM(C42)&lt;&gt;TRIM(D42), "_", "")),"")</f>
        <v/>
      </c>
      <c r="J42" s="231"/>
      <c r="K42" s="231"/>
    </row>
    <row r="43" spans="2:11" ht="15" customHeight="1" x14ac:dyDescent="0.25">
      <c r="B43" s="400" t="s">
        <v>74</v>
      </c>
      <c r="C43" s="711" t="s">
        <v>1342</v>
      </c>
      <c r="D43" s="712" t="s">
        <v>1342</v>
      </c>
      <c r="F43" s="413"/>
      <c r="G43" s="450" t="str">
        <f t="shared" si="0"/>
        <v/>
      </c>
      <c r="J43" s="231"/>
      <c r="K43" s="231"/>
    </row>
    <row r="44" spans="2:11" x14ac:dyDescent="0.25">
      <c r="B44" s="400" t="s">
        <v>151</v>
      </c>
      <c r="C44" s="711" t="s">
        <v>1035</v>
      </c>
      <c r="D44" s="712" t="s">
        <v>1035</v>
      </c>
      <c r="F44" s="413"/>
      <c r="G44" s="450" t="str">
        <f t="shared" si="0"/>
        <v/>
      </c>
      <c r="J44" s="231"/>
      <c r="K44" s="231"/>
    </row>
    <row r="45" spans="2:11" x14ac:dyDescent="0.25">
      <c r="B45" s="400" t="s">
        <v>152</v>
      </c>
      <c r="C45" s="711" t="s">
        <v>284</v>
      </c>
      <c r="D45" s="712" t="s">
        <v>284</v>
      </c>
      <c r="F45" s="413"/>
      <c r="G45" s="450" t="str">
        <f t="shared" si="0"/>
        <v/>
      </c>
      <c r="J45" s="231"/>
      <c r="K45" s="231"/>
    </row>
    <row r="46" spans="2:11" x14ac:dyDescent="0.25">
      <c r="B46" s="400" t="s">
        <v>77</v>
      </c>
      <c r="C46" s="711" t="s">
        <v>871</v>
      </c>
      <c r="D46" s="712" t="s">
        <v>871</v>
      </c>
      <c r="F46" s="436"/>
      <c r="G46" s="450" t="str">
        <f t="shared" si="0"/>
        <v/>
      </c>
      <c r="J46" s="232"/>
      <c r="K46" s="232"/>
    </row>
    <row r="47" spans="2:11" hidden="1" x14ac:dyDescent="0.25">
      <c r="B47" s="597" t="s">
        <v>31</v>
      </c>
      <c r="C47" s="438"/>
      <c r="D47" s="439"/>
      <c r="F47" s="440"/>
      <c r="G47" s="450" t="str">
        <f t="shared" si="0"/>
        <v/>
      </c>
      <c r="J47" s="447"/>
      <c r="K47" s="447"/>
    </row>
    <row r="48" spans="2:11" ht="25.5" hidden="1" x14ac:dyDescent="0.25">
      <c r="B48" s="595" t="s">
        <v>745</v>
      </c>
      <c r="C48" s="438">
        <v>8601</v>
      </c>
      <c r="D48" s="439">
        <v>8601</v>
      </c>
      <c r="F48" s="440">
        <v>8601</v>
      </c>
      <c r="G48" s="450" t="str">
        <f t="shared" si="0"/>
        <v/>
      </c>
      <c r="J48" s="447"/>
      <c r="K48" s="447"/>
    </row>
    <row r="49" spans="2:11" hidden="1" x14ac:dyDescent="0.25">
      <c r="B49" s="595" t="s">
        <v>532</v>
      </c>
      <c r="C49" s="598">
        <v>1</v>
      </c>
      <c r="D49" s="599">
        <v>1</v>
      </c>
      <c r="F49" s="600">
        <v>1</v>
      </c>
      <c r="G49" s="450" t="str">
        <f t="shared" si="0"/>
        <v/>
      </c>
      <c r="J49" s="447"/>
      <c r="K49" s="447"/>
    </row>
    <row r="50" spans="2:11" hidden="1" x14ac:dyDescent="0.25">
      <c r="B50" s="595" t="s">
        <v>703</v>
      </c>
      <c r="C50" s="601">
        <v>1000000</v>
      </c>
      <c r="D50" s="602">
        <v>1000000</v>
      </c>
      <c r="F50" s="603">
        <v>1000000</v>
      </c>
      <c r="G50" s="450" t="str">
        <f t="shared" si="0"/>
        <v/>
      </c>
      <c r="J50" s="447"/>
      <c r="K50" s="447"/>
    </row>
    <row r="51" spans="2:11" hidden="1" x14ac:dyDescent="0.25">
      <c r="B51" s="595" t="s">
        <v>746</v>
      </c>
      <c r="C51" s="438">
        <v>8603</v>
      </c>
      <c r="D51" s="439">
        <v>8603</v>
      </c>
      <c r="F51" s="440">
        <v>8603</v>
      </c>
      <c r="G51" s="450" t="str">
        <f t="shared" si="0"/>
        <v/>
      </c>
      <c r="J51" s="447"/>
      <c r="K51" s="447"/>
    </row>
    <row r="52" spans="2:11" hidden="1" x14ac:dyDescent="0.25">
      <c r="B52" s="595" t="s">
        <v>532</v>
      </c>
      <c r="C52" s="598">
        <v>1</v>
      </c>
      <c r="D52" s="599">
        <v>1</v>
      </c>
      <c r="F52" s="600">
        <v>1</v>
      </c>
      <c r="G52" s="450" t="str">
        <f t="shared" si="0"/>
        <v/>
      </c>
      <c r="J52" s="447"/>
      <c r="K52" s="447"/>
    </row>
    <row r="53" spans="2:11" hidden="1" x14ac:dyDescent="0.25">
      <c r="B53" s="595" t="s">
        <v>703</v>
      </c>
      <c r="C53" s="601">
        <v>1000000</v>
      </c>
      <c r="D53" s="602">
        <v>1000000</v>
      </c>
      <c r="F53" s="603">
        <v>1000000</v>
      </c>
      <c r="G53" s="450" t="str">
        <f t="shared" si="0"/>
        <v/>
      </c>
      <c r="J53" s="447"/>
      <c r="K53" s="447"/>
    </row>
    <row r="54" spans="2:11" ht="15" hidden="1" customHeight="1" x14ac:dyDescent="0.25">
      <c r="B54" s="595" t="s">
        <v>747</v>
      </c>
      <c r="C54" s="438">
        <v>8810</v>
      </c>
      <c r="D54" s="439">
        <v>8810</v>
      </c>
      <c r="F54" s="440">
        <v>8810</v>
      </c>
      <c r="G54" s="450" t="str">
        <f t="shared" si="0"/>
        <v/>
      </c>
      <c r="J54" s="447"/>
      <c r="K54" s="447"/>
    </row>
    <row r="55" spans="2:11" hidden="1" x14ac:dyDescent="0.25">
      <c r="B55" s="595" t="s">
        <v>532</v>
      </c>
      <c r="C55" s="598">
        <v>1</v>
      </c>
      <c r="D55" s="599">
        <v>1</v>
      </c>
      <c r="F55" s="600">
        <v>1</v>
      </c>
      <c r="G55" s="450" t="str">
        <f t="shared" si="0"/>
        <v/>
      </c>
      <c r="J55" s="447"/>
      <c r="K55" s="447"/>
    </row>
    <row r="56" spans="2:11" hidden="1" x14ac:dyDescent="0.25">
      <c r="B56" s="595" t="s">
        <v>703</v>
      </c>
      <c r="C56" s="601">
        <v>1000000</v>
      </c>
      <c r="D56" s="602">
        <v>1000000</v>
      </c>
      <c r="F56" s="603">
        <v>1000000</v>
      </c>
      <c r="G56" s="450" t="str">
        <f t="shared" si="0"/>
        <v/>
      </c>
      <c r="J56" s="447"/>
      <c r="K56" s="447"/>
    </row>
    <row r="57" spans="2:11" x14ac:dyDescent="0.25">
      <c r="B57" s="383" t="s">
        <v>388</v>
      </c>
      <c r="C57" s="604">
        <v>500</v>
      </c>
      <c r="D57" s="476">
        <v>500</v>
      </c>
      <c r="F57" s="605"/>
      <c r="G57" s="450" t="str">
        <f t="shared" si="0"/>
        <v/>
      </c>
      <c r="J57" s="445"/>
      <c r="K57" s="445"/>
    </row>
    <row r="58" spans="2:11" x14ac:dyDescent="0.25">
      <c r="B58" s="400" t="s">
        <v>390</v>
      </c>
      <c r="C58" s="459" t="s">
        <v>157</v>
      </c>
      <c r="D58" s="692" t="s">
        <v>157</v>
      </c>
      <c r="F58" s="413"/>
      <c r="G58" s="450" t="str">
        <f t="shared" si="0"/>
        <v/>
      </c>
      <c r="J58" s="231"/>
      <c r="K58" s="231"/>
    </row>
    <row r="59" spans="2:11" hidden="1" x14ac:dyDescent="0.25">
      <c r="B59" s="368" t="s">
        <v>726</v>
      </c>
      <c r="C59" s="435"/>
      <c r="D59" s="391"/>
      <c r="F59" s="436"/>
      <c r="G59" s="450" t="str">
        <f t="shared" si="0"/>
        <v/>
      </c>
      <c r="J59" s="232"/>
      <c r="K59" s="232"/>
    </row>
    <row r="60" spans="2:11" hidden="1" x14ac:dyDescent="0.25">
      <c r="B60" s="441" t="s">
        <v>722</v>
      </c>
      <c r="C60" s="438"/>
      <c r="D60" s="439"/>
      <c r="F60" s="440"/>
      <c r="G60" s="450" t="str">
        <f t="shared" si="0"/>
        <v/>
      </c>
      <c r="J60" s="447"/>
      <c r="K60" s="447"/>
    </row>
    <row r="61" spans="2:11" hidden="1" x14ac:dyDescent="0.25">
      <c r="B61" s="441" t="s">
        <v>723</v>
      </c>
      <c r="C61" s="438"/>
      <c r="D61" s="439"/>
      <c r="F61" s="440"/>
      <c r="G61" s="450" t="str">
        <f t="shared" si="0"/>
        <v/>
      </c>
      <c r="J61" s="447"/>
      <c r="K61" s="447"/>
    </row>
    <row r="62" spans="2:11" hidden="1" x14ac:dyDescent="0.25">
      <c r="B62" s="441" t="s">
        <v>724</v>
      </c>
      <c r="C62" s="438"/>
      <c r="D62" s="439"/>
      <c r="F62" s="440"/>
      <c r="G62" s="450" t="str">
        <f t="shared" si="0"/>
        <v/>
      </c>
      <c r="J62" s="447"/>
      <c r="K62" s="447"/>
    </row>
    <row r="63" spans="2:11" hidden="1" x14ac:dyDescent="0.25">
      <c r="B63" s="442" t="s">
        <v>725</v>
      </c>
      <c r="C63" s="396"/>
      <c r="D63" s="424"/>
      <c r="F63" s="443"/>
      <c r="G63" s="450" t="str">
        <f t="shared" si="0"/>
        <v/>
      </c>
      <c r="J63" s="445"/>
      <c r="K63" s="445"/>
    </row>
    <row r="64" spans="2:11" x14ac:dyDescent="0.25">
      <c r="B64" s="400" t="s">
        <v>398</v>
      </c>
      <c r="C64" s="456" t="s">
        <v>391</v>
      </c>
      <c r="D64" s="797" t="s">
        <v>391</v>
      </c>
      <c r="F64" s="413"/>
      <c r="G64" s="450" t="str">
        <f t="shared" si="0"/>
        <v/>
      </c>
      <c r="J64" s="231"/>
      <c r="K64" s="231"/>
    </row>
    <row r="65" spans="2:11" ht="15" customHeight="1" x14ac:dyDescent="0.25">
      <c r="B65" s="368" t="s">
        <v>424</v>
      </c>
      <c r="C65" s="872" t="s">
        <v>391</v>
      </c>
      <c r="D65" s="796" t="s">
        <v>391</v>
      </c>
      <c r="F65" s="413"/>
      <c r="G65" s="450" t="str">
        <f t="shared" si="0"/>
        <v/>
      </c>
      <c r="J65" s="231"/>
      <c r="K65" s="231"/>
    </row>
    <row r="66" spans="2:11" x14ac:dyDescent="0.25">
      <c r="B66" s="446" t="s">
        <v>161</v>
      </c>
      <c r="C66" s="807" t="s">
        <v>391</v>
      </c>
      <c r="D66" s="787" t="s">
        <v>391</v>
      </c>
      <c r="F66" s="413"/>
      <c r="G66" s="450" t="str">
        <f t="shared" si="0"/>
        <v/>
      </c>
      <c r="J66" s="231"/>
      <c r="K66" s="231"/>
    </row>
    <row r="67" spans="2:11" x14ac:dyDescent="0.25">
      <c r="B67" s="446" t="s">
        <v>162</v>
      </c>
      <c r="C67" s="749" t="s">
        <v>157</v>
      </c>
      <c r="D67" s="749" t="s">
        <v>157</v>
      </c>
      <c r="F67" s="413"/>
      <c r="G67" s="450" t="str">
        <f t="shared" si="0"/>
        <v/>
      </c>
      <c r="J67" s="231"/>
      <c r="K67" s="231"/>
    </row>
    <row r="68" spans="2:11" x14ac:dyDescent="0.25">
      <c r="B68" s="446" t="s">
        <v>163</v>
      </c>
      <c r="C68" s="807" t="s">
        <v>391</v>
      </c>
      <c r="D68" s="787" t="s">
        <v>391</v>
      </c>
      <c r="F68" s="413"/>
      <c r="G68" s="450" t="str">
        <f t="shared" si="0"/>
        <v/>
      </c>
      <c r="J68" s="231"/>
      <c r="K68" s="231"/>
    </row>
    <row r="69" spans="2:11" hidden="1" x14ac:dyDescent="0.25">
      <c r="B69" s="722" t="s">
        <v>1103</v>
      </c>
      <c r="C69" s="435"/>
      <c r="D69" s="391"/>
      <c r="E69" s="530"/>
      <c r="F69" s="436"/>
      <c r="G69" s="450" t="str">
        <f t="shared" si="0"/>
        <v/>
      </c>
      <c r="H69" s="16"/>
      <c r="I69" s="586"/>
      <c r="J69" s="232"/>
      <c r="K69" s="232"/>
    </row>
    <row r="70" spans="2:11" hidden="1" x14ac:dyDescent="0.25">
      <c r="B70" s="441" t="s">
        <v>712</v>
      </c>
      <c r="C70" s="438"/>
      <c r="D70" s="439"/>
      <c r="E70" s="530"/>
      <c r="F70" s="440"/>
      <c r="G70" s="450" t="str">
        <f t="shared" si="0"/>
        <v/>
      </c>
      <c r="H70" s="16"/>
      <c r="I70" s="586"/>
      <c r="J70" s="447"/>
      <c r="K70" s="447"/>
    </row>
    <row r="71" spans="2:11" hidden="1" x14ac:dyDescent="0.25">
      <c r="B71" s="441" t="s">
        <v>713</v>
      </c>
      <c r="C71" s="438"/>
      <c r="D71" s="439"/>
      <c r="E71" s="530"/>
      <c r="F71" s="440"/>
      <c r="G71" s="450" t="str">
        <f t="shared" si="0"/>
        <v/>
      </c>
      <c r="H71" s="16"/>
      <c r="I71" s="586"/>
      <c r="J71" s="447"/>
      <c r="K71" s="447"/>
    </row>
    <row r="72" spans="2:11" x14ac:dyDescent="0.25">
      <c r="B72" s="368" t="s">
        <v>715</v>
      </c>
      <c r="C72" s="391"/>
      <c r="D72" s="391"/>
      <c r="F72" s="436"/>
      <c r="G72" s="450" t="str">
        <f t="shared" si="0"/>
        <v/>
      </c>
      <c r="H72" s="16"/>
      <c r="I72" s="16"/>
      <c r="J72" s="232"/>
      <c r="K72" s="232"/>
    </row>
    <row r="73" spans="2:11" x14ac:dyDescent="0.25">
      <c r="B73" s="441" t="s">
        <v>712</v>
      </c>
      <c r="C73" s="748" t="s">
        <v>157</v>
      </c>
      <c r="D73" s="748" t="s">
        <v>157</v>
      </c>
      <c r="F73" s="440"/>
      <c r="G73" s="450" t="str">
        <f t="shared" si="0"/>
        <v/>
      </c>
      <c r="H73" s="16"/>
      <c r="I73" s="16"/>
      <c r="J73" s="447"/>
      <c r="K73" s="447"/>
    </row>
    <row r="74" spans="2:11" x14ac:dyDescent="0.25">
      <c r="B74" s="441" t="s">
        <v>713</v>
      </c>
      <c r="C74" s="749" t="s">
        <v>157</v>
      </c>
      <c r="D74" s="749" t="s">
        <v>157</v>
      </c>
      <c r="F74" s="440"/>
      <c r="G74" s="450" t="str">
        <f t="shared" si="0"/>
        <v/>
      </c>
      <c r="H74" s="16"/>
      <c r="I74" s="16"/>
      <c r="J74" s="447"/>
      <c r="K74" s="447"/>
    </row>
    <row r="75" spans="2:11" hidden="1" x14ac:dyDescent="0.25">
      <c r="B75" s="442" t="s">
        <v>714</v>
      </c>
      <c r="C75" s="438"/>
      <c r="D75" s="439"/>
      <c r="F75" s="440"/>
      <c r="G75" s="450" t="str">
        <f t="shared" si="0"/>
        <v/>
      </c>
      <c r="H75" s="16"/>
      <c r="I75" s="16"/>
      <c r="J75" s="447"/>
      <c r="K75" s="447"/>
    </row>
    <row r="76" spans="2:11" hidden="1" x14ac:dyDescent="0.25">
      <c r="B76" s="400" t="s">
        <v>399</v>
      </c>
      <c r="C76" s="412"/>
      <c r="D76" s="390"/>
      <c r="F76" s="413"/>
      <c r="G76" s="450" t="str">
        <f t="shared" si="0"/>
        <v/>
      </c>
      <c r="J76" s="231"/>
      <c r="K76" s="231"/>
    </row>
    <row r="77" spans="2:11" hidden="1" x14ac:dyDescent="0.25">
      <c r="B77" s="400" t="s">
        <v>400</v>
      </c>
      <c r="C77" s="412"/>
      <c r="D77" s="390"/>
      <c r="F77" s="413"/>
      <c r="G77" s="450" t="str">
        <f t="shared" si="0"/>
        <v/>
      </c>
      <c r="J77" s="231"/>
      <c r="K77" s="231"/>
    </row>
    <row r="78" spans="2:11" x14ac:dyDescent="0.25">
      <c r="B78" s="400" t="s">
        <v>420</v>
      </c>
      <c r="C78" s="456" t="s">
        <v>391</v>
      </c>
      <c r="D78" s="797" t="s">
        <v>391</v>
      </c>
      <c r="F78" s="413"/>
      <c r="G78" s="450" t="str">
        <f t="shared" si="0"/>
        <v/>
      </c>
      <c r="J78" s="231"/>
      <c r="K78" s="231"/>
    </row>
    <row r="79" spans="2:11" x14ac:dyDescent="0.25">
      <c r="B79" s="400" t="s">
        <v>421</v>
      </c>
      <c r="C79" s="456" t="s">
        <v>391</v>
      </c>
      <c r="D79" s="797" t="s">
        <v>391</v>
      </c>
      <c r="F79" s="413"/>
      <c r="G79" s="450" t="str">
        <f t="shared" si="0"/>
        <v/>
      </c>
      <c r="J79" s="231"/>
      <c r="K79" s="231"/>
    </row>
    <row r="80" spans="2:11" ht="5.25" customHeight="1" x14ac:dyDescent="0.25">
      <c r="B80" s="310"/>
      <c r="C80" s="228"/>
      <c r="D80" s="228"/>
      <c r="F80" s="275"/>
      <c r="G80" s="450" t="str">
        <f t="shared" si="0"/>
        <v/>
      </c>
      <c r="J80" s="381"/>
    </row>
    <row r="81" spans="2:11" x14ac:dyDescent="0.25">
      <c r="B81" s="523" t="s">
        <v>103</v>
      </c>
      <c r="C81" s="524" t="s">
        <v>62</v>
      </c>
      <c r="D81" s="525" t="s">
        <v>63</v>
      </c>
      <c r="E81" s="530"/>
      <c r="F81" s="526" t="s">
        <v>146</v>
      </c>
      <c r="G81" s="450" t="str">
        <f t="shared" si="0"/>
        <v>_</v>
      </c>
      <c r="J81" s="527" t="s">
        <v>1002</v>
      </c>
      <c r="K81" s="527" t="s">
        <v>363</v>
      </c>
    </row>
    <row r="82" spans="2:11" ht="45" customHeight="1" x14ac:dyDescent="0.25">
      <c r="B82" s="446" t="s">
        <v>515</v>
      </c>
      <c r="C82" s="817" t="s">
        <v>1053</v>
      </c>
      <c r="D82" s="828" t="s">
        <v>1053</v>
      </c>
      <c r="F82" s="443"/>
      <c r="G82" s="450" t="str">
        <f t="shared" si="0"/>
        <v/>
      </c>
      <c r="H82" s="450"/>
      <c r="I82" s="450"/>
      <c r="J82" s="231"/>
      <c r="K82" s="231"/>
    </row>
    <row r="83" spans="2:11" ht="30" customHeight="1" x14ac:dyDescent="0.25">
      <c r="B83" s="446" t="s">
        <v>516</v>
      </c>
      <c r="C83" s="817" t="s">
        <v>1053</v>
      </c>
      <c r="D83" s="828" t="s">
        <v>1053</v>
      </c>
      <c r="F83" s="443"/>
      <c r="G83" s="450" t="str">
        <f t="shared" si="0"/>
        <v/>
      </c>
      <c r="H83" s="450"/>
      <c r="I83" s="450"/>
      <c r="J83" s="231"/>
      <c r="K83" s="231"/>
    </row>
    <row r="84" spans="2:11" ht="30" customHeight="1" x14ac:dyDescent="0.25">
      <c r="B84" s="446" t="s">
        <v>517</v>
      </c>
      <c r="C84" s="817" t="s">
        <v>1053</v>
      </c>
      <c r="D84" s="828" t="s">
        <v>1053</v>
      </c>
      <c r="F84" s="443"/>
      <c r="G84" s="450" t="str">
        <f t="shared" si="0"/>
        <v/>
      </c>
      <c r="H84" s="450"/>
      <c r="I84" s="450"/>
      <c r="J84" s="231"/>
      <c r="K84" s="231"/>
    </row>
    <row r="85" spans="2:11" ht="45" customHeight="1" x14ac:dyDescent="0.25">
      <c r="B85" s="446" t="s">
        <v>518</v>
      </c>
      <c r="C85" s="817" t="s">
        <v>1053</v>
      </c>
      <c r="D85" s="828" t="s">
        <v>1053</v>
      </c>
      <c r="F85" s="443"/>
      <c r="G85" s="450" t="str">
        <f t="shared" si="0"/>
        <v/>
      </c>
      <c r="H85" s="450"/>
      <c r="I85" s="450"/>
      <c r="J85" s="231"/>
      <c r="K85" s="231"/>
    </row>
    <row r="86" spans="2:11" ht="42.75" customHeight="1" x14ac:dyDescent="0.25">
      <c r="B86" s="446" t="s">
        <v>519</v>
      </c>
      <c r="C86" s="817" t="s">
        <v>1053</v>
      </c>
      <c r="D86" s="828" t="s">
        <v>1053</v>
      </c>
      <c r="F86" s="443"/>
      <c r="G86" s="450" t="str">
        <f t="shared" si="0"/>
        <v/>
      </c>
      <c r="H86" s="450"/>
      <c r="I86" s="450"/>
      <c r="J86" s="231"/>
      <c r="K86" s="231"/>
    </row>
    <row r="87" spans="2:11" x14ac:dyDescent="0.25">
      <c r="B87" s="446" t="s">
        <v>520</v>
      </c>
      <c r="C87" s="817" t="s">
        <v>1053</v>
      </c>
      <c r="D87" s="828" t="s">
        <v>1053</v>
      </c>
      <c r="F87" s="443"/>
      <c r="G87" s="450" t="str">
        <f t="shared" si="0"/>
        <v/>
      </c>
      <c r="H87" s="450"/>
      <c r="I87" s="450"/>
      <c r="J87" s="231"/>
      <c r="K87" s="231"/>
    </row>
    <row r="88" spans="2:11" ht="70.5" customHeight="1" x14ac:dyDescent="0.25">
      <c r="B88" s="446" t="s">
        <v>521</v>
      </c>
      <c r="C88" s="817" t="s">
        <v>1053</v>
      </c>
      <c r="D88" s="828" t="s">
        <v>1053</v>
      </c>
      <c r="F88" s="443"/>
      <c r="G88" s="450" t="str">
        <f t="shared" si="0"/>
        <v/>
      </c>
      <c r="H88" s="450"/>
      <c r="I88" s="450"/>
      <c r="J88" s="231"/>
      <c r="K88" s="231"/>
    </row>
    <row r="89" spans="2:11" ht="30" customHeight="1" x14ac:dyDescent="0.25">
      <c r="B89" s="446" t="s">
        <v>522</v>
      </c>
      <c r="C89" s="817" t="s">
        <v>1053</v>
      </c>
      <c r="D89" s="828" t="s">
        <v>1053</v>
      </c>
      <c r="F89" s="443"/>
      <c r="G89" s="450" t="str">
        <f t="shared" si="0"/>
        <v/>
      </c>
      <c r="H89" s="450"/>
      <c r="I89" s="450"/>
      <c r="J89" s="231"/>
      <c r="K89" s="231"/>
    </row>
    <row r="90" spans="2:11" ht="15" customHeight="1" x14ac:dyDescent="0.25">
      <c r="B90" s="400" t="s">
        <v>523</v>
      </c>
      <c r="C90" s="709" t="s">
        <v>1053</v>
      </c>
      <c r="D90" s="710" t="s">
        <v>1053</v>
      </c>
      <c r="F90" s="413"/>
      <c r="G90" s="450" t="str">
        <f t="shared" si="0"/>
        <v/>
      </c>
      <c r="H90" s="450"/>
      <c r="I90" s="450"/>
      <c r="J90" s="231"/>
      <c r="K90" s="231"/>
    </row>
    <row r="91" spans="2:11" ht="6" customHeight="1" x14ac:dyDescent="0.25">
      <c r="B91" s="211"/>
      <c r="C91" s="228"/>
      <c r="D91" s="228"/>
      <c r="F91" s="228"/>
      <c r="G91" s="450" t="str">
        <f t="shared" si="0"/>
        <v/>
      </c>
      <c r="H91" s="450"/>
      <c r="I91" s="450"/>
      <c r="J91" s="381"/>
    </row>
    <row r="92" spans="2:11" x14ac:dyDescent="0.25">
      <c r="B92" s="528" t="s">
        <v>359</v>
      </c>
      <c r="C92" s="524" t="s">
        <v>62</v>
      </c>
      <c r="D92" s="525" t="s">
        <v>63</v>
      </c>
      <c r="F92" s="526" t="s">
        <v>146</v>
      </c>
      <c r="G92" s="450" t="str">
        <f t="shared" si="0"/>
        <v>_</v>
      </c>
      <c r="H92" s="211"/>
      <c r="I92" s="211"/>
      <c r="J92" s="527" t="s">
        <v>1002</v>
      </c>
      <c r="K92" s="527" t="s">
        <v>363</v>
      </c>
    </row>
    <row r="93" spans="2:11" x14ac:dyDescent="0.25">
      <c r="B93" s="673" t="s">
        <v>1366</v>
      </c>
      <c r="C93" s="711" t="s">
        <v>1371</v>
      </c>
      <c r="D93" s="390" t="s">
        <v>1371</v>
      </c>
      <c r="F93" s="413"/>
      <c r="G93" s="450" t="str">
        <f t="shared" si="0"/>
        <v/>
      </c>
      <c r="H93" s="211"/>
      <c r="I93" s="211"/>
      <c r="J93" s="231"/>
      <c r="K93" s="231"/>
    </row>
    <row r="94" spans="2:11" ht="15" customHeight="1" x14ac:dyDescent="0.25">
      <c r="B94" s="722" t="s">
        <v>1367</v>
      </c>
      <c r="C94" s="711" t="s">
        <v>1372</v>
      </c>
      <c r="D94" s="390" t="s">
        <v>1372</v>
      </c>
      <c r="F94" s="413"/>
      <c r="G94" s="450" t="str">
        <f t="shared" si="0"/>
        <v/>
      </c>
      <c r="H94" s="211"/>
      <c r="I94" s="211"/>
      <c r="J94" s="231"/>
      <c r="K94" s="231"/>
    </row>
    <row r="95" spans="2:11" ht="15" customHeight="1" x14ac:dyDescent="0.25">
      <c r="B95" s="722" t="s">
        <v>1344</v>
      </c>
      <c r="C95" s="711" t="s">
        <v>1373</v>
      </c>
      <c r="D95" s="390" t="s">
        <v>1373</v>
      </c>
      <c r="F95" s="413"/>
      <c r="G95" s="450" t="str">
        <f t="shared" si="0"/>
        <v/>
      </c>
      <c r="H95" s="211"/>
      <c r="I95" s="211"/>
      <c r="J95" s="231"/>
      <c r="K95" s="231"/>
    </row>
    <row r="96" spans="2:11" ht="15" customHeight="1" x14ac:dyDescent="0.25">
      <c r="B96" s="771" t="s">
        <v>1350</v>
      </c>
      <c r="C96" s="711" t="s">
        <v>1362</v>
      </c>
      <c r="D96" s="390" t="s">
        <v>1362</v>
      </c>
      <c r="F96" s="413"/>
      <c r="G96" s="450" t="str">
        <f t="shared" si="0"/>
        <v/>
      </c>
      <c r="H96" s="211"/>
      <c r="I96" s="211"/>
      <c r="J96" s="231"/>
      <c r="K96" s="231"/>
    </row>
    <row r="97" spans="2:11" ht="15" customHeight="1" x14ac:dyDescent="0.25">
      <c r="B97" s="771" t="s">
        <v>1346</v>
      </c>
      <c r="C97" s="711" t="s">
        <v>1356</v>
      </c>
      <c r="D97" s="390" t="s">
        <v>1356</v>
      </c>
      <c r="F97" s="413"/>
      <c r="G97" s="450" t="str">
        <f t="shared" si="0"/>
        <v/>
      </c>
      <c r="H97" s="211"/>
      <c r="I97" s="211"/>
      <c r="J97" s="231"/>
      <c r="K97" s="231"/>
    </row>
    <row r="98" spans="2:11" ht="15" customHeight="1" x14ac:dyDescent="0.25">
      <c r="B98" s="673" t="s">
        <v>1368</v>
      </c>
      <c r="C98" s="711" t="s">
        <v>1374</v>
      </c>
      <c r="D98" s="390" t="s">
        <v>1374</v>
      </c>
      <c r="E98" s="16"/>
      <c r="F98" s="413"/>
      <c r="G98" s="450" t="str">
        <f t="shared" si="0"/>
        <v/>
      </c>
      <c r="H98" s="211"/>
      <c r="I98" s="211"/>
      <c r="J98" s="231"/>
      <c r="K98" s="231"/>
    </row>
    <row r="99" spans="2:11" ht="15" customHeight="1" x14ac:dyDescent="0.25">
      <c r="B99" s="673" t="s">
        <v>1369</v>
      </c>
      <c r="C99" s="711" t="s">
        <v>1375</v>
      </c>
      <c r="D99" s="390" t="s">
        <v>1375</v>
      </c>
      <c r="E99" s="16"/>
      <c r="F99" s="413"/>
      <c r="G99" s="450" t="str">
        <f t="shared" si="0"/>
        <v/>
      </c>
      <c r="H99" s="211"/>
      <c r="I99" s="211"/>
      <c r="J99" s="231"/>
      <c r="K99" s="231"/>
    </row>
    <row r="100" spans="2:11" ht="15" customHeight="1" x14ac:dyDescent="0.25">
      <c r="B100" s="722" t="s">
        <v>1370</v>
      </c>
      <c r="C100" s="711" t="s">
        <v>1376</v>
      </c>
      <c r="D100" s="390" t="s">
        <v>1376</v>
      </c>
      <c r="E100" s="16"/>
      <c r="F100" s="413"/>
      <c r="G100" s="450" t="str">
        <f t="shared" si="0"/>
        <v/>
      </c>
      <c r="H100" s="211"/>
      <c r="I100" s="211"/>
      <c r="J100" s="231"/>
      <c r="K100" s="231"/>
    </row>
    <row r="101" spans="2:11" ht="15" customHeight="1" x14ac:dyDescent="0.25">
      <c r="B101" s="673" t="s">
        <v>1474</v>
      </c>
      <c r="C101" s="711" t="s">
        <v>1377</v>
      </c>
      <c r="D101" s="390" t="s">
        <v>1377</v>
      </c>
      <c r="E101" s="16"/>
      <c r="F101" s="413"/>
      <c r="G101" s="450" t="str">
        <f t="shared" si="0"/>
        <v/>
      </c>
      <c r="H101" s="211"/>
      <c r="I101" s="211"/>
      <c r="J101" s="231"/>
      <c r="K101" s="231"/>
    </row>
    <row r="102" spans="2:11" x14ac:dyDescent="0.25">
      <c r="E102" s="16"/>
    </row>
    <row r="103" spans="2:11" x14ac:dyDescent="0.25">
      <c r="E103" s="16"/>
    </row>
    <row r="104" spans="2:11" x14ac:dyDescent="0.25">
      <c r="E104" s="16"/>
    </row>
    <row r="105" spans="2:11" x14ac:dyDescent="0.25">
      <c r="E105" s="16"/>
    </row>
    <row r="106" spans="2:11" x14ac:dyDescent="0.25">
      <c r="E106" s="16"/>
    </row>
    <row r="107" spans="2:11" x14ac:dyDescent="0.25">
      <c r="E107" s="16"/>
    </row>
    <row r="108" spans="2:11" x14ac:dyDescent="0.25">
      <c r="E108" s="16"/>
    </row>
    <row r="109" spans="2:11" x14ac:dyDescent="0.25">
      <c r="E109" s="16"/>
    </row>
    <row r="110" spans="2:11" x14ac:dyDescent="0.25">
      <c r="E110" s="16"/>
    </row>
    <row r="111" spans="2:11" x14ac:dyDescent="0.25">
      <c r="E111" s="16"/>
    </row>
    <row r="112" spans="2:11"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row r="121" spans="5:5" x14ac:dyDescent="0.25">
      <c r="E121" s="16"/>
    </row>
    <row r="122" spans="5:5" x14ac:dyDescent="0.25">
      <c r="E122" s="16"/>
    </row>
    <row r="123" spans="5:5" x14ac:dyDescent="0.25">
      <c r="E123" s="16"/>
    </row>
  </sheetData>
  <mergeCells count="4">
    <mergeCell ref="B35:D35"/>
    <mergeCell ref="B38:D38"/>
    <mergeCell ref="B36:F36"/>
    <mergeCell ref="B39:F39"/>
  </mergeCells>
  <conditionalFormatting sqref="G1:G16 G30:G1048576">
    <cfRule type="cellIs" dxfId="147" priority="54" operator="equal">
      <formula>"_"</formula>
    </cfRule>
  </conditionalFormatting>
  <conditionalFormatting sqref="G42:G101">
    <cfRule type="cellIs" dxfId="146" priority="53" operator="equal">
      <formula>"_"</formula>
    </cfRule>
  </conditionalFormatting>
  <conditionalFormatting sqref="G42:G101">
    <cfRule type="cellIs" dxfId="145" priority="52" operator="equal">
      <formula>"_"</formula>
    </cfRule>
  </conditionalFormatting>
  <conditionalFormatting sqref="G42:G101">
    <cfRule type="cellIs" dxfId="144" priority="51" operator="equal">
      <formula>"_"</formula>
    </cfRule>
  </conditionalFormatting>
  <conditionalFormatting sqref="G24 G27 G18">
    <cfRule type="cellIs" dxfId="143" priority="45" operator="equal">
      <formula>"_"</formula>
    </cfRule>
  </conditionalFormatting>
  <conditionalFormatting sqref="G24 G27 G18">
    <cfRule type="cellIs" dxfId="142" priority="44" operator="equal">
      <formula>"_"</formula>
    </cfRule>
  </conditionalFormatting>
  <conditionalFormatting sqref="G24 G27 G18">
    <cfRule type="cellIs" dxfId="141" priority="43" operator="equal">
      <formula>"_"</formula>
    </cfRule>
  </conditionalFormatting>
  <conditionalFormatting sqref="G24 G27 G18">
    <cfRule type="cellIs" dxfId="140" priority="42" operator="equal">
      <formula>"_"</formula>
    </cfRule>
  </conditionalFormatting>
  <conditionalFormatting sqref="G23">
    <cfRule type="cellIs" dxfId="139" priority="41" operator="equal">
      <formula>"_"</formula>
    </cfRule>
  </conditionalFormatting>
  <conditionalFormatting sqref="G23">
    <cfRule type="cellIs" dxfId="138" priority="40" operator="equal">
      <formula>"_"</formula>
    </cfRule>
  </conditionalFormatting>
  <conditionalFormatting sqref="G23">
    <cfRule type="cellIs" dxfId="137" priority="39" operator="equal">
      <formula>"_"</formula>
    </cfRule>
  </conditionalFormatting>
  <conditionalFormatting sqref="G23">
    <cfRule type="cellIs" dxfId="136" priority="38" operator="equal">
      <formula>"_"</formula>
    </cfRule>
  </conditionalFormatting>
  <conditionalFormatting sqref="G28">
    <cfRule type="cellIs" dxfId="135" priority="37" operator="equal">
      <formula>"_"</formula>
    </cfRule>
  </conditionalFormatting>
  <conditionalFormatting sqref="G28">
    <cfRule type="cellIs" dxfId="134" priority="36" operator="equal">
      <formula>"_"</formula>
    </cfRule>
  </conditionalFormatting>
  <conditionalFormatting sqref="G28">
    <cfRule type="cellIs" dxfId="133" priority="35" operator="equal">
      <formula>"_"</formula>
    </cfRule>
  </conditionalFormatting>
  <conditionalFormatting sqref="G28">
    <cfRule type="cellIs" dxfId="132" priority="34" operator="equal">
      <formula>"_"</formula>
    </cfRule>
  </conditionalFormatting>
  <conditionalFormatting sqref="G22">
    <cfRule type="cellIs" dxfId="131" priority="33" operator="equal">
      <formula>"_"</formula>
    </cfRule>
  </conditionalFormatting>
  <conditionalFormatting sqref="G22">
    <cfRule type="cellIs" dxfId="130" priority="32" operator="equal">
      <formula>"_"</formula>
    </cfRule>
  </conditionalFormatting>
  <conditionalFormatting sqref="G22">
    <cfRule type="cellIs" dxfId="129" priority="31" operator="equal">
      <formula>"_"</formula>
    </cfRule>
  </conditionalFormatting>
  <conditionalFormatting sqref="G22">
    <cfRule type="cellIs" dxfId="128" priority="30" operator="equal">
      <formula>"_"</formula>
    </cfRule>
  </conditionalFormatting>
  <conditionalFormatting sqref="G20">
    <cfRule type="cellIs" dxfId="127" priority="29" operator="equal">
      <formula>"_"</formula>
    </cfRule>
  </conditionalFormatting>
  <conditionalFormatting sqref="G20">
    <cfRule type="cellIs" dxfId="126" priority="28" operator="equal">
      <formula>"_"</formula>
    </cfRule>
  </conditionalFormatting>
  <conditionalFormatting sqref="G20">
    <cfRule type="cellIs" dxfId="125" priority="27" operator="equal">
      <formula>"_"</formula>
    </cfRule>
  </conditionalFormatting>
  <conditionalFormatting sqref="G20">
    <cfRule type="cellIs" dxfId="124" priority="26" operator="equal">
      <formula>"_"</formula>
    </cfRule>
  </conditionalFormatting>
  <conditionalFormatting sqref="G25">
    <cfRule type="cellIs" dxfId="123" priority="25" operator="equal">
      <formula>"_"</formula>
    </cfRule>
  </conditionalFormatting>
  <conditionalFormatting sqref="G25">
    <cfRule type="cellIs" dxfId="122" priority="24" operator="equal">
      <formula>"_"</formula>
    </cfRule>
  </conditionalFormatting>
  <conditionalFormatting sqref="G25">
    <cfRule type="cellIs" dxfId="121" priority="23" operator="equal">
      <formula>"_"</formula>
    </cfRule>
  </conditionalFormatting>
  <conditionalFormatting sqref="G25">
    <cfRule type="cellIs" dxfId="120" priority="22" operator="equal">
      <formula>"_"</formula>
    </cfRule>
  </conditionalFormatting>
  <conditionalFormatting sqref="G26">
    <cfRule type="cellIs" dxfId="119" priority="21" operator="equal">
      <formula>"_"</formula>
    </cfRule>
  </conditionalFormatting>
  <conditionalFormatting sqref="G26">
    <cfRule type="cellIs" dxfId="118" priority="20" operator="equal">
      <formula>"_"</formula>
    </cfRule>
  </conditionalFormatting>
  <conditionalFormatting sqref="G26">
    <cfRule type="cellIs" dxfId="117" priority="19" operator="equal">
      <formula>"_"</formula>
    </cfRule>
  </conditionalFormatting>
  <conditionalFormatting sqref="G26">
    <cfRule type="cellIs" dxfId="116" priority="18" operator="equal">
      <formula>"_"</formula>
    </cfRule>
  </conditionalFormatting>
  <conditionalFormatting sqref="G21">
    <cfRule type="cellIs" dxfId="115" priority="17" operator="equal">
      <formula>"_"</formula>
    </cfRule>
  </conditionalFormatting>
  <conditionalFormatting sqref="G21">
    <cfRule type="cellIs" dxfId="114" priority="16" operator="equal">
      <formula>"_"</formula>
    </cfRule>
  </conditionalFormatting>
  <conditionalFormatting sqref="G21">
    <cfRule type="cellIs" dxfId="113" priority="15" operator="equal">
      <formula>"_"</formula>
    </cfRule>
  </conditionalFormatting>
  <conditionalFormatting sqref="G21">
    <cfRule type="cellIs" dxfId="112" priority="14" operator="equal">
      <formula>"_"</formula>
    </cfRule>
  </conditionalFormatting>
  <conditionalFormatting sqref="G19">
    <cfRule type="cellIs" dxfId="111" priority="13" operator="equal">
      <formula>"_"</formula>
    </cfRule>
  </conditionalFormatting>
  <conditionalFormatting sqref="G19">
    <cfRule type="cellIs" dxfId="110" priority="12" operator="equal">
      <formula>"_"</formula>
    </cfRule>
  </conditionalFormatting>
  <conditionalFormatting sqref="G19">
    <cfRule type="cellIs" dxfId="109" priority="11" operator="equal">
      <formula>"_"</formula>
    </cfRule>
  </conditionalFormatting>
  <conditionalFormatting sqref="G19">
    <cfRule type="cellIs" dxfId="108" priority="10" operator="equal">
      <formula>"_"</formula>
    </cfRule>
  </conditionalFormatting>
  <conditionalFormatting sqref="G17">
    <cfRule type="cellIs" dxfId="107" priority="9" operator="equal">
      <formula>"_"</formula>
    </cfRule>
  </conditionalFormatting>
  <conditionalFormatting sqref="G29">
    <cfRule type="cellIs" dxfId="106" priority="3"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Workers Compensation - CA Only</oddHeader>
    <oddFooter>&amp;L&amp;G&amp;CPage &amp;P of &amp;N</oddFooter>
  </headerFooter>
  <rowBreaks count="2" manualBreakCount="2">
    <brk id="40" min="1" max="3" man="1"/>
    <brk id="90" min="1" max="3" man="1"/>
  </rowBreaks>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pageSetUpPr fitToPage="1"/>
  </sheetPr>
  <dimension ref="B1:M97"/>
  <sheetViews>
    <sheetView showGridLines="0" view="pageBreakPreview" topLeftCell="A16" zoomScale="115" zoomScaleNormal="100" zoomScaleSheetLayoutView="115" workbookViewId="0">
      <selection activeCell="J28" sqref="J2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0"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23.140625" style="16" customWidth="1"/>
    <col min="14" max="53" width="9.140625" style="16" customWidth="1"/>
    <col min="54" max="16384" width="9.140625" style="16"/>
  </cols>
  <sheetData>
    <row r="1" spans="2:13" ht="7.5" customHeight="1" x14ac:dyDescent="0.25">
      <c r="E1" s="450"/>
    </row>
    <row r="2" spans="2:13" ht="15.75" x14ac:dyDescent="0.25">
      <c r="B2" s="453" t="str">
        <f>Input!B955</f>
        <v>Technology Errors &amp; Omissions</v>
      </c>
      <c r="E2" s="450"/>
      <c r="H2" s="454"/>
      <c r="I2" s="455"/>
      <c r="J2" s="455"/>
      <c r="L2" s="456" t="s">
        <v>391</v>
      </c>
      <c r="M2" s="381" t="s">
        <v>361</v>
      </c>
    </row>
    <row r="3" spans="2:13" x14ac:dyDescent="0.25">
      <c r="D3" s="455" t="str">
        <f xml:space="preserve"> IF(Input!D959=Input!G959,CHAR(254), "")</f>
        <v/>
      </c>
      <c r="E3" s="457"/>
      <c r="F3" s="455" t="str">
        <f xml:space="preserve"> IF(Input!E959=Input!G959,CHAR(254), "")</f>
        <v/>
      </c>
      <c r="L3" s="459" t="s">
        <v>157</v>
      </c>
      <c r="M3" s="211" t="s">
        <v>362</v>
      </c>
    </row>
    <row r="4" spans="2:13" x14ac:dyDescent="0.25">
      <c r="B4" s="523" t="s">
        <v>66</v>
      </c>
      <c r="C4" s="524" t="s">
        <v>62</v>
      </c>
      <c r="D4" s="525" t="s">
        <v>63</v>
      </c>
      <c r="E4" s="426"/>
      <c r="F4" s="525" t="s">
        <v>146</v>
      </c>
      <c r="J4" s="527" t="s">
        <v>1002</v>
      </c>
      <c r="K4" s="527" t="s">
        <v>363</v>
      </c>
      <c r="L4" s="460"/>
      <c r="M4" s="211"/>
    </row>
    <row r="5" spans="2:13" ht="30.75" customHeight="1" x14ac:dyDescent="0.25">
      <c r="B5" s="409" t="s">
        <v>60</v>
      </c>
      <c r="C5" s="412" t="str">
        <f>Input!B960</f>
        <v>Beazley</v>
      </c>
      <c r="D5" s="390" t="str">
        <f>Input!D960</f>
        <v>Beazley</v>
      </c>
      <c r="F5" s="390" t="str">
        <f>Input!E960</f>
        <v>Beazley</v>
      </c>
      <c r="J5" s="231"/>
      <c r="K5" s="231"/>
    </row>
    <row r="6" spans="2:13" x14ac:dyDescent="0.25">
      <c r="B6" s="409" t="s">
        <v>69</v>
      </c>
      <c r="C6" s="412" t="str">
        <f>Input!B962</f>
        <v>A: XV</v>
      </c>
      <c r="D6" s="390" t="str">
        <f>Input!D962</f>
        <v>A: XV</v>
      </c>
      <c r="F6" s="390" t="str">
        <f>Input!E962</f>
        <v>A: XV</v>
      </c>
      <c r="J6" s="231"/>
      <c r="K6" s="231"/>
    </row>
    <row r="7" spans="2:13" x14ac:dyDescent="0.25">
      <c r="B7" s="409" t="str">
        <f>Input!B958</f>
        <v>Renewal Policy Number</v>
      </c>
      <c r="C7" s="711" t="str">
        <f>Input!C957</f>
        <v>W32D58220101</v>
      </c>
      <c r="D7" s="390" t="str">
        <f>Input!C958</f>
        <v>TBD</v>
      </c>
      <c r="F7" s="390" t="str">
        <f>Input!C958</f>
        <v>TBD</v>
      </c>
      <c r="J7" s="231"/>
      <c r="K7" s="231"/>
    </row>
    <row r="8" spans="2:13" ht="15" customHeight="1" x14ac:dyDescent="0.25">
      <c r="B8" s="409" t="str">
        <f>Input!B6</f>
        <v>Renewal Policy Period</v>
      </c>
      <c r="C8" s="412" t="str">
        <f>Input!C5</f>
        <v>7/1/2022 - 7/1/2023</v>
      </c>
      <c r="D8" s="390" t="str">
        <f>Input!C6</f>
        <v>7/1/2023 - 7/1/2024</v>
      </c>
      <c r="F8" s="390" t="str">
        <f>Input!C6</f>
        <v>7/1/2023 - 7/1/2024</v>
      </c>
      <c r="J8" s="231"/>
      <c r="K8" s="231"/>
    </row>
    <row r="9" spans="2:13" hidden="1" x14ac:dyDescent="0.25">
      <c r="B9" s="559">
        <f>Input!B987</f>
        <v>0</v>
      </c>
      <c r="C9" s="479"/>
      <c r="D9" s="479"/>
      <c r="E9" s="414"/>
      <c r="F9" s="480"/>
      <c r="J9" s="566"/>
      <c r="K9" s="566"/>
    </row>
    <row r="10" spans="2:13" x14ac:dyDescent="0.25">
      <c r="B10" s="479" t="s">
        <v>9</v>
      </c>
      <c r="C10" s="479"/>
      <c r="D10" s="479"/>
      <c r="E10" s="414"/>
      <c r="F10" s="480"/>
      <c r="J10" s="566"/>
      <c r="K10" s="566"/>
    </row>
    <row r="11" spans="2:13" ht="15" customHeight="1" x14ac:dyDescent="0.25">
      <c r="B11" s="400" t="str">
        <f>Input!B988</f>
        <v>Data &amp; Network Liability</v>
      </c>
      <c r="C11" s="398">
        <f>Input!C988</f>
        <v>5000000</v>
      </c>
      <c r="D11" s="425">
        <f>Input!E988</f>
        <v>5000000</v>
      </c>
      <c r="E11" s="414"/>
      <c r="F11" s="425">
        <f>Input!G988</f>
        <v>0</v>
      </c>
      <c r="J11" s="231"/>
      <c r="K11" s="231"/>
    </row>
    <row r="12" spans="2:13" x14ac:dyDescent="0.25">
      <c r="B12" s="400" t="str">
        <f>Input!B989</f>
        <v>Media Liability</v>
      </c>
      <c r="C12" s="398">
        <f>Input!C989</f>
        <v>5000000</v>
      </c>
      <c r="D12" s="425">
        <f>Input!E989</f>
        <v>5000000</v>
      </c>
      <c r="E12" s="414"/>
      <c r="F12" s="425">
        <f>Input!G989</f>
        <v>0</v>
      </c>
      <c r="J12" s="231"/>
      <c r="K12" s="231"/>
    </row>
    <row r="13" spans="2:13" x14ac:dyDescent="0.25">
      <c r="B13" s="400" t="str">
        <f>Input!B990</f>
        <v>Tech &amp; Professional Liability</v>
      </c>
      <c r="C13" s="398">
        <f>Input!C990</f>
        <v>5000000</v>
      </c>
      <c r="D13" s="425">
        <f>Input!E990</f>
        <v>5000000</v>
      </c>
      <c r="E13" s="414"/>
      <c r="F13" s="425">
        <f>Input!G990</f>
        <v>0</v>
      </c>
      <c r="J13" s="231"/>
      <c r="K13" s="231"/>
    </row>
    <row r="14" spans="2:13" x14ac:dyDescent="0.25">
      <c r="B14" s="400" t="str">
        <f>Input!B991</f>
        <v>Breach Response Expenses</v>
      </c>
      <c r="C14" s="398">
        <f>Input!C991</f>
        <v>5000000</v>
      </c>
      <c r="D14" s="425">
        <f>Input!E991</f>
        <v>5000000</v>
      </c>
      <c r="E14" s="414"/>
      <c r="F14" s="425">
        <f>Input!G991</f>
        <v>0</v>
      </c>
      <c r="J14" s="231"/>
      <c r="K14" s="231"/>
    </row>
    <row r="15" spans="2:13" x14ac:dyDescent="0.25">
      <c r="B15" s="400" t="str">
        <f>Input!B993</f>
        <v>Privacy Regulatory Proceedings, Fines and Penalties</v>
      </c>
      <c r="C15" s="398">
        <f>Input!C993</f>
        <v>5000000</v>
      </c>
      <c r="D15" s="425">
        <f>Input!E993</f>
        <v>5000000</v>
      </c>
      <c r="E15" s="414"/>
      <c r="F15" s="425">
        <f>Input!G993</f>
        <v>0</v>
      </c>
      <c r="J15" s="758"/>
      <c r="K15" s="758"/>
    </row>
    <row r="16" spans="2:13" x14ac:dyDescent="0.25">
      <c r="B16" s="400" t="str">
        <f>Input!B994</f>
        <v>Payment Card Liabilities &amp; Costs</v>
      </c>
      <c r="C16" s="398">
        <f>Input!C994</f>
        <v>5000000</v>
      </c>
      <c r="D16" s="425">
        <f>Input!E994</f>
        <v>5000000</v>
      </c>
      <c r="E16" s="414"/>
      <c r="F16" s="425">
        <f>Input!G994</f>
        <v>0</v>
      </c>
      <c r="J16" s="758"/>
      <c r="K16" s="758"/>
    </row>
    <row r="17" spans="2:11" x14ac:dyDescent="0.25">
      <c r="B17" s="400" t="str">
        <f>Input!B995</f>
        <v>Network Extortion</v>
      </c>
      <c r="C17" s="398">
        <f>Input!C995</f>
        <v>5000000</v>
      </c>
      <c r="D17" s="425">
        <f>Input!E995</f>
        <v>5000000</v>
      </c>
      <c r="E17" s="414"/>
      <c r="F17" s="425">
        <f>Input!G995</f>
        <v>0</v>
      </c>
      <c r="J17" s="758"/>
      <c r="K17" s="758"/>
    </row>
    <row r="18" spans="2:11" x14ac:dyDescent="0.25">
      <c r="B18" s="895" t="str">
        <f>Input!B996</f>
        <v>Network Business Interruption</v>
      </c>
      <c r="C18" s="604">
        <f>Input!C996</f>
        <v>5000000</v>
      </c>
      <c r="D18" s="476">
        <f>Input!E996</f>
        <v>5000000</v>
      </c>
      <c r="E18" s="414"/>
      <c r="F18" s="425">
        <f>Input!G996</f>
        <v>0</v>
      </c>
      <c r="J18" s="758"/>
      <c r="K18" s="758"/>
    </row>
    <row r="19" spans="2:11" x14ac:dyDescent="0.25">
      <c r="B19" s="400" t="str">
        <f>Input!B997</f>
        <v>Network Asset Damage</v>
      </c>
      <c r="C19" s="398">
        <f>Input!C997</f>
        <v>1000000</v>
      </c>
      <c r="D19" s="425">
        <f>Input!E997</f>
        <v>1000000</v>
      </c>
      <c r="E19" s="414"/>
      <c r="F19" s="425">
        <f>Input!G997</f>
        <v>0</v>
      </c>
      <c r="J19" s="758"/>
      <c r="K19" s="758"/>
    </row>
    <row r="20" spans="2:11" hidden="1" x14ac:dyDescent="0.25">
      <c r="B20" s="673" t="s">
        <v>1665</v>
      </c>
      <c r="C20" s="398">
        <v>250000</v>
      </c>
      <c r="D20" s="425">
        <v>250000</v>
      </c>
      <c r="E20" s="414"/>
      <c r="F20" s="425">
        <v>0</v>
      </c>
      <c r="J20" s="758"/>
      <c r="K20" s="758"/>
    </row>
    <row r="21" spans="2:11" x14ac:dyDescent="0.25">
      <c r="B21" s="400" t="str">
        <f>Input!B998</f>
        <v>Fraudulent Instruction</v>
      </c>
      <c r="C21" s="398">
        <f>Input!C998</f>
        <v>250000</v>
      </c>
      <c r="D21" s="425">
        <f>Input!E998</f>
        <v>250000</v>
      </c>
      <c r="E21" s="414"/>
      <c r="F21" s="425">
        <f>Input!G998</f>
        <v>0</v>
      </c>
      <c r="J21" s="758"/>
      <c r="K21" s="758"/>
    </row>
    <row r="22" spans="2:11" x14ac:dyDescent="0.25">
      <c r="B22" s="479" t="s">
        <v>37</v>
      </c>
      <c r="C22" s="479"/>
      <c r="D22" s="479"/>
      <c r="E22" s="434"/>
      <c r="F22" s="995"/>
      <c r="J22" s="566"/>
      <c r="K22" s="566"/>
    </row>
    <row r="23" spans="2:11" ht="15" customHeight="1" x14ac:dyDescent="0.25">
      <c r="B23" s="368" t="str">
        <f>Input!B988</f>
        <v>Data &amp; Network Liability</v>
      </c>
      <c r="C23" s="403">
        <f>Input!D988</f>
        <v>200000</v>
      </c>
      <c r="D23" s="431">
        <f>Input!F988</f>
        <v>200000</v>
      </c>
      <c r="F23" s="431">
        <f>Input!H988</f>
        <v>0</v>
      </c>
      <c r="J23" s="231"/>
      <c r="K23" s="231"/>
    </row>
    <row r="24" spans="2:11" x14ac:dyDescent="0.25">
      <c r="B24" s="368" t="str">
        <f>Input!B989</f>
        <v>Media Liability</v>
      </c>
      <c r="C24" s="403">
        <f>Input!D989</f>
        <v>200000</v>
      </c>
      <c r="D24" s="431">
        <f>Input!F989</f>
        <v>200000</v>
      </c>
      <c r="F24" s="431">
        <f>Input!H989</f>
        <v>0</v>
      </c>
      <c r="J24" s="231"/>
      <c r="K24" s="231"/>
    </row>
    <row r="25" spans="2:11" x14ac:dyDescent="0.25">
      <c r="B25" s="368" t="str">
        <f>Input!B990</f>
        <v>Tech &amp; Professional Liability</v>
      </c>
      <c r="C25" s="403">
        <f>Input!D990</f>
        <v>200000</v>
      </c>
      <c r="D25" s="431">
        <f>Input!F990</f>
        <v>200000</v>
      </c>
      <c r="E25" s="426"/>
      <c r="F25" s="431">
        <f>Input!H990</f>
        <v>0</v>
      </c>
      <c r="J25" s="231"/>
      <c r="K25" s="231"/>
    </row>
    <row r="26" spans="2:11" x14ac:dyDescent="0.25">
      <c r="B26" s="368" t="str">
        <f>Input!B991</f>
        <v>Breach Response Expenses</v>
      </c>
      <c r="C26" s="403">
        <f>Input!D991</f>
        <v>200000</v>
      </c>
      <c r="D26" s="431">
        <f>Input!F991</f>
        <v>200000</v>
      </c>
      <c r="F26" s="431">
        <f>Input!H991</f>
        <v>0</v>
      </c>
      <c r="J26" s="651"/>
      <c r="K26" s="651"/>
    </row>
    <row r="27" spans="2:11" ht="15" customHeight="1" x14ac:dyDescent="0.25">
      <c r="B27" s="368" t="str">
        <f>Input!B993</f>
        <v>Privacy Regulatory Proceedings, Fines and Penalties</v>
      </c>
      <c r="C27" s="403">
        <f>Input!D993</f>
        <v>200000</v>
      </c>
      <c r="D27" s="431">
        <f>Input!F993</f>
        <v>200000</v>
      </c>
      <c r="F27" s="431">
        <f>Input!H993</f>
        <v>0</v>
      </c>
      <c r="J27" s="231"/>
      <c r="K27" s="231"/>
    </row>
    <row r="28" spans="2:11" x14ac:dyDescent="0.25">
      <c r="B28" s="368" t="str">
        <f>Input!B994</f>
        <v>Payment Card Liabilities &amp; Costs</v>
      </c>
      <c r="C28" s="403">
        <f>Input!D994</f>
        <v>200000</v>
      </c>
      <c r="D28" s="431">
        <f>Input!F994</f>
        <v>200000</v>
      </c>
      <c r="F28" s="431">
        <f>Input!H994</f>
        <v>0</v>
      </c>
      <c r="J28" s="231"/>
      <c r="K28" s="231"/>
    </row>
    <row r="29" spans="2:11" x14ac:dyDescent="0.25">
      <c r="B29" s="368" t="str">
        <f>Input!B995</f>
        <v>Network Extortion</v>
      </c>
      <c r="C29" s="403">
        <f>Input!D995</f>
        <v>200000</v>
      </c>
      <c r="D29" s="431">
        <f>Input!F995</f>
        <v>200000</v>
      </c>
      <c r="F29" s="431">
        <f>Input!H995</f>
        <v>0</v>
      </c>
      <c r="J29" s="231"/>
      <c r="K29" s="231"/>
    </row>
    <row r="30" spans="2:11" ht="30" customHeight="1" x14ac:dyDescent="0.25">
      <c r="B30" s="368" t="str">
        <f>Input!B996</f>
        <v>Network Business Interruption</v>
      </c>
      <c r="C30" s="403" t="str">
        <f>Input!D996</f>
        <v>12 Hour Waiting Period</v>
      </c>
      <c r="D30" s="431" t="str">
        <f>Input!F996</f>
        <v>12 Hour Waiting Period</v>
      </c>
      <c r="F30" s="431">
        <f>Input!H996</f>
        <v>0</v>
      </c>
      <c r="J30" s="231"/>
      <c r="K30" s="231"/>
    </row>
    <row r="31" spans="2:11" x14ac:dyDescent="0.25">
      <c r="B31" s="368" t="str">
        <f>Input!B997</f>
        <v>Network Asset Damage</v>
      </c>
      <c r="C31" s="403">
        <f>Input!D997</f>
        <v>200000</v>
      </c>
      <c r="D31" s="431">
        <f>Input!F997</f>
        <v>200000</v>
      </c>
      <c r="F31" s="431">
        <f>Input!H997</f>
        <v>0</v>
      </c>
      <c r="J31" s="231"/>
      <c r="K31" s="231"/>
    </row>
    <row r="32" spans="2:11" hidden="1" x14ac:dyDescent="0.25">
      <c r="B32" s="368" t="s">
        <v>1665</v>
      </c>
      <c r="C32" s="403">
        <v>50000</v>
      </c>
      <c r="D32" s="431">
        <v>50000</v>
      </c>
      <c r="F32" s="431">
        <f>Input!H998</f>
        <v>0</v>
      </c>
      <c r="J32" s="231"/>
      <c r="K32" s="231"/>
    </row>
    <row r="33" spans="2:11" x14ac:dyDescent="0.25">
      <c r="B33" s="368" t="str">
        <f>Input!B998</f>
        <v>Fraudulent Instruction</v>
      </c>
      <c r="C33" s="403">
        <f>Input!D998</f>
        <v>200000</v>
      </c>
      <c r="D33" s="431">
        <f>Input!F998</f>
        <v>200000</v>
      </c>
      <c r="F33" s="431">
        <f>Input!H998</f>
        <v>0</v>
      </c>
      <c r="J33" s="231"/>
      <c r="K33" s="231"/>
    </row>
    <row r="34" spans="2:11" x14ac:dyDescent="0.25">
      <c r="B34" s="561" t="s">
        <v>367</v>
      </c>
      <c r="C34" s="561"/>
      <c r="D34" s="561"/>
      <c r="F34" s="487"/>
      <c r="J34" s="566"/>
      <c r="K34" s="566"/>
    </row>
    <row r="35" spans="2:11" x14ac:dyDescent="0.25">
      <c r="B35" s="402" t="s">
        <v>343</v>
      </c>
      <c r="C35" s="428">
        <f>Input!B964</f>
        <v>129500</v>
      </c>
      <c r="D35" s="425">
        <f>Input!D964</f>
        <v>165000</v>
      </c>
      <c r="F35" s="425">
        <f>Input!E964</f>
        <v>165000</v>
      </c>
      <c r="J35" s="231"/>
      <c r="K35" s="231"/>
    </row>
    <row r="36" spans="2:11" x14ac:dyDescent="0.25">
      <c r="B36" s="402" t="s">
        <v>789</v>
      </c>
      <c r="C36" s="429">
        <f>C35*Input!B970</f>
        <v>5180</v>
      </c>
      <c r="D36" s="425">
        <f>D35*Input!D970</f>
        <v>6600</v>
      </c>
      <c r="F36" s="431">
        <f>F35*Input!E970</f>
        <v>6600</v>
      </c>
      <c r="J36" s="231"/>
      <c r="K36" s="231"/>
    </row>
    <row r="37" spans="2:11" hidden="1" x14ac:dyDescent="0.25">
      <c r="B37" s="402" t="s">
        <v>790</v>
      </c>
      <c r="C37" s="429">
        <f>Input!B972</f>
        <v>0</v>
      </c>
      <c r="D37" s="425">
        <f>Input!D972</f>
        <v>0</v>
      </c>
      <c r="F37" s="431">
        <f>Input!E972</f>
        <v>0</v>
      </c>
      <c r="J37" s="231"/>
      <c r="K37" s="231"/>
    </row>
    <row r="38" spans="2:11" x14ac:dyDescent="0.25">
      <c r="B38" s="409" t="s">
        <v>369</v>
      </c>
      <c r="C38" s="428">
        <f>Input!B976</f>
        <v>134680</v>
      </c>
      <c r="D38" s="425">
        <f>Input!D976</f>
        <v>171600</v>
      </c>
      <c r="F38" s="425">
        <f>Input!E976</f>
        <v>171600</v>
      </c>
      <c r="J38" s="231"/>
      <c r="K38" s="231"/>
    </row>
    <row r="39" spans="2:11" ht="7.5" customHeight="1" x14ac:dyDescent="0.25">
      <c r="B39" s="310"/>
      <c r="C39" s="228"/>
      <c r="D39" s="228"/>
      <c r="F39" s="228"/>
      <c r="J39" s="381"/>
    </row>
    <row r="40" spans="2:11" x14ac:dyDescent="0.25">
      <c r="B40" s="1274" t="s">
        <v>144</v>
      </c>
      <c r="C40" s="1274"/>
      <c r="D40" s="1274"/>
      <c r="F40" s="238"/>
      <c r="J40" s="381"/>
    </row>
    <row r="41" spans="2:11" x14ac:dyDescent="0.25">
      <c r="B41" s="1275" t="s">
        <v>1172</v>
      </c>
      <c r="C41" s="1276"/>
      <c r="D41" s="1276"/>
      <c r="E41" s="1276"/>
      <c r="F41" s="1277"/>
      <c r="J41" s="381"/>
    </row>
    <row r="42" spans="2:11" ht="7.5" customHeight="1" x14ac:dyDescent="0.25">
      <c r="B42" s="380"/>
      <c r="C42" s="238"/>
      <c r="D42" s="238"/>
      <c r="F42" s="228"/>
      <c r="J42" s="381"/>
    </row>
    <row r="43" spans="2:11" x14ac:dyDescent="0.25">
      <c r="B43" s="1274" t="s">
        <v>145</v>
      </c>
      <c r="C43" s="1274"/>
      <c r="D43" s="1274"/>
      <c r="F43" s="228"/>
      <c r="J43" s="381"/>
    </row>
    <row r="44" spans="2:11" x14ac:dyDescent="0.25">
      <c r="B44" s="1275" t="s">
        <v>1970</v>
      </c>
      <c r="C44" s="1276"/>
      <c r="D44" s="1276"/>
      <c r="E44" s="1276"/>
      <c r="F44" s="1277"/>
      <c r="J44" s="381"/>
    </row>
    <row r="45" spans="2:11" ht="7.5" customHeight="1" x14ac:dyDescent="0.25">
      <c r="B45" s="310"/>
      <c r="C45" s="228"/>
      <c r="D45" s="228"/>
      <c r="F45" s="228"/>
      <c r="J45" s="381"/>
    </row>
    <row r="46" spans="2:11" x14ac:dyDescent="0.25">
      <c r="B46" s="523" t="s">
        <v>72</v>
      </c>
      <c r="C46" s="524" t="s">
        <v>62</v>
      </c>
      <c r="D46" s="525" t="s">
        <v>63</v>
      </c>
      <c r="F46" s="525" t="s">
        <v>146</v>
      </c>
      <c r="J46" s="527" t="s">
        <v>1002</v>
      </c>
      <c r="K46" s="527" t="s">
        <v>363</v>
      </c>
    </row>
    <row r="47" spans="2:11" x14ac:dyDescent="0.25">
      <c r="B47" s="400" t="s">
        <v>73</v>
      </c>
      <c r="C47" s="712" t="s">
        <v>1239</v>
      </c>
      <c r="D47" s="712" t="s">
        <v>1239</v>
      </c>
      <c r="F47" s="712"/>
      <c r="G47" s="450" t="str">
        <f t="shared" ref="G47:G76" si="0">IF(OR(TRIM(D47)&lt;&gt;"",TRIM(F47)&lt;&gt;""),IF(AND(TRIM(D47)&lt;&gt;"",TRIM(F47)&lt;&gt;""),IF(OR(TRIM(C47)&lt;&gt;TRIM(D47),TRIM(C47)&lt;&gt;TRIM(F47)),"_",""),IF(TRIM(C47)&lt;&gt;TRIM(D47), "_", "")),"")</f>
        <v/>
      </c>
      <c r="J47" s="231"/>
      <c r="K47" s="231"/>
    </row>
    <row r="48" spans="2:11" x14ac:dyDescent="0.25">
      <c r="B48" s="400" t="s">
        <v>74</v>
      </c>
      <c r="C48" s="712" t="s">
        <v>1846</v>
      </c>
      <c r="D48" s="712" t="s">
        <v>1846</v>
      </c>
      <c r="F48" s="712"/>
      <c r="G48" s="450" t="str">
        <f t="shared" si="0"/>
        <v/>
      </c>
      <c r="J48" s="231"/>
      <c r="K48" s="231"/>
    </row>
    <row r="49" spans="2:11" x14ac:dyDescent="0.25">
      <c r="B49" s="368" t="s">
        <v>151</v>
      </c>
      <c r="C49" s="746" t="s">
        <v>1229</v>
      </c>
      <c r="D49" s="746" t="s">
        <v>1229</v>
      </c>
      <c r="F49" s="746"/>
      <c r="G49" s="450" t="str">
        <f t="shared" si="0"/>
        <v/>
      </c>
      <c r="J49" s="232"/>
      <c r="K49" s="232"/>
    </row>
    <row r="50" spans="2:11" x14ac:dyDescent="0.25">
      <c r="B50" s="368" t="s">
        <v>75</v>
      </c>
      <c r="C50" s="812">
        <v>39955</v>
      </c>
      <c r="D50" s="812">
        <v>39955</v>
      </c>
      <c r="F50" s="812"/>
      <c r="G50" s="450" t="str">
        <f t="shared" si="0"/>
        <v/>
      </c>
      <c r="J50" s="232"/>
      <c r="K50" s="232"/>
    </row>
    <row r="51" spans="2:11" hidden="1" x14ac:dyDescent="0.25">
      <c r="B51" s="400" t="s">
        <v>273</v>
      </c>
      <c r="C51" s="390"/>
      <c r="D51" s="390"/>
      <c r="F51" s="390"/>
      <c r="G51" s="450" t="str">
        <f t="shared" si="0"/>
        <v/>
      </c>
      <c r="J51" s="231"/>
      <c r="K51" s="231"/>
    </row>
    <row r="52" spans="2:11" x14ac:dyDescent="0.25">
      <c r="B52" s="400" t="s">
        <v>152</v>
      </c>
      <c r="C52" s="712" t="s">
        <v>284</v>
      </c>
      <c r="D52" s="712" t="s">
        <v>284</v>
      </c>
      <c r="F52" s="712"/>
      <c r="G52" s="450" t="str">
        <f t="shared" si="0"/>
        <v/>
      </c>
      <c r="J52" s="231"/>
      <c r="K52" s="231"/>
    </row>
    <row r="53" spans="2:11" x14ac:dyDescent="0.25">
      <c r="B53" s="400" t="s">
        <v>77</v>
      </c>
      <c r="C53" s="712" t="s">
        <v>1433</v>
      </c>
      <c r="D53" s="712" t="s">
        <v>1433</v>
      </c>
      <c r="F53" s="712"/>
      <c r="G53" s="450" t="str">
        <f t="shared" si="0"/>
        <v/>
      </c>
      <c r="J53" s="231"/>
      <c r="K53" s="231"/>
    </row>
    <row r="54" spans="2:11" x14ac:dyDescent="0.25">
      <c r="B54" s="673" t="s">
        <v>1502</v>
      </c>
      <c r="C54" s="692" t="s">
        <v>157</v>
      </c>
      <c r="D54" s="692" t="s">
        <v>157</v>
      </c>
      <c r="F54" s="692"/>
      <c r="G54" s="450" t="str">
        <f t="shared" si="0"/>
        <v/>
      </c>
      <c r="J54" s="231"/>
      <c r="K54" s="231"/>
    </row>
    <row r="55" spans="2:11" x14ac:dyDescent="0.25">
      <c r="B55" s="400" t="s">
        <v>390</v>
      </c>
      <c r="C55" s="692" t="s">
        <v>157</v>
      </c>
      <c r="D55" s="692" t="s">
        <v>157</v>
      </c>
      <c r="F55" s="692"/>
      <c r="G55" s="450" t="str">
        <f t="shared" si="0"/>
        <v/>
      </c>
      <c r="J55" s="231"/>
      <c r="K55" s="231"/>
    </row>
    <row r="56" spans="2:11" x14ac:dyDescent="0.25">
      <c r="B56" s="368" t="s">
        <v>87</v>
      </c>
      <c r="C56" s="996"/>
      <c r="D56" s="996"/>
      <c r="F56" s="996"/>
      <c r="G56" s="450" t="str">
        <f t="shared" si="0"/>
        <v/>
      </c>
      <c r="H56" s="211"/>
      <c r="I56" s="211"/>
      <c r="J56" s="232"/>
      <c r="K56" s="232"/>
    </row>
    <row r="57" spans="2:11" ht="45" customHeight="1" x14ac:dyDescent="0.25">
      <c r="B57" s="809" t="s">
        <v>360</v>
      </c>
      <c r="C57" s="997" t="s">
        <v>1847</v>
      </c>
      <c r="D57" s="997" t="s">
        <v>1847</v>
      </c>
      <c r="F57" s="997"/>
      <c r="G57" s="450" t="str">
        <f t="shared" si="0"/>
        <v/>
      </c>
      <c r="H57" s="211"/>
      <c r="I57" s="211"/>
      <c r="J57" s="445"/>
      <c r="K57" s="445"/>
    </row>
    <row r="58" spans="2:11" x14ac:dyDescent="0.25">
      <c r="B58" s="368" t="s">
        <v>707</v>
      </c>
      <c r="C58" s="692" t="s">
        <v>157</v>
      </c>
      <c r="D58" s="692" t="s">
        <v>157</v>
      </c>
      <c r="F58" s="692"/>
      <c r="G58" s="450" t="str">
        <f t="shared" si="0"/>
        <v/>
      </c>
      <c r="J58" s="231"/>
      <c r="K58" s="231"/>
    </row>
    <row r="59" spans="2:11" x14ac:dyDescent="0.25">
      <c r="B59" s="368" t="s">
        <v>834</v>
      </c>
      <c r="C59" s="692" t="s">
        <v>157</v>
      </c>
      <c r="D59" s="692" t="s">
        <v>157</v>
      </c>
      <c r="F59" s="692"/>
      <c r="G59" s="450" t="str">
        <f t="shared" si="0"/>
        <v/>
      </c>
      <c r="J59" s="231"/>
      <c r="K59" s="231"/>
    </row>
    <row r="60" spans="2:11" x14ac:dyDescent="0.25">
      <c r="B60" s="368" t="s">
        <v>835</v>
      </c>
      <c r="C60" s="692" t="s">
        <v>157</v>
      </c>
      <c r="D60" s="692" t="s">
        <v>157</v>
      </c>
      <c r="F60" s="692"/>
      <c r="G60" s="450" t="str">
        <f t="shared" si="0"/>
        <v/>
      </c>
      <c r="J60" s="231"/>
      <c r="K60" s="231"/>
    </row>
    <row r="61" spans="2:11" ht="15" customHeight="1" x14ac:dyDescent="0.25">
      <c r="B61" s="368" t="s">
        <v>276</v>
      </c>
      <c r="C61" s="692" t="s">
        <v>157</v>
      </c>
      <c r="D61" s="692" t="s">
        <v>157</v>
      </c>
      <c r="F61" s="692"/>
      <c r="G61" s="450" t="str">
        <f t="shared" si="0"/>
        <v/>
      </c>
      <c r="J61" s="231"/>
      <c r="K61" s="231"/>
    </row>
    <row r="62" spans="2:11" x14ac:dyDescent="0.25">
      <c r="B62" s="368" t="s">
        <v>277</v>
      </c>
      <c r="C62" s="692" t="s">
        <v>157</v>
      </c>
      <c r="D62" s="692" t="s">
        <v>157</v>
      </c>
      <c r="F62" s="692"/>
      <c r="G62" s="450" t="str">
        <f t="shared" si="0"/>
        <v/>
      </c>
      <c r="J62" s="231"/>
      <c r="K62" s="231"/>
    </row>
    <row r="63" spans="2:11" ht="15" customHeight="1" x14ac:dyDescent="0.25">
      <c r="B63" s="368" t="s">
        <v>278</v>
      </c>
      <c r="C63" s="994">
        <v>0.6</v>
      </c>
      <c r="D63" s="994">
        <v>0.6</v>
      </c>
      <c r="F63" s="994"/>
      <c r="G63" s="450" t="str">
        <f t="shared" si="0"/>
        <v/>
      </c>
      <c r="J63" s="231"/>
      <c r="K63" s="231"/>
    </row>
    <row r="64" spans="2:11" x14ac:dyDescent="0.25">
      <c r="B64" s="368" t="s">
        <v>836</v>
      </c>
      <c r="C64" s="692" t="s">
        <v>157</v>
      </c>
      <c r="D64" s="692" t="s">
        <v>157</v>
      </c>
      <c r="F64" s="692"/>
      <c r="G64" s="450" t="str">
        <f t="shared" si="0"/>
        <v/>
      </c>
      <c r="J64" s="231"/>
      <c r="K64" s="231"/>
    </row>
    <row r="65" spans="2:11" x14ac:dyDescent="0.25">
      <c r="B65" s="368" t="s">
        <v>837</v>
      </c>
      <c r="C65" s="692" t="s">
        <v>157</v>
      </c>
      <c r="D65" s="692" t="s">
        <v>157</v>
      </c>
      <c r="F65" s="692"/>
      <c r="G65" s="450" t="str">
        <f t="shared" si="0"/>
        <v/>
      </c>
      <c r="J65" s="231"/>
      <c r="K65" s="231"/>
    </row>
    <row r="66" spans="2:11" x14ac:dyDescent="0.25">
      <c r="B66" s="400" t="s">
        <v>275</v>
      </c>
      <c r="C66" s="692" t="s">
        <v>157</v>
      </c>
      <c r="D66" s="692" t="s">
        <v>157</v>
      </c>
      <c r="F66" s="692"/>
      <c r="G66" s="450" t="str">
        <f t="shared" si="0"/>
        <v/>
      </c>
      <c r="J66" s="231"/>
      <c r="K66" s="231"/>
    </row>
    <row r="67" spans="2:11" ht="7.5" customHeight="1" x14ac:dyDescent="0.25">
      <c r="B67" s="310"/>
      <c r="C67" s="228"/>
      <c r="D67" s="228"/>
      <c r="F67" s="228"/>
      <c r="G67" s="450" t="str">
        <f t="shared" si="0"/>
        <v/>
      </c>
      <c r="J67" s="381"/>
    </row>
    <row r="68" spans="2:11" x14ac:dyDescent="0.25">
      <c r="B68" s="523" t="s">
        <v>103</v>
      </c>
      <c r="C68" s="524" t="s">
        <v>62</v>
      </c>
      <c r="D68" s="525" t="s">
        <v>63</v>
      </c>
      <c r="F68" s="525" t="s">
        <v>146</v>
      </c>
      <c r="G68" s="450" t="str">
        <f t="shared" si="0"/>
        <v>_</v>
      </c>
      <c r="J68" s="527" t="s">
        <v>1002</v>
      </c>
      <c r="K68" s="527" t="s">
        <v>363</v>
      </c>
    </row>
    <row r="69" spans="2:11" hidden="1" x14ac:dyDescent="0.25">
      <c r="B69" s="394" t="s">
        <v>838</v>
      </c>
      <c r="C69" s="817" t="s">
        <v>1053</v>
      </c>
      <c r="D69" s="828" t="s">
        <v>1053</v>
      </c>
      <c r="F69" s="424"/>
      <c r="G69" s="450" t="str">
        <f t="shared" si="0"/>
        <v/>
      </c>
      <c r="H69" s="211"/>
      <c r="I69" s="211"/>
      <c r="J69" s="231"/>
      <c r="K69" s="231"/>
    </row>
    <row r="70" spans="2:11" x14ac:dyDescent="0.25">
      <c r="B70" s="394" t="s">
        <v>840</v>
      </c>
      <c r="C70" s="817" t="s">
        <v>1053</v>
      </c>
      <c r="D70" s="828" t="s">
        <v>1053</v>
      </c>
      <c r="F70" s="828"/>
      <c r="G70" s="450" t="str">
        <f t="shared" si="0"/>
        <v/>
      </c>
      <c r="H70" s="211"/>
      <c r="I70" s="211"/>
      <c r="J70" s="231"/>
      <c r="K70" s="231"/>
    </row>
    <row r="71" spans="2:11" x14ac:dyDescent="0.25">
      <c r="B71" s="394" t="s">
        <v>841</v>
      </c>
      <c r="C71" s="817" t="s">
        <v>1053</v>
      </c>
      <c r="D71" s="828" t="s">
        <v>1053</v>
      </c>
      <c r="F71" s="828"/>
      <c r="G71" s="450" t="str">
        <f t="shared" si="0"/>
        <v/>
      </c>
      <c r="H71" s="211"/>
      <c r="I71" s="211"/>
      <c r="J71" s="231"/>
      <c r="K71" s="231"/>
    </row>
    <row r="72" spans="2:11" x14ac:dyDescent="0.25">
      <c r="B72" s="446" t="s">
        <v>842</v>
      </c>
      <c r="C72" s="817" t="s">
        <v>1053</v>
      </c>
      <c r="D72" s="828" t="s">
        <v>1053</v>
      </c>
      <c r="F72" s="828"/>
      <c r="G72" s="450" t="str">
        <f t="shared" si="0"/>
        <v/>
      </c>
      <c r="H72" s="211"/>
      <c r="I72" s="211"/>
      <c r="J72" s="231"/>
      <c r="K72" s="231"/>
    </row>
    <row r="73" spans="2:11" x14ac:dyDescent="0.25">
      <c r="B73" s="400" t="s">
        <v>843</v>
      </c>
      <c r="C73" s="817" t="s">
        <v>1053</v>
      </c>
      <c r="D73" s="828" t="s">
        <v>1053</v>
      </c>
      <c r="F73" s="828"/>
      <c r="G73" s="450" t="str">
        <f t="shared" si="0"/>
        <v/>
      </c>
      <c r="H73" s="211"/>
      <c r="I73" s="211"/>
      <c r="J73" s="231"/>
      <c r="K73" s="231"/>
    </row>
    <row r="74" spans="2:11" hidden="1" x14ac:dyDescent="0.25">
      <c r="B74" s="409" t="s">
        <v>839</v>
      </c>
      <c r="C74" s="817" t="s">
        <v>1053</v>
      </c>
      <c r="D74" s="828" t="s">
        <v>1053</v>
      </c>
      <c r="F74" s="390"/>
      <c r="G74" s="450" t="str">
        <f t="shared" si="0"/>
        <v/>
      </c>
      <c r="H74" s="211"/>
      <c r="I74" s="211"/>
      <c r="J74" s="231"/>
      <c r="K74" s="231"/>
    </row>
    <row r="75" spans="2:11" ht="7.5" customHeight="1" x14ac:dyDescent="0.25">
      <c r="B75" s="211"/>
      <c r="C75" s="228"/>
      <c r="D75" s="228"/>
      <c r="F75" s="228"/>
      <c r="G75" s="450" t="str">
        <f t="shared" si="0"/>
        <v/>
      </c>
      <c r="H75" s="211"/>
      <c r="I75" s="211"/>
      <c r="J75" s="381"/>
    </row>
    <row r="76" spans="2:11" x14ac:dyDescent="0.25">
      <c r="B76" s="528" t="s">
        <v>359</v>
      </c>
      <c r="C76" s="524" t="s">
        <v>62</v>
      </c>
      <c r="D76" s="525" t="s">
        <v>63</v>
      </c>
      <c r="F76" s="525" t="s">
        <v>146</v>
      </c>
      <c r="G76" s="450" t="str">
        <f t="shared" si="0"/>
        <v>_</v>
      </c>
      <c r="H76" s="211"/>
      <c r="I76" s="211"/>
      <c r="J76" s="527" t="s">
        <v>1002</v>
      </c>
      <c r="K76" s="527" t="s">
        <v>363</v>
      </c>
    </row>
    <row r="77" spans="2:11" ht="15" customHeight="1" x14ac:dyDescent="0.25">
      <c r="B77" s="672" t="s">
        <v>1881</v>
      </c>
      <c r="C77" s="396" t="s">
        <v>1848</v>
      </c>
      <c r="D77" s="745" t="s">
        <v>1848</v>
      </c>
      <c r="F77" s="745"/>
    </row>
    <row r="78" spans="2:11" ht="15" customHeight="1" x14ac:dyDescent="0.25">
      <c r="B78" s="673" t="s">
        <v>1882</v>
      </c>
      <c r="C78" s="412" t="s">
        <v>1849</v>
      </c>
      <c r="D78" s="712" t="s">
        <v>1849</v>
      </c>
      <c r="F78" s="712"/>
    </row>
    <row r="79" spans="2:11" x14ac:dyDescent="0.25">
      <c r="B79" s="673" t="s">
        <v>1434</v>
      </c>
      <c r="C79" s="412" t="s">
        <v>1850</v>
      </c>
      <c r="D79" s="712" t="s">
        <v>1850</v>
      </c>
      <c r="F79" s="712"/>
    </row>
    <row r="80" spans="2:11" x14ac:dyDescent="0.25">
      <c r="B80" s="673" t="s">
        <v>1851</v>
      </c>
      <c r="C80" s="412" t="s">
        <v>1852</v>
      </c>
      <c r="D80" s="712" t="s">
        <v>1852</v>
      </c>
      <c r="F80" s="712"/>
    </row>
    <row r="81" spans="2:6" x14ac:dyDescent="0.25">
      <c r="B81" s="673" t="s">
        <v>1853</v>
      </c>
      <c r="C81" s="412" t="s">
        <v>1854</v>
      </c>
      <c r="D81" s="712" t="s">
        <v>1854</v>
      </c>
      <c r="F81" s="712"/>
    </row>
    <row r="82" spans="2:6" x14ac:dyDescent="0.25">
      <c r="B82" s="673" t="s">
        <v>1855</v>
      </c>
      <c r="C82" s="412" t="s">
        <v>1856</v>
      </c>
      <c r="D82" s="1058"/>
      <c r="F82" s="712"/>
    </row>
    <row r="83" spans="2:6" x14ac:dyDescent="0.25">
      <c r="B83" s="673" t="s">
        <v>1857</v>
      </c>
      <c r="C83" s="412" t="s">
        <v>1858</v>
      </c>
      <c r="D83" s="712" t="s">
        <v>1858</v>
      </c>
      <c r="F83" s="712"/>
    </row>
    <row r="84" spans="2:6" x14ac:dyDescent="0.25">
      <c r="B84" s="673" t="s">
        <v>1859</v>
      </c>
      <c r="C84" s="412" t="s">
        <v>1860</v>
      </c>
      <c r="D84" s="712" t="s">
        <v>1860</v>
      </c>
      <c r="F84" s="712"/>
    </row>
    <row r="85" spans="2:6" x14ac:dyDescent="0.25">
      <c r="B85" s="673" t="s">
        <v>1862</v>
      </c>
      <c r="C85" s="412" t="s">
        <v>1861</v>
      </c>
      <c r="D85" s="712" t="s">
        <v>1861</v>
      </c>
      <c r="F85" s="712"/>
    </row>
    <row r="86" spans="2:6" x14ac:dyDescent="0.25">
      <c r="B86" s="673" t="s">
        <v>1863</v>
      </c>
      <c r="C86" s="412" t="s">
        <v>1864</v>
      </c>
      <c r="D86" s="712" t="s">
        <v>1864</v>
      </c>
      <c r="F86" s="712"/>
    </row>
    <row r="87" spans="2:6" x14ac:dyDescent="0.25">
      <c r="B87" s="673" t="s">
        <v>1865</v>
      </c>
      <c r="C87" s="412" t="s">
        <v>1866</v>
      </c>
      <c r="D87" s="712" t="s">
        <v>1866</v>
      </c>
      <c r="F87" s="712"/>
    </row>
    <row r="88" spans="2:6" x14ac:dyDescent="0.25">
      <c r="B88" s="673" t="s">
        <v>1867</v>
      </c>
      <c r="C88" s="412" t="s">
        <v>1868</v>
      </c>
      <c r="D88" s="712" t="s">
        <v>1868</v>
      </c>
      <c r="F88" s="712"/>
    </row>
    <row r="89" spans="2:6" x14ac:dyDescent="0.25">
      <c r="B89" s="673" t="s">
        <v>1869</v>
      </c>
      <c r="C89" s="412" t="s">
        <v>1870</v>
      </c>
      <c r="D89" s="712" t="s">
        <v>1870</v>
      </c>
      <c r="F89" s="712"/>
    </row>
    <row r="90" spans="2:6" x14ac:dyDescent="0.25">
      <c r="B90" s="673" t="s">
        <v>1872</v>
      </c>
      <c r="C90" s="412" t="s">
        <v>1871</v>
      </c>
      <c r="D90" s="712" t="s">
        <v>1871</v>
      </c>
      <c r="F90" s="712"/>
    </row>
    <row r="91" spans="2:6" x14ac:dyDescent="0.25">
      <c r="B91" s="673" t="s">
        <v>1873</v>
      </c>
      <c r="C91" s="412" t="s">
        <v>1874</v>
      </c>
      <c r="D91" s="712" t="s">
        <v>1874</v>
      </c>
      <c r="F91" s="712"/>
    </row>
    <row r="92" spans="2:6" x14ac:dyDescent="0.25">
      <c r="B92" s="673" t="s">
        <v>1875</v>
      </c>
      <c r="C92" s="412" t="s">
        <v>1876</v>
      </c>
      <c r="D92" s="712" t="s">
        <v>1876</v>
      </c>
      <c r="F92" s="712"/>
    </row>
    <row r="93" spans="2:6" x14ac:dyDescent="0.25">
      <c r="B93" s="673" t="s">
        <v>1877</v>
      </c>
      <c r="C93" s="412" t="s">
        <v>1878</v>
      </c>
      <c r="D93" s="712" t="s">
        <v>1878</v>
      </c>
      <c r="F93" s="712"/>
    </row>
    <row r="94" spans="2:6" x14ac:dyDescent="0.25">
      <c r="B94" s="673" t="s">
        <v>1879</v>
      </c>
      <c r="C94" s="412" t="s">
        <v>1880</v>
      </c>
      <c r="D94" s="712" t="s">
        <v>1880</v>
      </c>
      <c r="F94" s="712"/>
    </row>
    <row r="95" spans="2:6" x14ac:dyDescent="0.25">
      <c r="B95" s="673" t="s">
        <v>1971</v>
      </c>
      <c r="C95" s="412"/>
      <c r="D95" s="1058" t="s">
        <v>1972</v>
      </c>
      <c r="F95" s="712"/>
    </row>
    <row r="96" spans="2:6" ht="25.5" x14ac:dyDescent="0.25">
      <c r="B96" s="673" t="s">
        <v>1973</v>
      </c>
      <c r="C96" s="412"/>
      <c r="D96" s="1058" t="s">
        <v>1974</v>
      </c>
      <c r="F96" s="712"/>
    </row>
    <row r="97" spans="5:5" x14ac:dyDescent="0.25">
      <c r="E97" s="16"/>
    </row>
  </sheetData>
  <sortState xmlns:xlrd2="http://schemas.microsoft.com/office/spreadsheetml/2017/richdata2" ref="B62:B71">
    <sortCondition ref="B62"/>
  </sortState>
  <mergeCells count="4">
    <mergeCell ref="B43:D43"/>
    <mergeCell ref="B40:D40"/>
    <mergeCell ref="B41:F41"/>
    <mergeCell ref="B44:F44"/>
  </mergeCells>
  <conditionalFormatting sqref="G1:G8 G10:G30 G34:G1048576">
    <cfRule type="cellIs" dxfId="105" priority="35" operator="equal">
      <formula>"_"</formula>
    </cfRule>
  </conditionalFormatting>
  <conditionalFormatting sqref="G1:G8 G10:G21">
    <cfRule type="cellIs" dxfId="104" priority="29" operator="equal">
      <formula>"_"</formula>
    </cfRule>
  </conditionalFormatting>
  <conditionalFormatting sqref="G31:G32">
    <cfRule type="cellIs" dxfId="103" priority="22" operator="equal">
      <formula>"_"</formula>
    </cfRule>
  </conditionalFormatting>
  <conditionalFormatting sqref="G31:G32">
    <cfRule type="cellIs" dxfId="102" priority="21" operator="equal">
      <formula>"_"</formula>
    </cfRule>
  </conditionalFormatting>
  <conditionalFormatting sqref="G33">
    <cfRule type="cellIs" dxfId="101" priority="20" operator="equal">
      <formula>"_"</formula>
    </cfRule>
  </conditionalFormatting>
  <conditionalFormatting sqref="G33">
    <cfRule type="cellIs" dxfId="100" priority="19" operator="equal">
      <formula>"_"</formula>
    </cfRule>
  </conditionalFormatting>
  <conditionalFormatting sqref="G9">
    <cfRule type="cellIs" dxfId="99" priority="15" operator="equal">
      <formula>"_"</formula>
    </cfRule>
  </conditionalFormatting>
  <conditionalFormatting sqref="G9">
    <cfRule type="cellIs" dxfId="98" priority="16"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Technology Errors &amp; &amp;&amp; Omissions</oddHeader>
    <oddFooter>&amp;L&amp;G&amp;CPage &amp;P of &amp;N</oddFooter>
  </headerFooter>
  <rowBreaks count="2" manualBreakCount="2">
    <brk id="45" min="1" max="3" man="1"/>
    <brk id="75" min="1" max="3" man="1"/>
  </rowBreaks>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pageSetUpPr fitToPage="1"/>
  </sheetPr>
  <dimension ref="B1:M113"/>
  <sheetViews>
    <sheetView showGridLines="0" view="pageBreakPreview" zoomScale="115" zoomScaleNormal="100" zoomScaleSheetLayoutView="115" workbookViewId="0">
      <selection activeCell="J17" sqref="J17"/>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5.5703125" style="16" customWidth="1"/>
    <col min="14" max="53" width="9.140625" style="16" customWidth="1"/>
    <col min="54" max="16384" width="9.140625" style="16"/>
  </cols>
  <sheetData>
    <row r="1" spans="2:13" ht="7.5" customHeight="1" x14ac:dyDescent="0.25">
      <c r="E1" s="450"/>
    </row>
    <row r="2" spans="2:13" ht="15.75" x14ac:dyDescent="0.25">
      <c r="B2" s="453" t="str">
        <f>Input!B1043</f>
        <v>1st Excess Technology Errors &amp; Omissions</v>
      </c>
      <c r="E2" s="450"/>
      <c r="H2" s="454"/>
      <c r="I2" s="455"/>
      <c r="J2" s="455"/>
      <c r="L2" s="456" t="s">
        <v>391</v>
      </c>
      <c r="M2" s="381" t="s">
        <v>361</v>
      </c>
    </row>
    <row r="3" spans="2:13" x14ac:dyDescent="0.25">
      <c r="D3" s="455" t="str">
        <f xml:space="preserve"> IF(Input!D1047=Input!G1047,CHAR(254), "")</f>
        <v/>
      </c>
      <c r="E3" s="457"/>
      <c r="F3" s="458" t="str">
        <f xml:space="preserve"> IF(Input!E1047=Input!G1047,CHAR(254),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 customHeight="1" x14ac:dyDescent="0.25">
      <c r="B5" s="409" t="s">
        <v>60</v>
      </c>
      <c r="C5" s="412" t="str">
        <f>Input!B1048</f>
        <v>Indian Harbor Insurance Company (AXA XL)</v>
      </c>
      <c r="D5" s="390" t="str">
        <f>Input!D1048</f>
        <v>Indian Harbor Insurance Company (AXA XL)</v>
      </c>
      <c r="F5" s="413" t="str">
        <f>Input!E1048</f>
        <v>Indian Harbor Insurance Company (AXA XL)</v>
      </c>
      <c r="J5" s="231"/>
      <c r="K5" s="231"/>
    </row>
    <row r="6" spans="2:13" x14ac:dyDescent="0.25">
      <c r="B6" s="409" t="s">
        <v>69</v>
      </c>
      <c r="C6" s="412" t="str">
        <f>Input!B1050</f>
        <v>A: XV</v>
      </c>
      <c r="D6" s="390" t="str">
        <f>Input!D1050</f>
        <v>A: XV</v>
      </c>
      <c r="F6" s="413" t="str">
        <f>Input!E1050</f>
        <v>A: XV</v>
      </c>
      <c r="J6" s="231"/>
      <c r="K6" s="231"/>
    </row>
    <row r="7" spans="2:13" x14ac:dyDescent="0.25">
      <c r="B7" s="409" t="str">
        <f>Input!B1046</f>
        <v>Renewal Policy Number</v>
      </c>
      <c r="C7" s="711" t="str">
        <f>Input!C1045</f>
        <v xml:space="preserve">MTE9041482 02 </v>
      </c>
      <c r="D7" s="390" t="str">
        <f>Input!C1046</f>
        <v>TBD</v>
      </c>
      <c r="F7" s="413" t="str">
        <f>Input!C1046</f>
        <v>TBD</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789" t="s">
        <v>70</v>
      </c>
      <c r="C9" s="398">
        <f>Input!G1070</f>
        <v>5000000</v>
      </c>
      <c r="D9" s="425">
        <f>Input!G1071</f>
        <v>5000000</v>
      </c>
      <c r="E9" s="414"/>
      <c r="F9" s="427">
        <f>Input!G1072</f>
        <v>0</v>
      </c>
      <c r="J9" s="231"/>
      <c r="K9" s="231"/>
    </row>
    <row r="10" spans="2:13" x14ac:dyDescent="0.25">
      <c r="B10" s="409" t="s">
        <v>199</v>
      </c>
      <c r="C10" s="398">
        <f>Input!H1070</f>
        <v>5000000</v>
      </c>
      <c r="D10" s="425">
        <f>Input!H1071</f>
        <v>5000000</v>
      </c>
      <c r="E10" s="414"/>
      <c r="F10" s="427">
        <f>Input!H1072</f>
        <v>0</v>
      </c>
      <c r="J10" s="231"/>
      <c r="K10" s="231"/>
    </row>
    <row r="11" spans="2:13" x14ac:dyDescent="0.25">
      <c r="B11" s="402" t="s">
        <v>23</v>
      </c>
      <c r="C11" s="403">
        <f>Input!I1070</f>
        <v>0</v>
      </c>
      <c r="D11" s="431">
        <f>Input!I1071</f>
        <v>0</v>
      </c>
      <c r="E11" s="414"/>
      <c r="F11" s="430">
        <f>Input!I1072</f>
        <v>0</v>
      </c>
      <c r="J11" s="231"/>
      <c r="K11" s="231"/>
    </row>
    <row r="12" spans="2:13" x14ac:dyDescent="0.25">
      <c r="B12" s="479" t="s">
        <v>367</v>
      </c>
      <c r="C12" s="479"/>
      <c r="D12" s="479"/>
      <c r="F12" s="562"/>
      <c r="G12" s="211"/>
      <c r="H12" s="211"/>
      <c r="I12" s="211"/>
      <c r="J12" s="566"/>
      <c r="K12" s="566"/>
    </row>
    <row r="13" spans="2:13" x14ac:dyDescent="0.25">
      <c r="B13" s="402" t="s">
        <v>343</v>
      </c>
      <c r="C13" s="428">
        <f>Input!B1052</f>
        <v>116550</v>
      </c>
      <c r="D13" s="425">
        <f>Input!D1052</f>
        <v>132000</v>
      </c>
      <c r="E13" s="414"/>
      <c r="F13" s="427">
        <f>Input!E1052</f>
        <v>132000</v>
      </c>
      <c r="J13" s="231"/>
      <c r="K13" s="231"/>
    </row>
    <row r="14" spans="2:13" x14ac:dyDescent="0.25">
      <c r="B14" s="402" t="s">
        <v>374</v>
      </c>
      <c r="C14" s="429">
        <f>C15-C13</f>
        <v>4662</v>
      </c>
      <c r="D14" s="425">
        <f>D15-D13</f>
        <v>5280</v>
      </c>
      <c r="E14" s="414"/>
      <c r="F14" s="430">
        <f>F15-F13</f>
        <v>5280</v>
      </c>
      <c r="J14" s="231"/>
      <c r="K14" s="231"/>
    </row>
    <row r="15" spans="2:13" x14ac:dyDescent="0.25">
      <c r="B15" s="409" t="s">
        <v>369</v>
      </c>
      <c r="C15" s="428">
        <f>Input!B1063</f>
        <v>121212</v>
      </c>
      <c r="D15" s="425">
        <f>Input!D1063</f>
        <v>137280</v>
      </c>
      <c r="E15" s="414"/>
      <c r="F15" s="427">
        <f>Input!E1063</f>
        <v>137280</v>
      </c>
      <c r="J15" s="231"/>
      <c r="K15" s="231"/>
    </row>
    <row r="16" spans="2:13" ht="7.5" customHeight="1" x14ac:dyDescent="0.25">
      <c r="B16" s="310"/>
      <c r="C16" s="228"/>
      <c r="D16" s="228"/>
      <c r="F16" s="275"/>
      <c r="J16" s="381"/>
    </row>
    <row r="17" spans="2:11" x14ac:dyDescent="0.25">
      <c r="B17" s="1274" t="s">
        <v>144</v>
      </c>
      <c r="C17" s="1274"/>
      <c r="D17" s="1274"/>
      <c r="E17" s="238"/>
      <c r="F17" s="274"/>
      <c r="J17" s="381"/>
    </row>
    <row r="18" spans="2:11" x14ac:dyDescent="0.25">
      <c r="B18" s="1275" t="s">
        <v>1172</v>
      </c>
      <c r="C18" s="1276"/>
      <c r="D18" s="1276"/>
      <c r="E18" s="1276"/>
      <c r="F18" s="1277"/>
      <c r="J18" s="381"/>
    </row>
    <row r="19" spans="2:11" ht="7.5" customHeight="1" x14ac:dyDescent="0.25">
      <c r="B19" s="380"/>
      <c r="C19" s="238"/>
      <c r="D19" s="238"/>
      <c r="E19" s="433"/>
      <c r="F19" s="275"/>
      <c r="J19" s="381"/>
    </row>
    <row r="20" spans="2:11" x14ac:dyDescent="0.25">
      <c r="B20" s="1274" t="s">
        <v>145</v>
      </c>
      <c r="C20" s="1274"/>
      <c r="D20" s="1274"/>
      <c r="E20" s="434"/>
      <c r="F20" s="275"/>
      <c r="J20" s="381"/>
    </row>
    <row r="21" spans="2:11" x14ac:dyDescent="0.25">
      <c r="B21" s="1275" t="s">
        <v>1172</v>
      </c>
      <c r="C21" s="1276"/>
      <c r="D21" s="1276"/>
      <c r="E21" s="1276"/>
      <c r="F21" s="1277"/>
      <c r="J21" s="381"/>
    </row>
    <row r="22" spans="2:11" ht="7.5" customHeight="1" x14ac:dyDescent="0.25">
      <c r="B22" s="310"/>
      <c r="C22" s="228"/>
      <c r="D22" s="228"/>
      <c r="F22" s="275"/>
      <c r="J22" s="381"/>
    </row>
    <row r="23" spans="2:11" x14ac:dyDescent="0.25">
      <c r="B23" s="523" t="s">
        <v>72</v>
      </c>
      <c r="C23" s="524" t="s">
        <v>62</v>
      </c>
      <c r="D23" s="525" t="s">
        <v>63</v>
      </c>
      <c r="E23" s="426"/>
      <c r="F23" s="526" t="s">
        <v>146</v>
      </c>
      <c r="J23" s="527" t="s">
        <v>1002</v>
      </c>
      <c r="K23" s="527" t="s">
        <v>363</v>
      </c>
    </row>
    <row r="24" spans="2:11" x14ac:dyDescent="0.25">
      <c r="B24" s="400" t="s">
        <v>73</v>
      </c>
      <c r="C24" s="711" t="s">
        <v>1239</v>
      </c>
      <c r="D24" s="712" t="s">
        <v>1239</v>
      </c>
      <c r="F24" s="413"/>
      <c r="G24" s="450" t="str">
        <f t="shared" ref="G24:G66" si="0">IF(OR(TRIM(D24)&lt;&gt;"",TRIM(F24)&lt;&gt;""),IF(AND(TRIM(D24)&lt;&gt;"",TRIM(F24)&lt;&gt;""),IF(OR(TRIM(C24)&lt;&gt;TRIM(D24),TRIM(C24)&lt;&gt;TRIM(F24)),"_",""),IF(TRIM(C24)&lt;&gt;TRIM(D24), "_", "")),"")</f>
        <v/>
      </c>
      <c r="J24" s="231"/>
      <c r="K24" s="231"/>
    </row>
    <row r="25" spans="2:11" ht="14.25" customHeight="1" x14ac:dyDescent="0.25">
      <c r="B25" s="400" t="s">
        <v>74</v>
      </c>
      <c r="C25" s="711" t="s">
        <v>1649</v>
      </c>
      <c r="D25" s="712" t="s">
        <v>1649</v>
      </c>
      <c r="F25" s="413"/>
      <c r="G25" s="450" t="str">
        <f t="shared" si="0"/>
        <v/>
      </c>
      <c r="J25" s="231"/>
      <c r="K25" s="231"/>
    </row>
    <row r="26" spans="2:11" x14ac:dyDescent="0.25">
      <c r="B26" s="400" t="s">
        <v>151</v>
      </c>
      <c r="C26" s="711" t="s">
        <v>1229</v>
      </c>
      <c r="D26" s="712" t="s">
        <v>1229</v>
      </c>
      <c r="F26" s="413"/>
      <c r="G26" s="450" t="str">
        <f t="shared" si="0"/>
        <v/>
      </c>
      <c r="J26" s="231"/>
      <c r="K26" s="231"/>
    </row>
    <row r="27" spans="2:11" x14ac:dyDescent="0.25">
      <c r="B27" s="400" t="s">
        <v>152</v>
      </c>
      <c r="C27" s="711" t="s">
        <v>284</v>
      </c>
      <c r="D27" s="712" t="s">
        <v>284</v>
      </c>
      <c r="F27" s="413"/>
      <c r="G27" s="450" t="str">
        <f t="shared" si="0"/>
        <v/>
      </c>
      <c r="J27" s="231"/>
      <c r="K27" s="231"/>
    </row>
    <row r="28" spans="2:11" x14ac:dyDescent="0.25">
      <c r="B28" s="400" t="s">
        <v>77</v>
      </c>
      <c r="C28" s="711" t="s">
        <v>1036</v>
      </c>
      <c r="D28" s="712" t="s">
        <v>1036</v>
      </c>
      <c r="F28" s="413"/>
      <c r="G28" s="450" t="str">
        <f t="shared" si="0"/>
        <v/>
      </c>
      <c r="J28" s="231"/>
      <c r="K28" s="231"/>
    </row>
    <row r="29" spans="2:11" x14ac:dyDescent="0.25">
      <c r="B29" s="673" t="s">
        <v>1502</v>
      </c>
      <c r="C29" s="459" t="s">
        <v>157</v>
      </c>
      <c r="D29" s="692" t="s">
        <v>157</v>
      </c>
      <c r="F29" s="413"/>
      <c r="G29" s="450" t="str">
        <f t="shared" si="0"/>
        <v/>
      </c>
      <c r="J29" s="231"/>
      <c r="K29" s="231"/>
    </row>
    <row r="30" spans="2:11" ht="15" hidden="1" customHeight="1" x14ac:dyDescent="0.25">
      <c r="B30" s="400"/>
      <c r="C30" s="412"/>
      <c r="D30" s="390"/>
      <c r="F30" s="413"/>
      <c r="G30" s="450" t="str">
        <f t="shared" si="0"/>
        <v/>
      </c>
      <c r="J30" s="231"/>
      <c r="K30" s="231"/>
    </row>
    <row r="31" spans="2:11" hidden="1" x14ac:dyDescent="0.25">
      <c r="B31" s="400"/>
      <c r="C31" s="412"/>
      <c r="D31" s="390"/>
      <c r="F31" s="413"/>
      <c r="G31" s="450" t="str">
        <f t="shared" si="0"/>
        <v/>
      </c>
      <c r="J31" s="231"/>
      <c r="K31" s="231"/>
    </row>
    <row r="32" spans="2:11" hidden="1" x14ac:dyDescent="0.25">
      <c r="B32" s="400"/>
      <c r="C32" s="412"/>
      <c r="D32" s="390"/>
      <c r="F32" s="413"/>
      <c r="G32" s="450" t="str">
        <f t="shared" si="0"/>
        <v/>
      </c>
      <c r="J32" s="231"/>
      <c r="K32" s="231"/>
    </row>
    <row r="33" spans="2:11" hidden="1" x14ac:dyDescent="0.25">
      <c r="B33" s="400"/>
      <c r="C33" s="412"/>
      <c r="D33" s="390"/>
      <c r="F33" s="413"/>
      <c r="G33" s="450" t="str">
        <f t="shared" si="0"/>
        <v/>
      </c>
      <c r="J33" s="231"/>
      <c r="K33" s="231"/>
    </row>
    <row r="34" spans="2:11" hidden="1" x14ac:dyDescent="0.25">
      <c r="B34" s="400"/>
      <c r="C34" s="412"/>
      <c r="D34" s="390"/>
      <c r="F34" s="413"/>
      <c r="G34" s="450" t="str">
        <f t="shared" si="0"/>
        <v/>
      </c>
      <c r="J34" s="231"/>
      <c r="K34" s="231"/>
    </row>
    <row r="35" spans="2:11" hidden="1" x14ac:dyDescent="0.25">
      <c r="B35" s="400"/>
      <c r="C35" s="412"/>
      <c r="D35" s="390"/>
      <c r="F35" s="413"/>
      <c r="G35" s="450" t="str">
        <f t="shared" si="0"/>
        <v/>
      </c>
      <c r="J35" s="231"/>
      <c r="K35" s="231"/>
    </row>
    <row r="36" spans="2:11" hidden="1" x14ac:dyDescent="0.25">
      <c r="B36" s="400"/>
      <c r="C36" s="412"/>
      <c r="D36" s="390"/>
      <c r="F36" s="413"/>
      <c r="G36" s="450" t="str">
        <f t="shared" si="0"/>
        <v/>
      </c>
      <c r="J36" s="231"/>
      <c r="K36" s="231"/>
    </row>
    <row r="37" spans="2:11" hidden="1" x14ac:dyDescent="0.25">
      <c r="B37" s="400"/>
      <c r="C37" s="412"/>
      <c r="D37" s="390"/>
      <c r="F37" s="413"/>
      <c r="G37" s="450" t="str">
        <f t="shared" si="0"/>
        <v/>
      </c>
      <c r="J37" s="231"/>
      <c r="K37" s="231"/>
    </row>
    <row r="38" spans="2:11" hidden="1" x14ac:dyDescent="0.25">
      <c r="B38" s="400"/>
      <c r="C38" s="412"/>
      <c r="D38" s="390"/>
      <c r="F38" s="413"/>
      <c r="G38" s="450" t="str">
        <f t="shared" si="0"/>
        <v/>
      </c>
      <c r="J38" s="231"/>
      <c r="K38" s="231"/>
    </row>
    <row r="39" spans="2:11" hidden="1" x14ac:dyDescent="0.25">
      <c r="B39" s="400"/>
      <c r="C39" s="412"/>
      <c r="D39" s="390"/>
      <c r="F39" s="413"/>
      <c r="G39" s="450" t="str">
        <f t="shared" si="0"/>
        <v/>
      </c>
      <c r="J39" s="231"/>
      <c r="K39" s="231"/>
    </row>
    <row r="40" spans="2:11" ht="7.5" customHeight="1" x14ac:dyDescent="0.25">
      <c r="B40" s="211"/>
      <c r="C40" s="228"/>
      <c r="D40" s="228"/>
      <c r="F40" s="275"/>
      <c r="G40" s="450" t="str">
        <f t="shared" si="0"/>
        <v/>
      </c>
      <c r="J40" s="381"/>
    </row>
    <row r="41" spans="2:11" x14ac:dyDescent="0.25">
      <c r="B41" s="523" t="s">
        <v>103</v>
      </c>
      <c r="C41" s="524" t="s">
        <v>62</v>
      </c>
      <c r="D41" s="525" t="s">
        <v>63</v>
      </c>
      <c r="F41" s="526" t="s">
        <v>146</v>
      </c>
      <c r="G41" s="450" t="str">
        <f t="shared" si="0"/>
        <v>_</v>
      </c>
      <c r="J41" s="527" t="s">
        <v>1002</v>
      </c>
      <c r="K41" s="527" t="s">
        <v>363</v>
      </c>
    </row>
    <row r="42" spans="2:11" x14ac:dyDescent="0.25">
      <c r="B42" s="691" t="s">
        <v>988</v>
      </c>
      <c r="C42" s="459" t="s">
        <v>157</v>
      </c>
      <c r="D42" s="692" t="s">
        <v>157</v>
      </c>
      <c r="F42" s="413"/>
      <c r="G42" s="450" t="str">
        <f t="shared" si="0"/>
        <v/>
      </c>
      <c r="H42" s="211"/>
      <c r="I42" s="211"/>
      <c r="J42" s="231"/>
      <c r="K42" s="231"/>
    </row>
    <row r="43" spans="2:11" hidden="1" x14ac:dyDescent="0.25">
      <c r="B43" s="400"/>
      <c r="C43" s="412"/>
      <c r="D43" s="390"/>
      <c r="F43" s="413"/>
      <c r="G43" s="450" t="str">
        <f t="shared" si="0"/>
        <v/>
      </c>
      <c r="H43" s="211"/>
      <c r="I43" s="211"/>
      <c r="J43" s="231"/>
      <c r="K43" s="231"/>
    </row>
    <row r="44" spans="2:11" hidden="1" x14ac:dyDescent="0.25">
      <c r="B44" s="400"/>
      <c r="C44" s="412"/>
      <c r="D44" s="390"/>
      <c r="F44" s="413"/>
      <c r="G44" s="450" t="str">
        <f t="shared" si="0"/>
        <v/>
      </c>
      <c r="H44" s="211"/>
      <c r="I44" s="211"/>
      <c r="J44" s="231"/>
      <c r="K44" s="231"/>
    </row>
    <row r="45" spans="2:11" hidden="1" x14ac:dyDescent="0.25">
      <c r="B45" s="400"/>
      <c r="C45" s="412"/>
      <c r="D45" s="390"/>
      <c r="F45" s="413"/>
      <c r="G45" s="450" t="str">
        <f t="shared" si="0"/>
        <v/>
      </c>
      <c r="H45" s="211"/>
      <c r="I45" s="211"/>
      <c r="J45" s="231"/>
      <c r="K45" s="231"/>
    </row>
    <row r="46" spans="2:11" hidden="1" x14ac:dyDescent="0.25">
      <c r="B46" s="400"/>
      <c r="C46" s="412"/>
      <c r="D46" s="390"/>
      <c r="F46" s="413"/>
      <c r="G46" s="450" t="str">
        <f t="shared" si="0"/>
        <v/>
      </c>
      <c r="H46" s="211"/>
      <c r="I46" s="211"/>
      <c r="J46" s="231"/>
      <c r="K46" s="231"/>
    </row>
    <row r="47" spans="2:11" hidden="1" x14ac:dyDescent="0.25">
      <c r="B47" s="400"/>
      <c r="C47" s="412"/>
      <c r="D47" s="390"/>
      <c r="F47" s="413"/>
      <c r="G47" s="450" t="str">
        <f t="shared" si="0"/>
        <v/>
      </c>
      <c r="H47" s="211"/>
      <c r="I47" s="211"/>
      <c r="J47" s="231"/>
      <c r="K47" s="231"/>
    </row>
    <row r="48" spans="2:11" hidden="1" x14ac:dyDescent="0.25">
      <c r="B48" s="400"/>
      <c r="C48" s="412"/>
      <c r="D48" s="390"/>
      <c r="F48" s="413"/>
      <c r="G48" s="450" t="str">
        <f t="shared" si="0"/>
        <v/>
      </c>
      <c r="H48" s="211"/>
      <c r="I48" s="211"/>
      <c r="J48" s="231"/>
      <c r="K48" s="231"/>
    </row>
    <row r="49" spans="2:11" hidden="1" x14ac:dyDescent="0.25">
      <c r="B49" s="400"/>
      <c r="C49" s="412"/>
      <c r="D49" s="390"/>
      <c r="F49" s="413"/>
      <c r="G49" s="450" t="str">
        <f t="shared" si="0"/>
        <v/>
      </c>
      <c r="H49" s="211"/>
      <c r="I49" s="211"/>
      <c r="J49" s="231"/>
      <c r="K49" s="231"/>
    </row>
    <row r="50" spans="2:11" hidden="1" x14ac:dyDescent="0.25">
      <c r="B50" s="400"/>
      <c r="C50" s="412"/>
      <c r="D50" s="390"/>
      <c r="F50" s="413"/>
      <c r="G50" s="450" t="str">
        <f t="shared" si="0"/>
        <v/>
      </c>
      <c r="H50" s="211"/>
      <c r="I50" s="211"/>
      <c r="J50" s="231"/>
      <c r="K50" s="231"/>
    </row>
    <row r="51" spans="2:11" hidden="1" x14ac:dyDescent="0.25">
      <c r="B51" s="400"/>
      <c r="C51" s="412"/>
      <c r="D51" s="390"/>
      <c r="F51" s="413"/>
      <c r="G51" s="450" t="str">
        <f t="shared" si="0"/>
        <v/>
      </c>
      <c r="H51" s="211"/>
      <c r="I51" s="211"/>
      <c r="J51" s="231"/>
      <c r="K51" s="231"/>
    </row>
    <row r="52" spans="2:11" hidden="1" x14ac:dyDescent="0.25">
      <c r="B52" s="400"/>
      <c r="C52" s="412"/>
      <c r="D52" s="390"/>
      <c r="F52" s="413"/>
      <c r="G52" s="450" t="str">
        <f t="shared" si="0"/>
        <v/>
      </c>
      <c r="H52" s="211"/>
      <c r="I52" s="211"/>
      <c r="J52" s="231"/>
      <c r="K52" s="231"/>
    </row>
    <row r="53" spans="2:11" hidden="1" x14ac:dyDescent="0.25">
      <c r="B53" s="400"/>
      <c r="C53" s="412"/>
      <c r="D53" s="390"/>
      <c r="F53" s="413"/>
      <c r="G53" s="450" t="str">
        <f t="shared" si="0"/>
        <v/>
      </c>
      <c r="H53" s="211"/>
      <c r="I53" s="211"/>
      <c r="J53" s="231"/>
      <c r="K53" s="231"/>
    </row>
    <row r="54" spans="2:11" hidden="1" x14ac:dyDescent="0.25">
      <c r="B54" s="400"/>
      <c r="C54" s="412"/>
      <c r="D54" s="390"/>
      <c r="F54" s="413"/>
      <c r="G54" s="450" t="str">
        <f t="shared" si="0"/>
        <v/>
      </c>
      <c r="H54" s="211"/>
      <c r="I54" s="211"/>
      <c r="J54" s="231"/>
      <c r="K54" s="231"/>
    </row>
    <row r="55" spans="2:11" ht="7.5" customHeight="1" x14ac:dyDescent="0.25">
      <c r="G55" s="450" t="str">
        <f t="shared" si="0"/>
        <v/>
      </c>
      <c r="J55" s="381"/>
    </row>
    <row r="56" spans="2:11" x14ac:dyDescent="0.25">
      <c r="B56" s="528" t="s">
        <v>359</v>
      </c>
      <c r="C56" s="524" t="s">
        <v>62</v>
      </c>
      <c r="D56" s="525" t="s">
        <v>63</v>
      </c>
      <c r="F56" s="526" t="s">
        <v>146</v>
      </c>
      <c r="G56" s="450" t="str">
        <f t="shared" si="0"/>
        <v>_</v>
      </c>
      <c r="H56" s="211"/>
      <c r="I56" s="211"/>
      <c r="J56" s="527" t="s">
        <v>1002</v>
      </c>
      <c r="K56" s="527" t="s">
        <v>363</v>
      </c>
    </row>
    <row r="57" spans="2:11" hidden="1" x14ac:dyDescent="0.25">
      <c r="B57" s="673" t="s">
        <v>1492</v>
      </c>
      <c r="C57" s="711" t="s">
        <v>1493</v>
      </c>
      <c r="D57" s="390"/>
      <c r="F57" s="413"/>
      <c r="G57" s="450" t="str">
        <f t="shared" si="0"/>
        <v/>
      </c>
      <c r="H57" s="211"/>
      <c r="I57" s="211"/>
      <c r="J57" s="231"/>
      <c r="K57" s="231"/>
    </row>
    <row r="58" spans="2:11" hidden="1" x14ac:dyDescent="0.25">
      <c r="B58" s="722" t="s">
        <v>1494</v>
      </c>
      <c r="C58" s="711" t="s">
        <v>1495</v>
      </c>
      <c r="D58" s="390"/>
      <c r="F58" s="413"/>
      <c r="G58" s="450" t="str">
        <f t="shared" si="0"/>
        <v/>
      </c>
      <c r="H58" s="211"/>
      <c r="I58" s="211"/>
      <c r="J58" s="231"/>
      <c r="K58" s="231"/>
    </row>
    <row r="59" spans="2:11" hidden="1" x14ac:dyDescent="0.25">
      <c r="B59" s="722" t="s">
        <v>1496</v>
      </c>
      <c r="C59" s="711" t="s">
        <v>1497</v>
      </c>
      <c r="D59" s="390"/>
      <c r="F59" s="413"/>
      <c r="G59" s="450" t="str">
        <f t="shared" si="0"/>
        <v/>
      </c>
      <c r="H59" s="211"/>
      <c r="I59" s="211"/>
      <c r="J59" s="231"/>
      <c r="K59" s="231"/>
    </row>
    <row r="60" spans="2:11" hidden="1" x14ac:dyDescent="0.25">
      <c r="B60" s="771" t="s">
        <v>1498</v>
      </c>
      <c r="C60" s="711" t="s">
        <v>1499</v>
      </c>
      <c r="D60" s="390"/>
      <c r="F60" s="413"/>
      <c r="G60" s="450" t="str">
        <f t="shared" si="0"/>
        <v/>
      </c>
      <c r="H60" s="211"/>
      <c r="I60" s="211"/>
      <c r="J60" s="231"/>
      <c r="K60" s="231"/>
    </row>
    <row r="61" spans="2:11" hidden="1" x14ac:dyDescent="0.25">
      <c r="B61" s="673" t="s">
        <v>1500</v>
      </c>
      <c r="C61" s="412" t="s">
        <v>1501</v>
      </c>
      <c r="D61" s="712"/>
      <c r="F61" s="413"/>
      <c r="G61" s="450" t="str">
        <f t="shared" si="0"/>
        <v/>
      </c>
      <c r="H61" s="211"/>
      <c r="I61" s="211"/>
      <c r="J61" s="231"/>
      <c r="K61" s="231"/>
    </row>
    <row r="62" spans="2:11" x14ac:dyDescent="0.25">
      <c r="B62" s="722" t="s">
        <v>1650</v>
      </c>
      <c r="C62" s="412" t="s">
        <v>1651</v>
      </c>
      <c r="D62" s="712" t="s">
        <v>1651</v>
      </c>
      <c r="F62" s="413"/>
      <c r="G62" s="450" t="str">
        <f t="shared" si="0"/>
        <v/>
      </c>
      <c r="H62" s="211"/>
      <c r="I62" s="211"/>
      <c r="J62" s="231"/>
      <c r="K62" s="231"/>
    </row>
    <row r="63" spans="2:11" x14ac:dyDescent="0.25">
      <c r="B63" s="722" t="s">
        <v>1652</v>
      </c>
      <c r="C63" s="412" t="s">
        <v>1653</v>
      </c>
      <c r="D63" s="712" t="s">
        <v>1653</v>
      </c>
      <c r="F63" s="413"/>
      <c r="G63" s="450" t="str">
        <f t="shared" si="0"/>
        <v/>
      </c>
      <c r="H63" s="211"/>
      <c r="I63" s="211"/>
      <c r="J63" s="231"/>
      <c r="K63" s="231"/>
    </row>
    <row r="64" spans="2:11" ht="45" customHeight="1" x14ac:dyDescent="0.25">
      <c r="B64" s="673" t="s">
        <v>1883</v>
      </c>
      <c r="C64" s="412" t="s">
        <v>1656</v>
      </c>
      <c r="D64" s="712" t="s">
        <v>1656</v>
      </c>
      <c r="F64" s="413"/>
      <c r="G64" s="450" t="str">
        <f t="shared" si="0"/>
        <v/>
      </c>
      <c r="H64" s="211"/>
      <c r="I64" s="211"/>
      <c r="J64" s="231"/>
      <c r="K64" s="231"/>
    </row>
    <row r="65" spans="2:11" x14ac:dyDescent="0.25">
      <c r="B65" s="673" t="s">
        <v>1884</v>
      </c>
      <c r="C65" s="412" t="s">
        <v>1657</v>
      </c>
      <c r="D65" s="712" t="s">
        <v>1657</v>
      </c>
      <c r="F65" s="413"/>
      <c r="G65" s="450" t="str">
        <f t="shared" si="0"/>
        <v/>
      </c>
      <c r="H65" s="211"/>
      <c r="I65" s="211"/>
      <c r="J65" s="231"/>
      <c r="K65" s="231"/>
    </row>
    <row r="66" spans="2:11" x14ac:dyDescent="0.25">
      <c r="B66" s="368"/>
      <c r="C66" s="412"/>
      <c r="D66" s="390"/>
      <c r="F66" s="413"/>
      <c r="G66" s="450" t="str">
        <f t="shared" si="0"/>
        <v/>
      </c>
      <c r="H66" s="211"/>
      <c r="I66" s="211"/>
      <c r="J66" s="231"/>
      <c r="K66" s="231"/>
    </row>
    <row r="67" spans="2:11" x14ac:dyDescent="0.25">
      <c r="B67" s="400"/>
      <c r="C67" s="412"/>
      <c r="D67" s="390"/>
      <c r="F67" s="413"/>
      <c r="G67" s="228" t="str">
        <f t="shared" ref="G67:G71" si="1">IF(OR(TRIM(D67)&lt;&gt;"",TRIM(F67)&lt;&gt;""),IF(AND(TRIM(D67)&lt;&gt;"",TRIM(F67)&lt;&gt;""),IF(OR(TRIM(C67)&lt;&gt;TRIM(D67),TRIM(C67)&lt;&gt;TRIM(F67)),"_",""),IF(TRIM(C67)&lt;&gt;TRIM(D67), "_", "")),"")</f>
        <v/>
      </c>
      <c r="H67" s="211"/>
      <c r="I67" s="211"/>
      <c r="J67" s="231"/>
      <c r="K67" s="231"/>
    </row>
    <row r="68" spans="2:11" x14ac:dyDescent="0.25">
      <c r="B68" s="368"/>
      <c r="C68" s="412"/>
      <c r="D68" s="390"/>
      <c r="F68" s="413"/>
      <c r="G68" s="228" t="str">
        <f t="shared" si="1"/>
        <v/>
      </c>
      <c r="H68" s="211"/>
      <c r="I68" s="211"/>
      <c r="J68" s="231"/>
      <c r="K68" s="231"/>
    </row>
    <row r="69" spans="2:11" x14ac:dyDescent="0.25">
      <c r="B69" s="368"/>
      <c r="C69" s="412"/>
      <c r="D69" s="390"/>
      <c r="F69" s="413"/>
      <c r="G69" s="228" t="str">
        <f t="shared" si="1"/>
        <v/>
      </c>
      <c r="H69" s="211"/>
      <c r="I69" s="211"/>
      <c r="J69" s="231"/>
      <c r="K69" s="231"/>
    </row>
    <row r="70" spans="2:11" x14ac:dyDescent="0.25">
      <c r="B70" s="368"/>
      <c r="C70" s="412"/>
      <c r="D70" s="390"/>
      <c r="F70" s="413"/>
      <c r="G70" s="228" t="str">
        <f t="shared" si="1"/>
        <v/>
      </c>
      <c r="H70" s="211"/>
      <c r="I70" s="211"/>
      <c r="J70" s="231"/>
      <c r="K70" s="231"/>
    </row>
    <row r="71" spans="2:11" x14ac:dyDescent="0.25">
      <c r="B71" s="400"/>
      <c r="C71" s="412"/>
      <c r="D71" s="390"/>
      <c r="F71" s="413"/>
      <c r="G71" s="228" t="str">
        <f t="shared" si="1"/>
        <v/>
      </c>
      <c r="H71" s="211"/>
      <c r="I71" s="211"/>
      <c r="J71" s="231"/>
      <c r="K71" s="231"/>
    </row>
    <row r="74" spans="2:11" x14ac:dyDescent="0.25">
      <c r="E74" s="16"/>
    </row>
    <row r="75" spans="2:11" x14ac:dyDescent="0.25">
      <c r="E75" s="16"/>
    </row>
    <row r="76" spans="2:11" x14ac:dyDescent="0.25">
      <c r="E76" s="16"/>
    </row>
    <row r="77" spans="2:11" x14ac:dyDescent="0.25">
      <c r="E77" s="16"/>
    </row>
    <row r="78" spans="2:11" x14ac:dyDescent="0.25">
      <c r="E78" s="16"/>
    </row>
    <row r="79" spans="2:11" x14ac:dyDescent="0.25">
      <c r="E79" s="16"/>
    </row>
    <row r="80" spans="2:11" x14ac:dyDescent="0.25">
      <c r="E80"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sheetData>
  <sortState xmlns:xlrd2="http://schemas.microsoft.com/office/spreadsheetml/2017/richdata2" ref="B34:B46">
    <sortCondition ref="B34"/>
  </sortState>
  <mergeCells count="4">
    <mergeCell ref="B17:D17"/>
    <mergeCell ref="B20:D20"/>
    <mergeCell ref="B18:F18"/>
    <mergeCell ref="B21:F21"/>
  </mergeCells>
  <conditionalFormatting sqref="G1:G11 G13:G1048576">
    <cfRule type="cellIs" dxfId="97" priority="6" operator="equal">
      <formula>"_"</formula>
    </cfRule>
  </conditionalFormatting>
  <conditionalFormatting sqref="G24:G66">
    <cfRule type="cellIs" dxfId="96" priority="5" operator="equal">
      <formula>"_"</formula>
    </cfRule>
  </conditionalFormatting>
  <conditionalFormatting sqref="G72:G1048576">
    <cfRule type="cellIs" dxfId="95" priority="3" operator="equal">
      <formula>"_"</formula>
    </cfRule>
  </conditionalFormatting>
  <conditionalFormatting sqref="G12">
    <cfRule type="cellIs" dxfId="94"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Excess Technology Errors &amp; &amp;&amp; Omissions</oddHeader>
    <oddFooter>&amp;L&amp;G&amp;CPage &amp;P of &amp;N</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pageSetUpPr fitToPage="1"/>
  </sheetPr>
  <dimension ref="B1:M102"/>
  <sheetViews>
    <sheetView showGridLines="0" view="pageBreakPreview" zoomScale="115" zoomScaleNormal="100" zoomScaleSheetLayoutView="115" workbookViewId="0"/>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3.42578125" style="16" customWidth="1"/>
    <col min="14" max="53" width="9.140625" style="16" customWidth="1"/>
    <col min="54" max="16384" width="9.140625" style="16"/>
  </cols>
  <sheetData>
    <row r="1" spans="2:13" ht="7.5" customHeight="1" x14ac:dyDescent="0.25">
      <c r="E1" s="450"/>
    </row>
    <row r="2" spans="2:13" ht="15.75" x14ac:dyDescent="0.25">
      <c r="B2" s="453" t="str">
        <f>Input!B1074</f>
        <v>2nd Excess Technology Errors &amp; Omissions</v>
      </c>
      <c r="E2" s="450"/>
      <c r="H2" s="454"/>
      <c r="I2" s="455"/>
      <c r="J2" s="455"/>
      <c r="L2" s="456" t="s">
        <v>391</v>
      </c>
      <c r="M2" s="381" t="s">
        <v>361</v>
      </c>
    </row>
    <row r="3" spans="2:13" x14ac:dyDescent="0.25">
      <c r="D3" s="455" t="str">
        <f xml:space="preserve"> IF(Input!D1078=Input!G1078,CHAR(254), "")</f>
        <v/>
      </c>
      <c r="E3" s="457"/>
      <c r="F3" s="458" t="str">
        <f xml:space="preserve"> IF(Input!E1078=Input!G1078,CHAR(254),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45.75" customHeight="1" x14ac:dyDescent="0.25">
      <c r="B5" s="409" t="s">
        <v>60</v>
      </c>
      <c r="C5" s="412" t="str">
        <f>Input!B1079</f>
        <v>Indian Harbor Insurance Company (AXA XL)</v>
      </c>
      <c r="D5" s="390">
        <f>Input!D1079</f>
        <v>0</v>
      </c>
      <c r="F5" s="413">
        <f>Input!E1079</f>
        <v>0</v>
      </c>
      <c r="J5" s="231"/>
      <c r="K5" s="231"/>
    </row>
    <row r="6" spans="2:13" x14ac:dyDescent="0.25">
      <c r="B6" s="409" t="s">
        <v>69</v>
      </c>
      <c r="C6" s="412" t="str">
        <f>Input!B1081</f>
        <v>A+: XV</v>
      </c>
      <c r="D6" s="390" t="str">
        <f>Input!D1081</f>
        <v>A+: XV</v>
      </c>
      <c r="F6" s="413">
        <f>Input!E1081</f>
        <v>0</v>
      </c>
      <c r="J6" s="231"/>
      <c r="K6" s="231"/>
    </row>
    <row r="7" spans="2:13" x14ac:dyDescent="0.25">
      <c r="B7" s="409" t="str">
        <f>Input!B1077</f>
        <v>Renewal Policy Number</v>
      </c>
      <c r="C7" s="412" t="str">
        <f>Input!C1076</f>
        <v>MTE9041482 00</v>
      </c>
      <c r="D7" s="390" t="str">
        <f>Input!C1077</f>
        <v>TBD</v>
      </c>
      <c r="F7" s="413" t="str">
        <f>Input!C1077</f>
        <v>TBD</v>
      </c>
      <c r="J7" s="231"/>
      <c r="K7" s="231"/>
    </row>
    <row r="8" spans="2:13" ht="15.7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789" t="s">
        <v>70</v>
      </c>
      <c r="C9" s="398">
        <f>Input!G1098</f>
        <v>5000000</v>
      </c>
      <c r="D9" s="425">
        <f>Input!G1099</f>
        <v>5000000</v>
      </c>
      <c r="E9" s="414"/>
      <c r="F9" s="427">
        <f>Input!G1100</f>
        <v>0</v>
      </c>
      <c r="J9" s="231"/>
      <c r="K9" s="231"/>
    </row>
    <row r="10" spans="2:13" x14ac:dyDescent="0.25">
      <c r="B10" s="409" t="s">
        <v>199</v>
      </c>
      <c r="C10" s="398">
        <f>Input!H1098</f>
        <v>5000000</v>
      </c>
      <c r="D10" s="425">
        <f>Input!H1099</f>
        <v>5000000</v>
      </c>
      <c r="E10" s="414"/>
      <c r="F10" s="427">
        <f>Input!H1100</f>
        <v>0</v>
      </c>
      <c r="J10" s="231"/>
      <c r="K10" s="231"/>
    </row>
    <row r="11" spans="2:13" x14ac:dyDescent="0.25">
      <c r="B11" s="402" t="s">
        <v>23</v>
      </c>
      <c r="C11" s="403">
        <f>Input!I1098</f>
        <v>0</v>
      </c>
      <c r="D11" s="431">
        <f>Input!I1099</f>
        <v>0</v>
      </c>
      <c r="E11" s="414"/>
      <c r="F11" s="430">
        <f>Input!I1100</f>
        <v>0</v>
      </c>
      <c r="J11" s="231"/>
      <c r="K11" s="231"/>
    </row>
    <row r="12" spans="2:13" x14ac:dyDescent="0.25">
      <c r="B12" s="479" t="s">
        <v>367</v>
      </c>
      <c r="C12" s="479"/>
      <c r="D12" s="479"/>
      <c r="F12" s="562"/>
      <c r="G12" s="211"/>
      <c r="H12" s="211"/>
      <c r="I12" s="211"/>
      <c r="J12" s="566"/>
      <c r="K12" s="566"/>
    </row>
    <row r="13" spans="2:13" x14ac:dyDescent="0.25">
      <c r="B13" s="402" t="s">
        <v>343</v>
      </c>
      <c r="C13" s="428">
        <f>Input!B1083</f>
        <v>0</v>
      </c>
      <c r="D13" s="425">
        <f>Input!D1083</f>
        <v>0</v>
      </c>
      <c r="E13" s="414"/>
      <c r="F13" s="427">
        <f>Input!E1083</f>
        <v>0</v>
      </c>
      <c r="J13" s="231"/>
      <c r="K13" s="231"/>
    </row>
    <row r="14" spans="2:13" x14ac:dyDescent="0.25">
      <c r="B14" s="402" t="s">
        <v>374</v>
      </c>
      <c r="C14" s="429">
        <f>C15-C13</f>
        <v>0</v>
      </c>
      <c r="D14" s="425">
        <f>D15-D13</f>
        <v>0</v>
      </c>
      <c r="E14" s="414"/>
      <c r="F14" s="430">
        <f>F15-F13</f>
        <v>0</v>
      </c>
      <c r="J14" s="231"/>
      <c r="K14" s="231"/>
    </row>
    <row r="15" spans="2:13" x14ac:dyDescent="0.25">
      <c r="B15" s="409" t="s">
        <v>369</v>
      </c>
      <c r="C15" s="428">
        <f>Input!B1091</f>
        <v>0</v>
      </c>
      <c r="D15" s="425">
        <f>Input!D1091</f>
        <v>0</v>
      </c>
      <c r="E15" s="414"/>
      <c r="F15" s="427">
        <f>Input!E1091</f>
        <v>0</v>
      </c>
      <c r="J15" s="231"/>
      <c r="K15" s="231"/>
    </row>
    <row r="16" spans="2:13" ht="7.5" customHeight="1" x14ac:dyDescent="0.25">
      <c r="B16" s="310"/>
      <c r="C16" s="228"/>
      <c r="D16" s="228"/>
      <c r="F16" s="275"/>
      <c r="J16" s="381"/>
    </row>
    <row r="17" spans="2:11" x14ac:dyDescent="0.25">
      <c r="B17" s="1274" t="s">
        <v>144</v>
      </c>
      <c r="C17" s="1274"/>
      <c r="D17" s="1274"/>
      <c r="E17" s="238"/>
      <c r="F17" s="274"/>
      <c r="J17" s="381"/>
    </row>
    <row r="18" spans="2:11" x14ac:dyDescent="0.25">
      <c r="B18" s="1287" t="s">
        <v>1172</v>
      </c>
      <c r="C18" s="1288"/>
      <c r="D18" s="1288"/>
      <c r="E18" s="1288"/>
      <c r="F18" s="1289"/>
      <c r="J18" s="381"/>
    </row>
    <row r="19" spans="2:11" ht="7.5" customHeight="1" x14ac:dyDescent="0.25">
      <c r="B19" s="380"/>
      <c r="C19" s="238"/>
      <c r="D19" s="238"/>
      <c r="E19" s="433"/>
      <c r="F19" s="275"/>
      <c r="J19" s="381"/>
    </row>
    <row r="20" spans="2:11" x14ac:dyDescent="0.25">
      <c r="B20" s="1274" t="s">
        <v>145</v>
      </c>
      <c r="C20" s="1274"/>
      <c r="D20" s="1274"/>
      <c r="E20" s="434"/>
      <c r="F20" s="275"/>
      <c r="J20" s="381"/>
    </row>
    <row r="21" spans="2:11" x14ac:dyDescent="0.25">
      <c r="B21" s="1287" t="s">
        <v>1172</v>
      </c>
      <c r="C21" s="1288"/>
      <c r="D21" s="1288"/>
      <c r="E21" s="1288"/>
      <c r="F21" s="1289"/>
      <c r="J21" s="381"/>
    </row>
    <row r="22" spans="2:11" ht="7.5" customHeight="1" x14ac:dyDescent="0.25">
      <c r="B22" s="310"/>
      <c r="C22" s="228"/>
      <c r="D22" s="228"/>
      <c r="F22" s="275"/>
      <c r="J22" s="381"/>
    </row>
    <row r="23" spans="2:11" x14ac:dyDescent="0.25">
      <c r="B23" s="523" t="s">
        <v>72</v>
      </c>
      <c r="C23" s="524" t="s">
        <v>62</v>
      </c>
      <c r="D23" s="525" t="s">
        <v>63</v>
      </c>
      <c r="E23" s="426"/>
      <c r="F23" s="526" t="s">
        <v>146</v>
      </c>
      <c r="J23" s="527" t="s">
        <v>1002</v>
      </c>
      <c r="K23" s="527" t="s">
        <v>363</v>
      </c>
    </row>
    <row r="24" spans="2:11" x14ac:dyDescent="0.25">
      <c r="B24" s="400" t="s">
        <v>73</v>
      </c>
      <c r="C24" s="712" t="s">
        <v>1239</v>
      </c>
      <c r="D24" s="712" t="s">
        <v>1239</v>
      </c>
      <c r="F24" s="413"/>
      <c r="G24" s="450" t="str">
        <f t="shared" ref="G24:G60" si="0">IF(OR(TRIM(D24)&lt;&gt;"",TRIM(F24)&lt;&gt;""),IF(AND(TRIM(D24)&lt;&gt;"",TRIM(F24)&lt;&gt;""),IF(OR(TRIM(C24)&lt;&gt;TRIM(D24),TRIM(C24)&lt;&gt;TRIM(F24)),"_",""),IF(TRIM(C24)&lt;&gt;TRIM(D24), "_", "")),"")</f>
        <v/>
      </c>
      <c r="J24" s="231"/>
      <c r="K24" s="231"/>
    </row>
    <row r="25" spans="2:11" x14ac:dyDescent="0.25">
      <c r="B25" s="400" t="s">
        <v>74</v>
      </c>
      <c r="C25" s="712" t="s">
        <v>1649</v>
      </c>
      <c r="D25" s="712" t="s">
        <v>1649</v>
      </c>
      <c r="F25" s="413"/>
      <c r="G25" s="450" t="str">
        <f t="shared" si="0"/>
        <v/>
      </c>
      <c r="J25" s="231"/>
      <c r="K25" s="231"/>
    </row>
    <row r="26" spans="2:11" x14ac:dyDescent="0.25">
      <c r="B26" s="400" t="s">
        <v>151</v>
      </c>
      <c r="C26" s="712" t="s">
        <v>1229</v>
      </c>
      <c r="D26" s="712" t="s">
        <v>1229</v>
      </c>
      <c r="F26" s="413"/>
      <c r="G26" s="450" t="str">
        <f t="shared" si="0"/>
        <v/>
      </c>
      <c r="J26" s="231"/>
      <c r="K26" s="231"/>
    </row>
    <row r="27" spans="2:11" x14ac:dyDescent="0.25">
      <c r="B27" s="400" t="s">
        <v>152</v>
      </c>
      <c r="C27" s="712" t="s">
        <v>1036</v>
      </c>
      <c r="D27" s="712" t="s">
        <v>1036</v>
      </c>
      <c r="F27" s="413"/>
      <c r="G27" s="450" t="str">
        <f t="shared" si="0"/>
        <v/>
      </c>
      <c r="J27" s="231"/>
      <c r="K27" s="231"/>
    </row>
    <row r="28" spans="2:11" x14ac:dyDescent="0.25">
      <c r="B28" s="400" t="s">
        <v>77</v>
      </c>
      <c r="C28" s="712" t="s">
        <v>1036</v>
      </c>
      <c r="D28" s="712" t="s">
        <v>1036</v>
      </c>
      <c r="F28" s="413"/>
      <c r="G28" s="450" t="str">
        <f t="shared" si="0"/>
        <v/>
      </c>
      <c r="J28" s="231"/>
      <c r="K28" s="231"/>
    </row>
    <row r="29" spans="2:11" x14ac:dyDescent="0.25">
      <c r="B29" s="673" t="s">
        <v>1502</v>
      </c>
      <c r="C29" s="692" t="s">
        <v>157</v>
      </c>
      <c r="D29" s="692" t="s">
        <v>157</v>
      </c>
      <c r="F29" s="413"/>
      <c r="G29" s="450" t="str">
        <f t="shared" si="0"/>
        <v/>
      </c>
      <c r="J29" s="231"/>
      <c r="K29" s="231"/>
    </row>
    <row r="30" spans="2:11" hidden="1" x14ac:dyDescent="0.25">
      <c r="B30" s="400"/>
      <c r="C30" s="412"/>
      <c r="D30" s="390"/>
      <c r="F30" s="413"/>
      <c r="G30" s="450" t="str">
        <f t="shared" si="0"/>
        <v/>
      </c>
      <c r="J30" s="231"/>
      <c r="K30" s="231"/>
    </row>
    <row r="31" spans="2:11" hidden="1" x14ac:dyDescent="0.25">
      <c r="B31" s="400"/>
      <c r="C31" s="412"/>
      <c r="D31" s="390"/>
      <c r="F31" s="413"/>
      <c r="G31" s="450" t="str">
        <f t="shared" si="0"/>
        <v/>
      </c>
      <c r="J31" s="231"/>
      <c r="K31" s="231"/>
    </row>
    <row r="32" spans="2:11" hidden="1" x14ac:dyDescent="0.25">
      <c r="B32" s="400"/>
      <c r="C32" s="412"/>
      <c r="D32" s="390"/>
      <c r="F32" s="413"/>
      <c r="G32" s="450" t="str">
        <f t="shared" si="0"/>
        <v/>
      </c>
      <c r="J32" s="231"/>
      <c r="K32" s="231"/>
    </row>
    <row r="33" spans="2:11" hidden="1" x14ac:dyDescent="0.25">
      <c r="B33" s="400"/>
      <c r="C33" s="412"/>
      <c r="D33" s="390"/>
      <c r="F33" s="413"/>
      <c r="G33" s="450" t="str">
        <f t="shared" si="0"/>
        <v/>
      </c>
      <c r="J33" s="231"/>
      <c r="K33" s="231"/>
    </row>
    <row r="34" spans="2:11" ht="15" hidden="1" customHeight="1" x14ac:dyDescent="0.25">
      <c r="B34" s="400"/>
      <c r="C34" s="412"/>
      <c r="D34" s="390"/>
      <c r="F34" s="413"/>
      <c r="G34" s="450" t="str">
        <f t="shared" si="0"/>
        <v/>
      </c>
      <c r="J34" s="231"/>
      <c r="K34" s="231"/>
    </row>
    <row r="35" spans="2:11" ht="15" hidden="1" customHeight="1" x14ac:dyDescent="0.25">
      <c r="B35" s="400"/>
      <c r="C35" s="412"/>
      <c r="D35" s="390"/>
      <c r="F35" s="413"/>
      <c r="G35" s="450" t="str">
        <f t="shared" si="0"/>
        <v/>
      </c>
      <c r="J35" s="231"/>
      <c r="K35" s="231"/>
    </row>
    <row r="36" spans="2:11" hidden="1" x14ac:dyDescent="0.25">
      <c r="B36" s="400"/>
      <c r="C36" s="412"/>
      <c r="D36" s="390"/>
      <c r="F36" s="413"/>
      <c r="G36" s="450" t="str">
        <f t="shared" si="0"/>
        <v/>
      </c>
      <c r="J36" s="231"/>
      <c r="K36" s="231"/>
    </row>
    <row r="37" spans="2:11" hidden="1" x14ac:dyDescent="0.25">
      <c r="B37" s="400"/>
      <c r="C37" s="412"/>
      <c r="D37" s="390"/>
      <c r="F37" s="413"/>
      <c r="G37" s="450" t="str">
        <f t="shared" si="0"/>
        <v/>
      </c>
      <c r="J37" s="231"/>
      <c r="K37" s="231"/>
    </row>
    <row r="38" spans="2:11" ht="7.5" hidden="1" customHeight="1" x14ac:dyDescent="0.25">
      <c r="B38" s="400"/>
      <c r="C38" s="412"/>
      <c r="D38" s="390"/>
      <c r="F38" s="275"/>
      <c r="G38" s="450" t="str">
        <f t="shared" si="0"/>
        <v/>
      </c>
      <c r="J38" s="381"/>
    </row>
    <row r="39" spans="2:11" hidden="1" x14ac:dyDescent="0.25">
      <c r="B39" s="400"/>
      <c r="C39" s="412"/>
      <c r="D39" s="390"/>
      <c r="F39" s="526" t="s">
        <v>146</v>
      </c>
      <c r="G39" s="450" t="str">
        <f t="shared" si="0"/>
        <v/>
      </c>
      <c r="J39" s="527" t="s">
        <v>1002</v>
      </c>
      <c r="K39" s="527" t="s">
        <v>363</v>
      </c>
    </row>
    <row r="40" spans="2:11" x14ac:dyDescent="0.25">
      <c r="B40" s="211"/>
      <c r="C40" s="228"/>
      <c r="D40" s="228"/>
      <c r="F40" s="413"/>
      <c r="G40" s="450" t="str">
        <f t="shared" si="0"/>
        <v/>
      </c>
      <c r="J40" s="231"/>
      <c r="K40" s="231"/>
    </row>
    <row r="41" spans="2:11" x14ac:dyDescent="0.25">
      <c r="B41" s="523" t="s">
        <v>103</v>
      </c>
      <c r="C41" s="524" t="s">
        <v>62</v>
      </c>
      <c r="D41" s="525" t="s">
        <v>63</v>
      </c>
      <c r="F41" s="413"/>
      <c r="G41" s="450" t="str">
        <f t="shared" si="0"/>
        <v>_</v>
      </c>
      <c r="J41" s="231"/>
      <c r="K41" s="231"/>
    </row>
    <row r="42" spans="2:11" x14ac:dyDescent="0.25">
      <c r="B42" s="691" t="s">
        <v>988</v>
      </c>
      <c r="C42" s="459" t="s">
        <v>157</v>
      </c>
      <c r="D42" s="692" t="s">
        <v>157</v>
      </c>
      <c r="F42" s="413"/>
      <c r="G42" s="450" t="str">
        <f t="shared" si="0"/>
        <v/>
      </c>
      <c r="J42" s="231"/>
      <c r="K42" s="231"/>
    </row>
    <row r="43" spans="2:11" hidden="1" x14ac:dyDescent="0.25">
      <c r="B43" s="400"/>
      <c r="C43" s="412"/>
      <c r="D43" s="390"/>
      <c r="F43" s="413"/>
      <c r="G43" s="450" t="str">
        <f t="shared" si="0"/>
        <v/>
      </c>
      <c r="J43" s="231"/>
      <c r="K43" s="231"/>
    </row>
    <row r="44" spans="2:11" hidden="1" x14ac:dyDescent="0.25">
      <c r="B44" s="400"/>
      <c r="C44" s="412"/>
      <c r="D44" s="390"/>
      <c r="F44" s="413"/>
      <c r="G44" s="450" t="str">
        <f t="shared" si="0"/>
        <v/>
      </c>
      <c r="J44" s="231"/>
      <c r="K44" s="231"/>
    </row>
    <row r="45" spans="2:11" hidden="1" x14ac:dyDescent="0.25">
      <c r="B45" s="400"/>
      <c r="C45" s="412"/>
      <c r="D45" s="390"/>
      <c r="F45" s="413"/>
      <c r="G45" s="450" t="str">
        <f t="shared" si="0"/>
        <v/>
      </c>
      <c r="J45" s="231"/>
      <c r="K45" s="231"/>
    </row>
    <row r="46" spans="2:11" hidden="1" x14ac:dyDescent="0.25">
      <c r="B46" s="400"/>
      <c r="C46" s="412"/>
      <c r="D46" s="390"/>
      <c r="F46" s="413"/>
      <c r="G46" s="450" t="str">
        <f t="shared" si="0"/>
        <v/>
      </c>
      <c r="J46" s="231"/>
      <c r="K46" s="231"/>
    </row>
    <row r="47" spans="2:11" hidden="1" x14ac:dyDescent="0.25">
      <c r="B47" s="400"/>
      <c r="C47" s="412"/>
      <c r="D47" s="390"/>
      <c r="F47" s="413"/>
      <c r="G47" s="450" t="str">
        <f t="shared" si="0"/>
        <v/>
      </c>
      <c r="J47" s="231"/>
      <c r="K47" s="231"/>
    </row>
    <row r="48" spans="2:11" hidden="1" x14ac:dyDescent="0.25">
      <c r="B48" s="400"/>
      <c r="C48" s="412"/>
      <c r="D48" s="390"/>
      <c r="F48" s="413"/>
      <c r="G48" s="450" t="str">
        <f t="shared" si="0"/>
        <v/>
      </c>
      <c r="J48" s="231"/>
      <c r="K48" s="231"/>
    </row>
    <row r="49" spans="2:11" hidden="1" x14ac:dyDescent="0.25">
      <c r="B49" s="400"/>
      <c r="C49" s="412"/>
      <c r="D49" s="390"/>
      <c r="F49" s="413"/>
      <c r="G49" s="450" t="str">
        <f t="shared" si="0"/>
        <v/>
      </c>
      <c r="J49" s="231"/>
      <c r="K49" s="231"/>
    </row>
    <row r="50" spans="2:11" hidden="1" x14ac:dyDescent="0.25">
      <c r="B50" s="400"/>
      <c r="C50" s="412"/>
      <c r="D50" s="390"/>
      <c r="F50" s="413"/>
      <c r="G50" s="450" t="str">
        <f t="shared" si="0"/>
        <v/>
      </c>
      <c r="J50" s="231"/>
      <c r="K50" s="231"/>
    </row>
    <row r="51" spans="2:11" hidden="1" x14ac:dyDescent="0.25">
      <c r="B51" s="400"/>
      <c r="C51" s="412"/>
      <c r="D51" s="390"/>
      <c r="F51" s="413"/>
      <c r="G51" s="450" t="str">
        <f t="shared" si="0"/>
        <v/>
      </c>
      <c r="J51" s="231"/>
      <c r="K51" s="231"/>
    </row>
    <row r="52" spans="2:11" hidden="1" x14ac:dyDescent="0.25">
      <c r="B52" s="400"/>
      <c r="C52" s="412"/>
      <c r="D52" s="390"/>
      <c r="F52" s="413"/>
      <c r="G52" s="450" t="str">
        <f t="shared" si="0"/>
        <v/>
      </c>
      <c r="J52" s="231"/>
      <c r="K52" s="231"/>
    </row>
    <row r="53" spans="2:11" ht="7.5" hidden="1" customHeight="1" x14ac:dyDescent="0.25">
      <c r="B53" s="400"/>
      <c r="C53" s="412"/>
      <c r="D53" s="390"/>
      <c r="G53" s="450" t="str">
        <f t="shared" si="0"/>
        <v/>
      </c>
      <c r="J53" s="381"/>
    </row>
    <row r="54" spans="2:11" hidden="1" x14ac:dyDescent="0.25">
      <c r="B54" s="400"/>
      <c r="C54" s="412"/>
      <c r="D54" s="390"/>
      <c r="F54" s="526" t="s">
        <v>146</v>
      </c>
      <c r="G54" s="450" t="str">
        <f t="shared" si="0"/>
        <v/>
      </c>
      <c r="H54" s="211"/>
      <c r="I54" s="211"/>
      <c r="J54" s="527" t="s">
        <v>1002</v>
      </c>
      <c r="K54" s="527" t="s">
        <v>363</v>
      </c>
    </row>
    <row r="55" spans="2:11" x14ac:dyDescent="0.25">
      <c r="F55" s="413"/>
      <c r="G55" s="450" t="str">
        <f t="shared" si="0"/>
        <v/>
      </c>
      <c r="H55" s="211"/>
      <c r="I55" s="211"/>
      <c r="J55" s="231"/>
      <c r="K55" s="231"/>
    </row>
    <row r="56" spans="2:11" x14ac:dyDescent="0.25">
      <c r="B56" s="528" t="s">
        <v>359</v>
      </c>
      <c r="C56" s="524" t="s">
        <v>62</v>
      </c>
      <c r="D56" s="525" t="s">
        <v>63</v>
      </c>
      <c r="F56" s="413"/>
      <c r="G56" s="450" t="str">
        <f t="shared" si="0"/>
        <v>_</v>
      </c>
      <c r="H56" s="211"/>
      <c r="I56" s="211"/>
      <c r="J56" s="231"/>
      <c r="K56" s="231"/>
    </row>
    <row r="57" spans="2:11" x14ac:dyDescent="0.25">
      <c r="B57" s="722" t="s">
        <v>1650</v>
      </c>
      <c r="C57" s="412" t="s">
        <v>1651</v>
      </c>
      <c r="D57" s="712" t="s">
        <v>1651</v>
      </c>
      <c r="F57" s="413"/>
      <c r="G57" s="450" t="str">
        <f t="shared" si="0"/>
        <v/>
      </c>
      <c r="H57" s="211"/>
      <c r="I57" s="211"/>
      <c r="J57" s="231"/>
      <c r="K57" s="231"/>
    </row>
    <row r="58" spans="2:11" x14ac:dyDescent="0.25">
      <c r="B58" s="722" t="s">
        <v>1652</v>
      </c>
      <c r="C58" s="412" t="s">
        <v>1653</v>
      </c>
      <c r="D58" s="712" t="s">
        <v>1653</v>
      </c>
      <c r="F58" s="413"/>
      <c r="G58" s="450" t="str">
        <f t="shared" si="0"/>
        <v/>
      </c>
      <c r="H58" s="211"/>
      <c r="I58" s="211"/>
      <c r="J58" s="231"/>
      <c r="K58" s="231"/>
    </row>
    <row r="59" spans="2:11" x14ac:dyDescent="0.25">
      <c r="B59" s="771" t="s">
        <v>1654</v>
      </c>
      <c r="C59" s="412" t="s">
        <v>1657</v>
      </c>
      <c r="D59" s="712" t="s">
        <v>1657</v>
      </c>
      <c r="F59" s="413"/>
      <c r="G59" s="450" t="str">
        <f t="shared" si="0"/>
        <v/>
      </c>
      <c r="H59" s="211"/>
      <c r="I59" s="211"/>
      <c r="J59" s="231"/>
      <c r="K59" s="231"/>
    </row>
    <row r="60" spans="2:11" ht="30.75" customHeight="1" x14ac:dyDescent="0.25">
      <c r="B60" s="673" t="s">
        <v>1655</v>
      </c>
      <c r="C60" s="412" t="s">
        <v>1656</v>
      </c>
      <c r="D60" s="712" t="s">
        <v>1656</v>
      </c>
      <c r="F60" s="413"/>
      <c r="G60" s="450" t="str">
        <f t="shared" si="0"/>
        <v/>
      </c>
      <c r="H60" s="211"/>
      <c r="I60" s="211"/>
      <c r="J60" s="231"/>
      <c r="K60" s="231"/>
    </row>
    <row r="63" spans="2:11" x14ac:dyDescent="0.25">
      <c r="E63" s="16"/>
    </row>
    <row r="64" spans="2:11" x14ac:dyDescent="0.25">
      <c r="E64" s="16"/>
    </row>
    <row r="65" spans="5:5" x14ac:dyDescent="0.25">
      <c r="E65" s="16"/>
    </row>
    <row r="66" spans="5:5" x14ac:dyDescent="0.25">
      <c r="E66" s="16"/>
    </row>
    <row r="67" spans="5:5" x14ac:dyDescent="0.25">
      <c r="E67" s="16"/>
    </row>
    <row r="68" spans="5:5" x14ac:dyDescent="0.25">
      <c r="E68" s="16"/>
    </row>
    <row r="69" spans="5:5" x14ac:dyDescent="0.25">
      <c r="E69" s="16"/>
    </row>
    <row r="70" spans="5:5" x14ac:dyDescent="0.25">
      <c r="E70" s="16"/>
    </row>
    <row r="71" spans="5:5" x14ac:dyDescent="0.25">
      <c r="E71" s="16"/>
    </row>
    <row r="72" spans="5:5" x14ac:dyDescent="0.25">
      <c r="E72" s="16"/>
    </row>
    <row r="73" spans="5:5" x14ac:dyDescent="0.25">
      <c r="E73" s="16"/>
    </row>
    <row r="74" spans="5:5" x14ac:dyDescent="0.25">
      <c r="E74" s="16"/>
    </row>
    <row r="75" spans="5:5" x14ac:dyDescent="0.25">
      <c r="E75" s="16"/>
    </row>
    <row r="76" spans="5:5" x14ac:dyDescent="0.25">
      <c r="E76" s="16"/>
    </row>
    <row r="77" spans="5:5" x14ac:dyDescent="0.25">
      <c r="E77" s="16"/>
    </row>
    <row r="78" spans="5:5" x14ac:dyDescent="0.25">
      <c r="E78" s="16"/>
    </row>
    <row r="79" spans="5:5" x14ac:dyDescent="0.25">
      <c r="E79"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sheetData>
  <sortState xmlns:xlrd2="http://schemas.microsoft.com/office/spreadsheetml/2017/richdata2" ref="B34:B46">
    <sortCondition ref="B34"/>
  </sortState>
  <mergeCells count="4">
    <mergeCell ref="B17:D17"/>
    <mergeCell ref="B20:D20"/>
    <mergeCell ref="B18:F18"/>
    <mergeCell ref="B21:F21"/>
  </mergeCells>
  <conditionalFormatting sqref="G1:G11 G13:G1048576">
    <cfRule type="cellIs" dxfId="93" priority="6" operator="equal">
      <formula>"_"</formula>
    </cfRule>
  </conditionalFormatting>
  <conditionalFormatting sqref="G24:G60">
    <cfRule type="cellIs" dxfId="92" priority="5" operator="equal">
      <formula>"_"</formula>
    </cfRule>
  </conditionalFormatting>
  <conditionalFormatting sqref="G61:G1048576">
    <cfRule type="cellIs" dxfId="91" priority="3" operator="equal">
      <formula>"_"</formula>
    </cfRule>
  </conditionalFormatting>
  <conditionalFormatting sqref="G12">
    <cfRule type="cellIs" dxfId="90"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2nd Excess Technology Errors &amp; &amp;&amp; Omissions</oddHeader>
    <oddFooter>&amp;L&amp;G&amp;CPage &amp;P of &amp;N</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0F9EE-1395-4FEF-AB91-C500F521464F}">
  <sheetPr codeName="Sheet40">
    <pageSetUpPr fitToPage="1"/>
  </sheetPr>
  <dimension ref="B1:M113"/>
  <sheetViews>
    <sheetView showGridLines="0" view="pageBreakPreview" zoomScale="115" zoomScaleNormal="100" zoomScaleSheetLayoutView="115" workbookViewId="0">
      <selection activeCell="J10" sqref="J10"/>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5.5703125" style="16" customWidth="1"/>
    <col min="14" max="53" width="9.140625" style="16" customWidth="1"/>
    <col min="54" max="16384" width="9.140625" style="16"/>
  </cols>
  <sheetData>
    <row r="1" spans="2:13" ht="7.5" customHeight="1" x14ac:dyDescent="0.25">
      <c r="E1" s="450"/>
    </row>
    <row r="2" spans="2:13" ht="15.75" x14ac:dyDescent="0.25">
      <c r="B2" s="453" t="str">
        <f>Input!B1240</f>
        <v>2nd Excess Technology Errors &amp; Omissions</v>
      </c>
      <c r="E2" s="450"/>
      <c r="H2" s="454"/>
      <c r="I2" s="455"/>
      <c r="J2" s="455"/>
      <c r="L2" s="456" t="s">
        <v>391</v>
      </c>
      <c r="M2" s="381" t="s">
        <v>361</v>
      </c>
    </row>
    <row r="3" spans="2:13" x14ac:dyDescent="0.25">
      <c r="D3" s="455" t="str">
        <f xml:space="preserve"> IF(Input!D1047=Input!G1047,CHAR(254), "")</f>
        <v/>
      </c>
      <c r="E3" s="457"/>
      <c r="F3" s="458" t="str">
        <f xml:space="preserve"> IF(Input!E1047=Input!G1047,CHAR(254),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54.75" customHeight="1" x14ac:dyDescent="0.25">
      <c r="B5" s="409" t="s">
        <v>60</v>
      </c>
      <c r="C5" s="412" t="str">
        <f>Input!B1245</f>
        <v>Liberty Surplus Insurance Corporation (Ironshore)</v>
      </c>
      <c r="D5" s="390" t="str">
        <f>Input!D1245</f>
        <v>Liberty Surplus Insurance Corporation (Ironshore)</v>
      </c>
      <c r="F5" s="413" t="str">
        <f>Input!E1048</f>
        <v>Indian Harbor Insurance Company (AXA XL)</v>
      </c>
      <c r="J5" s="231"/>
      <c r="K5" s="231"/>
    </row>
    <row r="6" spans="2:13" x14ac:dyDescent="0.25">
      <c r="B6" s="409" t="s">
        <v>69</v>
      </c>
      <c r="C6" s="412" t="str">
        <f>Input!B1247</f>
        <v>A:XV</v>
      </c>
      <c r="D6" s="390" t="str">
        <f>Input!D1247</f>
        <v>A:XV</v>
      </c>
      <c r="F6" s="413" t="str">
        <f>Input!E1050</f>
        <v>A: XV</v>
      </c>
      <c r="J6" s="231"/>
      <c r="K6" s="231"/>
    </row>
    <row r="7" spans="2:13" x14ac:dyDescent="0.25">
      <c r="B7" s="409" t="str">
        <f>Input!B1046</f>
        <v>Renewal Policy Number</v>
      </c>
      <c r="C7" s="711" t="str">
        <f>Input!C1242</f>
        <v>EOTAACMBZ2001</v>
      </c>
      <c r="D7" s="390" t="str">
        <f>Input!C1243</f>
        <v>TBD</v>
      </c>
      <c r="F7" s="413" t="str">
        <f>Input!C1046</f>
        <v>TBD</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789" t="s">
        <v>70</v>
      </c>
      <c r="C9" s="398">
        <f>Input!G1267</f>
        <v>5000000</v>
      </c>
      <c r="D9" s="425">
        <f>Input!G1268</f>
        <v>5000000</v>
      </c>
      <c r="E9" s="414"/>
      <c r="F9" s="427">
        <f>Input!G1072</f>
        <v>0</v>
      </c>
      <c r="J9" s="231"/>
      <c r="K9" s="231"/>
    </row>
    <row r="10" spans="2:13" x14ac:dyDescent="0.25">
      <c r="B10" s="409" t="s">
        <v>199</v>
      </c>
      <c r="C10" s="398">
        <f>Input!H1267</f>
        <v>5000000</v>
      </c>
      <c r="D10" s="425">
        <f>Input!H1268</f>
        <v>5000000</v>
      </c>
      <c r="E10" s="414"/>
      <c r="F10" s="427">
        <f>Input!H1072</f>
        <v>0</v>
      </c>
      <c r="J10" s="231"/>
      <c r="K10" s="231"/>
    </row>
    <row r="11" spans="2:13" x14ac:dyDescent="0.25">
      <c r="B11" s="402" t="s">
        <v>23</v>
      </c>
      <c r="C11" s="403">
        <f>Input!I1267</f>
        <v>0</v>
      </c>
      <c r="D11" s="431">
        <f>Input!I1268</f>
        <v>0</v>
      </c>
      <c r="E11" s="414"/>
      <c r="F11" s="430">
        <f>Input!I1072</f>
        <v>0</v>
      </c>
      <c r="J11" s="231"/>
      <c r="K11" s="231"/>
    </row>
    <row r="12" spans="2:13" x14ac:dyDescent="0.25">
      <c r="B12" s="479" t="s">
        <v>367</v>
      </c>
      <c r="C12" s="479"/>
      <c r="D12" s="479"/>
      <c r="F12" s="562"/>
      <c r="G12" s="211"/>
      <c r="H12" s="211"/>
      <c r="I12" s="211"/>
      <c r="J12" s="566"/>
      <c r="K12" s="566"/>
    </row>
    <row r="13" spans="2:13" x14ac:dyDescent="0.25">
      <c r="B13" s="402" t="s">
        <v>343</v>
      </c>
      <c r="C13" s="428">
        <f>Input!B1249</f>
        <v>104850</v>
      </c>
      <c r="D13" s="425">
        <f>Input!D1249</f>
        <v>105850</v>
      </c>
      <c r="E13" s="414"/>
      <c r="F13" s="427">
        <f>Input!E1052</f>
        <v>132000</v>
      </c>
      <c r="J13" s="231"/>
      <c r="K13" s="231"/>
    </row>
    <row r="14" spans="2:13" x14ac:dyDescent="0.25">
      <c r="B14" s="402" t="s">
        <v>374</v>
      </c>
      <c r="C14" s="429">
        <f>C15-C13</f>
        <v>4194</v>
      </c>
      <c r="D14" s="425">
        <f>D15-D13</f>
        <v>4234</v>
      </c>
      <c r="E14" s="414"/>
      <c r="F14" s="430">
        <f>F15-F13</f>
        <v>5280</v>
      </c>
      <c r="J14" s="231"/>
      <c r="K14" s="231"/>
    </row>
    <row r="15" spans="2:13" x14ac:dyDescent="0.25">
      <c r="B15" s="409" t="s">
        <v>369</v>
      </c>
      <c r="C15" s="428">
        <f>Input!B1260</f>
        <v>109044</v>
      </c>
      <c r="D15" s="425">
        <f>Input!D1260</f>
        <v>110084</v>
      </c>
      <c r="E15" s="414"/>
      <c r="F15" s="427">
        <f>Input!E1063</f>
        <v>137280</v>
      </c>
      <c r="J15" s="231"/>
      <c r="K15" s="231"/>
    </row>
    <row r="16" spans="2:13" ht="7.5" customHeight="1" x14ac:dyDescent="0.25">
      <c r="B16" s="310"/>
      <c r="C16" s="228"/>
      <c r="D16" s="228"/>
      <c r="F16" s="275"/>
      <c r="J16" s="381"/>
    </row>
    <row r="17" spans="2:11" x14ac:dyDescent="0.25">
      <c r="B17" s="1274" t="s">
        <v>144</v>
      </c>
      <c r="C17" s="1274"/>
      <c r="D17" s="1274"/>
      <c r="E17" s="238"/>
      <c r="F17" s="274"/>
      <c r="J17" s="381"/>
    </row>
    <row r="18" spans="2:11" x14ac:dyDescent="0.25">
      <c r="B18" s="1275" t="s">
        <v>1172</v>
      </c>
      <c r="C18" s="1276"/>
      <c r="D18" s="1276"/>
      <c r="E18" s="1276"/>
      <c r="F18" s="1277"/>
      <c r="J18" s="381"/>
    </row>
    <row r="19" spans="2:11" ht="7.5" customHeight="1" x14ac:dyDescent="0.25">
      <c r="B19" s="380"/>
      <c r="C19" s="238"/>
      <c r="D19" s="238"/>
      <c r="E19" s="433"/>
      <c r="F19" s="275"/>
      <c r="J19" s="381"/>
    </row>
    <row r="20" spans="2:11" x14ac:dyDescent="0.25">
      <c r="B20" s="1274" t="s">
        <v>145</v>
      </c>
      <c r="C20" s="1274"/>
      <c r="D20" s="1274"/>
      <c r="E20" s="434"/>
      <c r="F20" s="275"/>
      <c r="J20" s="381"/>
    </row>
    <row r="21" spans="2:11" x14ac:dyDescent="0.25">
      <c r="B21" s="1275" t="s">
        <v>1172</v>
      </c>
      <c r="C21" s="1276"/>
      <c r="D21" s="1276"/>
      <c r="E21" s="1276"/>
      <c r="F21" s="1277"/>
      <c r="J21" s="381"/>
    </row>
    <row r="22" spans="2:11" ht="7.5" customHeight="1" x14ac:dyDescent="0.25">
      <c r="B22" s="310"/>
      <c r="C22" s="228"/>
      <c r="D22" s="228"/>
      <c r="F22" s="275"/>
      <c r="J22" s="381"/>
    </row>
    <row r="23" spans="2:11" x14ac:dyDescent="0.25">
      <c r="B23" s="523" t="s">
        <v>72</v>
      </c>
      <c r="C23" s="524" t="s">
        <v>62</v>
      </c>
      <c r="D23" s="525" t="s">
        <v>63</v>
      </c>
      <c r="E23" s="426"/>
      <c r="F23" s="526" t="s">
        <v>146</v>
      </c>
      <c r="J23" s="527" t="s">
        <v>1002</v>
      </c>
      <c r="K23" s="527" t="s">
        <v>363</v>
      </c>
    </row>
    <row r="24" spans="2:11" x14ac:dyDescent="0.25">
      <c r="B24" s="400" t="s">
        <v>73</v>
      </c>
      <c r="C24" s="711" t="s">
        <v>1239</v>
      </c>
      <c r="D24" s="712" t="s">
        <v>1239</v>
      </c>
      <c r="F24" s="413"/>
      <c r="G24" s="450" t="str">
        <f t="shared" ref="G24:G71" si="0">IF(OR(TRIM(D24)&lt;&gt;"",TRIM(F24)&lt;&gt;""),IF(AND(TRIM(D24)&lt;&gt;"",TRIM(F24)&lt;&gt;""),IF(OR(TRIM(C24)&lt;&gt;TRIM(D24),TRIM(C24)&lt;&gt;TRIM(F24)),"_",""),IF(TRIM(C24)&lt;&gt;TRIM(D24), "_", "")),"")</f>
        <v/>
      </c>
      <c r="J24" s="231"/>
      <c r="K24" s="231"/>
    </row>
    <row r="25" spans="2:11" ht="14.25" customHeight="1" x14ac:dyDescent="0.25">
      <c r="B25" s="400" t="s">
        <v>74</v>
      </c>
      <c r="C25" s="711" t="s">
        <v>2079</v>
      </c>
      <c r="D25" s="712" t="s">
        <v>2079</v>
      </c>
      <c r="E25" s="530"/>
      <c r="F25" s="413"/>
      <c r="G25" s="450" t="str">
        <f t="shared" si="0"/>
        <v/>
      </c>
      <c r="J25" s="231"/>
      <c r="K25" s="231"/>
    </row>
    <row r="26" spans="2:11" x14ac:dyDescent="0.25">
      <c r="B26" s="400" t="s">
        <v>151</v>
      </c>
      <c r="C26" s="711" t="s">
        <v>1229</v>
      </c>
      <c r="D26" s="712" t="s">
        <v>1229</v>
      </c>
      <c r="F26" s="413"/>
      <c r="G26" s="450"/>
      <c r="J26" s="231"/>
      <c r="K26" s="231"/>
    </row>
    <row r="27" spans="2:11" x14ac:dyDescent="0.25">
      <c r="B27" s="400" t="s">
        <v>152</v>
      </c>
      <c r="C27" s="711" t="s">
        <v>284</v>
      </c>
      <c r="D27" s="712" t="s">
        <v>284</v>
      </c>
      <c r="F27" s="413"/>
      <c r="G27" s="450" t="str">
        <f t="shared" si="0"/>
        <v/>
      </c>
      <c r="J27" s="231"/>
      <c r="K27" s="231"/>
    </row>
    <row r="28" spans="2:11" x14ac:dyDescent="0.25">
      <c r="B28" s="400" t="s">
        <v>77</v>
      </c>
      <c r="C28" s="711" t="s">
        <v>1036</v>
      </c>
      <c r="D28" s="712" t="s">
        <v>1036</v>
      </c>
      <c r="F28" s="413"/>
      <c r="G28" s="450" t="str">
        <f t="shared" si="0"/>
        <v/>
      </c>
      <c r="J28" s="231"/>
      <c r="K28" s="231"/>
    </row>
    <row r="29" spans="2:11" x14ac:dyDescent="0.25">
      <c r="B29" s="673" t="s">
        <v>1502</v>
      </c>
      <c r="C29" s="459" t="s">
        <v>157</v>
      </c>
      <c r="D29" s="692" t="s">
        <v>157</v>
      </c>
      <c r="F29" s="413"/>
      <c r="G29" s="450" t="str">
        <f t="shared" si="0"/>
        <v/>
      </c>
      <c r="J29" s="231"/>
      <c r="K29" s="231"/>
    </row>
    <row r="30" spans="2:11" ht="15" hidden="1" customHeight="1" x14ac:dyDescent="0.25">
      <c r="B30" s="400"/>
      <c r="C30" s="412"/>
      <c r="D30" s="390"/>
      <c r="F30" s="413"/>
      <c r="G30" s="450" t="str">
        <f t="shared" si="0"/>
        <v/>
      </c>
      <c r="J30" s="231"/>
      <c r="K30" s="231"/>
    </row>
    <row r="31" spans="2:11" hidden="1" x14ac:dyDescent="0.25">
      <c r="B31" s="400"/>
      <c r="C31" s="412"/>
      <c r="D31" s="390"/>
      <c r="F31" s="413"/>
      <c r="G31" s="450" t="str">
        <f t="shared" si="0"/>
        <v/>
      </c>
      <c r="J31" s="231"/>
      <c r="K31" s="231"/>
    </row>
    <row r="32" spans="2:11" hidden="1" x14ac:dyDescent="0.25">
      <c r="B32" s="400"/>
      <c r="C32" s="412"/>
      <c r="D32" s="390"/>
      <c r="F32" s="413"/>
      <c r="G32" s="450" t="str">
        <f t="shared" si="0"/>
        <v/>
      </c>
      <c r="J32" s="231"/>
      <c r="K32" s="231"/>
    </row>
    <row r="33" spans="2:11" hidden="1" x14ac:dyDescent="0.25">
      <c r="B33" s="400"/>
      <c r="C33" s="412"/>
      <c r="D33" s="390"/>
      <c r="F33" s="413"/>
      <c r="G33" s="450" t="str">
        <f t="shared" si="0"/>
        <v/>
      </c>
      <c r="J33" s="231"/>
      <c r="K33" s="231"/>
    </row>
    <row r="34" spans="2:11" hidden="1" x14ac:dyDescent="0.25">
      <c r="B34" s="400"/>
      <c r="C34" s="412"/>
      <c r="D34" s="390"/>
      <c r="F34" s="413"/>
      <c r="G34" s="450" t="str">
        <f t="shared" si="0"/>
        <v/>
      </c>
      <c r="J34" s="231"/>
      <c r="K34" s="231"/>
    </row>
    <row r="35" spans="2:11" hidden="1" x14ac:dyDescent="0.25">
      <c r="B35" s="400"/>
      <c r="C35" s="412"/>
      <c r="D35" s="390"/>
      <c r="F35" s="413"/>
      <c r="G35" s="450" t="str">
        <f t="shared" si="0"/>
        <v/>
      </c>
      <c r="J35" s="231"/>
      <c r="K35" s="231"/>
    </row>
    <row r="36" spans="2:11" hidden="1" x14ac:dyDescent="0.25">
      <c r="B36" s="400"/>
      <c r="C36" s="412"/>
      <c r="D36" s="390"/>
      <c r="F36" s="413"/>
      <c r="G36" s="450" t="str">
        <f t="shared" si="0"/>
        <v/>
      </c>
      <c r="J36" s="231"/>
      <c r="K36" s="231"/>
    </row>
    <row r="37" spans="2:11" hidden="1" x14ac:dyDescent="0.25">
      <c r="B37" s="400"/>
      <c r="C37" s="412"/>
      <c r="D37" s="390"/>
      <c r="F37" s="413"/>
      <c r="G37" s="450" t="str">
        <f t="shared" si="0"/>
        <v/>
      </c>
      <c r="J37" s="231"/>
      <c r="K37" s="231"/>
    </row>
    <row r="38" spans="2:11" hidden="1" x14ac:dyDescent="0.25">
      <c r="B38" s="400"/>
      <c r="C38" s="412"/>
      <c r="D38" s="390"/>
      <c r="F38" s="413"/>
      <c r="G38" s="450" t="str">
        <f t="shared" si="0"/>
        <v/>
      </c>
      <c r="J38" s="231"/>
      <c r="K38" s="231"/>
    </row>
    <row r="39" spans="2:11" hidden="1" x14ac:dyDescent="0.25">
      <c r="B39" s="400"/>
      <c r="C39" s="412"/>
      <c r="D39" s="390"/>
      <c r="F39" s="413"/>
      <c r="G39" s="450" t="str">
        <f t="shared" si="0"/>
        <v/>
      </c>
      <c r="J39" s="231"/>
      <c r="K39" s="231"/>
    </row>
    <row r="40" spans="2:11" ht="7.5" customHeight="1" x14ac:dyDescent="0.25">
      <c r="B40" s="211"/>
      <c r="C40" s="228"/>
      <c r="D40" s="228"/>
      <c r="F40" s="275"/>
      <c r="G40" s="450" t="str">
        <f t="shared" si="0"/>
        <v/>
      </c>
      <c r="J40" s="381"/>
    </row>
    <row r="41" spans="2:11" x14ac:dyDescent="0.25">
      <c r="B41" s="523" t="s">
        <v>103</v>
      </c>
      <c r="C41" s="524" t="s">
        <v>62</v>
      </c>
      <c r="D41" s="525" t="s">
        <v>63</v>
      </c>
      <c r="F41" s="526" t="s">
        <v>146</v>
      </c>
      <c r="G41" s="450" t="str">
        <f t="shared" si="0"/>
        <v>_</v>
      </c>
      <c r="J41" s="527" t="s">
        <v>1002</v>
      </c>
      <c r="K41" s="527" t="s">
        <v>363</v>
      </c>
    </row>
    <row r="42" spans="2:11" x14ac:dyDescent="0.25">
      <c r="B42" s="691" t="s">
        <v>988</v>
      </c>
      <c r="C42" s="459" t="s">
        <v>157</v>
      </c>
      <c r="D42" s="692" t="s">
        <v>157</v>
      </c>
      <c r="F42" s="413"/>
      <c r="G42" s="450" t="str">
        <f t="shared" si="0"/>
        <v/>
      </c>
      <c r="H42" s="211"/>
      <c r="I42" s="211"/>
      <c r="J42" s="231"/>
      <c r="K42" s="231"/>
    </row>
    <row r="43" spans="2:11" hidden="1" x14ac:dyDescent="0.25">
      <c r="B43" s="400"/>
      <c r="C43" s="412"/>
      <c r="D43" s="390"/>
      <c r="F43" s="413"/>
      <c r="G43" s="450" t="str">
        <f t="shared" si="0"/>
        <v/>
      </c>
      <c r="H43" s="211"/>
      <c r="I43" s="211"/>
      <c r="J43" s="231"/>
      <c r="K43" s="231"/>
    </row>
    <row r="44" spans="2:11" hidden="1" x14ac:dyDescent="0.25">
      <c r="B44" s="400"/>
      <c r="C44" s="412"/>
      <c r="D44" s="390"/>
      <c r="F44" s="413"/>
      <c r="G44" s="450" t="str">
        <f t="shared" si="0"/>
        <v/>
      </c>
      <c r="H44" s="211"/>
      <c r="I44" s="211"/>
      <c r="J44" s="231"/>
      <c r="K44" s="231"/>
    </row>
    <row r="45" spans="2:11" hidden="1" x14ac:dyDescent="0.25">
      <c r="B45" s="400"/>
      <c r="C45" s="412"/>
      <c r="D45" s="390"/>
      <c r="F45" s="413"/>
      <c r="G45" s="450" t="str">
        <f t="shared" si="0"/>
        <v/>
      </c>
      <c r="H45" s="211"/>
      <c r="I45" s="211"/>
      <c r="J45" s="231"/>
      <c r="K45" s="231"/>
    </row>
    <row r="46" spans="2:11" hidden="1" x14ac:dyDescent="0.25">
      <c r="B46" s="400"/>
      <c r="C46" s="412"/>
      <c r="D46" s="390"/>
      <c r="F46" s="413"/>
      <c r="G46" s="450" t="str">
        <f t="shared" si="0"/>
        <v/>
      </c>
      <c r="H46" s="211"/>
      <c r="I46" s="211"/>
      <c r="J46" s="231"/>
      <c r="K46" s="231"/>
    </row>
    <row r="47" spans="2:11" hidden="1" x14ac:dyDescent="0.25">
      <c r="B47" s="400"/>
      <c r="C47" s="412"/>
      <c r="D47" s="390"/>
      <c r="F47" s="413"/>
      <c r="G47" s="450" t="str">
        <f t="shared" si="0"/>
        <v/>
      </c>
      <c r="H47" s="211"/>
      <c r="I47" s="211"/>
      <c r="J47" s="231"/>
      <c r="K47" s="231"/>
    </row>
    <row r="48" spans="2:11" hidden="1" x14ac:dyDescent="0.25">
      <c r="B48" s="400"/>
      <c r="C48" s="412"/>
      <c r="D48" s="390"/>
      <c r="F48" s="413"/>
      <c r="G48" s="450" t="str">
        <f t="shared" si="0"/>
        <v/>
      </c>
      <c r="H48" s="211"/>
      <c r="I48" s="211"/>
      <c r="J48" s="231"/>
      <c r="K48" s="231"/>
    </row>
    <row r="49" spans="2:11" hidden="1" x14ac:dyDescent="0.25">
      <c r="B49" s="400"/>
      <c r="C49" s="412"/>
      <c r="D49" s="390"/>
      <c r="F49" s="413"/>
      <c r="G49" s="450" t="str">
        <f t="shared" si="0"/>
        <v/>
      </c>
      <c r="H49" s="211"/>
      <c r="I49" s="211"/>
      <c r="J49" s="231"/>
      <c r="K49" s="231"/>
    </row>
    <row r="50" spans="2:11" hidden="1" x14ac:dyDescent="0.25">
      <c r="B50" s="400"/>
      <c r="C50" s="412"/>
      <c r="D50" s="390"/>
      <c r="F50" s="413"/>
      <c r="G50" s="450" t="str">
        <f t="shared" si="0"/>
        <v/>
      </c>
      <c r="H50" s="211"/>
      <c r="I50" s="211"/>
      <c r="J50" s="231"/>
      <c r="K50" s="231"/>
    </row>
    <row r="51" spans="2:11" hidden="1" x14ac:dyDescent="0.25">
      <c r="B51" s="400"/>
      <c r="C51" s="412"/>
      <c r="D51" s="390"/>
      <c r="F51" s="413"/>
      <c r="G51" s="450" t="str">
        <f t="shared" si="0"/>
        <v/>
      </c>
      <c r="H51" s="211"/>
      <c r="I51" s="211"/>
      <c r="J51" s="231"/>
      <c r="K51" s="231"/>
    </row>
    <row r="52" spans="2:11" hidden="1" x14ac:dyDescent="0.25">
      <c r="B52" s="400"/>
      <c r="C52" s="412"/>
      <c r="D52" s="390"/>
      <c r="F52" s="413"/>
      <c r="G52" s="450" t="str">
        <f t="shared" si="0"/>
        <v/>
      </c>
      <c r="H52" s="211"/>
      <c r="I52" s="211"/>
      <c r="J52" s="231"/>
      <c r="K52" s="231"/>
    </row>
    <row r="53" spans="2:11" hidden="1" x14ac:dyDescent="0.25">
      <c r="B53" s="400"/>
      <c r="C53" s="412"/>
      <c r="D53" s="390"/>
      <c r="F53" s="413"/>
      <c r="G53" s="450" t="str">
        <f t="shared" si="0"/>
        <v/>
      </c>
      <c r="H53" s="211"/>
      <c r="I53" s="211"/>
      <c r="J53" s="231"/>
      <c r="K53" s="231"/>
    </row>
    <row r="54" spans="2:11" hidden="1" x14ac:dyDescent="0.25">
      <c r="B54" s="400"/>
      <c r="C54" s="412"/>
      <c r="D54" s="390"/>
      <c r="F54" s="413"/>
      <c r="G54" s="450" t="str">
        <f t="shared" si="0"/>
        <v/>
      </c>
      <c r="H54" s="211"/>
      <c r="I54" s="211"/>
      <c r="J54" s="231"/>
      <c r="K54" s="231"/>
    </row>
    <row r="55" spans="2:11" ht="7.5" customHeight="1" x14ac:dyDescent="0.25">
      <c r="G55" s="450" t="str">
        <f t="shared" si="0"/>
        <v/>
      </c>
      <c r="J55" s="381"/>
    </row>
    <row r="56" spans="2:11" x14ac:dyDescent="0.25">
      <c r="B56" s="528" t="s">
        <v>359</v>
      </c>
      <c r="C56" s="524" t="s">
        <v>62</v>
      </c>
      <c r="D56" s="525" t="s">
        <v>63</v>
      </c>
      <c r="F56" s="526" t="s">
        <v>146</v>
      </c>
      <c r="G56" s="450" t="str">
        <f t="shared" si="0"/>
        <v>_</v>
      </c>
      <c r="H56" s="211"/>
      <c r="I56" s="211"/>
      <c r="J56" s="527" t="s">
        <v>1002</v>
      </c>
      <c r="K56" s="527" t="s">
        <v>363</v>
      </c>
    </row>
    <row r="57" spans="2:11" hidden="1" x14ac:dyDescent="0.25">
      <c r="B57" s="673" t="s">
        <v>1492</v>
      </c>
      <c r="C57" s="711" t="s">
        <v>1493</v>
      </c>
      <c r="D57" s="390"/>
      <c r="F57" s="413"/>
      <c r="G57" s="450" t="str">
        <f t="shared" si="0"/>
        <v/>
      </c>
      <c r="H57" s="211"/>
      <c r="I57" s="211"/>
      <c r="J57" s="231"/>
      <c r="K57" s="231"/>
    </row>
    <row r="58" spans="2:11" hidden="1" x14ac:dyDescent="0.25">
      <c r="B58" s="722" t="s">
        <v>1494</v>
      </c>
      <c r="C58" s="711" t="s">
        <v>1495</v>
      </c>
      <c r="D58" s="390"/>
      <c r="F58" s="413"/>
      <c r="G58" s="450" t="str">
        <f t="shared" si="0"/>
        <v/>
      </c>
      <c r="H58" s="211"/>
      <c r="I58" s="211"/>
      <c r="J58" s="231"/>
      <c r="K58" s="231"/>
    </row>
    <row r="59" spans="2:11" hidden="1" x14ac:dyDescent="0.25">
      <c r="B59" s="722" t="s">
        <v>1496</v>
      </c>
      <c r="C59" s="711" t="s">
        <v>1497</v>
      </c>
      <c r="D59" s="390"/>
      <c r="F59" s="413"/>
      <c r="G59" s="450" t="str">
        <f t="shared" si="0"/>
        <v/>
      </c>
      <c r="H59" s="211"/>
      <c r="I59" s="211"/>
      <c r="J59" s="231"/>
      <c r="K59" s="231"/>
    </row>
    <row r="60" spans="2:11" hidden="1" x14ac:dyDescent="0.25">
      <c r="B60" s="771" t="s">
        <v>1498</v>
      </c>
      <c r="C60" s="711" t="s">
        <v>1499</v>
      </c>
      <c r="D60" s="390"/>
      <c r="F60" s="413"/>
      <c r="G60" s="450" t="str">
        <f t="shared" si="0"/>
        <v/>
      </c>
      <c r="H60" s="211"/>
      <c r="I60" s="211"/>
      <c r="J60" s="231"/>
      <c r="K60" s="231"/>
    </row>
    <row r="61" spans="2:11" hidden="1" x14ac:dyDescent="0.25">
      <c r="B61" s="673" t="s">
        <v>1500</v>
      </c>
      <c r="C61" s="412" t="s">
        <v>1501</v>
      </c>
      <c r="D61" s="712"/>
      <c r="F61" s="413"/>
      <c r="G61" s="450" t="str">
        <f t="shared" si="0"/>
        <v/>
      </c>
      <c r="H61" s="211"/>
      <c r="I61" s="211"/>
      <c r="J61" s="231"/>
      <c r="K61" s="231"/>
    </row>
    <row r="62" spans="2:11" x14ac:dyDescent="0.25">
      <c r="B62" s="722" t="s">
        <v>2080</v>
      </c>
      <c r="C62" s="711" t="s">
        <v>2081</v>
      </c>
      <c r="D62" s="712" t="s">
        <v>2081</v>
      </c>
      <c r="F62" s="413"/>
      <c r="G62" s="450" t="str">
        <f t="shared" si="0"/>
        <v/>
      </c>
      <c r="H62" s="211"/>
      <c r="I62" s="211"/>
      <c r="J62" s="231"/>
      <c r="K62" s="231"/>
    </row>
    <row r="63" spans="2:11" x14ac:dyDescent="0.25">
      <c r="B63" s="722" t="s">
        <v>2082</v>
      </c>
      <c r="C63" s="711" t="s">
        <v>2083</v>
      </c>
      <c r="D63" s="712" t="s">
        <v>2083</v>
      </c>
      <c r="F63" s="413"/>
      <c r="G63" s="450" t="str">
        <f t="shared" si="0"/>
        <v/>
      </c>
      <c r="H63" s="211"/>
      <c r="I63" s="211"/>
      <c r="J63" s="231"/>
      <c r="K63" s="231"/>
    </row>
    <row r="64" spans="2:11" ht="93.75" customHeight="1" x14ac:dyDescent="0.25">
      <c r="B64" s="673" t="s">
        <v>2087</v>
      </c>
      <c r="C64" s="697" t="s">
        <v>2086</v>
      </c>
      <c r="D64" s="703" t="s">
        <v>2086</v>
      </c>
      <c r="F64" s="413"/>
      <c r="G64" s="450" t="str">
        <f t="shared" si="0"/>
        <v/>
      </c>
      <c r="H64" s="211"/>
      <c r="I64" s="211"/>
      <c r="J64" s="231"/>
      <c r="K64" s="231"/>
    </row>
    <row r="65" spans="2:11" ht="29.25" customHeight="1" x14ac:dyDescent="0.25">
      <c r="B65" s="673" t="s">
        <v>2084</v>
      </c>
      <c r="C65" s="697" t="s">
        <v>2085</v>
      </c>
      <c r="D65" s="703" t="s">
        <v>2085</v>
      </c>
      <c r="F65" s="413"/>
      <c r="G65" s="450" t="str">
        <f t="shared" si="0"/>
        <v/>
      </c>
      <c r="H65" s="211"/>
      <c r="I65" s="211"/>
      <c r="J65" s="231"/>
      <c r="K65" s="231"/>
    </row>
    <row r="66" spans="2:11" x14ac:dyDescent="0.25">
      <c r="B66" s="368"/>
      <c r="C66" s="412"/>
      <c r="D66" s="390"/>
      <c r="F66" s="413"/>
      <c r="G66" s="450" t="str">
        <f t="shared" si="0"/>
        <v/>
      </c>
      <c r="H66" s="211"/>
      <c r="I66" s="211"/>
      <c r="J66" s="231"/>
      <c r="K66" s="231"/>
    </row>
    <row r="67" spans="2:11" x14ac:dyDescent="0.25">
      <c r="B67" s="400"/>
      <c r="C67" s="412"/>
      <c r="D67" s="390"/>
      <c r="F67" s="413"/>
      <c r="G67" s="228" t="str">
        <f t="shared" si="0"/>
        <v/>
      </c>
      <c r="H67" s="211"/>
      <c r="I67" s="211"/>
      <c r="J67" s="231"/>
      <c r="K67" s="231"/>
    </row>
    <row r="68" spans="2:11" x14ac:dyDescent="0.25">
      <c r="B68" s="368"/>
      <c r="C68" s="412"/>
      <c r="D68" s="390"/>
      <c r="F68" s="413"/>
      <c r="G68" s="228" t="str">
        <f t="shared" si="0"/>
        <v/>
      </c>
      <c r="H68" s="211"/>
      <c r="I68" s="211"/>
      <c r="J68" s="231"/>
      <c r="K68" s="231"/>
    </row>
    <row r="69" spans="2:11" x14ac:dyDescent="0.25">
      <c r="B69" s="368"/>
      <c r="C69" s="412"/>
      <c r="D69" s="390"/>
      <c r="F69" s="413"/>
      <c r="G69" s="228" t="str">
        <f t="shared" si="0"/>
        <v/>
      </c>
      <c r="H69" s="211"/>
      <c r="I69" s="211"/>
      <c r="J69" s="231"/>
      <c r="K69" s="231"/>
    </row>
    <row r="70" spans="2:11" x14ac:dyDescent="0.25">
      <c r="B70" s="368"/>
      <c r="C70" s="412"/>
      <c r="D70" s="390"/>
      <c r="F70" s="413"/>
      <c r="G70" s="228" t="str">
        <f t="shared" si="0"/>
        <v/>
      </c>
      <c r="H70" s="211"/>
      <c r="I70" s="211"/>
      <c r="J70" s="231"/>
      <c r="K70" s="231"/>
    </row>
    <row r="71" spans="2:11" x14ac:dyDescent="0.25">
      <c r="B71" s="400"/>
      <c r="C71" s="412"/>
      <c r="D71" s="390"/>
      <c r="F71" s="413"/>
      <c r="G71" s="228" t="str">
        <f t="shared" si="0"/>
        <v/>
      </c>
      <c r="H71" s="211"/>
      <c r="I71" s="211"/>
      <c r="J71" s="231"/>
      <c r="K71" s="231"/>
    </row>
    <row r="74" spans="2:11" x14ac:dyDescent="0.25">
      <c r="E74" s="16"/>
    </row>
    <row r="75" spans="2:11" x14ac:dyDescent="0.25">
      <c r="E75" s="16"/>
    </row>
    <row r="76" spans="2:11" x14ac:dyDescent="0.25">
      <c r="E76" s="16"/>
    </row>
    <row r="77" spans="2:11" x14ac:dyDescent="0.25">
      <c r="E77" s="16"/>
    </row>
    <row r="78" spans="2:11" x14ac:dyDescent="0.25">
      <c r="E78" s="16"/>
    </row>
    <row r="79" spans="2:11" x14ac:dyDescent="0.25">
      <c r="E79" s="16"/>
    </row>
    <row r="80" spans="2:11" x14ac:dyDescent="0.25">
      <c r="E80"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sheetData>
  <mergeCells count="4">
    <mergeCell ref="B17:D17"/>
    <mergeCell ref="B18:F18"/>
    <mergeCell ref="B20:D20"/>
    <mergeCell ref="B21:F21"/>
  </mergeCells>
  <conditionalFormatting sqref="G1:G11 G13:G1048576">
    <cfRule type="cellIs" dxfId="89" priority="4" operator="equal">
      <formula>"_"</formula>
    </cfRule>
  </conditionalFormatting>
  <conditionalFormatting sqref="G24:G66">
    <cfRule type="cellIs" dxfId="88" priority="3" operator="equal">
      <formula>"_"</formula>
    </cfRule>
  </conditionalFormatting>
  <conditionalFormatting sqref="G72:G1048576">
    <cfRule type="cellIs" dxfId="87" priority="2" operator="equal">
      <formula>"_"</formula>
    </cfRule>
  </conditionalFormatting>
  <conditionalFormatting sqref="G12">
    <cfRule type="cellIs" dxfId="86"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2nd Excess Technology Errors &amp;&amp; &amp; &amp;  Omissions</oddHeader>
    <oddFooter>&amp;L&amp;G&amp;CPage &amp;P of &amp;N</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1:R73"/>
  <sheetViews>
    <sheetView showGridLines="0" view="pageBreakPreview" topLeftCell="A24" zoomScale="115" zoomScaleNormal="100" zoomScaleSheetLayoutView="115" workbookViewId="0">
      <selection activeCell="F48" sqref="F4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5703125" style="452" customWidth="1"/>
    <col min="12" max="12" width="32.140625" style="381" customWidth="1"/>
    <col min="13" max="13" width="9.140625" style="16" customWidth="1"/>
    <col min="14" max="14" width="25.5703125" style="16" customWidth="1"/>
    <col min="15" max="17" width="16.42578125" style="451" customWidth="1"/>
    <col min="18" max="54" width="9.140625" style="16" customWidth="1"/>
    <col min="55" max="16384" width="9.140625" style="16"/>
  </cols>
  <sheetData>
    <row r="1" spans="2:17" ht="7.5" customHeight="1" x14ac:dyDescent="0.25">
      <c r="E1" s="450"/>
    </row>
    <row r="2" spans="2:17" ht="15.75" x14ac:dyDescent="0.25">
      <c r="B2" s="453" t="str">
        <f>Input!B1145</f>
        <v>3rd Excess Technology Errors &amp; Omissions</v>
      </c>
      <c r="E2" s="450"/>
      <c r="H2" s="454"/>
      <c r="I2" s="455"/>
      <c r="J2" s="455"/>
      <c r="K2" s="455"/>
      <c r="M2" s="456" t="s">
        <v>391</v>
      </c>
      <c r="N2" s="381" t="s">
        <v>361</v>
      </c>
    </row>
    <row r="3" spans="2:17" x14ac:dyDescent="0.25">
      <c r="D3" s="455" t="str">
        <f xml:space="preserve"> IF(Input!D1149=Input!G1149,CHAR(254), "")</f>
        <v/>
      </c>
      <c r="E3" s="457"/>
      <c r="F3" s="458" t="str">
        <f xml:space="preserve"> IF(Input!E1149=Input!G1149,CHAR(254), "")</f>
        <v/>
      </c>
      <c r="M3" s="459" t="s">
        <v>157</v>
      </c>
      <c r="N3" s="211" t="s">
        <v>362</v>
      </c>
      <c r="O3" s="458"/>
      <c r="P3" s="458"/>
      <c r="Q3" s="458"/>
    </row>
    <row r="4" spans="2:17" x14ac:dyDescent="0.25">
      <c r="B4" s="523" t="s">
        <v>66</v>
      </c>
      <c r="C4" s="524" t="s">
        <v>62</v>
      </c>
      <c r="D4" s="525" t="s">
        <v>63</v>
      </c>
      <c r="E4" s="426"/>
      <c r="F4" s="526" t="s">
        <v>146</v>
      </c>
      <c r="J4" s="527" t="s">
        <v>1002</v>
      </c>
      <c r="K4" s="720"/>
      <c r="L4" s="527" t="s">
        <v>363</v>
      </c>
      <c r="M4" s="460"/>
      <c r="N4" s="211"/>
      <c r="O4" s="526"/>
      <c r="P4" s="526"/>
      <c r="Q4" s="526"/>
    </row>
    <row r="5" spans="2:17" ht="30" customHeight="1" x14ac:dyDescent="0.25">
      <c r="B5" s="409" t="s">
        <v>60</v>
      </c>
      <c r="C5" s="412" t="str">
        <f>Input!B1150</f>
        <v>Texas Insurance Company (Applied)</v>
      </c>
      <c r="D5" s="390" t="str">
        <f>Input!D1150</f>
        <v>Columbia Casualty Company (CNA)</v>
      </c>
      <c r="F5" s="413">
        <f>Input!E1150</f>
        <v>0</v>
      </c>
      <c r="J5" s="231"/>
      <c r="K5" s="381"/>
      <c r="L5" s="231"/>
      <c r="O5" s="713"/>
      <c r="P5" s="713"/>
      <c r="Q5" s="713"/>
    </row>
    <row r="6" spans="2:17" x14ac:dyDescent="0.25">
      <c r="B6" s="409" t="s">
        <v>69</v>
      </c>
      <c r="C6" s="412" t="str">
        <f>Input!B1152</f>
        <v>A-:XI</v>
      </c>
      <c r="D6" s="390" t="str">
        <f>Input!D1152</f>
        <v>A:XV</v>
      </c>
      <c r="F6" s="413">
        <f>Input!E1152</f>
        <v>0</v>
      </c>
      <c r="J6" s="231"/>
      <c r="K6" s="381"/>
      <c r="L6" s="231"/>
      <c r="O6" s="413"/>
      <c r="P6" s="413"/>
      <c r="Q6" s="413"/>
    </row>
    <row r="7" spans="2:17" ht="15" customHeight="1" x14ac:dyDescent="0.25">
      <c r="B7" s="409" t="str">
        <f>Input!B1148</f>
        <v>Renewal Policy Number</v>
      </c>
      <c r="C7" s="412" t="str">
        <f>Input!C1147</f>
        <v>BFLCYETGA01020002080401</v>
      </c>
      <c r="D7" s="390" t="str">
        <f>Input!C1148</f>
        <v>TBD</v>
      </c>
      <c r="F7" s="413" t="str">
        <f>Input!C1148</f>
        <v>TBD</v>
      </c>
      <c r="J7" s="231"/>
      <c r="K7" s="381"/>
      <c r="L7" s="231"/>
      <c r="O7" s="413"/>
      <c r="P7" s="413"/>
      <c r="Q7" s="413"/>
    </row>
    <row r="8" spans="2:17" ht="15" customHeight="1" x14ac:dyDescent="0.25">
      <c r="B8" s="409" t="str">
        <f>Input!B6</f>
        <v>Renewal Policy Period</v>
      </c>
      <c r="C8" s="412" t="str">
        <f>Input!C5</f>
        <v>7/1/2022 - 7/1/2023</v>
      </c>
      <c r="D8" s="390" t="str">
        <f>Input!C6</f>
        <v>7/1/2023 - 7/1/2024</v>
      </c>
      <c r="F8" s="413" t="str">
        <f>Input!C6</f>
        <v>7/1/2023 - 7/1/2024</v>
      </c>
      <c r="J8" s="231"/>
      <c r="K8" s="381"/>
      <c r="L8" s="231"/>
      <c r="O8" s="413"/>
      <c r="P8" s="413"/>
      <c r="Q8" s="413"/>
    </row>
    <row r="9" spans="2:17" x14ac:dyDescent="0.25">
      <c r="B9" s="479" t="s">
        <v>9</v>
      </c>
      <c r="C9" s="479"/>
      <c r="D9" s="479"/>
      <c r="E9" s="414"/>
      <c r="F9" s="466"/>
      <c r="J9" s="566"/>
      <c r="K9" s="381"/>
      <c r="L9" s="566"/>
      <c r="O9" s="466"/>
      <c r="P9" s="738"/>
      <c r="Q9" s="738"/>
    </row>
    <row r="10" spans="2:17" x14ac:dyDescent="0.25">
      <c r="B10" s="409" t="str">
        <f>Input!G1169</f>
        <v>Each Claim</v>
      </c>
      <c r="C10" s="398">
        <f>Input!G1170</f>
        <v>5000000</v>
      </c>
      <c r="D10" s="425">
        <f>Input!G1171</f>
        <v>5000000</v>
      </c>
      <c r="E10" s="414"/>
      <c r="F10" s="427">
        <f>Input!G1172</f>
        <v>0</v>
      </c>
      <c r="J10" s="231"/>
      <c r="K10" s="381"/>
      <c r="L10" s="231"/>
      <c r="O10" s="427"/>
      <c r="P10" s="427"/>
      <c r="Q10" s="427"/>
    </row>
    <row r="11" spans="2:17" x14ac:dyDescent="0.25">
      <c r="B11" s="409" t="str">
        <f>Input!H1169</f>
        <v>Aggregate</v>
      </c>
      <c r="C11" s="398">
        <f>Input!H1170</f>
        <v>5000000</v>
      </c>
      <c r="D11" s="425">
        <f>Input!H1171</f>
        <v>5000000</v>
      </c>
      <c r="E11" s="414"/>
      <c r="F11" s="427">
        <f>Input!H1172</f>
        <v>0</v>
      </c>
      <c r="J11" s="231"/>
      <c r="K11" s="381"/>
      <c r="L11" s="231"/>
      <c r="O11" s="427"/>
      <c r="P11" s="427"/>
      <c r="Q11" s="427"/>
    </row>
    <row r="12" spans="2:17" hidden="1" x14ac:dyDescent="0.25">
      <c r="B12" s="734" t="s">
        <v>298</v>
      </c>
      <c r="C12" s="479"/>
      <c r="D12" s="479"/>
      <c r="E12" s="414"/>
      <c r="F12" s="466"/>
      <c r="J12" s="566"/>
      <c r="K12" s="381"/>
      <c r="L12" s="566"/>
      <c r="O12" s="466"/>
      <c r="P12" s="738"/>
      <c r="Q12" s="738"/>
    </row>
    <row r="13" spans="2:17" x14ac:dyDescent="0.25">
      <c r="B13" s="875" t="s">
        <v>23</v>
      </c>
      <c r="C13" s="403">
        <f>Input!I1170</f>
        <v>0</v>
      </c>
      <c r="D13" s="431">
        <f>Input!I1171</f>
        <v>0</v>
      </c>
      <c r="E13" s="414"/>
      <c r="F13" s="430">
        <f>Input!I1172</f>
        <v>0</v>
      </c>
      <c r="J13" s="723"/>
      <c r="K13" s="721"/>
      <c r="L13" s="231"/>
      <c r="O13" s="430"/>
      <c r="P13" s="430"/>
      <c r="Q13" s="430"/>
    </row>
    <row r="14" spans="2:17" hidden="1" x14ac:dyDescent="0.25">
      <c r="B14" s="402" t="str">
        <f>Input!J1169</f>
        <v>HIDE</v>
      </c>
      <c r="C14" s="403">
        <f>Input!J1170</f>
        <v>0</v>
      </c>
      <c r="D14" s="431">
        <f>Input!J1171</f>
        <v>0</v>
      </c>
      <c r="E14" s="414"/>
      <c r="F14" s="430">
        <f>Input!J1172</f>
        <v>0</v>
      </c>
      <c r="J14" s="723"/>
      <c r="K14" s="721"/>
      <c r="L14" s="231"/>
      <c r="O14" s="430"/>
      <c r="P14" s="430"/>
      <c r="Q14" s="430"/>
    </row>
    <row r="15" spans="2:17" x14ac:dyDescent="0.25">
      <c r="B15" s="486" t="s">
        <v>367</v>
      </c>
      <c r="C15" s="486"/>
      <c r="D15" s="486"/>
      <c r="F15" s="562"/>
      <c r="J15" s="566"/>
      <c r="K15" s="720"/>
      <c r="L15" s="566"/>
      <c r="O15" s="487"/>
      <c r="P15" s="487"/>
      <c r="Q15" s="562"/>
    </row>
    <row r="16" spans="2:17" x14ac:dyDescent="0.25">
      <c r="B16" s="402" t="s">
        <v>343</v>
      </c>
      <c r="C16" s="428">
        <f>Input!B1154</f>
        <v>100000</v>
      </c>
      <c r="D16" s="425">
        <f>Input!D1154</f>
        <v>84680</v>
      </c>
      <c r="E16" s="414"/>
      <c r="F16" s="427">
        <f>Input!E1154</f>
        <v>0</v>
      </c>
      <c r="J16" s="231"/>
      <c r="K16" s="381"/>
      <c r="L16" s="231"/>
      <c r="O16" s="427"/>
      <c r="P16" s="427"/>
      <c r="Q16" s="427"/>
    </row>
    <row r="17" spans="2:17" x14ac:dyDescent="0.25">
      <c r="B17" s="402" t="s">
        <v>374</v>
      </c>
      <c r="C17" s="429">
        <f>C18-C16</f>
        <v>4520</v>
      </c>
      <c r="D17" s="425">
        <f>D18-D16</f>
        <v>3387.1999999999971</v>
      </c>
      <c r="E17" s="414"/>
      <c r="F17" s="430">
        <f>F18-F16</f>
        <v>0</v>
      </c>
      <c r="J17" s="231"/>
      <c r="K17" s="381"/>
      <c r="L17" s="231"/>
      <c r="O17" s="430"/>
      <c r="P17" s="430"/>
      <c r="Q17" s="430"/>
    </row>
    <row r="18" spans="2:17" x14ac:dyDescent="0.25">
      <c r="B18" s="409" t="s">
        <v>369</v>
      </c>
      <c r="C18" s="428">
        <f>Input!B1163</f>
        <v>104520</v>
      </c>
      <c r="D18" s="425">
        <f>Input!D1163</f>
        <v>88067.199999999997</v>
      </c>
      <c r="E18" s="414"/>
      <c r="F18" s="427">
        <f>Input!E1163</f>
        <v>0</v>
      </c>
      <c r="J18" s="231"/>
      <c r="K18" s="381"/>
      <c r="L18" s="231"/>
      <c r="O18" s="427"/>
      <c r="P18" s="427"/>
      <c r="Q18" s="427"/>
    </row>
    <row r="19" spans="2:17" ht="7.5" customHeight="1" x14ac:dyDescent="0.25">
      <c r="B19" s="310"/>
      <c r="C19" s="228"/>
      <c r="D19" s="228"/>
      <c r="F19" s="275"/>
      <c r="J19" s="381"/>
      <c r="K19" s="381"/>
      <c r="O19" s="275"/>
      <c r="P19" s="275"/>
      <c r="Q19" s="275"/>
    </row>
    <row r="20" spans="2:17" x14ac:dyDescent="0.25">
      <c r="B20" s="1274" t="s">
        <v>144</v>
      </c>
      <c r="C20" s="1274"/>
      <c r="D20" s="1274"/>
      <c r="E20" s="238"/>
      <c r="F20" s="274"/>
      <c r="J20" s="381"/>
      <c r="K20" s="381"/>
      <c r="O20" s="274"/>
      <c r="P20" s="274"/>
      <c r="Q20" s="274"/>
    </row>
    <row r="21" spans="2:17" x14ac:dyDescent="0.25">
      <c r="B21" s="1287" t="s">
        <v>1172</v>
      </c>
      <c r="C21" s="1288"/>
      <c r="D21" s="1288"/>
      <c r="E21" s="1288"/>
      <c r="F21" s="1289"/>
      <c r="J21" s="381"/>
      <c r="K21" s="381"/>
      <c r="O21" s="16"/>
      <c r="P21" s="16"/>
      <c r="Q21" s="16"/>
    </row>
    <row r="22" spans="2:17" ht="7.5" customHeight="1" x14ac:dyDescent="0.25">
      <c r="B22" s="380"/>
      <c r="C22" s="238"/>
      <c r="D22" s="238"/>
      <c r="E22" s="433"/>
      <c r="F22" s="275"/>
      <c r="J22" s="381"/>
      <c r="K22" s="381"/>
      <c r="O22" s="275"/>
      <c r="P22" s="275"/>
      <c r="Q22" s="275"/>
    </row>
    <row r="23" spans="2:17" x14ac:dyDescent="0.25">
      <c r="B23" s="1274" t="s">
        <v>145</v>
      </c>
      <c r="C23" s="1274"/>
      <c r="D23" s="1274"/>
      <c r="E23" s="434"/>
      <c r="F23" s="275"/>
      <c r="J23" s="381"/>
      <c r="K23" s="381"/>
      <c r="O23" s="275"/>
      <c r="P23" s="275"/>
      <c r="Q23" s="275"/>
    </row>
    <row r="24" spans="2:17" x14ac:dyDescent="0.25">
      <c r="B24" s="1287" t="s">
        <v>2092</v>
      </c>
      <c r="C24" s="1288"/>
      <c r="D24" s="1288"/>
      <c r="E24" s="1288"/>
      <c r="F24" s="1289"/>
      <c r="J24" s="381"/>
      <c r="K24" s="381"/>
      <c r="O24" s="16"/>
      <c r="P24" s="16"/>
      <c r="Q24" s="16"/>
    </row>
    <row r="25" spans="2:17" ht="7.5" customHeight="1" x14ac:dyDescent="0.25">
      <c r="B25" s="310"/>
      <c r="C25" s="228"/>
      <c r="D25" s="228"/>
      <c r="F25" s="275"/>
      <c r="J25" s="381"/>
      <c r="K25" s="381"/>
      <c r="O25" s="275"/>
      <c r="P25" s="275"/>
      <c r="Q25" s="275"/>
    </row>
    <row r="26" spans="2:17" x14ac:dyDescent="0.25">
      <c r="B26" s="523" t="s">
        <v>72</v>
      </c>
      <c r="C26" s="524" t="s">
        <v>62</v>
      </c>
      <c r="D26" s="525" t="s">
        <v>63</v>
      </c>
      <c r="E26" s="426"/>
      <c r="F26" s="526" t="s">
        <v>146</v>
      </c>
      <c r="J26" s="527" t="s">
        <v>1002</v>
      </c>
      <c r="K26" s="720"/>
      <c r="L26" s="527" t="s">
        <v>363</v>
      </c>
      <c r="O26" s="526"/>
      <c r="P26" s="526"/>
      <c r="Q26" s="526"/>
    </row>
    <row r="27" spans="2:17" x14ac:dyDescent="0.25">
      <c r="B27" s="400" t="s">
        <v>73</v>
      </c>
      <c r="C27" s="712" t="s">
        <v>1239</v>
      </c>
      <c r="D27" s="712" t="s">
        <v>1239</v>
      </c>
      <c r="F27" s="413"/>
      <c r="G27" s="450" t="str">
        <f t="shared" ref="G27:G46" si="0">IF(OR(TRIM(D27)&lt;&gt;"",TRIM(F27)&lt;&gt;""),IF(AND(TRIM(D27)&lt;&gt;"",TRIM(F27)&lt;&gt;""),IF(OR(TRIM(C27)&lt;&gt;TRIM(D27),TRIM(C27)&lt;&gt;TRIM(F27)),"_",""),IF(TRIM(C27)&lt;&gt;TRIM(D27), "_", "")),"")</f>
        <v/>
      </c>
      <c r="J27" s="231"/>
      <c r="K27" s="381"/>
      <c r="L27" s="231"/>
      <c r="O27" s="413"/>
      <c r="P27" s="713"/>
      <c r="Q27" s="713"/>
    </row>
    <row r="28" spans="2:17" x14ac:dyDescent="0.25">
      <c r="B28" s="400" t="s">
        <v>74</v>
      </c>
      <c r="C28" s="712" t="s">
        <v>2093</v>
      </c>
      <c r="D28" s="712" t="s">
        <v>2122</v>
      </c>
      <c r="F28" s="413"/>
      <c r="G28" s="450" t="str">
        <f t="shared" si="0"/>
        <v>_</v>
      </c>
      <c r="J28" s="231"/>
      <c r="K28" s="381"/>
      <c r="L28" s="231"/>
      <c r="O28" s="413"/>
      <c r="P28" s="713"/>
      <c r="Q28" s="713"/>
    </row>
    <row r="29" spans="2:17" x14ac:dyDescent="0.25">
      <c r="B29" s="368" t="s">
        <v>151</v>
      </c>
      <c r="C29" s="746" t="s">
        <v>1229</v>
      </c>
      <c r="D29" s="746" t="s">
        <v>1229</v>
      </c>
      <c r="F29" s="436"/>
      <c r="G29" s="450" t="str">
        <f t="shared" si="0"/>
        <v/>
      </c>
      <c r="J29" s="232"/>
      <c r="K29" s="381"/>
      <c r="L29" s="232"/>
      <c r="O29" s="436"/>
      <c r="P29" s="715"/>
      <c r="Q29" s="715"/>
    </row>
    <row r="30" spans="2:17" x14ac:dyDescent="0.25">
      <c r="B30" s="722" t="s">
        <v>152</v>
      </c>
      <c r="C30" s="746" t="s">
        <v>284</v>
      </c>
      <c r="D30" s="746" t="s">
        <v>284</v>
      </c>
      <c r="F30" s="436"/>
      <c r="G30" s="450" t="str">
        <f t="shared" si="0"/>
        <v/>
      </c>
      <c r="J30" s="232"/>
      <c r="K30" s="381"/>
      <c r="L30" s="232"/>
      <c r="O30" s="436"/>
      <c r="P30" s="718"/>
      <c r="Q30" s="436"/>
    </row>
    <row r="31" spans="2:17" x14ac:dyDescent="0.25">
      <c r="B31" s="368" t="s">
        <v>77</v>
      </c>
      <c r="C31" s="746" t="s">
        <v>1036</v>
      </c>
      <c r="D31" s="746" t="s">
        <v>1036</v>
      </c>
      <c r="F31" s="436"/>
      <c r="G31" s="450" t="str">
        <f t="shared" si="0"/>
        <v/>
      </c>
      <c r="J31" s="232"/>
      <c r="K31" s="381"/>
      <c r="L31" s="232"/>
      <c r="O31" s="436"/>
      <c r="P31" s="718"/>
      <c r="Q31" s="715"/>
    </row>
    <row r="32" spans="2:17" x14ac:dyDescent="0.25">
      <c r="B32" s="400" t="s">
        <v>1502</v>
      </c>
      <c r="C32" s="692" t="s">
        <v>157</v>
      </c>
      <c r="D32" s="692" t="s">
        <v>157</v>
      </c>
      <c r="F32" s="436"/>
      <c r="G32" s="450" t="str">
        <f t="shared" si="0"/>
        <v/>
      </c>
      <c r="J32" s="232"/>
      <c r="K32" s="381"/>
      <c r="L32" s="232"/>
      <c r="O32" s="436"/>
      <c r="P32" s="715"/>
      <c r="Q32" s="715"/>
    </row>
    <row r="33" spans="2:18" hidden="1" x14ac:dyDescent="0.25">
      <c r="B33" s="400" t="s">
        <v>152</v>
      </c>
      <c r="C33" s="412"/>
      <c r="D33" s="390"/>
      <c r="F33" s="413"/>
      <c r="G33" s="450" t="str">
        <f t="shared" si="0"/>
        <v/>
      </c>
      <c r="J33" s="231"/>
      <c r="K33" s="381"/>
      <c r="L33" s="231"/>
      <c r="O33" s="413"/>
      <c r="P33" s="719"/>
      <c r="Q33" s="716"/>
    </row>
    <row r="34" spans="2:18" hidden="1" x14ac:dyDescent="0.25">
      <c r="B34" s="400" t="s">
        <v>77</v>
      </c>
      <c r="C34" s="412"/>
      <c r="D34" s="390"/>
      <c r="F34" s="413"/>
      <c r="G34" s="450" t="str">
        <f t="shared" si="0"/>
        <v/>
      </c>
      <c r="J34" s="231"/>
      <c r="K34" s="381"/>
      <c r="L34" s="231"/>
      <c r="O34" s="413"/>
      <c r="P34" s="713"/>
      <c r="Q34" s="713"/>
    </row>
    <row r="35" spans="2:18" hidden="1" x14ac:dyDescent="0.25">
      <c r="B35" s="400" t="s">
        <v>390</v>
      </c>
      <c r="C35" s="412"/>
      <c r="D35" s="390"/>
      <c r="F35" s="413"/>
      <c r="G35" s="450" t="str">
        <f t="shared" si="0"/>
        <v/>
      </c>
      <c r="J35" s="231"/>
      <c r="K35" s="381"/>
      <c r="L35" s="231"/>
      <c r="O35" s="413"/>
      <c r="P35" s="459"/>
      <c r="Q35" s="692"/>
    </row>
    <row r="36" spans="2:18" hidden="1" x14ac:dyDescent="0.25">
      <c r="B36" s="368" t="s">
        <v>87</v>
      </c>
      <c r="C36" s="435"/>
      <c r="D36" s="391"/>
      <c r="F36" s="1290"/>
      <c r="G36" s="450" t="str">
        <f t="shared" si="0"/>
        <v/>
      </c>
      <c r="H36" s="211"/>
      <c r="I36" s="211"/>
      <c r="J36" s="232"/>
      <c r="K36" s="381"/>
      <c r="L36" s="232"/>
      <c r="O36" s="1290"/>
      <c r="P36" s="1292"/>
      <c r="Q36" s="1292"/>
    </row>
    <row r="37" spans="2:18" ht="191.25" hidden="1" x14ac:dyDescent="0.25">
      <c r="B37" s="444" t="s">
        <v>1081</v>
      </c>
      <c r="C37" s="396"/>
      <c r="D37" s="424"/>
      <c r="F37" s="1291"/>
      <c r="G37" s="450" t="str">
        <f t="shared" si="0"/>
        <v/>
      </c>
      <c r="H37" s="211"/>
      <c r="I37" s="211"/>
      <c r="J37" s="445"/>
      <c r="K37" s="381"/>
      <c r="L37" s="445"/>
      <c r="O37" s="1291"/>
      <c r="P37" s="1293"/>
      <c r="Q37" s="1293"/>
    </row>
    <row r="38" spans="2:18" ht="7.5" customHeight="1" x14ac:dyDescent="0.25">
      <c r="B38" s="211"/>
      <c r="C38" s="228"/>
      <c r="D38" s="228"/>
      <c r="F38" s="275"/>
      <c r="G38" s="450" t="str">
        <f t="shared" si="0"/>
        <v/>
      </c>
      <c r="J38" s="381"/>
      <c r="K38" s="381"/>
      <c r="O38" s="275"/>
      <c r="P38" s="275"/>
      <c r="Q38" s="275"/>
    </row>
    <row r="39" spans="2:18" x14ac:dyDescent="0.25">
      <c r="B39" s="523" t="s">
        <v>103</v>
      </c>
      <c r="C39" s="524" t="s">
        <v>62</v>
      </c>
      <c r="D39" s="525" t="s">
        <v>63</v>
      </c>
      <c r="F39" s="526" t="s">
        <v>146</v>
      </c>
      <c r="G39" s="450" t="str">
        <f t="shared" si="0"/>
        <v>_</v>
      </c>
      <c r="J39" s="527" t="s">
        <v>1002</v>
      </c>
      <c r="K39" s="720"/>
      <c r="L39" s="527" t="s">
        <v>363</v>
      </c>
      <c r="O39" s="526"/>
      <c r="P39" s="526"/>
      <c r="Q39" s="526"/>
    </row>
    <row r="40" spans="2:18" x14ac:dyDescent="0.25">
      <c r="B40" s="691" t="s">
        <v>988</v>
      </c>
      <c r="C40" s="459" t="s">
        <v>157</v>
      </c>
      <c r="D40" s="692" t="s">
        <v>157</v>
      </c>
      <c r="F40" s="413"/>
      <c r="G40" s="450" t="str">
        <f t="shared" si="0"/>
        <v/>
      </c>
      <c r="H40" s="211"/>
      <c r="I40" s="211"/>
      <c r="J40" s="740"/>
      <c r="K40" s="381"/>
      <c r="L40" s="231"/>
      <c r="O40" s="413"/>
      <c r="P40" s="713"/>
      <c r="Q40" s="713"/>
      <c r="R40" s="717"/>
    </row>
    <row r="41" spans="2:18" ht="7.5" customHeight="1" x14ac:dyDescent="0.25">
      <c r="B41" s="211"/>
      <c r="C41" s="228"/>
      <c r="D41" s="228"/>
      <c r="F41" s="228"/>
      <c r="G41" s="450" t="str">
        <f t="shared" si="0"/>
        <v/>
      </c>
      <c r="H41" s="211"/>
      <c r="I41" s="211"/>
      <c r="J41" s="381"/>
      <c r="K41" s="381"/>
      <c r="O41" s="228"/>
      <c r="P41" s="228"/>
      <c r="Q41" s="228"/>
    </row>
    <row r="42" spans="2:18" x14ac:dyDescent="0.25">
      <c r="B42" s="528" t="s">
        <v>359</v>
      </c>
      <c r="C42" s="524" t="s">
        <v>62</v>
      </c>
      <c r="D42" s="525" t="s">
        <v>63</v>
      </c>
      <c r="F42" s="526" t="s">
        <v>146</v>
      </c>
      <c r="G42" s="450" t="str">
        <f t="shared" si="0"/>
        <v>_</v>
      </c>
      <c r="H42" s="211"/>
      <c r="I42" s="211"/>
      <c r="J42" s="527" t="s">
        <v>1002</v>
      </c>
      <c r="K42" s="720"/>
      <c r="L42" s="527" t="s">
        <v>363</v>
      </c>
      <c r="O42" s="526"/>
      <c r="P42" s="526"/>
      <c r="Q42" s="526"/>
    </row>
    <row r="43" spans="2:18" ht="15" customHeight="1" x14ac:dyDescent="0.25">
      <c r="B43" s="673" t="s">
        <v>2123</v>
      </c>
      <c r="C43" s="459"/>
      <c r="D43" s="746" t="s">
        <v>2124</v>
      </c>
      <c r="F43" s="413"/>
      <c r="G43" s="450" t="str">
        <f t="shared" si="0"/>
        <v>_</v>
      </c>
      <c r="H43" s="211"/>
      <c r="I43" s="211"/>
      <c r="J43" s="231"/>
      <c r="K43" s="381"/>
      <c r="L43" s="231"/>
      <c r="O43" s="413"/>
      <c r="P43" s="472"/>
      <c r="Q43" s="472"/>
    </row>
    <row r="44" spans="2:18" x14ac:dyDescent="0.25">
      <c r="B44" s="722" t="s">
        <v>2125</v>
      </c>
      <c r="C44" s="848"/>
      <c r="D44" s="746" t="s">
        <v>2126</v>
      </c>
      <c r="F44" s="413"/>
      <c r="G44" s="450" t="str">
        <f t="shared" si="0"/>
        <v>_</v>
      </c>
      <c r="H44" s="211"/>
      <c r="I44" s="211"/>
      <c r="J44" s="231"/>
      <c r="K44" s="381"/>
      <c r="L44" s="231"/>
      <c r="O44" s="413"/>
      <c r="P44" s="472"/>
      <c r="Q44" s="472"/>
    </row>
    <row r="45" spans="2:18" x14ac:dyDescent="0.25">
      <c r="B45" s="672"/>
      <c r="C45" s="396"/>
      <c r="D45" s="745"/>
      <c r="F45" s="413"/>
      <c r="G45" s="450" t="str">
        <f t="shared" si="0"/>
        <v/>
      </c>
      <c r="H45" s="211"/>
      <c r="I45" s="211"/>
      <c r="J45" s="231"/>
      <c r="K45" s="381"/>
      <c r="L45" s="231"/>
      <c r="O45" s="413"/>
      <c r="P45" s="472"/>
      <c r="Q45" s="472"/>
    </row>
    <row r="46" spans="2:18" x14ac:dyDescent="0.25">
      <c r="B46" s="722"/>
      <c r="C46" s="412"/>
      <c r="D46" s="712"/>
      <c r="F46" s="413"/>
      <c r="G46" s="450" t="str">
        <f t="shared" si="0"/>
        <v/>
      </c>
      <c r="H46" s="211"/>
      <c r="I46" s="211"/>
      <c r="J46" s="231"/>
      <c r="K46" s="381"/>
      <c r="L46" s="231"/>
      <c r="O46" s="413"/>
      <c r="P46" s="472"/>
      <c r="Q46" s="472"/>
    </row>
    <row r="47" spans="2:18" x14ac:dyDescent="0.25">
      <c r="B47" s="673"/>
      <c r="C47" s="412"/>
      <c r="D47" s="712"/>
      <c r="E47" s="16"/>
      <c r="G47" s="452" t="str">
        <f t="shared" ref="G47" si="1">IF(OR(TRIM(D47)&lt;&gt;"",TRIM(F47)&lt;&gt;""),IF(AND(TRIM(D47)&lt;&gt;"",TRIM(F47)&lt;&gt;""),IF(OR(TRIM(C47)&lt;&gt;TRIM(D47),TRIM(C47)&lt;&gt;TRIM(F47)),"_",""),IF(TRIM(C47)&lt;&gt;TRIM(D47), "_", "")),"")</f>
        <v/>
      </c>
    </row>
    <row r="48" spans="2:18" x14ac:dyDescent="0.25">
      <c r="E48" s="16"/>
    </row>
    <row r="49" spans="5:5" x14ac:dyDescent="0.25">
      <c r="E49" s="16"/>
    </row>
    <row r="50" spans="5:5" x14ac:dyDescent="0.25">
      <c r="E50" s="16"/>
    </row>
    <row r="52" spans="5:5" x14ac:dyDescent="0.25">
      <c r="E52" s="16"/>
    </row>
    <row r="53" spans="5:5" x14ac:dyDescent="0.25">
      <c r="E53" s="16"/>
    </row>
    <row r="54" spans="5:5" x14ac:dyDescent="0.25">
      <c r="E54" s="16"/>
    </row>
    <row r="55" spans="5:5" x14ac:dyDescent="0.25">
      <c r="E55" s="16"/>
    </row>
    <row r="56" spans="5:5" x14ac:dyDescent="0.25">
      <c r="E56" s="16"/>
    </row>
    <row r="57" spans="5:5" x14ac:dyDescent="0.25">
      <c r="E57" s="16"/>
    </row>
    <row r="58" spans="5:5" x14ac:dyDescent="0.25">
      <c r="E58" s="16"/>
    </row>
    <row r="59" spans="5:5" x14ac:dyDescent="0.25">
      <c r="E59" s="16"/>
    </row>
    <row r="60" spans="5:5" x14ac:dyDescent="0.25">
      <c r="E60" s="16"/>
    </row>
    <row r="61" spans="5:5" x14ac:dyDescent="0.25">
      <c r="E61" s="16"/>
    </row>
    <row r="62" spans="5:5" x14ac:dyDescent="0.25">
      <c r="E62" s="16"/>
    </row>
    <row r="63" spans="5:5" x14ac:dyDescent="0.25">
      <c r="E63" s="16"/>
    </row>
    <row r="64" spans="5:5" x14ac:dyDescent="0.25">
      <c r="E64" s="16"/>
    </row>
    <row r="65" spans="5:5" x14ac:dyDescent="0.25">
      <c r="E65" s="16"/>
    </row>
    <row r="66" spans="5:5" x14ac:dyDescent="0.25">
      <c r="E66" s="16"/>
    </row>
    <row r="67" spans="5:5" x14ac:dyDescent="0.25">
      <c r="E67" s="16"/>
    </row>
    <row r="68" spans="5:5" x14ac:dyDescent="0.25">
      <c r="E68" s="16"/>
    </row>
    <row r="69" spans="5:5" x14ac:dyDescent="0.25">
      <c r="E69" s="16"/>
    </row>
    <row r="70" spans="5:5" x14ac:dyDescent="0.25">
      <c r="E70" s="16"/>
    </row>
    <row r="71" spans="5:5" x14ac:dyDescent="0.25">
      <c r="E71" s="16"/>
    </row>
    <row r="72" spans="5:5" x14ac:dyDescent="0.25">
      <c r="E72" s="16"/>
    </row>
    <row r="73" spans="5:5" x14ac:dyDescent="0.25">
      <c r="E73" s="16"/>
    </row>
  </sheetData>
  <sortState xmlns:xlrd2="http://schemas.microsoft.com/office/spreadsheetml/2017/richdata2" ref="B36:B39">
    <sortCondition ref="B36"/>
  </sortState>
  <mergeCells count="8">
    <mergeCell ref="O36:O37"/>
    <mergeCell ref="P36:P37"/>
    <mergeCell ref="Q36:Q37"/>
    <mergeCell ref="B20:D20"/>
    <mergeCell ref="B23:D23"/>
    <mergeCell ref="B21:F21"/>
    <mergeCell ref="B24:F24"/>
    <mergeCell ref="F36:F37"/>
  </mergeCells>
  <conditionalFormatting sqref="G1:G8 G16:G26 G10:G11 G13 G47:G1048576">
    <cfRule type="cellIs" dxfId="85" priority="28" operator="equal">
      <formula>"_"</formula>
    </cfRule>
  </conditionalFormatting>
  <conditionalFormatting sqref="G15">
    <cfRule type="cellIs" dxfId="84" priority="23" operator="equal">
      <formula>"_"</formula>
    </cfRule>
  </conditionalFormatting>
  <conditionalFormatting sqref="G27:G46">
    <cfRule type="cellIs" dxfId="83" priority="22" operator="equal">
      <formula>"_"</formula>
    </cfRule>
  </conditionalFormatting>
  <conditionalFormatting sqref="G27:G46">
    <cfRule type="cellIs" dxfId="82" priority="21" operator="equal">
      <formula>"_"</formula>
    </cfRule>
  </conditionalFormatting>
  <conditionalFormatting sqref="G27:G46">
    <cfRule type="cellIs" dxfId="81" priority="18" operator="equal">
      <formula>"_"</formula>
    </cfRule>
  </conditionalFormatting>
  <conditionalFormatting sqref="G9">
    <cfRule type="cellIs" dxfId="80" priority="3" operator="equal">
      <formula>"_"</formula>
    </cfRule>
  </conditionalFormatting>
  <conditionalFormatting sqref="G12">
    <cfRule type="cellIs" dxfId="79" priority="2" operator="equal">
      <formula>"_"</formula>
    </cfRule>
  </conditionalFormatting>
  <conditionalFormatting sqref="G14">
    <cfRule type="cellIs" dxfId="78"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3rd Excess Technology Errors &amp; &amp;&amp; Omissions</oddHeader>
    <oddFooter>&amp;L&amp;G&amp;CPage &amp;P of &amp;N</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F3D91-89CC-44B5-AC45-946C9803F795}">
  <sheetPr codeName="Sheet41">
    <pageSetUpPr fitToPage="1"/>
  </sheetPr>
  <dimension ref="B1:R73"/>
  <sheetViews>
    <sheetView showGridLines="0" view="pageBreakPreview" zoomScale="115" zoomScaleNormal="100" zoomScaleSheetLayoutView="115" workbookViewId="0">
      <selection activeCell="J18" sqref="J1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5703125" style="452" customWidth="1"/>
    <col min="12" max="12" width="32.140625" style="381" customWidth="1"/>
    <col min="13" max="13" width="9.140625" style="16" customWidth="1"/>
    <col min="14" max="14" width="25.5703125" style="16" customWidth="1"/>
    <col min="15" max="17" width="16.42578125" style="451" customWidth="1"/>
    <col min="18" max="54" width="9.140625" style="16" customWidth="1"/>
    <col min="55" max="16384" width="9.140625" style="16"/>
  </cols>
  <sheetData>
    <row r="1" spans="2:17" ht="7.5" customHeight="1" x14ac:dyDescent="0.25">
      <c r="E1" s="450"/>
    </row>
    <row r="2" spans="2:17" ht="15.75" x14ac:dyDescent="0.25">
      <c r="B2" s="453" t="str">
        <f>Input!B1271</f>
        <v>4th Excess Technology Errors &amp; Omissions</v>
      </c>
      <c r="E2" s="450"/>
      <c r="H2" s="454"/>
      <c r="I2" s="455"/>
      <c r="J2" s="455"/>
      <c r="K2" s="455"/>
      <c r="M2" s="456" t="s">
        <v>391</v>
      </c>
      <c r="N2" s="381" t="s">
        <v>361</v>
      </c>
    </row>
    <row r="3" spans="2:17" x14ac:dyDescent="0.25">
      <c r="D3" s="455" t="str">
        <f xml:space="preserve"> IF(Input!D1149=Input!G1149,CHAR(254), "")</f>
        <v/>
      </c>
      <c r="E3" s="457"/>
      <c r="F3" s="458" t="str">
        <f xml:space="preserve"> IF(Input!E1149=Input!G1149,CHAR(254), "")</f>
        <v/>
      </c>
      <c r="M3" s="459" t="s">
        <v>157</v>
      </c>
      <c r="N3" s="211" t="s">
        <v>362</v>
      </c>
      <c r="O3" s="458"/>
      <c r="P3" s="458"/>
      <c r="Q3" s="458"/>
    </row>
    <row r="4" spans="2:17" x14ac:dyDescent="0.25">
      <c r="B4" s="523" t="s">
        <v>66</v>
      </c>
      <c r="C4" s="524" t="s">
        <v>62</v>
      </c>
      <c r="D4" s="525" t="s">
        <v>63</v>
      </c>
      <c r="E4" s="426"/>
      <c r="F4" s="526" t="s">
        <v>146</v>
      </c>
      <c r="J4" s="527" t="s">
        <v>1002</v>
      </c>
      <c r="K4" s="720"/>
      <c r="L4" s="527" t="s">
        <v>363</v>
      </c>
      <c r="M4" s="460"/>
      <c r="N4" s="211"/>
      <c r="O4" s="526"/>
      <c r="P4" s="526"/>
      <c r="Q4" s="526"/>
    </row>
    <row r="5" spans="2:17" ht="30" customHeight="1" x14ac:dyDescent="0.25">
      <c r="B5" s="409" t="s">
        <v>60</v>
      </c>
      <c r="C5" s="412" t="str">
        <f>Input!B1276</f>
        <v>Scottsdale Indemnity Company</v>
      </c>
      <c r="D5" s="390" t="str">
        <f>Input!D1276</f>
        <v>Ascot Specialty Insurance Company</v>
      </c>
      <c r="F5" s="413">
        <f>Input!E1150</f>
        <v>0</v>
      </c>
      <c r="J5" s="231"/>
      <c r="K5" s="381"/>
      <c r="L5" s="231"/>
      <c r="O5" s="713"/>
      <c r="P5" s="713"/>
      <c r="Q5" s="713"/>
    </row>
    <row r="6" spans="2:17" x14ac:dyDescent="0.25">
      <c r="B6" s="409" t="s">
        <v>69</v>
      </c>
      <c r="C6" s="412" t="str">
        <f>Input!B1278</f>
        <v>A+:XV</v>
      </c>
      <c r="D6" s="390" t="str">
        <f>Input!D1278</f>
        <v>A+:XV</v>
      </c>
      <c r="E6" s="530"/>
      <c r="F6" s="413">
        <f>Input!E1152</f>
        <v>0</v>
      </c>
      <c r="J6" s="231"/>
      <c r="K6" s="381"/>
      <c r="L6" s="231"/>
      <c r="O6" s="413"/>
      <c r="P6" s="413"/>
      <c r="Q6" s="413"/>
    </row>
    <row r="7" spans="2:17" ht="15" customHeight="1" x14ac:dyDescent="0.25">
      <c r="B7" s="409" t="str">
        <f>Input!B1148</f>
        <v>Renewal Policy Number</v>
      </c>
      <c r="C7" s="412" t="str">
        <f>Input!C1273</f>
        <v>EKI3446907</v>
      </c>
      <c r="D7" s="390" t="str">
        <f>Input!C1274</f>
        <v>TBD</v>
      </c>
      <c r="F7" s="413" t="str">
        <f>Input!C1148</f>
        <v>TBD</v>
      </c>
      <c r="J7" s="231"/>
      <c r="K7" s="381"/>
      <c r="L7" s="231"/>
      <c r="O7" s="413"/>
      <c r="P7" s="413"/>
      <c r="Q7" s="413"/>
    </row>
    <row r="8" spans="2:17" ht="15" customHeight="1" x14ac:dyDescent="0.25">
      <c r="B8" s="409" t="str">
        <f>Input!B6</f>
        <v>Renewal Policy Period</v>
      </c>
      <c r="C8" s="412" t="str">
        <f>Input!C5</f>
        <v>7/1/2022 - 7/1/2023</v>
      </c>
      <c r="D8" s="390" t="str">
        <f>Input!C6</f>
        <v>7/1/2023 - 7/1/2024</v>
      </c>
      <c r="F8" s="413" t="str">
        <f>Input!C6</f>
        <v>7/1/2023 - 7/1/2024</v>
      </c>
      <c r="J8" s="231"/>
      <c r="K8" s="381"/>
      <c r="L8" s="231"/>
      <c r="O8" s="413"/>
      <c r="P8" s="413"/>
      <c r="Q8" s="413"/>
    </row>
    <row r="9" spans="2:17" x14ac:dyDescent="0.25">
      <c r="B9" s="479" t="s">
        <v>9</v>
      </c>
      <c r="C9" s="479"/>
      <c r="D9" s="479"/>
      <c r="E9" s="414"/>
      <c r="F9" s="466"/>
      <c r="J9" s="566"/>
      <c r="K9" s="381"/>
      <c r="L9" s="566"/>
      <c r="O9" s="466"/>
      <c r="P9" s="738"/>
      <c r="Q9" s="738"/>
    </row>
    <row r="10" spans="2:17" x14ac:dyDescent="0.25">
      <c r="B10" s="409" t="str">
        <f>Input!G1169</f>
        <v>Each Claim</v>
      </c>
      <c r="C10" s="398">
        <f>Input!G1298</f>
        <v>5000000</v>
      </c>
      <c r="D10" s="425">
        <f>Input!H1298</f>
        <v>5000000</v>
      </c>
      <c r="E10" s="414"/>
      <c r="F10" s="427">
        <f>Input!G1172</f>
        <v>0</v>
      </c>
      <c r="J10" s="231"/>
      <c r="K10" s="381"/>
      <c r="L10" s="231"/>
      <c r="O10" s="427"/>
      <c r="P10" s="427"/>
      <c r="Q10" s="427"/>
    </row>
    <row r="11" spans="2:17" x14ac:dyDescent="0.25">
      <c r="B11" s="409" t="str">
        <f>Input!H1169</f>
        <v>Aggregate</v>
      </c>
      <c r="C11" s="398">
        <f>Input!G1299</f>
        <v>5000000</v>
      </c>
      <c r="D11" s="425">
        <f>Input!H1299</f>
        <v>5000000</v>
      </c>
      <c r="E11" s="414"/>
      <c r="F11" s="427">
        <f>Input!H1172</f>
        <v>0</v>
      </c>
      <c r="J11" s="231"/>
      <c r="K11" s="381"/>
      <c r="L11" s="231"/>
      <c r="O11" s="427"/>
      <c r="P11" s="427"/>
      <c r="Q11" s="427"/>
    </row>
    <row r="12" spans="2:17" hidden="1" x14ac:dyDescent="0.25">
      <c r="B12" s="734" t="s">
        <v>298</v>
      </c>
      <c r="C12" s="479"/>
      <c r="D12" s="479"/>
      <c r="E12" s="414"/>
      <c r="F12" s="466"/>
      <c r="J12" s="566"/>
      <c r="K12" s="381"/>
      <c r="L12" s="566"/>
      <c r="O12" s="466"/>
      <c r="P12" s="738"/>
      <c r="Q12" s="738"/>
    </row>
    <row r="13" spans="2:17" x14ac:dyDescent="0.25">
      <c r="B13" s="875" t="s">
        <v>23</v>
      </c>
      <c r="C13" s="403">
        <f>Input!I1298</f>
        <v>0</v>
      </c>
      <c r="D13" s="431">
        <f>Input!I1299</f>
        <v>0</v>
      </c>
      <c r="E13" s="414"/>
      <c r="F13" s="430">
        <f>Input!I1172</f>
        <v>0</v>
      </c>
      <c r="J13" s="723"/>
      <c r="K13" s="721"/>
      <c r="L13" s="231"/>
      <c r="O13" s="430"/>
      <c r="P13" s="430"/>
      <c r="Q13" s="430"/>
    </row>
    <row r="14" spans="2:17" hidden="1" x14ac:dyDescent="0.25">
      <c r="B14" s="402" t="str">
        <f>Input!J1169</f>
        <v>HIDE</v>
      </c>
      <c r="C14" s="403">
        <f>Input!J1170</f>
        <v>0</v>
      </c>
      <c r="D14" s="431">
        <f>Input!J1171</f>
        <v>0</v>
      </c>
      <c r="E14" s="414"/>
      <c r="F14" s="430">
        <f>Input!J1172</f>
        <v>0</v>
      </c>
      <c r="J14" s="723"/>
      <c r="K14" s="721"/>
      <c r="L14" s="231"/>
      <c r="O14" s="430"/>
      <c r="P14" s="430"/>
      <c r="Q14" s="430"/>
    </row>
    <row r="15" spans="2:17" x14ac:dyDescent="0.25">
      <c r="B15" s="486" t="s">
        <v>367</v>
      </c>
      <c r="C15" s="486"/>
      <c r="D15" s="486"/>
      <c r="F15" s="562"/>
      <c r="J15" s="566"/>
      <c r="K15" s="720"/>
      <c r="L15" s="566"/>
      <c r="O15" s="487"/>
      <c r="P15" s="487"/>
      <c r="Q15" s="562"/>
    </row>
    <row r="16" spans="2:17" x14ac:dyDescent="0.25">
      <c r="B16" s="402" t="s">
        <v>343</v>
      </c>
      <c r="C16" s="428">
        <f>Input!B1280</f>
        <v>85000</v>
      </c>
      <c r="D16" s="425">
        <f>Input!D1280</f>
        <v>68000</v>
      </c>
      <c r="E16" s="414"/>
      <c r="F16" s="427">
        <f>Input!E1154</f>
        <v>0</v>
      </c>
      <c r="J16" s="231"/>
      <c r="K16" s="381"/>
      <c r="L16" s="231"/>
      <c r="O16" s="427"/>
      <c r="P16" s="427"/>
      <c r="Q16" s="427"/>
    </row>
    <row r="17" spans="2:17" x14ac:dyDescent="0.25">
      <c r="B17" s="402" t="s">
        <v>374</v>
      </c>
      <c r="C17" s="429">
        <f>C18-C16</f>
        <v>0</v>
      </c>
      <c r="D17" s="425">
        <f>D18-D16</f>
        <v>2720</v>
      </c>
      <c r="E17" s="414"/>
      <c r="F17" s="430">
        <f>F18-F16</f>
        <v>0</v>
      </c>
      <c r="J17" s="232"/>
      <c r="K17" s="381"/>
      <c r="L17" s="231"/>
      <c r="O17" s="430"/>
      <c r="P17" s="430"/>
      <c r="Q17" s="430"/>
    </row>
    <row r="18" spans="2:17" x14ac:dyDescent="0.25">
      <c r="B18" s="409" t="s">
        <v>369</v>
      </c>
      <c r="C18" s="428">
        <f>Input!B1291</f>
        <v>85000</v>
      </c>
      <c r="D18" s="425">
        <f>Input!D1291</f>
        <v>70720</v>
      </c>
      <c r="E18" s="414"/>
      <c r="F18" s="427">
        <f>Input!E1163</f>
        <v>0</v>
      </c>
      <c r="J18" s="445"/>
      <c r="K18" s="381"/>
      <c r="L18" s="231"/>
      <c r="O18" s="427"/>
      <c r="P18" s="427"/>
      <c r="Q18" s="427"/>
    </row>
    <row r="19" spans="2:17" ht="7.5" customHeight="1" x14ac:dyDescent="0.25">
      <c r="B19" s="310"/>
      <c r="C19" s="228"/>
      <c r="D19" s="228"/>
      <c r="F19" s="275"/>
      <c r="J19" s="381"/>
      <c r="K19" s="381"/>
      <c r="O19" s="275"/>
      <c r="P19" s="275"/>
      <c r="Q19" s="275"/>
    </row>
    <row r="20" spans="2:17" x14ac:dyDescent="0.25">
      <c r="B20" s="1274" t="s">
        <v>144</v>
      </c>
      <c r="C20" s="1274"/>
      <c r="D20" s="1274"/>
      <c r="E20" s="238"/>
      <c r="F20" s="274"/>
      <c r="J20" s="381"/>
      <c r="K20" s="381"/>
      <c r="O20" s="274"/>
      <c r="P20" s="274"/>
      <c r="Q20" s="274"/>
    </row>
    <row r="21" spans="2:17" x14ac:dyDescent="0.25">
      <c r="B21" s="1287" t="s">
        <v>1172</v>
      </c>
      <c r="C21" s="1288"/>
      <c r="D21" s="1288"/>
      <c r="E21" s="1288"/>
      <c r="F21" s="1289"/>
      <c r="J21" s="381"/>
      <c r="K21" s="381"/>
      <c r="O21" s="16"/>
      <c r="P21" s="16"/>
      <c r="Q21" s="16"/>
    </row>
    <row r="22" spans="2:17" ht="7.5" customHeight="1" x14ac:dyDescent="0.25">
      <c r="B22" s="380"/>
      <c r="C22" s="238"/>
      <c r="D22" s="238"/>
      <c r="E22" s="433"/>
      <c r="F22" s="275"/>
      <c r="J22" s="381"/>
      <c r="K22" s="381"/>
      <c r="O22" s="275"/>
      <c r="P22" s="275"/>
      <c r="Q22" s="275"/>
    </row>
    <row r="23" spans="2:17" x14ac:dyDescent="0.25">
      <c r="B23" s="1274" t="s">
        <v>145</v>
      </c>
      <c r="C23" s="1274"/>
      <c r="D23" s="1274"/>
      <c r="E23" s="434"/>
      <c r="F23" s="275"/>
      <c r="J23" s="381"/>
      <c r="K23" s="381"/>
      <c r="O23" s="275"/>
      <c r="P23" s="275"/>
      <c r="Q23" s="275"/>
    </row>
    <row r="24" spans="2:17" x14ac:dyDescent="0.25">
      <c r="B24" s="1287" t="s">
        <v>1172</v>
      </c>
      <c r="C24" s="1288"/>
      <c r="D24" s="1288"/>
      <c r="E24" s="1288"/>
      <c r="F24" s="1289"/>
      <c r="J24" s="381"/>
      <c r="K24" s="381"/>
      <c r="O24" s="16"/>
      <c r="P24" s="16"/>
      <c r="Q24" s="16"/>
    </row>
    <row r="25" spans="2:17" ht="7.5" customHeight="1" x14ac:dyDescent="0.25">
      <c r="B25" s="310"/>
      <c r="C25" s="228"/>
      <c r="D25" s="228"/>
      <c r="F25" s="275"/>
      <c r="J25" s="381"/>
      <c r="K25" s="381"/>
      <c r="O25" s="275"/>
      <c r="P25" s="275"/>
      <c r="Q25" s="275"/>
    </row>
    <row r="26" spans="2:17" x14ac:dyDescent="0.25">
      <c r="B26" s="523" t="s">
        <v>72</v>
      </c>
      <c r="C26" s="524" t="s">
        <v>62</v>
      </c>
      <c r="D26" s="525" t="s">
        <v>63</v>
      </c>
      <c r="E26" s="426"/>
      <c r="F26" s="526" t="s">
        <v>146</v>
      </c>
      <c r="J26" s="527" t="s">
        <v>1002</v>
      </c>
      <c r="K26" s="720"/>
      <c r="L26" s="527" t="s">
        <v>363</v>
      </c>
      <c r="O26" s="526"/>
      <c r="P26" s="526"/>
      <c r="Q26" s="526"/>
    </row>
    <row r="27" spans="2:17" x14ac:dyDescent="0.25">
      <c r="B27" s="400" t="s">
        <v>73</v>
      </c>
      <c r="C27" s="712" t="s">
        <v>1033</v>
      </c>
      <c r="D27" s="712" t="s">
        <v>1033</v>
      </c>
      <c r="F27" s="413"/>
      <c r="G27" s="450" t="str">
        <f t="shared" ref="G27:G47" si="0">IF(OR(TRIM(D27)&lt;&gt;"",TRIM(F27)&lt;&gt;""),IF(AND(TRIM(D27)&lt;&gt;"",TRIM(F27)&lt;&gt;""),IF(OR(TRIM(C27)&lt;&gt;TRIM(D27),TRIM(C27)&lt;&gt;TRIM(F27)),"_",""),IF(TRIM(C27)&lt;&gt;TRIM(D27), "_", "")),"")</f>
        <v/>
      </c>
      <c r="J27" s="231"/>
      <c r="K27" s="381"/>
      <c r="L27" s="231"/>
      <c r="O27" s="413"/>
      <c r="P27" s="713"/>
      <c r="Q27" s="713"/>
    </row>
    <row r="28" spans="2:17" x14ac:dyDescent="0.25">
      <c r="B28" s="400" t="s">
        <v>74</v>
      </c>
      <c r="C28" s="712" t="s">
        <v>2098</v>
      </c>
      <c r="D28" s="712" t="s">
        <v>2127</v>
      </c>
      <c r="F28" s="413"/>
      <c r="G28" s="450" t="str">
        <f t="shared" si="0"/>
        <v>_</v>
      </c>
      <c r="J28" s="231"/>
      <c r="K28" s="381"/>
      <c r="L28" s="231"/>
      <c r="O28" s="413"/>
      <c r="P28" s="713"/>
      <c r="Q28" s="713"/>
    </row>
    <row r="29" spans="2:17" x14ac:dyDescent="0.25">
      <c r="B29" s="368" t="s">
        <v>151</v>
      </c>
      <c r="C29" s="746" t="s">
        <v>1229</v>
      </c>
      <c r="D29" s="746" t="s">
        <v>1229</v>
      </c>
      <c r="F29" s="436"/>
      <c r="G29" s="450" t="str">
        <f t="shared" si="0"/>
        <v/>
      </c>
      <c r="J29" s="232"/>
      <c r="K29" s="381"/>
      <c r="L29" s="232"/>
      <c r="O29" s="436"/>
      <c r="P29" s="715"/>
      <c r="Q29" s="715"/>
    </row>
    <row r="30" spans="2:17" x14ac:dyDescent="0.25">
      <c r="B30" s="722" t="s">
        <v>152</v>
      </c>
      <c r="C30" s="746" t="s">
        <v>284</v>
      </c>
      <c r="D30" s="746" t="s">
        <v>284</v>
      </c>
      <c r="F30" s="436"/>
      <c r="G30" s="450" t="str">
        <f t="shared" si="0"/>
        <v/>
      </c>
      <c r="J30" s="232"/>
      <c r="K30" s="381"/>
      <c r="L30" s="232"/>
      <c r="O30" s="436"/>
      <c r="P30" s="718"/>
      <c r="Q30" s="436"/>
    </row>
    <row r="31" spans="2:17" x14ac:dyDescent="0.25">
      <c r="B31" s="368" t="s">
        <v>77</v>
      </c>
      <c r="C31" s="746" t="s">
        <v>1036</v>
      </c>
      <c r="D31" s="746" t="s">
        <v>1036</v>
      </c>
      <c r="F31" s="436"/>
      <c r="G31" s="450" t="str">
        <f t="shared" si="0"/>
        <v/>
      </c>
      <c r="J31" s="232"/>
      <c r="K31" s="381"/>
      <c r="L31" s="232"/>
      <c r="O31" s="436"/>
      <c r="P31" s="718"/>
      <c r="Q31" s="715"/>
    </row>
    <row r="32" spans="2:17" x14ac:dyDescent="0.25">
      <c r="B32" s="400" t="s">
        <v>1502</v>
      </c>
      <c r="C32" s="692" t="s">
        <v>157</v>
      </c>
      <c r="D32" s="692" t="s">
        <v>157</v>
      </c>
      <c r="F32" s="436"/>
      <c r="G32" s="450" t="str">
        <f t="shared" si="0"/>
        <v/>
      </c>
      <c r="J32" s="232"/>
      <c r="K32" s="381"/>
      <c r="L32" s="232"/>
      <c r="O32" s="436"/>
      <c r="P32" s="715"/>
      <c r="Q32" s="715"/>
    </row>
    <row r="33" spans="2:18" hidden="1" x14ac:dyDescent="0.25">
      <c r="B33" s="400" t="s">
        <v>152</v>
      </c>
      <c r="C33" s="412"/>
      <c r="D33" s="390"/>
      <c r="F33" s="413"/>
      <c r="G33" s="450" t="str">
        <f t="shared" si="0"/>
        <v/>
      </c>
      <c r="J33" s="231"/>
      <c r="K33" s="381"/>
      <c r="L33" s="231"/>
      <c r="O33" s="413"/>
      <c r="P33" s="719"/>
      <c r="Q33" s="716"/>
    </row>
    <row r="34" spans="2:18" hidden="1" x14ac:dyDescent="0.25">
      <c r="B34" s="400" t="s">
        <v>77</v>
      </c>
      <c r="C34" s="412"/>
      <c r="D34" s="390"/>
      <c r="F34" s="413"/>
      <c r="G34" s="450" t="str">
        <f t="shared" si="0"/>
        <v/>
      </c>
      <c r="J34" s="231"/>
      <c r="K34" s="381"/>
      <c r="L34" s="231"/>
      <c r="O34" s="413"/>
      <c r="P34" s="713"/>
      <c r="Q34" s="713"/>
    </row>
    <row r="35" spans="2:18" hidden="1" x14ac:dyDescent="0.25">
      <c r="B35" s="400" t="s">
        <v>390</v>
      </c>
      <c r="C35" s="412"/>
      <c r="D35" s="390"/>
      <c r="F35" s="413"/>
      <c r="G35" s="450" t="str">
        <f t="shared" si="0"/>
        <v/>
      </c>
      <c r="J35" s="231"/>
      <c r="K35" s="381"/>
      <c r="L35" s="231"/>
      <c r="O35" s="413"/>
      <c r="P35" s="459"/>
      <c r="Q35" s="692"/>
    </row>
    <row r="36" spans="2:18" hidden="1" x14ac:dyDescent="0.25">
      <c r="B36" s="368" t="s">
        <v>87</v>
      </c>
      <c r="C36" s="435"/>
      <c r="D36" s="391"/>
      <c r="F36" s="1290"/>
      <c r="G36" s="450" t="str">
        <f t="shared" si="0"/>
        <v/>
      </c>
      <c r="H36" s="211"/>
      <c r="I36" s="211"/>
      <c r="J36" s="232"/>
      <c r="K36" s="381"/>
      <c r="L36" s="232"/>
      <c r="O36" s="1290"/>
      <c r="P36" s="1292"/>
      <c r="Q36" s="1292"/>
    </row>
    <row r="37" spans="2:18" ht="191.25" hidden="1" x14ac:dyDescent="0.25">
      <c r="B37" s="444" t="s">
        <v>1081</v>
      </c>
      <c r="C37" s="396"/>
      <c r="D37" s="424"/>
      <c r="F37" s="1291"/>
      <c r="G37" s="450" t="str">
        <f t="shared" si="0"/>
        <v/>
      </c>
      <c r="H37" s="211"/>
      <c r="I37" s="211"/>
      <c r="J37" s="445"/>
      <c r="K37" s="381"/>
      <c r="L37" s="445"/>
      <c r="O37" s="1291"/>
      <c r="P37" s="1293"/>
      <c r="Q37" s="1293"/>
    </row>
    <row r="38" spans="2:18" ht="7.5" customHeight="1" x14ac:dyDescent="0.25">
      <c r="B38" s="211"/>
      <c r="C38" s="228"/>
      <c r="D38" s="228"/>
      <c r="F38" s="275"/>
      <c r="G38" s="450" t="str">
        <f t="shared" si="0"/>
        <v/>
      </c>
      <c r="J38" s="381"/>
      <c r="K38" s="381"/>
      <c r="O38" s="275"/>
      <c r="P38" s="275"/>
      <c r="Q38" s="275"/>
    </row>
    <row r="39" spans="2:18" x14ac:dyDescent="0.25">
      <c r="B39" s="523" t="s">
        <v>103</v>
      </c>
      <c r="C39" s="524" t="s">
        <v>62</v>
      </c>
      <c r="D39" s="525" t="s">
        <v>63</v>
      </c>
      <c r="F39" s="526" t="s">
        <v>146</v>
      </c>
      <c r="G39" s="450" t="str">
        <f t="shared" si="0"/>
        <v>_</v>
      </c>
      <c r="J39" s="527" t="s">
        <v>1002</v>
      </c>
      <c r="K39" s="720"/>
      <c r="L39" s="527" t="s">
        <v>363</v>
      </c>
      <c r="O39" s="526"/>
      <c r="P39" s="526"/>
      <c r="Q39" s="526"/>
    </row>
    <row r="40" spans="2:18" x14ac:dyDescent="0.25">
      <c r="B40" s="691" t="s">
        <v>988</v>
      </c>
      <c r="C40" s="459" t="s">
        <v>157</v>
      </c>
      <c r="D40" s="692" t="s">
        <v>157</v>
      </c>
      <c r="F40" s="413"/>
      <c r="G40" s="450" t="str">
        <f t="shared" si="0"/>
        <v/>
      </c>
      <c r="H40" s="211"/>
      <c r="I40" s="211"/>
      <c r="J40" s="740"/>
      <c r="K40" s="381"/>
      <c r="L40" s="231"/>
      <c r="O40" s="413"/>
      <c r="P40" s="713"/>
      <c r="Q40" s="713"/>
      <c r="R40" s="717"/>
    </row>
    <row r="41" spans="2:18" ht="7.5" customHeight="1" x14ac:dyDescent="0.25">
      <c r="B41" s="211"/>
      <c r="C41" s="228"/>
      <c r="D41" s="228"/>
      <c r="F41" s="228"/>
      <c r="G41" s="450" t="str">
        <f t="shared" si="0"/>
        <v/>
      </c>
      <c r="H41" s="211"/>
      <c r="I41" s="211"/>
      <c r="J41" s="381"/>
      <c r="K41" s="381"/>
      <c r="O41" s="228"/>
      <c r="P41" s="228"/>
      <c r="Q41" s="228"/>
    </row>
    <row r="42" spans="2:18" x14ac:dyDescent="0.25">
      <c r="B42" s="528" t="s">
        <v>359</v>
      </c>
      <c r="C42" s="524" t="s">
        <v>62</v>
      </c>
      <c r="D42" s="525" t="s">
        <v>63</v>
      </c>
      <c r="F42" s="526" t="s">
        <v>146</v>
      </c>
      <c r="G42" s="450" t="str">
        <f t="shared" si="0"/>
        <v>_</v>
      </c>
      <c r="H42" s="211"/>
      <c r="I42" s="211"/>
      <c r="J42" s="527" t="s">
        <v>1002</v>
      </c>
      <c r="K42" s="720"/>
      <c r="L42" s="527" t="s">
        <v>363</v>
      </c>
      <c r="O42" s="526"/>
      <c r="P42" s="526"/>
      <c r="Q42" s="526"/>
    </row>
    <row r="43" spans="2:18" ht="15" customHeight="1" x14ac:dyDescent="0.25">
      <c r="B43" s="673" t="s">
        <v>2099</v>
      </c>
      <c r="C43" s="711" t="s">
        <v>2104</v>
      </c>
      <c r="D43" s="712" t="s">
        <v>2128</v>
      </c>
      <c r="F43" s="413"/>
      <c r="G43" s="450" t="str">
        <f t="shared" si="0"/>
        <v>_</v>
      </c>
      <c r="H43" s="211"/>
      <c r="I43" s="211"/>
      <c r="J43" s="231"/>
      <c r="K43" s="381"/>
      <c r="L43" s="231"/>
      <c r="O43" s="413"/>
      <c r="P43" s="472"/>
      <c r="Q43" s="472"/>
    </row>
    <row r="44" spans="2:18" x14ac:dyDescent="0.25">
      <c r="B44" s="722" t="s">
        <v>2100</v>
      </c>
      <c r="C44" s="711" t="s">
        <v>2105</v>
      </c>
      <c r="D44" s="712" t="s">
        <v>2129</v>
      </c>
      <c r="F44" s="413"/>
      <c r="G44" s="450" t="str">
        <f t="shared" si="0"/>
        <v>_</v>
      </c>
      <c r="H44" s="211"/>
      <c r="I44" s="211"/>
      <c r="J44" s="231"/>
      <c r="K44" s="381"/>
      <c r="L44" s="231"/>
      <c r="O44" s="413"/>
      <c r="P44" s="472"/>
      <c r="Q44" s="472"/>
    </row>
    <row r="45" spans="2:18" x14ac:dyDescent="0.25">
      <c r="B45" s="722" t="s">
        <v>2101</v>
      </c>
      <c r="C45" s="711" t="s">
        <v>2106</v>
      </c>
      <c r="D45" s="712" t="s">
        <v>2130</v>
      </c>
      <c r="F45" s="413"/>
      <c r="G45" s="450" t="str">
        <f>IF(OR(TRIM(D45)&lt;&gt;"",TRIM(F45)&lt;&gt;""),IF(AND(TRIM(D45)&lt;&gt;"",TRIM(F45)&lt;&gt;""),IF(OR(TRIM(C45)&lt;&gt;TRIM(D45),TRIM(C45)&lt;&gt;TRIM(F45)),"_",""),IF(TRIM(C45)&lt;&gt;TRIM(D45), "_", "")),"")</f>
        <v>_</v>
      </c>
      <c r="H45" s="211"/>
      <c r="I45" s="211"/>
      <c r="J45" s="231"/>
      <c r="K45" s="381"/>
      <c r="L45" s="231"/>
      <c r="O45" s="413"/>
      <c r="P45" s="472"/>
      <c r="Q45" s="472"/>
    </row>
    <row r="46" spans="2:18" x14ac:dyDescent="0.25">
      <c r="B46" s="722" t="s">
        <v>2102</v>
      </c>
      <c r="C46" s="711" t="s">
        <v>2107</v>
      </c>
      <c r="D46" s="712" t="s">
        <v>2131</v>
      </c>
      <c r="F46" s="413"/>
      <c r="G46" s="450" t="str">
        <f>IF(OR(TRIM(D46)&lt;&gt;"",TRIM(F46)&lt;&gt;""),IF(AND(TRIM(D46)&lt;&gt;"",TRIM(F46)&lt;&gt;""),IF(OR(TRIM(C46)&lt;&gt;TRIM(D46),TRIM(C46)&lt;&gt;TRIM(F46)),"_",""),IF(TRIM(C46)&lt;&gt;TRIM(D46), "_", "")),"")</f>
        <v>_</v>
      </c>
      <c r="H46" s="211"/>
      <c r="I46" s="211"/>
      <c r="J46" s="231"/>
      <c r="K46" s="381"/>
      <c r="L46" s="231"/>
      <c r="O46" s="413"/>
      <c r="P46" s="472"/>
      <c r="Q46" s="472"/>
    </row>
    <row r="47" spans="2:18" ht="19.5" customHeight="1" x14ac:dyDescent="0.25">
      <c r="B47" s="673" t="s">
        <v>2103</v>
      </c>
      <c r="C47" s="711" t="s">
        <v>2108</v>
      </c>
      <c r="D47" s="692" t="s">
        <v>157</v>
      </c>
      <c r="E47" s="16"/>
      <c r="G47" s="452" t="str">
        <f t="shared" si="0"/>
        <v>_</v>
      </c>
    </row>
    <row r="48" spans="2:18" x14ac:dyDescent="0.25">
      <c r="B48" s="722" t="s">
        <v>2132</v>
      </c>
      <c r="C48" s="711"/>
      <c r="D48" s="712" t="s">
        <v>2135</v>
      </c>
      <c r="E48" s="16"/>
    </row>
    <row r="49" spans="2:5" x14ac:dyDescent="0.25">
      <c r="B49" s="722" t="s">
        <v>2133</v>
      </c>
      <c r="C49" s="711"/>
      <c r="D49" s="712" t="s">
        <v>2134</v>
      </c>
      <c r="E49" s="16"/>
    </row>
    <row r="50" spans="2:5" x14ac:dyDescent="0.25">
      <c r="B50" s="722"/>
      <c r="C50" s="711"/>
      <c r="D50" s="711"/>
      <c r="E50" s="16"/>
    </row>
    <row r="52" spans="2:5" x14ac:dyDescent="0.25">
      <c r="E52" s="16"/>
    </row>
    <row r="53" spans="2:5" x14ac:dyDescent="0.25">
      <c r="E53" s="16"/>
    </row>
    <row r="54" spans="2:5" x14ac:dyDescent="0.25">
      <c r="E54" s="16"/>
    </row>
    <row r="55" spans="2:5" x14ac:dyDescent="0.25">
      <c r="E55" s="16"/>
    </row>
    <row r="56" spans="2:5" x14ac:dyDescent="0.25">
      <c r="E56" s="16"/>
    </row>
    <row r="57" spans="2:5" x14ac:dyDescent="0.25">
      <c r="E57" s="16"/>
    </row>
    <row r="58" spans="2:5" x14ac:dyDescent="0.25">
      <c r="E58" s="16"/>
    </row>
    <row r="59" spans="2:5" x14ac:dyDescent="0.25">
      <c r="E59" s="16"/>
    </row>
    <row r="60" spans="2:5" x14ac:dyDescent="0.25">
      <c r="E60" s="16"/>
    </row>
    <row r="61" spans="2:5" x14ac:dyDescent="0.25">
      <c r="E61" s="16"/>
    </row>
    <row r="62" spans="2:5" x14ac:dyDescent="0.25">
      <c r="E62" s="16"/>
    </row>
    <row r="63" spans="2:5" x14ac:dyDescent="0.25">
      <c r="E63" s="16"/>
    </row>
    <row r="64" spans="2:5" x14ac:dyDescent="0.25">
      <c r="E64" s="16"/>
    </row>
    <row r="65" spans="5:5" x14ac:dyDescent="0.25">
      <c r="E65" s="16"/>
    </row>
    <row r="66" spans="5:5" x14ac:dyDescent="0.25">
      <c r="E66" s="16"/>
    </row>
    <row r="67" spans="5:5" x14ac:dyDescent="0.25">
      <c r="E67" s="16"/>
    </row>
    <row r="68" spans="5:5" x14ac:dyDescent="0.25">
      <c r="E68" s="16"/>
    </row>
    <row r="69" spans="5:5" x14ac:dyDescent="0.25">
      <c r="E69" s="16"/>
    </row>
    <row r="70" spans="5:5" x14ac:dyDescent="0.25">
      <c r="E70" s="16"/>
    </row>
    <row r="71" spans="5:5" x14ac:dyDescent="0.25">
      <c r="E71" s="16"/>
    </row>
    <row r="72" spans="5:5" x14ac:dyDescent="0.25">
      <c r="E72" s="16"/>
    </row>
    <row r="73" spans="5:5" x14ac:dyDescent="0.25">
      <c r="E73" s="16"/>
    </row>
  </sheetData>
  <mergeCells count="8">
    <mergeCell ref="P36:P37"/>
    <mergeCell ref="Q36:Q37"/>
    <mergeCell ref="B20:D20"/>
    <mergeCell ref="B21:F21"/>
    <mergeCell ref="B23:D23"/>
    <mergeCell ref="B24:F24"/>
    <mergeCell ref="F36:F37"/>
    <mergeCell ref="O36:O37"/>
  </mergeCells>
  <conditionalFormatting sqref="G1:G8 G16:G26 G10:G11 G13 G47:G1048576">
    <cfRule type="cellIs" dxfId="77" priority="8" operator="equal">
      <formula>"_"</formula>
    </cfRule>
  </conditionalFormatting>
  <conditionalFormatting sqref="G15">
    <cfRule type="cellIs" dxfId="76" priority="7" operator="equal">
      <formula>"_"</formula>
    </cfRule>
  </conditionalFormatting>
  <conditionalFormatting sqref="G27:G46">
    <cfRule type="cellIs" dxfId="75" priority="6" operator="equal">
      <formula>"_"</formula>
    </cfRule>
  </conditionalFormatting>
  <conditionalFormatting sqref="G27:G46">
    <cfRule type="cellIs" dxfId="74" priority="5" operator="equal">
      <formula>"_"</formula>
    </cfRule>
  </conditionalFormatting>
  <conditionalFormatting sqref="G27:G46">
    <cfRule type="cellIs" dxfId="73" priority="4" operator="equal">
      <formula>"_"</formula>
    </cfRule>
  </conditionalFormatting>
  <conditionalFormatting sqref="G9">
    <cfRule type="cellIs" dxfId="72" priority="3" operator="equal">
      <formula>"_"</formula>
    </cfRule>
  </conditionalFormatting>
  <conditionalFormatting sqref="G12">
    <cfRule type="cellIs" dxfId="71" priority="2" operator="equal">
      <formula>"_"</formula>
    </cfRule>
  </conditionalFormatting>
  <conditionalFormatting sqref="G14">
    <cfRule type="cellIs" dxfId="70"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4th Excess Technology Errors &amp; &amp;&amp; Omissions</oddHeader>
    <oddFooter>&amp;L&amp;G&amp;CPage &amp;P of &amp;N</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B1:M143"/>
  <sheetViews>
    <sheetView showGridLines="0" view="pageBreakPreview" topLeftCell="A120" zoomScale="115" zoomScaleNormal="100" zoomScaleSheetLayoutView="115" workbookViewId="0">
      <selection activeCell="J60" sqref="J60"/>
    </sheetView>
  </sheetViews>
  <sheetFormatPr defaultColWidth="9.140625" defaultRowHeight="15" x14ac:dyDescent="0.25"/>
  <cols>
    <col min="1" max="1" width="2.28515625" style="16" customWidth="1"/>
    <col min="2" max="2" width="46.42578125" style="16" customWidth="1"/>
    <col min="3" max="4" width="16.5703125" style="450" customWidth="1"/>
    <col min="5" max="5" width="5.7109375" style="228" customWidth="1"/>
    <col min="6" max="6" width="16.42578125" style="450" customWidth="1"/>
    <col min="7" max="7" width="9.140625" style="452" customWidth="1"/>
    <col min="8" max="9" width="2.85546875" style="452" customWidth="1"/>
    <col min="10" max="10" width="32.140625" style="452" customWidth="1"/>
    <col min="11" max="11" width="32.140625" style="381" customWidth="1"/>
    <col min="12" max="12" width="9" style="16" customWidth="1"/>
    <col min="13" max="13" width="22.140625" style="16" customWidth="1"/>
    <col min="14" max="53" width="9.140625" style="16" customWidth="1"/>
    <col min="54" max="16384" width="9.140625" style="16"/>
  </cols>
  <sheetData>
    <row r="1" spans="2:13" ht="7.5" customHeight="1" x14ac:dyDescent="0.25">
      <c r="E1" s="450"/>
    </row>
    <row r="2" spans="2:13" ht="15.75" x14ac:dyDescent="0.25">
      <c r="B2" s="453" t="str">
        <f>Input!B853</f>
        <v>Executive Liability (Directors &amp; Officers, Employment Practices, Fiduciary Liability)</v>
      </c>
      <c r="E2" s="450"/>
      <c r="H2" s="454"/>
      <c r="I2" s="455"/>
      <c r="J2" s="455"/>
      <c r="L2" s="456" t="s">
        <v>391</v>
      </c>
      <c r="M2" s="381" t="s">
        <v>361</v>
      </c>
    </row>
    <row r="3" spans="2:13" x14ac:dyDescent="0.25">
      <c r="D3" s="455" t="str">
        <f xml:space="preserve"> IF(Input!D857=Input!G857,CHAR(254), "")</f>
        <v/>
      </c>
      <c r="E3" s="457"/>
      <c r="F3" s="455" t="str">
        <f xml:space="preserve"> IF(Input!E857=Input!G857,CHAR(254), "")</f>
        <v/>
      </c>
      <c r="L3" s="459" t="s">
        <v>157</v>
      </c>
      <c r="M3" s="211" t="s">
        <v>362</v>
      </c>
    </row>
    <row r="4" spans="2:13" x14ac:dyDescent="0.25">
      <c r="B4" s="523" t="s">
        <v>66</v>
      </c>
      <c r="C4" s="524" t="s">
        <v>62</v>
      </c>
      <c r="D4" s="525" t="s">
        <v>63</v>
      </c>
      <c r="E4" s="426"/>
      <c r="F4" s="525" t="s">
        <v>146</v>
      </c>
      <c r="J4" s="527" t="s">
        <v>1002</v>
      </c>
      <c r="K4" s="527" t="s">
        <v>363</v>
      </c>
      <c r="L4" s="460"/>
      <c r="M4" s="211"/>
    </row>
    <row r="5" spans="2:13" ht="45.75" customHeight="1" x14ac:dyDescent="0.25">
      <c r="B5" s="409" t="s">
        <v>60</v>
      </c>
      <c r="C5" s="412" t="str">
        <f>Input!B858</f>
        <v>Westchester Surplus Lines Insurance Company (Chubb)</v>
      </c>
      <c r="D5" s="390" t="str">
        <f>Input!D858</f>
        <v>Westchester Surplus Lines Insurance Company (Chubb)</v>
      </c>
      <c r="F5" s="390">
        <f>Input!E858</f>
        <v>0</v>
      </c>
      <c r="J5" s="231"/>
      <c r="K5" s="231"/>
    </row>
    <row r="6" spans="2:13" x14ac:dyDescent="0.25">
      <c r="B6" s="409" t="s">
        <v>69</v>
      </c>
      <c r="C6" s="412" t="str">
        <f>Input!B860</f>
        <v>A++: XV</v>
      </c>
      <c r="D6" s="390" t="str">
        <f>Input!D860</f>
        <v>A++: XV</v>
      </c>
      <c r="F6" s="390">
        <f>Input!E860</f>
        <v>0</v>
      </c>
      <c r="J6" s="231"/>
      <c r="K6" s="231"/>
    </row>
    <row r="7" spans="2:13" x14ac:dyDescent="0.25">
      <c r="B7" s="409" t="str">
        <f>Input!B856</f>
        <v>Renewal Policy Number</v>
      </c>
      <c r="C7" s="412" t="str">
        <f>Input!C855</f>
        <v>G72586979 001</v>
      </c>
      <c r="D7" s="390" t="str">
        <f>Input!C856</f>
        <v>TBD</v>
      </c>
      <c r="F7" s="390" t="str">
        <f>Input!C856</f>
        <v>TBD</v>
      </c>
      <c r="J7" s="231"/>
      <c r="K7" s="231"/>
    </row>
    <row r="8" spans="2:13" ht="15" customHeight="1" x14ac:dyDescent="0.25">
      <c r="B8" s="409" t="str">
        <f>Input!B6</f>
        <v>Renewal Policy Period</v>
      </c>
      <c r="C8" s="956" t="str">
        <f>Input!C5</f>
        <v>7/1/2022 - 7/1/2023</v>
      </c>
      <c r="D8" s="390" t="str">
        <f>Input!C6</f>
        <v>7/1/2023 - 7/1/2024</v>
      </c>
      <c r="F8" s="390" t="str">
        <f>Input!C6</f>
        <v>7/1/2023 - 7/1/2024</v>
      </c>
      <c r="J8" s="231"/>
      <c r="K8" s="231"/>
    </row>
    <row r="9" spans="2:13" x14ac:dyDescent="0.25">
      <c r="B9" s="479" t="s">
        <v>9</v>
      </c>
      <c r="C9" s="479"/>
      <c r="D9" s="479"/>
      <c r="E9" s="414"/>
      <c r="F9" s="480"/>
      <c r="J9" s="566"/>
      <c r="K9" s="566"/>
    </row>
    <row r="10" spans="2:13" x14ac:dyDescent="0.25">
      <c r="B10" s="500" t="str">
        <f>Input!B885</f>
        <v>Directors &amp; Officers Liability</v>
      </c>
      <c r="C10" s="403">
        <f>Input!C885</f>
        <v>5000000</v>
      </c>
      <c r="D10" s="431">
        <f>Input!E885</f>
        <v>5000000</v>
      </c>
      <c r="E10" s="414"/>
      <c r="F10" s="431">
        <f>Input!G885</f>
        <v>0</v>
      </c>
      <c r="J10" s="232"/>
      <c r="K10" s="232"/>
    </row>
    <row r="11" spans="2:13" x14ac:dyDescent="0.25">
      <c r="B11" s="629" t="str">
        <f>Input!B889</f>
        <v>Additional Side A Limit</v>
      </c>
      <c r="C11" s="601">
        <f>Input!C889</f>
        <v>1000000</v>
      </c>
      <c r="D11" s="602">
        <f>Input!E889</f>
        <v>1000000</v>
      </c>
      <c r="E11" s="414"/>
      <c r="F11" s="602">
        <f>Input!G889</f>
        <v>0</v>
      </c>
      <c r="J11" s="447"/>
      <c r="K11" s="447"/>
    </row>
    <row r="12" spans="2:13" x14ac:dyDescent="0.25">
      <c r="B12" s="630" t="str">
        <f>Input!B890</f>
        <v>Derivative Demand Sublimit</v>
      </c>
      <c r="C12" s="604">
        <f>Input!C890</f>
        <v>500000</v>
      </c>
      <c r="D12" s="476">
        <f>Input!E890</f>
        <v>500000</v>
      </c>
      <c r="E12" s="414"/>
      <c r="F12" s="476">
        <f>Input!G890</f>
        <v>0</v>
      </c>
      <c r="J12" s="445"/>
      <c r="K12" s="445"/>
    </row>
    <row r="13" spans="2:13" x14ac:dyDescent="0.25">
      <c r="B13" s="500" t="str">
        <f>Input!B891</f>
        <v>Employment Practices Liability</v>
      </c>
      <c r="C13" s="403">
        <f>Input!C891</f>
        <v>5000000</v>
      </c>
      <c r="D13" s="431">
        <f>Input!E891</f>
        <v>5000000</v>
      </c>
      <c r="E13" s="414"/>
      <c r="F13" s="431">
        <f>Input!G891</f>
        <v>0</v>
      </c>
      <c r="J13" s="232"/>
      <c r="K13" s="232"/>
    </row>
    <row r="14" spans="2:13" x14ac:dyDescent="0.25">
      <c r="B14" s="629" t="str">
        <f>Input!B892</f>
        <v>Wage &amp; Hour Sublimit</v>
      </c>
      <c r="C14" s="601">
        <f>Input!C892</f>
        <v>0</v>
      </c>
      <c r="D14" s="602">
        <f>Input!E892</f>
        <v>0</v>
      </c>
      <c r="E14" s="414"/>
      <c r="F14" s="602">
        <f>Input!G892</f>
        <v>0</v>
      </c>
      <c r="J14" s="447"/>
      <c r="K14" s="447"/>
    </row>
    <row r="15" spans="2:13" x14ac:dyDescent="0.25">
      <c r="B15" s="630" t="str">
        <f>Input!B893</f>
        <v>Workplace Violence Sublimit</v>
      </c>
      <c r="C15" s="604">
        <f>Input!C893</f>
        <v>250000</v>
      </c>
      <c r="D15" s="476">
        <f>Input!E893</f>
        <v>250000</v>
      </c>
      <c r="E15" s="414"/>
      <c r="F15" s="476">
        <f>Input!G893</f>
        <v>0</v>
      </c>
      <c r="J15" s="445"/>
      <c r="K15" s="445"/>
    </row>
    <row r="16" spans="2:13" x14ac:dyDescent="0.25">
      <c r="B16" s="500" t="str">
        <f>Input!B894</f>
        <v>Fiduciary Liability</v>
      </c>
      <c r="C16" s="403">
        <f>Input!C894</f>
        <v>5000000</v>
      </c>
      <c r="D16" s="431">
        <f>Input!E894</f>
        <v>5000000</v>
      </c>
      <c r="E16" s="414"/>
      <c r="F16" s="431">
        <f>Input!G894</f>
        <v>0</v>
      </c>
      <c r="J16" s="232"/>
      <c r="K16" s="232"/>
    </row>
    <row r="17" spans="2:11" x14ac:dyDescent="0.25">
      <c r="B17" s="629" t="str">
        <f>Input!B895</f>
        <v>Voluntary Compliance Program Sublimit</v>
      </c>
      <c r="C17" s="601">
        <f>Input!C895</f>
        <v>250000</v>
      </c>
      <c r="D17" s="602">
        <f>Input!E895</f>
        <v>250000</v>
      </c>
      <c r="E17" s="414"/>
      <c r="F17" s="602">
        <f>Input!G895</f>
        <v>0</v>
      </c>
      <c r="J17" s="447"/>
      <c r="K17" s="447"/>
    </row>
    <row r="18" spans="2:11" x14ac:dyDescent="0.25">
      <c r="B18" s="629" t="str">
        <f>Input!B896</f>
        <v>Sec 4975 Sublimit</v>
      </c>
      <c r="C18" s="601">
        <f>Input!C896</f>
        <v>250000</v>
      </c>
      <c r="D18" s="602">
        <f>Input!E896</f>
        <v>250000</v>
      </c>
      <c r="E18" s="414"/>
      <c r="F18" s="602">
        <f>Input!G896</f>
        <v>0</v>
      </c>
      <c r="J18" s="447"/>
      <c r="K18" s="447"/>
    </row>
    <row r="19" spans="2:11" x14ac:dyDescent="0.25">
      <c r="B19" s="629" t="str">
        <f>Input!B897</f>
        <v>Sec 502(c) Sublimit</v>
      </c>
      <c r="C19" s="601">
        <f>Input!C897</f>
        <v>5000000</v>
      </c>
      <c r="D19" s="602">
        <f>Input!E897</f>
        <v>5000000</v>
      </c>
      <c r="E19" s="414"/>
      <c r="F19" s="602">
        <f>Input!G897</f>
        <v>0</v>
      </c>
      <c r="J19" s="447"/>
      <c r="K19" s="447"/>
    </row>
    <row r="20" spans="2:11" x14ac:dyDescent="0.25">
      <c r="B20" s="629" t="str">
        <f>Input!B898</f>
        <v>Pension Protection Act Sublimit</v>
      </c>
      <c r="C20" s="601">
        <f>Input!C898</f>
        <v>500000</v>
      </c>
      <c r="D20" s="602">
        <f>Input!E898</f>
        <v>500000</v>
      </c>
      <c r="E20" s="414"/>
      <c r="F20" s="602">
        <f>Input!G898</f>
        <v>0</v>
      </c>
      <c r="J20" s="447"/>
      <c r="K20" s="447"/>
    </row>
    <row r="21" spans="2:11" x14ac:dyDescent="0.25">
      <c r="B21" s="630" t="str">
        <f>Input!B899</f>
        <v>Patient Protection and Affordable Care Act (PPACA) Sublimit</v>
      </c>
      <c r="C21" s="604">
        <f>Input!C899</f>
        <v>500000</v>
      </c>
      <c r="D21" s="476">
        <f>Input!E899</f>
        <v>500000</v>
      </c>
      <c r="E21" s="414"/>
      <c r="F21" s="476">
        <f>Input!G899</f>
        <v>0</v>
      </c>
      <c r="J21" s="649"/>
      <c r="K21" s="695" t="s">
        <v>1003</v>
      </c>
    </row>
    <row r="22" spans="2:11" hidden="1" x14ac:dyDescent="0.25">
      <c r="B22" s="500" t="str">
        <f>Input!B901</f>
        <v>Crime</v>
      </c>
      <c r="C22" s="403"/>
      <c r="D22" s="431"/>
      <c r="E22" s="414"/>
      <c r="F22" s="431"/>
      <c r="J22" s="232"/>
      <c r="K22" s="232"/>
    </row>
    <row r="23" spans="2:11" hidden="1" x14ac:dyDescent="0.25">
      <c r="B23" s="629" t="str">
        <f>Input!B902</f>
        <v>Employee Dishonesty</v>
      </c>
      <c r="C23" s="601">
        <f>Input!C902</f>
        <v>0</v>
      </c>
      <c r="D23" s="602">
        <f>Input!E902</f>
        <v>0</v>
      </c>
      <c r="E23" s="414"/>
      <c r="F23" s="602">
        <f>Input!G902</f>
        <v>0</v>
      </c>
      <c r="J23" s="447"/>
      <c r="K23" s="447"/>
    </row>
    <row r="24" spans="2:11" hidden="1" x14ac:dyDescent="0.25">
      <c r="B24" s="629" t="str">
        <f>Input!B903</f>
        <v>Forgery or Alteration</v>
      </c>
      <c r="C24" s="601">
        <f>Input!C903</f>
        <v>0</v>
      </c>
      <c r="D24" s="602">
        <f>Input!E903</f>
        <v>0</v>
      </c>
      <c r="F24" s="602">
        <f>Input!G903</f>
        <v>0</v>
      </c>
      <c r="J24" s="447"/>
      <c r="K24" s="447"/>
    </row>
    <row r="25" spans="2:11" hidden="1" x14ac:dyDescent="0.25">
      <c r="B25" s="629" t="str">
        <f>Input!B904</f>
        <v>Inside the Premises</v>
      </c>
      <c r="C25" s="601">
        <f>Input!C904</f>
        <v>0</v>
      </c>
      <c r="D25" s="602">
        <f>Input!E904</f>
        <v>0</v>
      </c>
      <c r="E25" s="238"/>
      <c r="F25" s="602">
        <f>Input!G904</f>
        <v>0</v>
      </c>
      <c r="J25" s="447"/>
      <c r="K25" s="447"/>
    </row>
    <row r="26" spans="2:11" hidden="1" x14ac:dyDescent="0.25">
      <c r="B26" s="629" t="str">
        <f>Input!B905</f>
        <v>Outside the Premises (In Transit)</v>
      </c>
      <c r="C26" s="601">
        <f>Input!C905</f>
        <v>0</v>
      </c>
      <c r="D26" s="602">
        <f>Input!E905</f>
        <v>0</v>
      </c>
      <c r="E26" s="432"/>
      <c r="F26" s="602">
        <f>Input!G905</f>
        <v>0</v>
      </c>
      <c r="J26" s="447"/>
      <c r="K26" s="447"/>
    </row>
    <row r="27" spans="2:11" hidden="1" x14ac:dyDescent="0.25">
      <c r="B27" s="629" t="str">
        <f>Input!B906</f>
        <v>Computer Fraud</v>
      </c>
      <c r="C27" s="601">
        <f>Input!C906</f>
        <v>0</v>
      </c>
      <c r="D27" s="602">
        <f>Input!E906</f>
        <v>0</v>
      </c>
      <c r="E27" s="433"/>
      <c r="F27" s="602">
        <f>Input!G906</f>
        <v>0</v>
      </c>
      <c r="J27" s="447"/>
      <c r="K27" s="447"/>
    </row>
    <row r="28" spans="2:11" hidden="1" x14ac:dyDescent="0.25">
      <c r="B28" s="629" t="str">
        <f>Input!B907</f>
        <v>Money Orders and Counterfeit Paper Currency</v>
      </c>
      <c r="C28" s="601">
        <f>Input!C907</f>
        <v>0</v>
      </c>
      <c r="D28" s="602">
        <f>Input!E907</f>
        <v>0</v>
      </c>
      <c r="E28" s="434"/>
      <c r="F28" s="602">
        <f>Input!G907</f>
        <v>0</v>
      </c>
      <c r="J28" s="447"/>
      <c r="K28" s="447"/>
    </row>
    <row r="29" spans="2:11" hidden="1" x14ac:dyDescent="0.25">
      <c r="B29" s="629" t="str">
        <f>Input!B908</f>
        <v>Client's Property (Third Party Liability)</v>
      </c>
      <c r="C29" s="601">
        <f>Input!C908</f>
        <v>0</v>
      </c>
      <c r="D29" s="602">
        <f>Input!E908</f>
        <v>0</v>
      </c>
      <c r="F29" s="602">
        <f>Input!G908</f>
        <v>0</v>
      </c>
      <c r="J29" s="447"/>
      <c r="K29" s="447"/>
    </row>
    <row r="30" spans="2:11" hidden="1" x14ac:dyDescent="0.25">
      <c r="B30" s="629" t="str">
        <f>Input!B909</f>
        <v>Funds Transfer Fraud</v>
      </c>
      <c r="C30" s="601">
        <f>Input!C909</f>
        <v>0</v>
      </c>
      <c r="D30" s="602">
        <f>Input!E909</f>
        <v>0</v>
      </c>
      <c r="F30" s="602">
        <f>Input!G909</f>
        <v>0</v>
      </c>
      <c r="J30" s="447"/>
      <c r="K30" s="447"/>
    </row>
    <row r="31" spans="2:11" hidden="1" x14ac:dyDescent="0.25">
      <c r="B31" s="629" t="str">
        <f>Input!B910</f>
        <v>Social Engineering</v>
      </c>
      <c r="C31" s="601">
        <f>Input!C910</f>
        <v>0</v>
      </c>
      <c r="D31" s="602">
        <f>Input!E910</f>
        <v>0</v>
      </c>
      <c r="F31" s="602">
        <f>Input!G910</f>
        <v>0</v>
      </c>
      <c r="J31" s="447"/>
      <c r="K31" s="447"/>
    </row>
    <row r="32" spans="2:11" hidden="1" x14ac:dyDescent="0.25">
      <c r="B32" s="630" t="str">
        <f>Input!B911</f>
        <v>Telecommunications Fraud</v>
      </c>
      <c r="C32" s="604">
        <f>Input!C911</f>
        <v>0</v>
      </c>
      <c r="D32" s="476">
        <f>Input!E911</f>
        <v>0</v>
      </c>
      <c r="F32" s="476">
        <f>Input!G911</f>
        <v>0</v>
      </c>
      <c r="J32" s="445"/>
      <c r="K32" s="445"/>
    </row>
    <row r="33" spans="2:11" x14ac:dyDescent="0.25">
      <c r="B33" s="479" t="s">
        <v>37</v>
      </c>
      <c r="C33" s="479"/>
      <c r="D33" s="479"/>
      <c r="E33" s="426"/>
      <c r="F33" s="480"/>
      <c r="J33" s="566"/>
      <c r="K33" s="566"/>
    </row>
    <row r="34" spans="2:11" x14ac:dyDescent="0.25">
      <c r="B34" s="500" t="str">
        <f>Input!B885</f>
        <v>Directors &amp; Officers Liability</v>
      </c>
      <c r="D34" s="847"/>
      <c r="F34" s="431"/>
      <c r="J34" s="232"/>
      <c r="K34" s="232"/>
    </row>
    <row r="35" spans="2:11" x14ac:dyDescent="0.25">
      <c r="B35" s="629" t="str">
        <f>Input!B886</f>
        <v>Side A | Non-Indemnifiable Claims</v>
      </c>
      <c r="C35" s="601">
        <f>Input!D886</f>
        <v>0</v>
      </c>
      <c r="D35" s="602">
        <f>Input!F886</f>
        <v>0</v>
      </c>
      <c r="F35" s="602">
        <f>Input!H886</f>
        <v>0</v>
      </c>
      <c r="J35" s="447"/>
      <c r="K35" s="447"/>
    </row>
    <row r="36" spans="2:11" x14ac:dyDescent="0.25">
      <c r="B36" s="629" t="str">
        <f>Input!B887</f>
        <v>Side B | Indemnifiable Claims</v>
      </c>
      <c r="C36" s="601">
        <f>Input!D887</f>
        <v>25000</v>
      </c>
      <c r="D36" s="602">
        <f>Input!F887</f>
        <v>35000</v>
      </c>
      <c r="F36" s="602">
        <f>Input!H887</f>
        <v>0</v>
      </c>
      <c r="J36" s="447"/>
      <c r="K36" s="447"/>
    </row>
    <row r="37" spans="2:11" x14ac:dyDescent="0.25">
      <c r="B37" s="630" t="str">
        <f>Input!B888</f>
        <v>Side C | Entity Claims</v>
      </c>
      <c r="C37" s="604">
        <f>Input!D888</f>
        <v>25000</v>
      </c>
      <c r="D37" s="476">
        <f>Input!F888</f>
        <v>35000</v>
      </c>
      <c r="F37" s="476">
        <f>Input!H888</f>
        <v>0</v>
      </c>
      <c r="J37" s="445"/>
      <c r="K37" s="445"/>
    </row>
    <row r="38" spans="2:11" x14ac:dyDescent="0.25">
      <c r="B38" s="491" t="str">
        <f>Input!B891</f>
        <v>Employment Practices Liability</v>
      </c>
      <c r="C38" s="398">
        <f>Input!D891</f>
        <v>50000</v>
      </c>
      <c r="D38" s="425">
        <f>Input!F891</f>
        <v>50000</v>
      </c>
      <c r="F38" s="425">
        <f>Input!H891</f>
        <v>0</v>
      </c>
      <c r="J38" s="231"/>
      <c r="K38" s="231"/>
    </row>
    <row r="39" spans="2:11" x14ac:dyDescent="0.25">
      <c r="B39" s="500" t="str">
        <f>Input!B894</f>
        <v>Fiduciary Liability</v>
      </c>
      <c r="C39" s="403">
        <f>Input!D894</f>
        <v>0</v>
      </c>
      <c r="D39" s="431">
        <f>Input!F894</f>
        <v>0</v>
      </c>
      <c r="F39" s="431">
        <f>Input!H894</f>
        <v>0</v>
      </c>
      <c r="J39" s="231"/>
      <c r="K39" s="231"/>
    </row>
    <row r="40" spans="2:11" hidden="1" x14ac:dyDescent="0.25">
      <c r="B40" s="500" t="str">
        <f>Input!B901</f>
        <v>Crime</v>
      </c>
      <c r="C40" s="403"/>
      <c r="D40" s="431"/>
      <c r="F40" s="431"/>
      <c r="J40" s="232"/>
      <c r="K40" s="232"/>
    </row>
    <row r="41" spans="2:11" hidden="1" x14ac:dyDescent="0.25">
      <c r="B41" s="629" t="str">
        <f>Input!B902</f>
        <v>Employee Dishonesty</v>
      </c>
      <c r="C41" s="601">
        <f>Input!D902</f>
        <v>0</v>
      </c>
      <c r="D41" s="602">
        <f>Input!F902</f>
        <v>0</v>
      </c>
      <c r="F41" s="602">
        <f>Input!H902</f>
        <v>0</v>
      </c>
      <c r="J41" s="447"/>
      <c r="K41" s="447"/>
    </row>
    <row r="42" spans="2:11" hidden="1" x14ac:dyDescent="0.25">
      <c r="B42" s="629" t="str">
        <f>Input!B903</f>
        <v>Forgery or Alteration</v>
      </c>
      <c r="C42" s="601">
        <f>Input!D903</f>
        <v>0</v>
      </c>
      <c r="D42" s="602">
        <f>Input!F903</f>
        <v>0</v>
      </c>
      <c r="F42" s="602">
        <f>Input!H903</f>
        <v>0</v>
      </c>
      <c r="J42" s="447"/>
      <c r="K42" s="447"/>
    </row>
    <row r="43" spans="2:11" hidden="1" x14ac:dyDescent="0.25">
      <c r="B43" s="629" t="str">
        <f>Input!B904</f>
        <v>Inside the Premises</v>
      </c>
      <c r="C43" s="601">
        <f>Input!D904</f>
        <v>0</v>
      </c>
      <c r="D43" s="602">
        <f>Input!F904</f>
        <v>0</v>
      </c>
      <c r="F43" s="602">
        <f>Input!H904</f>
        <v>0</v>
      </c>
      <c r="J43" s="447"/>
      <c r="K43" s="447"/>
    </row>
    <row r="44" spans="2:11" hidden="1" x14ac:dyDescent="0.25">
      <c r="B44" s="629" t="str">
        <f>Input!B905</f>
        <v>Outside the Premises (In Transit)</v>
      </c>
      <c r="C44" s="601">
        <f>Input!D905</f>
        <v>0</v>
      </c>
      <c r="D44" s="602">
        <f>Input!F905</f>
        <v>0</v>
      </c>
      <c r="F44" s="602">
        <f>Input!H905</f>
        <v>0</v>
      </c>
      <c r="J44" s="447"/>
      <c r="K44" s="447"/>
    </row>
    <row r="45" spans="2:11" hidden="1" x14ac:dyDescent="0.25">
      <c r="B45" s="629" t="str">
        <f>Input!B906</f>
        <v>Computer Fraud</v>
      </c>
      <c r="C45" s="601">
        <f>Input!D906</f>
        <v>0</v>
      </c>
      <c r="D45" s="602">
        <f>Input!F906</f>
        <v>0</v>
      </c>
      <c r="F45" s="602">
        <f>Input!H906</f>
        <v>0</v>
      </c>
      <c r="J45" s="447"/>
      <c r="K45" s="447"/>
    </row>
    <row r="46" spans="2:11" hidden="1" x14ac:dyDescent="0.25">
      <c r="B46" s="629" t="str">
        <f>Input!B907</f>
        <v>Money Orders and Counterfeit Paper Currency</v>
      </c>
      <c r="C46" s="601">
        <f>Input!D907</f>
        <v>0</v>
      </c>
      <c r="D46" s="602">
        <f>Input!F907</f>
        <v>0</v>
      </c>
      <c r="F46" s="602">
        <f>Input!H907</f>
        <v>0</v>
      </c>
      <c r="J46" s="447"/>
      <c r="K46" s="447"/>
    </row>
    <row r="47" spans="2:11" hidden="1" x14ac:dyDescent="0.25">
      <c r="B47" s="629" t="str">
        <f>Input!B908</f>
        <v>Client's Property (Third Party Liability)</v>
      </c>
      <c r="C47" s="601">
        <f>Input!D908</f>
        <v>0</v>
      </c>
      <c r="D47" s="602">
        <f>Input!F908</f>
        <v>0</v>
      </c>
      <c r="F47" s="602">
        <f>Input!H908</f>
        <v>0</v>
      </c>
      <c r="J47" s="447"/>
      <c r="K47" s="447"/>
    </row>
    <row r="48" spans="2:11" hidden="1" x14ac:dyDescent="0.25">
      <c r="B48" s="629" t="str">
        <f>Input!B909</f>
        <v>Funds Transfer Fraud</v>
      </c>
      <c r="C48" s="601">
        <f>Input!D909</f>
        <v>0</v>
      </c>
      <c r="D48" s="602">
        <f>Input!F909</f>
        <v>0</v>
      </c>
      <c r="F48" s="602">
        <f>Input!H909</f>
        <v>0</v>
      </c>
      <c r="J48" s="447"/>
      <c r="K48" s="447"/>
    </row>
    <row r="49" spans="2:11" hidden="1" x14ac:dyDescent="0.25">
      <c r="B49" s="629" t="str">
        <f>Input!B910</f>
        <v>Social Engineering</v>
      </c>
      <c r="C49" s="601">
        <f>Input!D910</f>
        <v>0</v>
      </c>
      <c r="D49" s="602">
        <f>Input!F910</f>
        <v>0</v>
      </c>
      <c r="F49" s="602">
        <f>Input!H910</f>
        <v>0</v>
      </c>
      <c r="J49" s="447"/>
      <c r="K49" s="447"/>
    </row>
    <row r="50" spans="2:11" hidden="1" x14ac:dyDescent="0.25">
      <c r="B50" s="629" t="str">
        <f>Input!B911</f>
        <v>Telecommunications Fraud</v>
      </c>
      <c r="C50" s="601">
        <f>Input!D911</f>
        <v>0</v>
      </c>
      <c r="D50" s="602">
        <f>Input!F911</f>
        <v>0</v>
      </c>
      <c r="F50" s="602">
        <f>Input!H911</f>
        <v>0</v>
      </c>
      <c r="J50" s="445"/>
      <c r="K50" s="445"/>
    </row>
    <row r="51" spans="2:11" x14ac:dyDescent="0.25">
      <c r="B51" s="561" t="s">
        <v>367</v>
      </c>
      <c r="C51" s="561"/>
      <c r="D51" s="561"/>
      <c r="F51" s="480"/>
      <c r="J51" s="566"/>
      <c r="K51" s="566"/>
    </row>
    <row r="52" spans="2:11" x14ac:dyDescent="0.25">
      <c r="B52" s="402" t="str">
        <f>Input!B861</f>
        <v>Premium</v>
      </c>
      <c r="C52" s="428">
        <f>Input!B862</f>
        <v>57505</v>
      </c>
      <c r="D52" s="425">
        <f>Input!D862</f>
        <v>60380</v>
      </c>
      <c r="F52" s="425">
        <f>Input!E862</f>
        <v>0</v>
      </c>
      <c r="J52" s="231"/>
      <c r="K52" s="231"/>
    </row>
    <row r="53" spans="2:11" x14ac:dyDescent="0.25">
      <c r="B53" s="844" t="str">
        <f>Input!B865</f>
        <v>Taxes and Assessments</v>
      </c>
      <c r="C53" s="428">
        <f>Input!B866</f>
        <v>0</v>
      </c>
      <c r="D53" s="425">
        <f>Input!D866</f>
        <v>0</v>
      </c>
      <c r="F53" s="425">
        <f>Input!E866</f>
        <v>0</v>
      </c>
      <c r="J53" s="231"/>
      <c r="K53" s="231"/>
    </row>
    <row r="54" spans="2:11" x14ac:dyDescent="0.25">
      <c r="B54" s="844" t="str">
        <f>Input!B867</f>
        <v>Surplus Lines Taxes</v>
      </c>
      <c r="C54" s="429">
        <f>Input!B868</f>
        <v>0.04</v>
      </c>
      <c r="D54" s="431">
        <f>Input!D868</f>
        <v>0.04</v>
      </c>
      <c r="F54" s="431">
        <f>Input!E868</f>
        <v>0</v>
      </c>
      <c r="J54" s="231"/>
      <c r="K54" s="231"/>
    </row>
    <row r="55" spans="2:11" x14ac:dyDescent="0.25">
      <c r="B55" s="845" t="s">
        <v>64</v>
      </c>
      <c r="C55" s="428">
        <f>Input!B870</f>
        <v>59805.2</v>
      </c>
      <c r="D55" s="425">
        <f>Input!D870</f>
        <v>62795.199999999997</v>
      </c>
      <c r="F55" s="425">
        <f>Input!E870</f>
        <v>0</v>
      </c>
      <c r="J55" s="231"/>
      <c r="K55" s="231"/>
    </row>
    <row r="56" spans="2:11" ht="7.5" customHeight="1" x14ac:dyDescent="0.25">
      <c r="B56" s="310"/>
      <c r="C56" s="228"/>
      <c r="D56" s="228"/>
      <c r="F56" s="228"/>
      <c r="J56" s="381"/>
    </row>
    <row r="57" spans="2:11" x14ac:dyDescent="0.25">
      <c r="B57" s="1274" t="s">
        <v>144</v>
      </c>
      <c r="C57" s="1274"/>
      <c r="D57" s="1274"/>
      <c r="F57" s="238"/>
      <c r="J57" s="381"/>
    </row>
    <row r="58" spans="2:11" x14ac:dyDescent="0.25">
      <c r="B58" s="1275" t="s">
        <v>2071</v>
      </c>
      <c r="C58" s="1276"/>
      <c r="D58" s="1276"/>
      <c r="E58" s="1276"/>
      <c r="F58" s="1277"/>
      <c r="J58" s="381"/>
    </row>
    <row r="59" spans="2:11" ht="7.5" customHeight="1" x14ac:dyDescent="0.25">
      <c r="B59" s="380"/>
      <c r="C59" s="238"/>
      <c r="D59" s="238"/>
      <c r="F59" s="228"/>
      <c r="J59" s="381"/>
    </row>
    <row r="60" spans="2:11" x14ac:dyDescent="0.25">
      <c r="B60" s="1274" t="s">
        <v>145</v>
      </c>
      <c r="C60" s="1274"/>
      <c r="D60" s="1274"/>
      <c r="F60" s="228"/>
      <c r="J60" s="381"/>
    </row>
    <row r="61" spans="2:11" x14ac:dyDescent="0.25">
      <c r="B61" s="1275" t="s">
        <v>2071</v>
      </c>
      <c r="C61" s="1275"/>
      <c r="D61" s="1275"/>
      <c r="E61" s="1275"/>
      <c r="F61" s="1297"/>
      <c r="J61" s="381"/>
    </row>
    <row r="62" spans="2:11" ht="7.5" customHeight="1" x14ac:dyDescent="0.25">
      <c r="B62" s="310"/>
      <c r="C62" s="228"/>
      <c r="D62" s="228"/>
      <c r="F62" s="228"/>
      <c r="J62" s="381"/>
    </row>
    <row r="63" spans="2:11" x14ac:dyDescent="0.25">
      <c r="B63" s="523" t="s">
        <v>72</v>
      </c>
      <c r="C63" s="524" t="s">
        <v>62</v>
      </c>
      <c r="D63" s="525" t="s">
        <v>63</v>
      </c>
      <c r="F63" s="525" t="s">
        <v>146</v>
      </c>
      <c r="J63" s="527" t="s">
        <v>1002</v>
      </c>
      <c r="K63" s="527" t="s">
        <v>363</v>
      </c>
    </row>
    <row r="64" spans="2:11" x14ac:dyDescent="0.25">
      <c r="B64" s="400" t="s">
        <v>73</v>
      </c>
      <c r="C64" s="712" t="s">
        <v>1239</v>
      </c>
      <c r="D64" s="712" t="s">
        <v>1239</v>
      </c>
      <c r="F64" s="712"/>
      <c r="G64" s="450" t="str">
        <f t="shared" ref="G64:G127" si="0">IF(OR(TRIM(D64)&lt;&gt;"",TRIM(F64)&lt;&gt;""),IF(AND(TRIM(D64)&lt;&gt;"",TRIM(F64)&lt;&gt;""),IF(OR(TRIM(C64)&lt;&gt;TRIM(D64),TRIM(C64)&lt;&gt;TRIM(F64)),"_",""),IF(TRIM(C64)&lt;&gt;TRIM(D64), "_", "")),"")</f>
        <v/>
      </c>
      <c r="J64" s="231"/>
      <c r="K64" s="231"/>
    </row>
    <row r="65" spans="2:11" x14ac:dyDescent="0.25">
      <c r="B65" s="368" t="s">
        <v>74</v>
      </c>
      <c r="C65" s="391"/>
      <c r="D65" s="391"/>
      <c r="F65" s="391"/>
      <c r="G65" s="450" t="str">
        <f t="shared" si="0"/>
        <v/>
      </c>
      <c r="J65" s="231"/>
      <c r="K65" s="231"/>
    </row>
    <row r="66" spans="2:11" ht="15" customHeight="1" x14ac:dyDescent="0.25">
      <c r="B66" s="441" t="s">
        <v>800</v>
      </c>
      <c r="C66" s="1294" t="s">
        <v>1885</v>
      </c>
      <c r="D66" s="1294" t="s">
        <v>1885</v>
      </c>
      <c r="F66" s="1294"/>
      <c r="G66" s="450" t="str">
        <f t="shared" si="0"/>
        <v/>
      </c>
      <c r="J66" s="232"/>
      <c r="K66" s="232"/>
    </row>
    <row r="67" spans="2:11" ht="15" customHeight="1" x14ac:dyDescent="0.25">
      <c r="B67" s="441" t="s">
        <v>210</v>
      </c>
      <c r="C67" s="1295"/>
      <c r="D67" s="1295"/>
      <c r="F67" s="1295"/>
      <c r="G67" s="450" t="str">
        <f t="shared" si="0"/>
        <v/>
      </c>
      <c r="J67" s="232"/>
      <c r="K67" s="232"/>
    </row>
    <row r="68" spans="2:11" ht="15" customHeight="1" x14ac:dyDescent="0.25">
      <c r="B68" s="441" t="s">
        <v>211</v>
      </c>
      <c r="C68" s="1296"/>
      <c r="D68" s="1296"/>
      <c r="F68" s="1296"/>
      <c r="G68" s="450" t="str">
        <f t="shared" si="0"/>
        <v/>
      </c>
      <c r="J68" s="232"/>
      <c r="K68" s="232"/>
    </row>
    <row r="69" spans="2:11" x14ac:dyDescent="0.25">
      <c r="B69" s="368" t="s">
        <v>151</v>
      </c>
      <c r="C69" s="712" t="s">
        <v>1229</v>
      </c>
      <c r="D69" s="712" t="s">
        <v>1229</v>
      </c>
      <c r="F69" s="712"/>
      <c r="G69" s="450" t="str">
        <f t="shared" si="0"/>
        <v/>
      </c>
      <c r="J69" s="232"/>
      <c r="K69" s="232"/>
    </row>
    <row r="70" spans="2:11" hidden="1" x14ac:dyDescent="0.25">
      <c r="B70" s="441" t="s">
        <v>800</v>
      </c>
      <c r="C70" s="439"/>
      <c r="D70" s="439"/>
      <c r="F70" s="439"/>
      <c r="G70" s="450" t="str">
        <f t="shared" si="0"/>
        <v/>
      </c>
      <c r="J70" s="447"/>
      <c r="K70" s="447"/>
    </row>
    <row r="71" spans="2:11" hidden="1" x14ac:dyDescent="0.25">
      <c r="B71" s="441" t="s">
        <v>210</v>
      </c>
      <c r="C71" s="439"/>
      <c r="D71" s="439"/>
      <c r="F71" s="439"/>
      <c r="G71" s="450" t="str">
        <f t="shared" si="0"/>
        <v/>
      </c>
      <c r="J71" s="447"/>
      <c r="K71" s="447"/>
    </row>
    <row r="72" spans="2:11" hidden="1" x14ac:dyDescent="0.25">
      <c r="B72" s="441" t="s">
        <v>211</v>
      </c>
      <c r="C72" s="439"/>
      <c r="D72" s="439"/>
      <c r="F72" s="439"/>
      <c r="G72" s="450" t="str">
        <f t="shared" si="0"/>
        <v/>
      </c>
      <c r="J72" s="447"/>
      <c r="K72" s="447"/>
    </row>
    <row r="73" spans="2:11" ht="38.25" hidden="1" x14ac:dyDescent="0.25">
      <c r="B73" s="442" t="s">
        <v>212</v>
      </c>
      <c r="C73" s="659" t="s">
        <v>874</v>
      </c>
      <c r="D73" s="659" t="s">
        <v>874</v>
      </c>
      <c r="F73" s="659"/>
      <c r="G73" s="450" t="str">
        <f t="shared" si="0"/>
        <v/>
      </c>
      <c r="J73" s="445"/>
      <c r="K73" s="445"/>
    </row>
    <row r="74" spans="2:11" x14ac:dyDescent="0.25">
      <c r="B74" s="722" t="s">
        <v>1455</v>
      </c>
      <c r="C74" s="439"/>
      <c r="D74" s="439"/>
      <c r="F74" s="439"/>
      <c r="G74" s="450" t="str">
        <f t="shared" si="0"/>
        <v/>
      </c>
      <c r="J74" s="447"/>
      <c r="K74" s="447"/>
    </row>
    <row r="75" spans="2:11" x14ac:dyDescent="0.25">
      <c r="B75" s="441" t="s">
        <v>800</v>
      </c>
      <c r="C75" s="846">
        <v>43579</v>
      </c>
      <c r="D75" s="846">
        <v>43579</v>
      </c>
      <c r="F75" s="846"/>
      <c r="G75" s="450" t="str">
        <f t="shared" si="0"/>
        <v/>
      </c>
      <c r="J75" s="447"/>
      <c r="K75" s="447"/>
    </row>
    <row r="76" spans="2:11" x14ac:dyDescent="0.25">
      <c r="B76" s="441" t="s">
        <v>210</v>
      </c>
      <c r="C76" s="846">
        <v>43613</v>
      </c>
      <c r="D76" s="846">
        <v>43613</v>
      </c>
      <c r="F76" s="846"/>
      <c r="G76" s="450" t="str">
        <f t="shared" si="0"/>
        <v/>
      </c>
      <c r="J76" s="447"/>
      <c r="K76" s="447"/>
    </row>
    <row r="77" spans="2:11" x14ac:dyDescent="0.25">
      <c r="B77" s="441" t="s">
        <v>211</v>
      </c>
      <c r="C77" s="846">
        <v>43579</v>
      </c>
      <c r="D77" s="846">
        <v>43579</v>
      </c>
      <c r="F77" s="846"/>
      <c r="G77" s="450" t="str">
        <f t="shared" si="0"/>
        <v/>
      </c>
      <c r="J77" s="447"/>
      <c r="K77" s="447"/>
    </row>
    <row r="78" spans="2:11" hidden="1" x14ac:dyDescent="0.25">
      <c r="B78" s="442" t="s">
        <v>212</v>
      </c>
      <c r="C78" s="424"/>
      <c r="D78" s="424"/>
      <c r="F78" s="424"/>
      <c r="G78" s="450" t="str">
        <f t="shared" si="0"/>
        <v/>
      </c>
      <c r="J78" s="445"/>
      <c r="K78" s="445"/>
    </row>
    <row r="79" spans="2:11" hidden="1" x14ac:dyDescent="0.25">
      <c r="B79" s="722" t="s">
        <v>1082</v>
      </c>
      <c r="C79" s="439"/>
      <c r="D79" s="439"/>
      <c r="F79" s="439"/>
      <c r="G79" s="450" t="str">
        <f t="shared" si="0"/>
        <v/>
      </c>
      <c r="J79" s="447"/>
      <c r="K79" s="447"/>
    </row>
    <row r="80" spans="2:11" hidden="1" x14ac:dyDescent="0.25">
      <c r="B80" s="441" t="s">
        <v>800</v>
      </c>
      <c r="C80" s="439"/>
      <c r="D80" s="439"/>
      <c r="F80" s="439"/>
      <c r="G80" s="450" t="str">
        <f t="shared" si="0"/>
        <v/>
      </c>
      <c r="J80" s="447"/>
      <c r="K80" s="447"/>
    </row>
    <row r="81" spans="2:11" hidden="1" x14ac:dyDescent="0.25">
      <c r="B81" s="441" t="s">
        <v>210</v>
      </c>
      <c r="C81" s="439"/>
      <c r="D81" s="439"/>
      <c r="F81" s="439"/>
      <c r="G81" s="450" t="str">
        <f t="shared" si="0"/>
        <v/>
      </c>
      <c r="J81" s="447"/>
      <c r="K81" s="447"/>
    </row>
    <row r="82" spans="2:11" hidden="1" x14ac:dyDescent="0.25">
      <c r="B82" s="441" t="s">
        <v>211</v>
      </c>
      <c r="C82" s="439"/>
      <c r="D82" s="439"/>
      <c r="F82" s="439"/>
      <c r="G82" s="450" t="str">
        <f t="shared" si="0"/>
        <v/>
      </c>
      <c r="J82" s="447"/>
      <c r="K82" s="447"/>
    </row>
    <row r="83" spans="2:11" hidden="1" x14ac:dyDescent="0.25">
      <c r="B83" s="442" t="s">
        <v>212</v>
      </c>
      <c r="C83" s="424"/>
      <c r="D83" s="424"/>
      <c r="F83" s="424"/>
      <c r="G83" s="450" t="str">
        <f t="shared" si="0"/>
        <v/>
      </c>
      <c r="J83" s="445"/>
      <c r="K83" s="445"/>
    </row>
    <row r="84" spans="2:11" hidden="1" x14ac:dyDescent="0.25">
      <c r="B84" s="722" t="s">
        <v>75</v>
      </c>
      <c r="C84" s="439"/>
      <c r="D84" s="439"/>
      <c r="F84" s="439"/>
      <c r="G84" s="450" t="str">
        <f t="shared" si="0"/>
        <v/>
      </c>
      <c r="J84" s="447"/>
      <c r="K84" s="447"/>
    </row>
    <row r="85" spans="2:11" hidden="1" x14ac:dyDescent="0.25">
      <c r="B85" s="441" t="s">
        <v>800</v>
      </c>
      <c r="C85" s="439"/>
      <c r="D85" s="439"/>
      <c r="F85" s="439"/>
      <c r="G85" s="450" t="str">
        <f t="shared" si="0"/>
        <v/>
      </c>
      <c r="J85" s="447"/>
      <c r="K85" s="447"/>
    </row>
    <row r="86" spans="2:11" hidden="1" x14ac:dyDescent="0.25">
      <c r="B86" s="441" t="s">
        <v>210</v>
      </c>
      <c r="C86" s="439"/>
      <c r="D86" s="439"/>
      <c r="F86" s="439"/>
      <c r="G86" s="450" t="str">
        <f t="shared" si="0"/>
        <v/>
      </c>
      <c r="J86" s="447"/>
      <c r="K86" s="447"/>
    </row>
    <row r="87" spans="2:11" hidden="1" x14ac:dyDescent="0.25">
      <c r="B87" s="441" t="s">
        <v>211</v>
      </c>
      <c r="C87" s="439"/>
      <c r="D87" s="439"/>
      <c r="F87" s="439"/>
      <c r="G87" s="450" t="str">
        <f t="shared" si="0"/>
        <v/>
      </c>
      <c r="J87" s="447"/>
      <c r="K87" s="447"/>
    </row>
    <row r="88" spans="2:11" hidden="1" x14ac:dyDescent="0.25">
      <c r="B88" s="442" t="s">
        <v>212</v>
      </c>
      <c r="C88" s="424"/>
      <c r="D88" s="424"/>
      <c r="F88" s="424"/>
      <c r="G88" s="450" t="str">
        <f t="shared" si="0"/>
        <v/>
      </c>
      <c r="J88" s="445"/>
      <c r="K88" s="445"/>
    </row>
    <row r="89" spans="2:11" x14ac:dyDescent="0.25">
      <c r="B89" s="400" t="s">
        <v>152</v>
      </c>
      <c r="C89" s="712" t="s">
        <v>284</v>
      </c>
      <c r="D89" s="712" t="s">
        <v>284</v>
      </c>
      <c r="F89" s="712"/>
      <c r="G89" s="450" t="str">
        <f t="shared" si="0"/>
        <v/>
      </c>
      <c r="J89" s="231"/>
      <c r="K89" s="231"/>
    </row>
    <row r="90" spans="2:11" x14ac:dyDescent="0.25">
      <c r="B90" s="400" t="s">
        <v>77</v>
      </c>
      <c r="C90" s="712" t="s">
        <v>1433</v>
      </c>
      <c r="D90" s="712" t="s">
        <v>1433</v>
      </c>
      <c r="F90" s="712"/>
      <c r="G90" s="450" t="str">
        <f t="shared" si="0"/>
        <v/>
      </c>
      <c r="J90" s="231"/>
      <c r="K90" s="231"/>
    </row>
    <row r="91" spans="2:11" x14ac:dyDescent="0.25">
      <c r="B91" s="368" t="s">
        <v>815</v>
      </c>
      <c r="C91" s="391"/>
      <c r="D91" s="391"/>
      <c r="F91" s="391"/>
      <c r="G91" s="450" t="str">
        <f t="shared" si="0"/>
        <v/>
      </c>
      <c r="J91" s="232"/>
      <c r="K91" s="232"/>
    </row>
    <row r="92" spans="2:11" x14ac:dyDescent="0.25">
      <c r="B92" s="636" t="s">
        <v>816</v>
      </c>
      <c r="C92" s="1001">
        <v>1</v>
      </c>
      <c r="D92" s="1001">
        <v>1</v>
      </c>
      <c r="F92" s="1001"/>
      <c r="G92" s="450" t="str">
        <f t="shared" si="0"/>
        <v/>
      </c>
      <c r="J92" s="447"/>
      <c r="K92" s="447"/>
    </row>
    <row r="93" spans="2:11" x14ac:dyDescent="0.25">
      <c r="B93" s="636" t="s">
        <v>1456</v>
      </c>
      <c r="C93" s="1001">
        <v>1.25</v>
      </c>
      <c r="D93" s="1001">
        <v>1.25</v>
      </c>
      <c r="F93" s="1001"/>
      <c r="G93" s="450" t="str">
        <f t="shared" si="0"/>
        <v/>
      </c>
      <c r="J93" s="447"/>
      <c r="K93" s="447"/>
    </row>
    <row r="94" spans="2:11" x14ac:dyDescent="0.25">
      <c r="B94" s="636" t="s">
        <v>1457</v>
      </c>
      <c r="C94" s="1001">
        <v>1.5</v>
      </c>
      <c r="D94" s="1001">
        <v>1.5</v>
      </c>
      <c r="F94" s="1001"/>
      <c r="G94" s="450" t="str">
        <f t="shared" si="0"/>
        <v/>
      </c>
      <c r="J94" s="447"/>
      <c r="K94" s="447"/>
    </row>
    <row r="95" spans="2:11" x14ac:dyDescent="0.25">
      <c r="B95" s="368" t="s">
        <v>281</v>
      </c>
      <c r="C95" s="692" t="s">
        <v>157</v>
      </c>
      <c r="D95" s="692" t="s">
        <v>157</v>
      </c>
      <c r="F95" s="692"/>
      <c r="G95" s="450" t="str">
        <f t="shared" si="0"/>
        <v/>
      </c>
      <c r="J95" s="231"/>
      <c r="K95" s="231"/>
    </row>
    <row r="96" spans="2:11" x14ac:dyDescent="0.25">
      <c r="B96" s="368" t="s">
        <v>818</v>
      </c>
      <c r="C96" s="692" t="s">
        <v>157</v>
      </c>
      <c r="D96" s="692" t="s">
        <v>157</v>
      </c>
      <c r="F96" s="692"/>
      <c r="G96" s="450" t="str">
        <f t="shared" si="0"/>
        <v/>
      </c>
      <c r="J96" s="231"/>
      <c r="K96" s="231"/>
    </row>
    <row r="97" spans="2:11" x14ac:dyDescent="0.25">
      <c r="B97" s="368" t="s">
        <v>280</v>
      </c>
      <c r="C97" s="692" t="s">
        <v>157</v>
      </c>
      <c r="D97" s="692" t="s">
        <v>157</v>
      </c>
      <c r="F97" s="692"/>
      <c r="G97" s="450" t="str">
        <f t="shared" si="0"/>
        <v/>
      </c>
      <c r="J97" s="231"/>
      <c r="K97" s="231"/>
    </row>
    <row r="98" spans="2:11" x14ac:dyDescent="0.25">
      <c r="B98" s="722" t="s">
        <v>1886</v>
      </c>
      <c r="C98" s="692" t="s">
        <v>157</v>
      </c>
      <c r="D98" s="692" t="s">
        <v>157</v>
      </c>
      <c r="F98" s="692"/>
      <c r="G98" s="450" t="str">
        <f t="shared" si="0"/>
        <v/>
      </c>
      <c r="J98" s="231"/>
      <c r="K98" s="231"/>
    </row>
    <row r="99" spans="2:11" x14ac:dyDescent="0.25">
      <c r="B99" s="368" t="s">
        <v>823</v>
      </c>
      <c r="C99" s="692" t="s">
        <v>157</v>
      </c>
      <c r="D99" s="692" t="s">
        <v>157</v>
      </c>
      <c r="F99" s="692"/>
      <c r="G99" s="450" t="str">
        <f t="shared" si="0"/>
        <v/>
      </c>
      <c r="J99" s="231"/>
      <c r="K99" s="231"/>
    </row>
    <row r="100" spans="2:11" x14ac:dyDescent="0.25">
      <c r="B100" s="368" t="s">
        <v>824</v>
      </c>
      <c r="C100" s="692" t="s">
        <v>157</v>
      </c>
      <c r="D100" s="692" t="s">
        <v>157</v>
      </c>
      <c r="F100" s="692"/>
      <c r="G100" s="450" t="str">
        <f t="shared" si="0"/>
        <v/>
      </c>
      <c r="J100" s="231"/>
      <c r="K100" s="231"/>
    </row>
    <row r="101" spans="2:11" x14ac:dyDescent="0.25">
      <c r="B101" s="368" t="s">
        <v>817</v>
      </c>
      <c r="C101" s="692" t="s">
        <v>157</v>
      </c>
      <c r="D101" s="692" t="s">
        <v>157</v>
      </c>
      <c r="F101" s="692"/>
      <c r="G101" s="450" t="str">
        <f t="shared" si="0"/>
        <v/>
      </c>
      <c r="J101" s="231"/>
      <c r="K101" s="231"/>
    </row>
    <row r="102" spans="2:11" hidden="1" x14ac:dyDescent="0.25">
      <c r="B102" s="650" t="s">
        <v>845</v>
      </c>
      <c r="C102" s="391"/>
      <c r="D102" s="391"/>
      <c r="F102" s="391"/>
      <c r="G102" s="450" t="str">
        <f t="shared" si="0"/>
        <v/>
      </c>
      <c r="J102" s="231"/>
      <c r="K102" s="231"/>
    </row>
    <row r="103" spans="2:11" x14ac:dyDescent="0.25">
      <c r="B103" s="368" t="s">
        <v>819</v>
      </c>
      <c r="C103" s="692" t="s">
        <v>157</v>
      </c>
      <c r="D103" s="692" t="s">
        <v>157</v>
      </c>
      <c r="F103" s="692"/>
      <c r="G103" s="450" t="str">
        <f t="shared" si="0"/>
        <v/>
      </c>
      <c r="J103" s="231"/>
      <c r="K103" s="231"/>
    </row>
    <row r="104" spans="2:11" x14ac:dyDescent="0.25">
      <c r="B104" s="368" t="s">
        <v>282</v>
      </c>
      <c r="C104" s="692" t="s">
        <v>157</v>
      </c>
      <c r="D104" s="692" t="s">
        <v>157</v>
      </c>
      <c r="F104" s="692"/>
      <c r="G104" s="450" t="str">
        <f t="shared" si="0"/>
        <v/>
      </c>
      <c r="J104" s="231"/>
      <c r="K104" s="231"/>
    </row>
    <row r="105" spans="2:11" x14ac:dyDescent="0.25">
      <c r="B105" s="368" t="s">
        <v>821</v>
      </c>
      <c r="C105" s="692" t="s">
        <v>157</v>
      </c>
      <c r="D105" s="692" t="s">
        <v>157</v>
      </c>
      <c r="F105" s="692"/>
      <c r="G105" s="450" t="str">
        <f t="shared" si="0"/>
        <v/>
      </c>
      <c r="J105" s="231"/>
      <c r="K105" s="231"/>
    </row>
    <row r="106" spans="2:11" x14ac:dyDescent="0.25">
      <c r="B106" s="368" t="s">
        <v>820</v>
      </c>
      <c r="C106" s="692" t="s">
        <v>157</v>
      </c>
      <c r="D106" s="692" t="s">
        <v>157</v>
      </c>
      <c r="F106" s="692"/>
      <c r="G106" s="450" t="str">
        <f t="shared" si="0"/>
        <v/>
      </c>
      <c r="J106" s="231"/>
      <c r="K106" s="231"/>
    </row>
    <row r="107" spans="2:11" x14ac:dyDescent="0.25">
      <c r="B107" s="368" t="s">
        <v>279</v>
      </c>
      <c r="C107" s="692" t="s">
        <v>157</v>
      </c>
      <c r="D107" s="692" t="s">
        <v>157</v>
      </c>
      <c r="F107" s="692"/>
      <c r="G107" s="450" t="str">
        <f t="shared" si="0"/>
        <v/>
      </c>
      <c r="J107" s="231"/>
      <c r="K107" s="231"/>
    </row>
    <row r="108" spans="2:11" x14ac:dyDescent="0.25">
      <c r="B108" s="368" t="s">
        <v>283</v>
      </c>
      <c r="C108" s="692" t="s">
        <v>157</v>
      </c>
      <c r="D108" s="692" t="s">
        <v>157</v>
      </c>
      <c r="F108" s="692"/>
      <c r="G108" s="450" t="str">
        <f t="shared" si="0"/>
        <v/>
      </c>
      <c r="J108" s="231"/>
      <c r="K108" s="231"/>
    </row>
    <row r="109" spans="2:11" x14ac:dyDescent="0.25">
      <c r="B109" s="650" t="s">
        <v>846</v>
      </c>
      <c r="C109" s="692" t="s">
        <v>157</v>
      </c>
      <c r="D109" s="692" t="s">
        <v>157</v>
      </c>
      <c r="F109" s="692"/>
      <c r="G109" s="450" t="str">
        <f t="shared" si="0"/>
        <v/>
      </c>
      <c r="J109" s="231"/>
      <c r="K109" s="231"/>
    </row>
    <row r="110" spans="2:11" x14ac:dyDescent="0.25">
      <c r="B110" s="400" t="s">
        <v>822</v>
      </c>
      <c r="C110" s="692" t="s">
        <v>157</v>
      </c>
      <c r="D110" s="692" t="s">
        <v>157</v>
      </c>
      <c r="F110" s="692"/>
      <c r="G110" s="450" t="str">
        <f t="shared" si="0"/>
        <v/>
      </c>
      <c r="J110" s="231"/>
      <c r="K110" s="231"/>
    </row>
    <row r="111" spans="2:11" ht="7.5" customHeight="1" x14ac:dyDescent="0.25">
      <c r="B111" s="310"/>
      <c r="C111" s="228"/>
      <c r="D111" s="228"/>
      <c r="F111" s="228"/>
      <c r="G111" s="450" t="str">
        <f t="shared" si="0"/>
        <v/>
      </c>
      <c r="J111" s="381"/>
    </row>
    <row r="112" spans="2:11" x14ac:dyDescent="0.25">
      <c r="B112" s="523" t="s">
        <v>103</v>
      </c>
      <c r="C112" s="524" t="s">
        <v>62</v>
      </c>
      <c r="D112" s="525" t="s">
        <v>63</v>
      </c>
      <c r="F112" s="525" t="s">
        <v>146</v>
      </c>
      <c r="G112" s="450" t="str">
        <f t="shared" si="0"/>
        <v>_</v>
      </c>
      <c r="J112" s="527" t="s">
        <v>1002</v>
      </c>
      <c r="K112" s="527" t="s">
        <v>363</v>
      </c>
    </row>
    <row r="113" spans="2:11" x14ac:dyDescent="0.25">
      <c r="B113" s="464" t="s">
        <v>650</v>
      </c>
      <c r="C113" s="817" t="s">
        <v>1053</v>
      </c>
      <c r="D113" s="828" t="s">
        <v>1053</v>
      </c>
      <c r="F113" s="828"/>
      <c r="G113" s="450" t="str">
        <f t="shared" si="0"/>
        <v/>
      </c>
      <c r="J113" s="231"/>
      <c r="K113" s="231"/>
    </row>
    <row r="114" spans="2:11" x14ac:dyDescent="0.25">
      <c r="B114" s="464" t="s">
        <v>653</v>
      </c>
      <c r="C114" s="817" t="s">
        <v>1053</v>
      </c>
      <c r="D114" s="828" t="s">
        <v>1053</v>
      </c>
      <c r="E114" s="16"/>
      <c r="F114" s="828"/>
      <c r="G114" s="450" t="str">
        <f t="shared" si="0"/>
        <v/>
      </c>
      <c r="J114" s="231"/>
      <c r="K114" s="231"/>
    </row>
    <row r="115" spans="2:11" x14ac:dyDescent="0.25">
      <c r="B115" s="464" t="s">
        <v>652</v>
      </c>
      <c r="C115" s="817" t="s">
        <v>1053</v>
      </c>
      <c r="D115" s="828" t="s">
        <v>1053</v>
      </c>
      <c r="E115" s="16"/>
      <c r="F115" s="828"/>
      <c r="G115" s="450" t="str">
        <f t="shared" si="0"/>
        <v/>
      </c>
      <c r="J115" s="231"/>
      <c r="K115" s="231"/>
    </row>
    <row r="116" spans="2:11" x14ac:dyDescent="0.25">
      <c r="B116" s="464" t="s">
        <v>651</v>
      </c>
      <c r="C116" s="817" t="s">
        <v>1053</v>
      </c>
      <c r="D116" s="828" t="s">
        <v>1053</v>
      </c>
      <c r="E116" s="16"/>
      <c r="F116" s="828"/>
      <c r="G116" s="450" t="str">
        <f t="shared" si="0"/>
        <v/>
      </c>
      <c r="J116" s="231"/>
      <c r="K116" s="231"/>
    </row>
    <row r="117" spans="2:11" x14ac:dyDescent="0.25">
      <c r="B117" s="464" t="s">
        <v>825</v>
      </c>
      <c r="C117" s="817" t="s">
        <v>1053</v>
      </c>
      <c r="D117" s="828" t="s">
        <v>1053</v>
      </c>
      <c r="E117" s="16"/>
      <c r="F117" s="828"/>
      <c r="G117" s="450" t="str">
        <f t="shared" si="0"/>
        <v/>
      </c>
      <c r="J117" s="231"/>
      <c r="K117" s="231"/>
    </row>
    <row r="118" spans="2:11" x14ac:dyDescent="0.25">
      <c r="B118" s="479" t="s">
        <v>800</v>
      </c>
      <c r="C118" s="479"/>
      <c r="D118" s="479"/>
      <c r="E118" s="414"/>
      <c r="F118" s="480"/>
      <c r="G118" s="450" t="str">
        <f t="shared" si="0"/>
        <v/>
      </c>
      <c r="J118" s="566"/>
      <c r="K118" s="566"/>
    </row>
    <row r="119" spans="2:11" x14ac:dyDescent="0.25">
      <c r="B119" s="464" t="s">
        <v>117</v>
      </c>
      <c r="C119" s="828" t="s">
        <v>1053</v>
      </c>
      <c r="D119" s="828" t="s">
        <v>1053</v>
      </c>
      <c r="E119" s="16"/>
      <c r="F119" s="828"/>
      <c r="G119" s="450" t="str">
        <f t="shared" si="0"/>
        <v/>
      </c>
      <c r="J119" s="231"/>
      <c r="K119" s="231"/>
    </row>
    <row r="120" spans="2:11" x14ac:dyDescent="0.25">
      <c r="B120" s="294" t="s">
        <v>826</v>
      </c>
      <c r="C120" s="864" t="s">
        <v>1052</v>
      </c>
      <c r="D120" s="864" t="s">
        <v>1052</v>
      </c>
      <c r="E120" s="16"/>
      <c r="F120" s="864"/>
      <c r="G120" s="450" t="str">
        <f t="shared" si="0"/>
        <v/>
      </c>
      <c r="J120" s="231"/>
      <c r="K120" s="231"/>
    </row>
    <row r="121" spans="2:11" x14ac:dyDescent="0.25">
      <c r="B121" s="638" t="s">
        <v>210</v>
      </c>
      <c r="C121" s="479"/>
      <c r="D121" s="479"/>
      <c r="E121" s="414"/>
      <c r="F121" s="480"/>
      <c r="G121" s="450" t="str">
        <f t="shared" si="0"/>
        <v/>
      </c>
      <c r="J121" s="566"/>
      <c r="K121" s="566"/>
    </row>
    <row r="122" spans="2:11" x14ac:dyDescent="0.25">
      <c r="B122" s="652" t="s">
        <v>849</v>
      </c>
      <c r="C122" s="817" t="s">
        <v>1053</v>
      </c>
      <c r="D122" s="828" t="s">
        <v>1053</v>
      </c>
      <c r="E122" s="16"/>
      <c r="F122" s="828"/>
      <c r="G122" s="450" t="str">
        <f t="shared" si="0"/>
        <v/>
      </c>
      <c r="J122" s="231"/>
      <c r="K122" s="231"/>
    </row>
    <row r="123" spans="2:11" x14ac:dyDescent="0.25">
      <c r="B123" s="294" t="s">
        <v>847</v>
      </c>
      <c r="C123" s="817" t="s">
        <v>1053</v>
      </c>
      <c r="D123" s="828" t="s">
        <v>1053</v>
      </c>
      <c r="E123" s="16"/>
      <c r="F123" s="828"/>
      <c r="G123" s="450" t="str">
        <f t="shared" si="0"/>
        <v/>
      </c>
      <c r="J123" s="651"/>
      <c r="K123" s="651" t="s">
        <v>848</v>
      </c>
    </row>
    <row r="124" spans="2:11" x14ac:dyDescent="0.25">
      <c r="B124" s="294" t="s">
        <v>827</v>
      </c>
      <c r="C124" s="817" t="s">
        <v>1053</v>
      </c>
      <c r="D124" s="828" t="s">
        <v>1053</v>
      </c>
      <c r="E124" s="16"/>
      <c r="F124" s="828"/>
      <c r="G124" s="450" t="str">
        <f t="shared" si="0"/>
        <v/>
      </c>
      <c r="J124" s="231"/>
      <c r="K124" s="231"/>
    </row>
    <row r="125" spans="2:11" x14ac:dyDescent="0.25">
      <c r="B125" s="294" t="s">
        <v>828</v>
      </c>
      <c r="C125" s="817" t="s">
        <v>1053</v>
      </c>
      <c r="D125" s="828" t="s">
        <v>1053</v>
      </c>
      <c r="E125" s="16"/>
      <c r="F125" s="828"/>
      <c r="G125" s="450" t="str">
        <f t="shared" si="0"/>
        <v/>
      </c>
      <c r="J125" s="231"/>
      <c r="K125" s="231"/>
    </row>
    <row r="126" spans="2:11" x14ac:dyDescent="0.25">
      <c r="B126" s="294" t="s">
        <v>24</v>
      </c>
      <c r="C126" s="817" t="s">
        <v>1053</v>
      </c>
      <c r="D126" s="828" t="s">
        <v>1053</v>
      </c>
      <c r="E126" s="16"/>
      <c r="F126" s="828"/>
      <c r="G126" s="450" t="str">
        <f t="shared" si="0"/>
        <v/>
      </c>
      <c r="J126" s="231"/>
      <c r="K126" s="231"/>
    </row>
    <row r="127" spans="2:11" x14ac:dyDescent="0.25">
      <c r="B127" s="479" t="s">
        <v>211</v>
      </c>
      <c r="C127" s="479"/>
      <c r="D127" s="479"/>
      <c r="E127" s="414"/>
      <c r="F127" s="480"/>
      <c r="G127" s="450" t="str">
        <f t="shared" si="0"/>
        <v/>
      </c>
      <c r="J127" s="566"/>
      <c r="K127" s="566"/>
    </row>
    <row r="128" spans="2:11" x14ac:dyDescent="0.25">
      <c r="B128" s="464" t="s">
        <v>654</v>
      </c>
      <c r="C128" s="817" t="s">
        <v>1053</v>
      </c>
      <c r="D128" s="828" t="s">
        <v>1053</v>
      </c>
      <c r="E128" s="16"/>
      <c r="F128" s="828"/>
      <c r="G128" s="450" t="str">
        <f t="shared" ref="G128:G136" si="1">IF(OR(TRIM(D128)&lt;&gt;"",TRIM(F128)&lt;&gt;""),IF(AND(TRIM(D128)&lt;&gt;"",TRIM(F128)&lt;&gt;""),IF(OR(TRIM(C128)&lt;&gt;TRIM(D128),TRIM(C128)&lt;&gt;TRIM(F128)),"_",""),IF(TRIM(C128)&lt;&gt;TRIM(D128), "_", "")),"")</f>
        <v/>
      </c>
      <c r="J128" s="231"/>
      <c r="K128" s="231"/>
    </row>
    <row r="129" spans="2:11" hidden="1" x14ac:dyDescent="0.25">
      <c r="B129" s="479" t="s">
        <v>212</v>
      </c>
      <c r="C129" s="479"/>
      <c r="D129" s="479"/>
      <c r="E129" s="414"/>
      <c r="F129" s="480"/>
      <c r="G129" s="450" t="str">
        <f t="shared" si="1"/>
        <v/>
      </c>
      <c r="J129" s="566"/>
      <c r="K129" s="566"/>
    </row>
    <row r="130" spans="2:11" hidden="1" x14ac:dyDescent="0.25">
      <c r="B130" s="223" t="s">
        <v>830</v>
      </c>
      <c r="C130" s="396"/>
      <c r="D130" s="424"/>
      <c r="E130" s="16"/>
      <c r="F130" s="424"/>
      <c r="G130" s="450" t="str">
        <f t="shared" si="1"/>
        <v/>
      </c>
      <c r="J130" s="231"/>
      <c r="K130" s="231"/>
    </row>
    <row r="131" spans="2:11" hidden="1" x14ac:dyDescent="0.25">
      <c r="B131" s="223" t="s">
        <v>832</v>
      </c>
      <c r="C131" s="396"/>
      <c r="D131" s="424"/>
      <c r="E131" s="16"/>
      <c r="F131" s="424"/>
      <c r="G131" s="450" t="str">
        <f t="shared" si="1"/>
        <v/>
      </c>
      <c r="J131" s="231"/>
      <c r="K131" s="231"/>
    </row>
    <row r="132" spans="2:11" hidden="1" x14ac:dyDescent="0.25">
      <c r="B132" s="223" t="s">
        <v>831</v>
      </c>
      <c r="C132" s="396"/>
      <c r="D132" s="424"/>
      <c r="E132" s="16"/>
      <c r="F132" s="424"/>
      <c r="G132" s="450" t="str">
        <f t="shared" si="1"/>
        <v/>
      </c>
      <c r="J132" s="231"/>
      <c r="K132" s="231"/>
    </row>
    <row r="133" spans="2:11" hidden="1" x14ac:dyDescent="0.25">
      <c r="B133" s="637" t="s">
        <v>829</v>
      </c>
      <c r="C133" s="412"/>
      <c r="D133" s="390"/>
      <c r="E133" s="16"/>
      <c r="F133" s="390"/>
      <c r="G133" s="450" t="str">
        <f t="shared" si="1"/>
        <v/>
      </c>
      <c r="J133" s="231"/>
      <c r="K133" s="231"/>
    </row>
    <row r="134" spans="2:11" hidden="1" x14ac:dyDescent="0.25">
      <c r="B134" s="223" t="s">
        <v>833</v>
      </c>
      <c r="C134" s="412"/>
      <c r="D134" s="390"/>
      <c r="E134" s="16"/>
      <c r="F134" s="390"/>
      <c r="G134" s="450" t="str">
        <f t="shared" si="1"/>
        <v/>
      </c>
      <c r="J134" s="231"/>
      <c r="K134" s="231"/>
    </row>
    <row r="135" spans="2:11" ht="9" customHeight="1" x14ac:dyDescent="0.25">
      <c r="B135" s="381"/>
      <c r="C135" s="228"/>
      <c r="D135" s="228"/>
      <c r="E135" s="16"/>
      <c r="F135" s="228"/>
      <c r="G135" s="450" t="str">
        <f t="shared" si="1"/>
        <v/>
      </c>
      <c r="J135" s="381"/>
    </row>
    <row r="136" spans="2:11" x14ac:dyDescent="0.25">
      <c r="B136" s="528" t="s">
        <v>359</v>
      </c>
      <c r="C136" s="524" t="s">
        <v>62</v>
      </c>
      <c r="D136" s="525" t="s">
        <v>63</v>
      </c>
      <c r="E136" s="16"/>
      <c r="F136" s="525" t="s">
        <v>146</v>
      </c>
      <c r="G136" s="450" t="str">
        <f t="shared" si="1"/>
        <v>_</v>
      </c>
      <c r="H136" s="211"/>
      <c r="I136" s="211"/>
      <c r="J136" s="527" t="s">
        <v>1002</v>
      </c>
      <c r="K136" s="527" t="s">
        <v>363</v>
      </c>
    </row>
    <row r="137" spans="2:11" x14ac:dyDescent="0.25">
      <c r="B137" s="673" t="s">
        <v>1891</v>
      </c>
      <c r="C137" s="711" t="s">
        <v>1892</v>
      </c>
      <c r="D137" s="390" t="s">
        <v>1892</v>
      </c>
      <c r="E137" s="16"/>
      <c r="F137" s="712"/>
    </row>
    <row r="138" spans="2:11" x14ac:dyDescent="0.25">
      <c r="B138" s="673" t="s">
        <v>1893</v>
      </c>
      <c r="C138" s="711" t="s">
        <v>1894</v>
      </c>
      <c r="D138" s="390" t="s">
        <v>1894</v>
      </c>
      <c r="E138" s="16"/>
      <c r="F138" s="712"/>
    </row>
    <row r="139" spans="2:11" x14ac:dyDescent="0.25">
      <c r="B139" s="673" t="s">
        <v>1895</v>
      </c>
      <c r="C139" s="711" t="s">
        <v>1896</v>
      </c>
      <c r="D139" s="390" t="s">
        <v>1896</v>
      </c>
      <c r="E139" s="1000"/>
      <c r="F139" s="712"/>
    </row>
    <row r="140" spans="2:11" x14ac:dyDescent="0.25">
      <c r="B140" s="672" t="s">
        <v>2073</v>
      </c>
      <c r="C140" s="824"/>
      <c r="D140" s="745" t="s">
        <v>2074</v>
      </c>
      <c r="E140" s="16"/>
      <c r="F140" s="424"/>
    </row>
    <row r="141" spans="2:11" x14ac:dyDescent="0.25">
      <c r="B141" s="673"/>
      <c r="C141" s="711"/>
      <c r="D141" s="390"/>
      <c r="E141" s="16"/>
      <c r="F141" s="390"/>
    </row>
    <row r="142" spans="2:11" x14ac:dyDescent="0.25">
      <c r="B142" s="673"/>
      <c r="C142" s="711"/>
      <c r="D142" s="390"/>
      <c r="E142" s="16"/>
      <c r="F142" s="390"/>
    </row>
    <row r="143" spans="2:11" x14ac:dyDescent="0.25">
      <c r="B143" s="673"/>
      <c r="C143" s="711"/>
      <c r="D143" s="390"/>
      <c r="E143" s="16"/>
      <c r="F143" s="390"/>
    </row>
  </sheetData>
  <sortState xmlns:xlrd2="http://schemas.microsoft.com/office/spreadsheetml/2017/richdata2" ref="B137:D163">
    <sortCondition ref="B137:B163"/>
  </sortState>
  <mergeCells count="7">
    <mergeCell ref="B57:D57"/>
    <mergeCell ref="B60:D60"/>
    <mergeCell ref="B58:F58"/>
    <mergeCell ref="F66:F68"/>
    <mergeCell ref="B61:F61"/>
    <mergeCell ref="C66:C68"/>
    <mergeCell ref="D66:D68"/>
  </mergeCells>
  <conditionalFormatting sqref="G1:G1048576">
    <cfRule type="cellIs" dxfId="69" priority="14"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Executive Liability (Directors &amp; &amp;&amp; Officers, Employment Practices, Fiduciary Liability)</oddHeader>
    <oddFooter>&amp;L&amp;G&amp;CPage &amp;P of &amp;N</oddFooter>
  </headerFooter>
  <rowBreaks count="2" manualBreakCount="2">
    <brk id="62" min="1" max="3" man="1"/>
    <brk id="111" min="1" max="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pageSetUpPr fitToPage="1"/>
  </sheetPr>
  <dimension ref="A1:M115"/>
  <sheetViews>
    <sheetView showGridLines="0" view="pageBreakPreview" topLeftCell="A37" zoomScale="115" zoomScaleNormal="100" zoomScaleSheetLayoutView="115" workbookViewId="0">
      <selection activeCell="H67" sqref="H67"/>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0"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0" style="16" customWidth="1"/>
    <col min="14" max="53" width="9.140625" style="16" customWidth="1"/>
    <col min="54" max="16384" width="9.140625" style="16"/>
  </cols>
  <sheetData>
    <row r="1" spans="2:13" ht="7.5" customHeight="1" x14ac:dyDescent="0.25">
      <c r="E1" s="450"/>
    </row>
    <row r="2" spans="2:13" ht="15.75" x14ac:dyDescent="0.25">
      <c r="B2" s="453" t="str">
        <f>Input!B913</f>
        <v>Commercial Crime</v>
      </c>
      <c r="E2" s="450"/>
      <c r="H2" s="454"/>
      <c r="I2" s="455"/>
      <c r="J2" s="455"/>
      <c r="L2" s="456" t="s">
        <v>391</v>
      </c>
      <c r="M2" s="381" t="s">
        <v>361</v>
      </c>
    </row>
    <row r="3" spans="2:13" x14ac:dyDescent="0.25">
      <c r="D3" s="455" t="str">
        <f xml:space="preserve"> IF(Input!D917=Input!G917,CHAR(254), "")</f>
        <v/>
      </c>
      <c r="E3" s="457"/>
      <c r="F3" s="455" t="str">
        <f xml:space="preserve"> IF(Input!E917=Input!G917,CHAR(254), "")</f>
        <v/>
      </c>
      <c r="L3" s="459" t="s">
        <v>157</v>
      </c>
      <c r="M3" s="211" t="s">
        <v>362</v>
      </c>
    </row>
    <row r="4" spans="2:13" x14ac:dyDescent="0.25">
      <c r="B4" s="523" t="s">
        <v>66</v>
      </c>
      <c r="C4" s="524" t="s">
        <v>62</v>
      </c>
      <c r="D4" s="525" t="s">
        <v>63</v>
      </c>
      <c r="E4" s="426"/>
      <c r="F4" s="525" t="s">
        <v>146</v>
      </c>
      <c r="J4" s="527" t="s">
        <v>1002</v>
      </c>
      <c r="K4" s="527" t="s">
        <v>363</v>
      </c>
      <c r="L4" s="460"/>
      <c r="M4" s="211"/>
    </row>
    <row r="5" spans="2:13" ht="30.75" customHeight="1" x14ac:dyDescent="0.25">
      <c r="B5" s="409" t="s">
        <v>60</v>
      </c>
      <c r="C5" s="412" t="str">
        <f>Input!B918</f>
        <v>Federal Insurance Company (Chubb)</v>
      </c>
      <c r="D5" s="390" t="str">
        <f>Input!D918</f>
        <v>Federal Insurance Company (Chubb)</v>
      </c>
      <c r="F5" s="390">
        <f>Input!E918</f>
        <v>0</v>
      </c>
      <c r="J5" s="231"/>
      <c r="K5" s="231"/>
    </row>
    <row r="6" spans="2:13" x14ac:dyDescent="0.25">
      <c r="B6" s="409" t="s">
        <v>69</v>
      </c>
      <c r="C6" s="412" t="str">
        <f>Input!B920</f>
        <v>A++: XV</v>
      </c>
      <c r="D6" s="390" t="str">
        <f>Input!D920</f>
        <v>A++: XV</v>
      </c>
      <c r="F6" s="390">
        <f>Input!E920</f>
        <v>0</v>
      </c>
      <c r="J6" s="231"/>
      <c r="K6" s="231"/>
    </row>
    <row r="7" spans="2:13" x14ac:dyDescent="0.25">
      <c r="B7" s="409" t="str">
        <f>Input!B916</f>
        <v>Renewal Policy Number</v>
      </c>
      <c r="C7" s="711" t="str">
        <f>Input!C915</f>
        <v>8242-7600</v>
      </c>
      <c r="D7" s="390" t="str">
        <f>Input!C916</f>
        <v>TBD</v>
      </c>
      <c r="F7" s="390" t="str">
        <f>Input!C916</f>
        <v>TBD</v>
      </c>
      <c r="J7" s="231"/>
      <c r="K7" s="231"/>
    </row>
    <row r="8" spans="2:13" ht="15.75" customHeight="1" x14ac:dyDescent="0.25">
      <c r="B8" s="409" t="str">
        <f>Input!B6</f>
        <v>Renewal Policy Period</v>
      </c>
      <c r="C8" s="956" t="str">
        <f>Input!C5</f>
        <v>7/1/2022 - 7/1/2023</v>
      </c>
      <c r="D8" s="390" t="str">
        <f>Input!C6</f>
        <v>7/1/2023 - 7/1/2024</v>
      </c>
      <c r="F8" s="390" t="str">
        <f>Input!C6</f>
        <v>7/1/2023 - 7/1/2024</v>
      </c>
      <c r="J8" s="231"/>
      <c r="K8" s="231"/>
    </row>
    <row r="9" spans="2:13" x14ac:dyDescent="0.25">
      <c r="B9" s="479" t="s">
        <v>9</v>
      </c>
      <c r="C9" s="479"/>
      <c r="D9" s="479"/>
      <c r="E9" s="414"/>
      <c r="F9" s="480"/>
      <c r="J9" s="566"/>
      <c r="K9" s="566"/>
    </row>
    <row r="10" spans="2:13" x14ac:dyDescent="0.25">
      <c r="B10" s="409" t="str">
        <f>Input!B944</f>
        <v>Employee Dishonesty</v>
      </c>
      <c r="C10" s="398">
        <f>Input!C944</f>
        <v>5000000</v>
      </c>
      <c r="D10" s="425">
        <f>Input!E944</f>
        <v>5000000</v>
      </c>
      <c r="E10" s="414"/>
      <c r="F10" s="425">
        <f>Input!G944</f>
        <v>0</v>
      </c>
      <c r="J10" s="231"/>
      <c r="K10" s="231"/>
    </row>
    <row r="11" spans="2:13" x14ac:dyDescent="0.25">
      <c r="B11" s="409" t="str">
        <f>Input!B945</f>
        <v>Forgery or Alteration</v>
      </c>
      <c r="C11" s="398">
        <f>Input!C945</f>
        <v>5000000</v>
      </c>
      <c r="D11" s="425">
        <f>Input!E945</f>
        <v>5000000</v>
      </c>
      <c r="E11" s="414"/>
      <c r="F11" s="425">
        <f>Input!G945</f>
        <v>0</v>
      </c>
      <c r="J11" s="231"/>
      <c r="K11" s="231"/>
    </row>
    <row r="12" spans="2:13" x14ac:dyDescent="0.25">
      <c r="B12" s="409" t="str">
        <f>Input!B946</f>
        <v>Inside the Premises</v>
      </c>
      <c r="C12" s="398">
        <f>Input!C946</f>
        <v>5000000</v>
      </c>
      <c r="D12" s="425">
        <f>Input!E946</f>
        <v>5000000</v>
      </c>
      <c r="E12" s="414"/>
      <c r="F12" s="425">
        <f>Input!G946</f>
        <v>0</v>
      </c>
      <c r="J12" s="231"/>
      <c r="K12" s="231"/>
    </row>
    <row r="13" spans="2:13" x14ac:dyDescent="0.25">
      <c r="B13" s="409" t="str">
        <f>Input!B947</f>
        <v>Outside the Premises (In Transit)</v>
      </c>
      <c r="C13" s="398">
        <f>Input!C947</f>
        <v>5000000</v>
      </c>
      <c r="D13" s="425">
        <f>Input!E947</f>
        <v>5000000</v>
      </c>
      <c r="E13" s="414"/>
      <c r="F13" s="425">
        <f>Input!G947</f>
        <v>0</v>
      </c>
      <c r="J13" s="231"/>
      <c r="K13" s="231"/>
    </row>
    <row r="14" spans="2:13" x14ac:dyDescent="0.25">
      <c r="B14" s="409" t="str">
        <f>Input!B948</f>
        <v>Computer System Fraud</v>
      </c>
      <c r="C14" s="398">
        <f>Input!C948</f>
        <v>5000000</v>
      </c>
      <c r="D14" s="425">
        <f>Input!E948</f>
        <v>5000000</v>
      </c>
      <c r="E14" s="414"/>
      <c r="F14" s="425">
        <f>Input!G948</f>
        <v>0</v>
      </c>
      <c r="J14" s="231"/>
      <c r="K14" s="231"/>
    </row>
    <row r="15" spans="2:13" x14ac:dyDescent="0.25">
      <c r="B15" s="409" t="str">
        <f>Input!B949</f>
        <v>Money Orders and Counterfeit Paper Currency</v>
      </c>
      <c r="C15" s="398">
        <f>Input!C949</f>
        <v>5000000</v>
      </c>
      <c r="D15" s="425">
        <f>Input!E949</f>
        <v>5000000</v>
      </c>
      <c r="F15" s="425">
        <f>Input!G949</f>
        <v>0</v>
      </c>
      <c r="J15" s="231"/>
      <c r="K15" s="231"/>
    </row>
    <row r="16" spans="2:13" x14ac:dyDescent="0.25">
      <c r="B16" s="409" t="str">
        <f>Input!B950</f>
        <v>Client's Property (Third Party Liability)</v>
      </c>
      <c r="C16" s="398">
        <f>Input!C950</f>
        <v>5000000</v>
      </c>
      <c r="D16" s="425">
        <f>Input!E950</f>
        <v>5000000</v>
      </c>
      <c r="E16" s="238"/>
      <c r="F16" s="425">
        <f>Input!G950</f>
        <v>0</v>
      </c>
      <c r="J16" s="231"/>
      <c r="K16" s="231"/>
    </row>
    <row r="17" spans="2:11" x14ac:dyDescent="0.25">
      <c r="B17" s="409" t="str">
        <f>Input!B951</f>
        <v>Funds Transfer Fraud</v>
      </c>
      <c r="C17" s="398">
        <f>Input!C951</f>
        <v>5000000</v>
      </c>
      <c r="D17" s="425">
        <f>Input!E951</f>
        <v>5000000</v>
      </c>
      <c r="E17" s="432"/>
      <c r="F17" s="425">
        <f>Input!G951</f>
        <v>0</v>
      </c>
      <c r="J17" s="231"/>
      <c r="K17" s="231"/>
    </row>
    <row r="18" spans="2:11" x14ac:dyDescent="0.25">
      <c r="B18" s="409" t="str">
        <f>Input!B952</f>
        <v>Social Engineering</v>
      </c>
      <c r="C18" s="398">
        <f>Input!C952</f>
        <v>250000</v>
      </c>
      <c r="D18" s="425">
        <f>Input!E952</f>
        <v>250000</v>
      </c>
      <c r="E18" s="432"/>
      <c r="F18" s="499">
        <f>Input!G952</f>
        <v>0</v>
      </c>
      <c r="J18" s="231"/>
      <c r="K18" s="231"/>
    </row>
    <row r="19" spans="2:11" hidden="1" x14ac:dyDescent="0.25">
      <c r="B19" s="409">
        <f>Input!B953</f>
        <v>0</v>
      </c>
      <c r="C19" s="398">
        <f>Input!C953</f>
        <v>0</v>
      </c>
      <c r="D19" s="425">
        <f>Input!E953</f>
        <v>0</v>
      </c>
      <c r="E19" s="432"/>
      <c r="F19" s="425">
        <f>Input!G953</f>
        <v>0</v>
      </c>
      <c r="J19" s="231"/>
      <c r="K19" s="231"/>
    </row>
    <row r="20" spans="2:11" x14ac:dyDescent="0.25">
      <c r="B20" s="479" t="s">
        <v>298</v>
      </c>
      <c r="C20" s="479"/>
      <c r="D20" s="479"/>
      <c r="E20" s="433"/>
      <c r="F20" s="487"/>
      <c r="J20" s="566"/>
      <c r="K20" s="566"/>
    </row>
    <row r="21" spans="2:11" x14ac:dyDescent="0.25">
      <c r="B21" s="409" t="str">
        <f>Input!B944</f>
        <v>Employee Dishonesty</v>
      </c>
      <c r="C21" s="398">
        <f>Input!D944</f>
        <v>10000</v>
      </c>
      <c r="D21" s="425">
        <f>Input!F944</f>
        <v>10000</v>
      </c>
      <c r="E21" s="434"/>
      <c r="F21" s="425">
        <f>Input!H944</f>
        <v>0</v>
      </c>
      <c r="J21" s="231"/>
      <c r="K21" s="231"/>
    </row>
    <row r="22" spans="2:11" x14ac:dyDescent="0.25">
      <c r="B22" s="409" t="str">
        <f>Input!B945</f>
        <v>Forgery or Alteration</v>
      </c>
      <c r="C22" s="398">
        <f>Input!D945</f>
        <v>10000</v>
      </c>
      <c r="D22" s="425">
        <f>Input!F945</f>
        <v>10000</v>
      </c>
      <c r="F22" s="425">
        <f>Input!H945</f>
        <v>0</v>
      </c>
      <c r="J22" s="231"/>
      <c r="K22" s="231"/>
    </row>
    <row r="23" spans="2:11" x14ac:dyDescent="0.25">
      <c r="B23" s="409" t="str">
        <f>Input!B946</f>
        <v>Inside the Premises</v>
      </c>
      <c r="C23" s="398">
        <f>Input!D946</f>
        <v>10000</v>
      </c>
      <c r="D23" s="425">
        <f>Input!F946</f>
        <v>10000</v>
      </c>
      <c r="F23" s="425">
        <f>Input!H946</f>
        <v>0</v>
      </c>
      <c r="J23" s="231"/>
      <c r="K23" s="231"/>
    </row>
    <row r="24" spans="2:11" x14ac:dyDescent="0.25">
      <c r="B24" s="409" t="str">
        <f>Input!B947</f>
        <v>Outside the Premises (In Transit)</v>
      </c>
      <c r="C24" s="398">
        <f>Input!D947</f>
        <v>10000</v>
      </c>
      <c r="D24" s="425">
        <f>Input!F947</f>
        <v>10000</v>
      </c>
      <c r="E24" s="426"/>
      <c r="F24" s="425">
        <f>Input!H947</f>
        <v>0</v>
      </c>
      <c r="J24" s="231"/>
      <c r="K24" s="231"/>
    </row>
    <row r="25" spans="2:11" x14ac:dyDescent="0.25">
      <c r="B25" s="409" t="str">
        <f>Input!B948</f>
        <v>Computer System Fraud</v>
      </c>
      <c r="C25" s="398">
        <f>Input!D948</f>
        <v>10000</v>
      </c>
      <c r="D25" s="425">
        <f>Input!F948</f>
        <v>10000</v>
      </c>
      <c r="F25" s="425">
        <f>Input!H948</f>
        <v>0</v>
      </c>
      <c r="J25" s="231"/>
      <c r="K25" s="231"/>
    </row>
    <row r="26" spans="2:11" x14ac:dyDescent="0.25">
      <c r="B26" s="409" t="str">
        <f>Input!B949</f>
        <v>Money Orders and Counterfeit Paper Currency</v>
      </c>
      <c r="C26" s="398">
        <f>Input!D949</f>
        <v>10000</v>
      </c>
      <c r="D26" s="425">
        <f>Input!F949</f>
        <v>10000</v>
      </c>
      <c r="F26" s="425">
        <f>Input!H949</f>
        <v>0</v>
      </c>
      <c r="J26" s="231"/>
      <c r="K26" s="231"/>
    </row>
    <row r="27" spans="2:11" x14ac:dyDescent="0.25">
      <c r="B27" s="409" t="str">
        <f>Input!B950</f>
        <v>Client's Property (Third Party Liability)</v>
      </c>
      <c r="C27" s="398">
        <f>Input!D950</f>
        <v>10000</v>
      </c>
      <c r="D27" s="425">
        <f>Input!F950</f>
        <v>10000</v>
      </c>
      <c r="F27" s="425">
        <f>Input!H950</f>
        <v>0</v>
      </c>
      <c r="J27" s="231"/>
      <c r="K27" s="231"/>
    </row>
    <row r="28" spans="2:11" x14ac:dyDescent="0.25">
      <c r="B28" s="402" t="str">
        <f>Input!B951</f>
        <v>Funds Transfer Fraud</v>
      </c>
      <c r="C28" s="403">
        <f>Input!D951</f>
        <v>10000</v>
      </c>
      <c r="D28" s="431">
        <f>Input!F951</f>
        <v>10000</v>
      </c>
      <c r="F28" s="431">
        <f>Input!H951</f>
        <v>0</v>
      </c>
      <c r="J28" s="231"/>
      <c r="K28" s="231"/>
    </row>
    <row r="29" spans="2:11" x14ac:dyDescent="0.25">
      <c r="B29" s="402" t="str">
        <f>Input!B952</f>
        <v>Social Engineering</v>
      </c>
      <c r="C29" s="403">
        <f>Input!D952</f>
        <v>10000</v>
      </c>
      <c r="D29" s="431">
        <f>Input!F952</f>
        <v>10000</v>
      </c>
      <c r="F29" s="431">
        <f>Input!H952</f>
        <v>0</v>
      </c>
      <c r="J29" s="758"/>
      <c r="K29" s="758"/>
    </row>
    <row r="30" spans="2:11" x14ac:dyDescent="0.25">
      <c r="B30" s="486" t="s">
        <v>367</v>
      </c>
      <c r="C30" s="486"/>
      <c r="D30" s="486"/>
      <c r="F30" s="487"/>
      <c r="J30" s="566"/>
      <c r="K30" s="566"/>
    </row>
    <row r="31" spans="2:11" x14ac:dyDescent="0.25">
      <c r="B31" s="402" t="s">
        <v>343</v>
      </c>
      <c r="C31" s="428">
        <f>Input!B922</f>
        <v>13476</v>
      </c>
      <c r="D31" s="425">
        <f>Input!D922</f>
        <v>13473</v>
      </c>
      <c r="F31" s="425">
        <f>Input!E922</f>
        <v>0</v>
      </c>
      <c r="J31" s="231"/>
      <c r="K31" s="231"/>
    </row>
    <row r="32" spans="2:11" x14ac:dyDescent="0.25">
      <c r="B32" s="402" t="s">
        <v>366</v>
      </c>
      <c r="C32" s="428">
        <f>Input!B926</f>
        <v>0</v>
      </c>
      <c r="D32" s="425">
        <f>Input!D926</f>
        <v>0</v>
      </c>
      <c r="F32" s="425">
        <f>Input!E926</f>
        <v>0</v>
      </c>
      <c r="J32" s="231"/>
      <c r="K32" s="231"/>
    </row>
    <row r="33" spans="2:11" x14ac:dyDescent="0.25">
      <c r="B33" s="402" t="s">
        <v>365</v>
      </c>
      <c r="C33" s="429">
        <f>Input!B928</f>
        <v>0</v>
      </c>
      <c r="D33" s="431">
        <f>Input!D928</f>
        <v>0</v>
      </c>
      <c r="F33" s="431">
        <f>Input!E928</f>
        <v>0</v>
      </c>
      <c r="J33" s="231"/>
      <c r="K33" s="231"/>
    </row>
    <row r="34" spans="2:11" x14ac:dyDescent="0.25">
      <c r="B34" s="409" t="s">
        <v>368</v>
      </c>
      <c r="C34" s="428">
        <f>Input!B930</f>
        <v>13476</v>
      </c>
      <c r="D34" s="425">
        <f>Input!D930</f>
        <v>13473</v>
      </c>
      <c r="F34" s="425">
        <f>Input!E930</f>
        <v>0</v>
      </c>
      <c r="J34" s="231"/>
      <c r="K34" s="231"/>
    </row>
    <row r="35" spans="2:11" ht="7.5" customHeight="1" x14ac:dyDescent="0.25">
      <c r="B35" s="310"/>
      <c r="C35" s="228"/>
      <c r="D35" s="228"/>
      <c r="F35" s="228"/>
      <c r="J35" s="381"/>
    </row>
    <row r="36" spans="2:11" x14ac:dyDescent="0.25">
      <c r="B36" s="1274" t="s">
        <v>144</v>
      </c>
      <c r="C36" s="1274"/>
      <c r="D36" s="1274"/>
      <c r="F36" s="238"/>
      <c r="J36" s="381"/>
    </row>
    <row r="37" spans="2:11" x14ac:dyDescent="0.25">
      <c r="B37" s="1275" t="s">
        <v>1172</v>
      </c>
      <c r="C37" s="1276"/>
      <c r="D37" s="1276"/>
      <c r="E37" s="1276"/>
      <c r="F37" s="1277"/>
      <c r="J37" s="381"/>
    </row>
    <row r="38" spans="2:11" ht="8.25" customHeight="1" x14ac:dyDescent="0.25">
      <c r="B38" s="380"/>
      <c r="C38" s="238"/>
      <c r="D38" s="238"/>
      <c r="F38" s="228"/>
      <c r="J38" s="381"/>
    </row>
    <row r="39" spans="2:11" x14ac:dyDescent="0.25">
      <c r="B39" s="1274" t="s">
        <v>145</v>
      </c>
      <c r="C39" s="1274"/>
      <c r="D39" s="1274"/>
      <c r="F39" s="228"/>
      <c r="J39" s="381"/>
    </row>
    <row r="40" spans="2:11" x14ac:dyDescent="0.25">
      <c r="B40" s="1275" t="s">
        <v>1172</v>
      </c>
      <c r="C40" s="1275"/>
      <c r="D40" s="1275"/>
      <c r="E40" s="1275"/>
      <c r="F40" s="1297"/>
      <c r="J40" s="381"/>
    </row>
    <row r="41" spans="2:11" ht="7.5" customHeight="1" x14ac:dyDescent="0.25">
      <c r="B41" s="310"/>
      <c r="C41" s="228"/>
      <c r="D41" s="228"/>
      <c r="F41" s="228"/>
      <c r="J41" s="381"/>
    </row>
    <row r="42" spans="2:11" x14ac:dyDescent="0.25">
      <c r="B42" s="523" t="s">
        <v>72</v>
      </c>
      <c r="C42" s="524" t="s">
        <v>62</v>
      </c>
      <c r="D42" s="525" t="s">
        <v>63</v>
      </c>
      <c r="F42" s="525" t="s">
        <v>146</v>
      </c>
      <c r="J42" s="527" t="s">
        <v>1002</v>
      </c>
      <c r="K42" s="527" t="s">
        <v>363</v>
      </c>
    </row>
    <row r="43" spans="2:11" x14ac:dyDescent="0.25">
      <c r="B43" s="400" t="s">
        <v>73</v>
      </c>
      <c r="C43" s="711" t="s">
        <v>1033</v>
      </c>
      <c r="D43" s="390" t="s">
        <v>1033</v>
      </c>
      <c r="F43" s="712"/>
      <c r="G43" s="450" t="str">
        <f t="shared" ref="G43:G66" si="0">IF(OR(TRIM(D43)&lt;&gt;"",TRIM(F43)&lt;&gt;""),IF(AND(TRIM(D43)&lt;&gt;"",TRIM(F43)&lt;&gt;""),IF(OR(TRIM(C43)&lt;&gt;TRIM(D43),TRIM(C43)&lt;&gt;TRIM(F43)),"_",""),IF(TRIM(C43)&lt;&gt;TRIM(D43), "_", "")),"")</f>
        <v/>
      </c>
      <c r="J43" s="231"/>
      <c r="K43" s="231"/>
    </row>
    <row r="44" spans="2:11" ht="15" customHeight="1" x14ac:dyDescent="0.25">
      <c r="B44" s="400" t="s">
        <v>74</v>
      </c>
      <c r="C44" s="711" t="s">
        <v>1438</v>
      </c>
      <c r="D44" s="712" t="s">
        <v>2111</v>
      </c>
      <c r="F44" s="712"/>
      <c r="G44" s="450" t="str">
        <f t="shared" si="0"/>
        <v>_</v>
      </c>
      <c r="J44" s="231"/>
      <c r="K44" s="231"/>
    </row>
    <row r="45" spans="2:11" ht="15" customHeight="1" x14ac:dyDescent="0.25">
      <c r="B45" s="400" t="s">
        <v>151</v>
      </c>
      <c r="C45" s="497" t="s">
        <v>1439</v>
      </c>
      <c r="D45" s="558" t="s">
        <v>1439</v>
      </c>
      <c r="F45" s="558"/>
      <c r="G45" s="450" t="str">
        <f t="shared" si="0"/>
        <v/>
      </c>
      <c r="J45" s="231"/>
      <c r="K45" s="231"/>
    </row>
    <row r="46" spans="2:11" x14ac:dyDescent="0.25">
      <c r="B46" s="400" t="s">
        <v>152</v>
      </c>
      <c r="C46" s="711" t="s">
        <v>1480</v>
      </c>
      <c r="D46" s="712" t="s">
        <v>1480</v>
      </c>
      <c r="F46" s="712"/>
      <c r="G46" s="450" t="str">
        <f t="shared" si="0"/>
        <v/>
      </c>
      <c r="J46" s="231"/>
      <c r="K46" s="231"/>
    </row>
    <row r="47" spans="2:11" x14ac:dyDescent="0.25">
      <c r="B47" s="400" t="s">
        <v>77</v>
      </c>
      <c r="C47" s="711" t="s">
        <v>1433</v>
      </c>
      <c r="D47" s="712" t="s">
        <v>1036</v>
      </c>
      <c r="F47" s="712"/>
      <c r="G47" s="450" t="str">
        <f t="shared" si="0"/>
        <v/>
      </c>
      <c r="J47" s="231"/>
      <c r="K47" s="231"/>
    </row>
    <row r="48" spans="2:11" x14ac:dyDescent="0.25">
      <c r="B48" s="400" t="s">
        <v>390</v>
      </c>
      <c r="C48" s="459" t="s">
        <v>157</v>
      </c>
      <c r="D48" s="692"/>
      <c r="F48" s="692"/>
      <c r="G48" s="450" t="str">
        <f t="shared" si="0"/>
        <v/>
      </c>
      <c r="J48" s="653"/>
      <c r="K48" s="653"/>
    </row>
    <row r="49" spans="1:11" ht="7.5" customHeight="1" x14ac:dyDescent="0.25">
      <c r="B49" s="310"/>
      <c r="C49" s="228"/>
      <c r="D49" s="228"/>
      <c r="F49" s="228"/>
      <c r="G49" s="450" t="str">
        <f t="shared" si="0"/>
        <v/>
      </c>
      <c r="J49" s="381"/>
    </row>
    <row r="50" spans="1:11" x14ac:dyDescent="0.25">
      <c r="B50" s="523" t="s">
        <v>103</v>
      </c>
      <c r="C50" s="524" t="s">
        <v>62</v>
      </c>
      <c r="D50" s="525" t="s">
        <v>63</v>
      </c>
      <c r="F50" s="525" t="s">
        <v>146</v>
      </c>
      <c r="G50" s="450" t="str">
        <f t="shared" si="0"/>
        <v>_</v>
      </c>
      <c r="J50" s="527" t="s">
        <v>1002</v>
      </c>
      <c r="K50" s="527" t="s">
        <v>363</v>
      </c>
    </row>
    <row r="51" spans="1:11" x14ac:dyDescent="0.25">
      <c r="B51" s="400" t="s">
        <v>830</v>
      </c>
      <c r="C51" s="709" t="s">
        <v>1053</v>
      </c>
      <c r="D51" s="710" t="s">
        <v>1053</v>
      </c>
      <c r="F51" s="710"/>
      <c r="G51" s="450" t="str">
        <f t="shared" si="0"/>
        <v/>
      </c>
      <c r="J51" s="231"/>
      <c r="K51" s="231"/>
    </row>
    <row r="52" spans="1:11" hidden="1" x14ac:dyDescent="0.25">
      <c r="B52" s="400" t="s">
        <v>832</v>
      </c>
      <c r="C52" s="709"/>
      <c r="D52" s="710"/>
      <c r="F52" s="710"/>
      <c r="G52" s="450" t="str">
        <f t="shared" si="0"/>
        <v/>
      </c>
      <c r="J52" s="231"/>
      <c r="K52" s="231"/>
    </row>
    <row r="53" spans="1:11" x14ac:dyDescent="0.25">
      <c r="B53" s="400" t="s">
        <v>831</v>
      </c>
      <c r="C53" s="709" t="s">
        <v>1053</v>
      </c>
      <c r="D53" s="710" t="s">
        <v>1053</v>
      </c>
      <c r="F53" s="710"/>
      <c r="G53" s="450" t="str">
        <f t="shared" si="0"/>
        <v/>
      </c>
      <c r="J53" s="231"/>
      <c r="K53" s="231"/>
    </row>
    <row r="54" spans="1:11" x14ac:dyDescent="0.25">
      <c r="B54" s="400" t="s">
        <v>829</v>
      </c>
      <c r="C54" s="709" t="s">
        <v>1053</v>
      </c>
      <c r="D54" s="710" t="s">
        <v>1053</v>
      </c>
      <c r="F54" s="710"/>
      <c r="G54" s="450" t="str">
        <f t="shared" si="0"/>
        <v/>
      </c>
      <c r="J54" s="231"/>
      <c r="K54" s="231"/>
    </row>
    <row r="55" spans="1:11" hidden="1" x14ac:dyDescent="0.25">
      <c r="A55" s="16" t="s">
        <v>2112</v>
      </c>
      <c r="B55" s="400"/>
      <c r="C55" s="709"/>
      <c r="D55" s="710" t="s">
        <v>1053</v>
      </c>
      <c r="F55" s="710"/>
      <c r="G55" s="450"/>
      <c r="J55" s="231"/>
      <c r="K55" s="231"/>
    </row>
    <row r="56" spans="1:11" x14ac:dyDescent="0.25">
      <c r="B56" s="400" t="s">
        <v>833</v>
      </c>
      <c r="C56" s="709" t="s">
        <v>1053</v>
      </c>
      <c r="D56" s="710" t="s">
        <v>1053</v>
      </c>
      <c r="F56" s="710"/>
      <c r="G56" s="450" t="str">
        <f t="shared" si="0"/>
        <v/>
      </c>
      <c r="J56" s="231"/>
      <c r="K56" s="231"/>
    </row>
    <row r="57" spans="1:11" ht="7.5" customHeight="1" x14ac:dyDescent="0.25">
      <c r="B57" s="211"/>
      <c r="C57" s="228"/>
      <c r="D57" s="228"/>
      <c r="F57" s="228"/>
      <c r="G57" s="450" t="str">
        <f t="shared" si="0"/>
        <v/>
      </c>
      <c r="J57" s="381"/>
    </row>
    <row r="58" spans="1:11" x14ac:dyDescent="0.25">
      <c r="B58" s="528" t="s">
        <v>359</v>
      </c>
      <c r="C58" s="524" t="s">
        <v>62</v>
      </c>
      <c r="D58" s="525" t="s">
        <v>63</v>
      </c>
      <c r="F58" s="525" t="s">
        <v>146</v>
      </c>
      <c r="G58" s="450" t="str">
        <f t="shared" si="0"/>
        <v>_</v>
      </c>
      <c r="H58" s="211"/>
      <c r="I58" s="211"/>
      <c r="J58" s="527" t="s">
        <v>1002</v>
      </c>
      <c r="K58" s="527" t="s">
        <v>363</v>
      </c>
    </row>
    <row r="59" spans="1:11" ht="15" customHeight="1" x14ac:dyDescent="0.25">
      <c r="B59" s="722" t="s">
        <v>1440</v>
      </c>
      <c r="C59" s="711" t="s">
        <v>1441</v>
      </c>
      <c r="D59" s="785"/>
      <c r="F59" s="390"/>
      <c r="G59" s="450" t="str">
        <f t="shared" si="0"/>
        <v/>
      </c>
      <c r="H59" s="211"/>
      <c r="I59" s="211"/>
      <c r="J59" s="231"/>
      <c r="K59" s="231"/>
    </row>
    <row r="60" spans="1:11" ht="15" customHeight="1" x14ac:dyDescent="0.25">
      <c r="B60" s="722" t="s">
        <v>1442</v>
      </c>
      <c r="C60" s="711" t="s">
        <v>1443</v>
      </c>
      <c r="D60" s="712" t="s">
        <v>2113</v>
      </c>
      <c r="F60" s="390"/>
      <c r="G60" s="450" t="str">
        <f t="shared" si="0"/>
        <v>_</v>
      </c>
      <c r="H60" s="211"/>
      <c r="I60" s="211"/>
      <c r="J60" s="231"/>
      <c r="K60" s="231"/>
    </row>
    <row r="61" spans="1:11" ht="15" customHeight="1" x14ac:dyDescent="0.25">
      <c r="B61" s="722" t="s">
        <v>1444</v>
      </c>
      <c r="C61" s="711" t="s">
        <v>1445</v>
      </c>
      <c r="D61" s="712" t="s">
        <v>2113</v>
      </c>
      <c r="F61" s="390"/>
      <c r="G61" s="450" t="str">
        <f t="shared" si="0"/>
        <v>_</v>
      </c>
      <c r="H61" s="211"/>
      <c r="I61" s="211"/>
      <c r="J61" s="231"/>
      <c r="K61" s="231"/>
    </row>
    <row r="62" spans="1:11" ht="15" customHeight="1" x14ac:dyDescent="0.25">
      <c r="B62" s="771" t="s">
        <v>1446</v>
      </c>
      <c r="C62" s="711" t="s">
        <v>1447</v>
      </c>
      <c r="D62" s="785"/>
      <c r="F62" s="1298" t="s">
        <v>2114</v>
      </c>
      <c r="G62" s="1299"/>
      <c r="H62" s="1299"/>
      <c r="I62" s="1299"/>
      <c r="J62" s="1300"/>
      <c r="K62" s="231"/>
    </row>
    <row r="63" spans="1:11" ht="15" customHeight="1" x14ac:dyDescent="0.25">
      <c r="B63" s="673" t="s">
        <v>1448</v>
      </c>
      <c r="C63" s="711" t="s">
        <v>1449</v>
      </c>
      <c r="D63" s="785"/>
      <c r="F63" s="1298" t="s">
        <v>2115</v>
      </c>
      <c r="G63" s="1299" t="str">
        <f t="shared" si="0"/>
        <v>_</v>
      </c>
      <c r="H63" s="1299"/>
      <c r="I63" s="1299"/>
      <c r="J63" s="1300"/>
      <c r="K63" s="231"/>
    </row>
    <row r="64" spans="1:11" x14ac:dyDescent="0.25">
      <c r="B64" s="673" t="s">
        <v>1450</v>
      </c>
      <c r="C64" s="711" t="s">
        <v>1451</v>
      </c>
      <c r="D64" s="712" t="s">
        <v>2113</v>
      </c>
      <c r="F64" s="390"/>
      <c r="G64" s="450" t="str">
        <f t="shared" si="0"/>
        <v>_</v>
      </c>
      <c r="H64" s="211"/>
      <c r="I64" s="211"/>
      <c r="J64" s="231"/>
      <c r="K64" s="231"/>
    </row>
    <row r="65" spans="2:11" x14ac:dyDescent="0.25">
      <c r="B65" s="673" t="s">
        <v>1555</v>
      </c>
      <c r="C65" s="412" t="s">
        <v>1556</v>
      </c>
      <c r="D65" s="1058"/>
      <c r="E65" s="762"/>
      <c r="F65" s="1298" t="s">
        <v>2116</v>
      </c>
      <c r="G65" s="1299" t="str">
        <f t="shared" si="0"/>
        <v>_</v>
      </c>
      <c r="H65" s="1299"/>
      <c r="I65" s="1299"/>
      <c r="J65" s="1300"/>
      <c r="K65" s="231"/>
    </row>
    <row r="66" spans="2:11" x14ac:dyDescent="0.25">
      <c r="B66" s="446"/>
      <c r="C66" s="396"/>
      <c r="D66" s="424"/>
      <c r="F66" s="424"/>
      <c r="G66" s="450" t="str">
        <f t="shared" si="0"/>
        <v/>
      </c>
      <c r="H66" s="211"/>
      <c r="I66" s="211"/>
      <c r="J66" s="231"/>
      <c r="K66" s="231"/>
    </row>
    <row r="67" spans="2:11" x14ac:dyDescent="0.25">
      <c r="B67" s="400"/>
      <c r="C67" s="412"/>
      <c r="D67" s="390"/>
      <c r="F67" s="390"/>
      <c r="G67" s="228" t="str">
        <f t="shared" ref="G67:G75" si="1">IF(OR(TRIM(D67)&lt;&gt;"",TRIM(F67)&lt;&gt;""),IF(AND(TRIM(D67)&lt;&gt;"",TRIM(F67)&lt;&gt;""),IF(OR(TRIM(C67)&lt;&gt;TRIM(D67),TRIM(C67)&lt;&gt;TRIM(F67)),"_",""),IF(TRIM(C67)&lt;&gt;TRIM(D67), "_", "")),"")</f>
        <v/>
      </c>
      <c r="H67" s="211"/>
      <c r="I67" s="211"/>
      <c r="J67" s="231"/>
      <c r="K67" s="231"/>
    </row>
    <row r="68" spans="2:11" x14ac:dyDescent="0.25">
      <c r="B68" s="400"/>
      <c r="C68" s="412"/>
      <c r="D68" s="390"/>
      <c r="F68" s="390"/>
      <c r="G68" s="228" t="str">
        <f t="shared" si="1"/>
        <v/>
      </c>
      <c r="H68" s="211"/>
      <c r="I68" s="211"/>
      <c r="J68" s="231"/>
      <c r="K68" s="231"/>
    </row>
    <row r="69" spans="2:11" x14ac:dyDescent="0.25">
      <c r="B69" s="368"/>
      <c r="C69" s="412"/>
      <c r="D69" s="390"/>
      <c r="F69" s="390"/>
      <c r="G69" s="228" t="str">
        <f t="shared" si="1"/>
        <v/>
      </c>
      <c r="H69" s="211"/>
      <c r="I69" s="211"/>
      <c r="J69" s="231"/>
      <c r="K69" s="231"/>
    </row>
    <row r="70" spans="2:11" x14ac:dyDescent="0.25">
      <c r="B70" s="368"/>
      <c r="C70" s="412"/>
      <c r="D70" s="390"/>
      <c r="F70" s="390"/>
      <c r="G70" s="228" t="str">
        <f t="shared" si="1"/>
        <v/>
      </c>
      <c r="H70" s="211"/>
      <c r="I70" s="211"/>
      <c r="J70" s="231"/>
      <c r="K70" s="231"/>
    </row>
    <row r="71" spans="2:11" x14ac:dyDescent="0.25">
      <c r="B71" s="400"/>
      <c r="C71" s="412"/>
      <c r="D71" s="390"/>
      <c r="F71" s="390"/>
      <c r="G71" s="228" t="str">
        <f t="shared" si="1"/>
        <v/>
      </c>
      <c r="H71" s="211"/>
      <c r="I71" s="211"/>
      <c r="J71" s="231"/>
      <c r="K71" s="231"/>
    </row>
    <row r="72" spans="2:11" x14ac:dyDescent="0.25">
      <c r="B72" s="368"/>
      <c r="C72" s="412"/>
      <c r="D72" s="390"/>
      <c r="F72" s="390"/>
      <c r="G72" s="228" t="str">
        <f t="shared" si="1"/>
        <v/>
      </c>
      <c r="H72" s="211"/>
      <c r="I72" s="211"/>
      <c r="J72" s="231"/>
      <c r="K72" s="231"/>
    </row>
    <row r="73" spans="2:11" x14ac:dyDescent="0.25">
      <c r="B73" s="368"/>
      <c r="C73" s="412"/>
      <c r="D73" s="390"/>
      <c r="F73" s="390"/>
      <c r="G73" s="228" t="str">
        <f t="shared" si="1"/>
        <v/>
      </c>
      <c r="H73" s="211"/>
      <c r="I73" s="211"/>
      <c r="J73" s="231"/>
      <c r="K73" s="231"/>
    </row>
    <row r="74" spans="2:11" x14ac:dyDescent="0.25">
      <c r="B74" s="368"/>
      <c r="C74" s="412"/>
      <c r="D74" s="390"/>
      <c r="F74" s="390"/>
      <c r="G74" s="228" t="str">
        <f t="shared" si="1"/>
        <v/>
      </c>
      <c r="H74" s="211"/>
      <c r="I74" s="211"/>
      <c r="J74" s="231"/>
      <c r="K74" s="231"/>
    </row>
    <row r="75" spans="2:11" x14ac:dyDescent="0.25">
      <c r="B75" s="400"/>
      <c r="C75" s="412"/>
      <c r="D75" s="390"/>
      <c r="F75" s="390"/>
      <c r="G75" s="228" t="str">
        <f t="shared" si="1"/>
        <v/>
      </c>
      <c r="H75" s="211"/>
      <c r="I75" s="211"/>
      <c r="J75" s="231"/>
      <c r="K75" s="231"/>
    </row>
    <row r="76" spans="2:11" x14ac:dyDescent="0.25">
      <c r="E76" s="16"/>
    </row>
    <row r="77" spans="2:11" x14ac:dyDescent="0.25">
      <c r="E77" s="16"/>
    </row>
    <row r="78" spans="2:11" x14ac:dyDescent="0.25">
      <c r="E78" s="16"/>
    </row>
    <row r="79" spans="2:11" x14ac:dyDescent="0.25">
      <c r="E79" s="16"/>
    </row>
    <row r="80" spans="2:11" x14ac:dyDescent="0.25">
      <c r="E80"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sheetData>
  <sortState xmlns:xlrd2="http://schemas.microsoft.com/office/spreadsheetml/2017/richdata2" ref="B50:B54">
    <sortCondition ref="B50"/>
  </sortState>
  <mergeCells count="7">
    <mergeCell ref="F63:J63"/>
    <mergeCell ref="F65:J65"/>
    <mergeCell ref="B36:D36"/>
    <mergeCell ref="B39:D39"/>
    <mergeCell ref="B37:F37"/>
    <mergeCell ref="B40:F40"/>
    <mergeCell ref="F62:J62"/>
  </mergeCells>
  <conditionalFormatting sqref="G76:G1048576 G1:G61 G64 G66">
    <cfRule type="cellIs" dxfId="68" priority="5" operator="equal">
      <formula>"_"</formula>
    </cfRule>
  </conditionalFormatting>
  <conditionalFormatting sqref="G76:G1048576">
    <cfRule type="cellIs" dxfId="67" priority="2" operator="equal">
      <formula>"_"</formula>
    </cfRule>
  </conditionalFormatting>
  <conditionalFormatting sqref="G67:G75">
    <cfRule type="cellIs" dxfId="66"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Commercial Crime</oddHeader>
    <oddFooter>&amp;L&amp;G&amp;CPage &amp;P of &amp;N</oddFooter>
  </headerFooter>
  <rowBreaks count="1" manualBreakCount="1">
    <brk id="41" min="1" max="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B1:P101"/>
  <sheetViews>
    <sheetView showGridLines="0" view="pageBreakPreview" zoomScaleNormal="100" zoomScaleSheetLayoutView="100" workbookViewId="0">
      <selection activeCell="L28" sqref="L28"/>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5703125" style="452" customWidth="1"/>
    <col min="12" max="12" width="32.140625" style="381" customWidth="1"/>
    <col min="13" max="13" width="9.140625" style="16" customWidth="1"/>
    <col min="14" max="14" width="20" style="16" customWidth="1"/>
    <col min="15" max="15" width="16.42578125" style="451" customWidth="1"/>
    <col min="16" max="54" width="9.140625" style="16" customWidth="1"/>
    <col min="55" max="16384" width="9.140625" style="16"/>
  </cols>
  <sheetData>
    <row r="1" spans="2:16" ht="7.5" customHeight="1" x14ac:dyDescent="0.25">
      <c r="E1" s="450"/>
    </row>
    <row r="2" spans="2:16" ht="15.75" x14ac:dyDescent="0.25">
      <c r="B2" s="453" t="str">
        <f>Input!B1102</f>
        <v>Excess Crime</v>
      </c>
      <c r="E2" s="450"/>
      <c r="H2" s="454"/>
      <c r="I2" s="455"/>
      <c r="J2" s="455"/>
      <c r="K2" s="455"/>
      <c r="M2" s="456" t="s">
        <v>391</v>
      </c>
      <c r="N2" s="381" t="s">
        <v>361</v>
      </c>
    </row>
    <row r="3" spans="2:16" x14ac:dyDescent="0.25">
      <c r="D3" s="455" t="str">
        <f xml:space="preserve"> IF(Input!D1106=Input!G1106,CHAR(254), "")</f>
        <v>þ</v>
      </c>
      <c r="E3" s="457"/>
      <c r="F3" s="458" t="str">
        <f xml:space="preserve"> IF(Input!E1106=Input!G1106,CHAR(254), "")</f>
        <v/>
      </c>
      <c r="M3" s="459" t="s">
        <v>157</v>
      </c>
      <c r="N3" s="211" t="s">
        <v>362</v>
      </c>
      <c r="O3" s="458"/>
    </row>
    <row r="4" spans="2:16" x14ac:dyDescent="0.25">
      <c r="B4" s="523" t="s">
        <v>66</v>
      </c>
      <c r="C4" s="524" t="s">
        <v>62</v>
      </c>
      <c r="D4" s="525" t="s">
        <v>63</v>
      </c>
      <c r="E4" s="426"/>
      <c r="F4" s="526" t="s">
        <v>146</v>
      </c>
      <c r="J4" s="527" t="s">
        <v>1002</v>
      </c>
      <c r="K4" s="720"/>
      <c r="L4" s="527" t="s">
        <v>363</v>
      </c>
      <c r="M4" s="460"/>
      <c r="N4" s="211"/>
      <c r="O4" s="526" t="s">
        <v>146</v>
      </c>
    </row>
    <row r="5" spans="2:16" ht="30" customHeight="1" x14ac:dyDescent="0.25">
      <c r="B5" s="409" t="s">
        <v>60</v>
      </c>
      <c r="C5" s="412" t="str">
        <f>Input!B1107</f>
        <v>Great American Insurance Company</v>
      </c>
      <c r="D5" s="390" t="str">
        <f>Input!D1107</f>
        <v>Great American Insurance Company</v>
      </c>
      <c r="F5" s="413">
        <f>Input!E1107</f>
        <v>0</v>
      </c>
      <c r="J5" s="231"/>
      <c r="K5" s="381"/>
      <c r="L5" s="231"/>
      <c r="O5" s="713" t="s">
        <v>1058</v>
      </c>
      <c r="P5" s="725" t="s">
        <v>1083</v>
      </c>
    </row>
    <row r="6" spans="2:16" x14ac:dyDescent="0.25">
      <c r="B6" s="409" t="s">
        <v>69</v>
      </c>
      <c r="C6" s="412" t="str">
        <f>Input!B1109</f>
        <v>A+: XV</v>
      </c>
      <c r="D6" s="390" t="str">
        <f>Input!D1109</f>
        <v>A+: XV</v>
      </c>
      <c r="F6" s="413">
        <f>Input!E1109</f>
        <v>0</v>
      </c>
      <c r="J6" s="231"/>
      <c r="K6" s="381"/>
      <c r="L6" s="231"/>
      <c r="O6" s="413"/>
    </row>
    <row r="7" spans="2:16" x14ac:dyDescent="0.25">
      <c r="B7" s="409" t="str">
        <f>Input!B1105</f>
        <v>Renewal Policy Number</v>
      </c>
      <c r="C7" s="1115" t="str">
        <f>Input!C1104</f>
        <v>XSC E864504 00 00</v>
      </c>
      <c r="D7" s="390" t="str">
        <f>Input!C1105</f>
        <v>TBD</v>
      </c>
      <c r="F7" s="413" t="str">
        <f>Input!C1105</f>
        <v>TBD</v>
      </c>
      <c r="J7" s="231"/>
      <c r="K7" s="381"/>
      <c r="L7" s="231"/>
      <c r="O7" s="413"/>
    </row>
    <row r="8" spans="2:16" ht="15.75" customHeight="1" x14ac:dyDescent="0.25">
      <c r="B8" s="409" t="str">
        <f>Input!B6</f>
        <v>Renewal Policy Period</v>
      </c>
      <c r="C8" s="412" t="str">
        <f>Input!C5</f>
        <v>7/1/2022 - 7/1/2023</v>
      </c>
      <c r="D8" s="390" t="str">
        <f>Input!C6</f>
        <v>7/1/2023 - 7/1/2024</v>
      </c>
      <c r="F8" s="413" t="str">
        <f>Input!C6</f>
        <v>7/1/2023 - 7/1/2024</v>
      </c>
      <c r="J8" s="231"/>
      <c r="K8" s="381"/>
      <c r="L8" s="231"/>
      <c r="O8" s="413"/>
    </row>
    <row r="9" spans="2:16" x14ac:dyDescent="0.25">
      <c r="B9" s="479" t="s">
        <v>9</v>
      </c>
      <c r="C9" s="479"/>
      <c r="D9" s="479"/>
      <c r="E9" s="414"/>
      <c r="F9" s="466"/>
      <c r="J9" s="566"/>
      <c r="K9" s="381"/>
      <c r="L9" s="566"/>
      <c r="O9" s="562"/>
    </row>
    <row r="10" spans="2:16" x14ac:dyDescent="0.25">
      <c r="B10" s="409" t="str">
        <f>Input!B1134</f>
        <v>Each Loss</v>
      </c>
      <c r="C10" s="398">
        <f>Input!C1134</f>
        <v>5000000</v>
      </c>
      <c r="D10" s="425">
        <f>Input!F1134</f>
        <v>5000000</v>
      </c>
      <c r="E10" s="414"/>
      <c r="F10" s="427">
        <f>Input!I1134</f>
        <v>0</v>
      </c>
      <c r="J10" s="231"/>
      <c r="K10" s="381"/>
      <c r="L10" s="231"/>
      <c r="O10" s="714"/>
    </row>
    <row r="11" spans="2:16" x14ac:dyDescent="0.25">
      <c r="B11" s="409" t="str">
        <f>Input!B1135</f>
        <v>Aggregate</v>
      </c>
      <c r="C11" s="398">
        <f>Input!C1135</f>
        <v>5000000</v>
      </c>
      <c r="D11" s="425">
        <f>Input!F1135</f>
        <v>5000000</v>
      </c>
      <c r="E11" s="414"/>
      <c r="F11" s="427">
        <f>Input!I1135</f>
        <v>0</v>
      </c>
      <c r="J11" s="231"/>
      <c r="K11" s="381"/>
      <c r="L11" s="231"/>
      <c r="O11" s="714"/>
    </row>
    <row r="12" spans="2:16" ht="25.5" hidden="1" x14ac:dyDescent="0.25">
      <c r="B12" s="409" t="str">
        <f>Input!B1136</f>
        <v>Response Fees and Expenses</v>
      </c>
      <c r="C12" s="398">
        <f>Input!C1136</f>
        <v>0</v>
      </c>
      <c r="D12" s="425">
        <f>Input!F1136</f>
        <v>0</v>
      </c>
      <c r="E12" s="414"/>
      <c r="F12" s="427">
        <f>Input!I1136</f>
        <v>0</v>
      </c>
      <c r="J12" s="723" t="s">
        <v>1090</v>
      </c>
      <c r="K12" s="381"/>
      <c r="L12" s="231"/>
      <c r="O12" s="427"/>
    </row>
    <row r="13" spans="2:16" hidden="1" x14ac:dyDescent="0.25">
      <c r="B13" s="409" t="str">
        <f>Input!B1137</f>
        <v>Additional Expenses</v>
      </c>
      <c r="C13" s="398">
        <f>Input!C1137</f>
        <v>0</v>
      </c>
      <c r="D13" s="425">
        <f>Input!F1137</f>
        <v>0</v>
      </c>
      <c r="E13" s="414"/>
      <c r="F13" s="427">
        <f>Input!I1137</f>
        <v>0</v>
      </c>
      <c r="J13" s="231"/>
      <c r="K13" s="381"/>
      <c r="L13" s="231"/>
      <c r="O13" s="427"/>
    </row>
    <row r="14" spans="2:16" hidden="1" x14ac:dyDescent="0.25">
      <c r="B14" s="409" t="str">
        <f>Input!B1138</f>
        <v>Legal Liability</v>
      </c>
      <c r="C14" s="398">
        <f>Input!C1138</f>
        <v>0</v>
      </c>
      <c r="D14" s="425">
        <f>Input!F1138</f>
        <v>0</v>
      </c>
      <c r="E14" s="414"/>
      <c r="F14" s="427">
        <f>Input!I1138</f>
        <v>0</v>
      </c>
      <c r="J14" s="231"/>
      <c r="K14" s="381"/>
      <c r="L14" s="231"/>
      <c r="O14" s="427"/>
    </row>
    <row r="15" spans="2:16" hidden="1" x14ac:dyDescent="0.25">
      <c r="B15" s="402" t="str">
        <f>Input!B1139</f>
        <v>Personal Accident</v>
      </c>
      <c r="C15" s="403"/>
      <c r="D15" s="431"/>
      <c r="E15" s="414"/>
      <c r="F15" s="430"/>
      <c r="J15" s="232"/>
      <c r="K15" s="381"/>
      <c r="L15" s="232"/>
      <c r="O15" s="427"/>
    </row>
    <row r="16" spans="2:16" hidden="1" x14ac:dyDescent="0.25">
      <c r="B16" s="629" t="str">
        <f>Input!B1140</f>
        <v>Per Person</v>
      </c>
      <c r="C16" s="601">
        <f>Input!C1140</f>
        <v>0</v>
      </c>
      <c r="D16" s="602">
        <f>Input!F1140</f>
        <v>0</v>
      </c>
      <c r="E16" s="414"/>
      <c r="F16" s="603">
        <f>Input!I1140</f>
        <v>0</v>
      </c>
      <c r="J16" s="447"/>
      <c r="K16" s="381"/>
      <c r="L16" s="447"/>
      <c r="O16" s="427"/>
    </row>
    <row r="17" spans="2:15" hidden="1" x14ac:dyDescent="0.25">
      <c r="B17" s="630" t="str">
        <f>Input!B1141</f>
        <v>Per Insured Event</v>
      </c>
      <c r="C17" s="604">
        <f>Input!C1141</f>
        <v>0</v>
      </c>
      <c r="D17" s="476">
        <f>Input!F1141</f>
        <v>0</v>
      </c>
      <c r="E17" s="414"/>
      <c r="F17" s="605">
        <f>Input!I1141</f>
        <v>0</v>
      </c>
      <c r="J17" s="445"/>
      <c r="K17" s="381"/>
      <c r="L17" s="445"/>
      <c r="O17" s="427"/>
    </row>
    <row r="18" spans="2:15" hidden="1" x14ac:dyDescent="0.25">
      <c r="B18" s="409" t="str">
        <f>Input!B1142</f>
        <v>Alternate Loss of Earnings</v>
      </c>
      <c r="C18" s="398">
        <f>Input!C1142</f>
        <v>0</v>
      </c>
      <c r="D18" s="425">
        <f>Input!F1142</f>
        <v>0</v>
      </c>
      <c r="E18" s="414"/>
      <c r="F18" s="427">
        <f>Input!I1142</f>
        <v>0</v>
      </c>
      <c r="J18" s="231"/>
      <c r="K18" s="381"/>
      <c r="L18" s="231"/>
      <c r="O18" s="427"/>
    </row>
    <row r="19" spans="2:15" hidden="1" x14ac:dyDescent="0.25">
      <c r="B19" s="409" t="str">
        <f>Input!B1143</f>
        <v>Disappearance Investigation &amp; Expense</v>
      </c>
      <c r="C19" s="398">
        <f>Input!C1143</f>
        <v>0</v>
      </c>
      <c r="D19" s="425">
        <f>Input!F1143</f>
        <v>0</v>
      </c>
      <c r="E19" s="414"/>
      <c r="F19" s="427">
        <f>Input!I1143</f>
        <v>0</v>
      </c>
      <c r="J19" s="231"/>
      <c r="K19" s="381"/>
      <c r="L19" s="231"/>
      <c r="O19" s="427"/>
    </row>
    <row r="20" spans="2:15" x14ac:dyDescent="0.25">
      <c r="B20" s="479" t="s">
        <v>298</v>
      </c>
      <c r="C20" s="479"/>
      <c r="D20" s="479"/>
      <c r="E20" s="238"/>
      <c r="F20" s="562"/>
      <c r="J20" s="566"/>
      <c r="K20" s="381"/>
      <c r="L20" s="566"/>
      <c r="O20" s="562"/>
    </row>
    <row r="21" spans="2:15" x14ac:dyDescent="0.25">
      <c r="B21" s="789" t="s">
        <v>1913</v>
      </c>
      <c r="C21" s="398">
        <f>Input!D1134</f>
        <v>0</v>
      </c>
      <c r="D21" s="425">
        <f>Input!G1134</f>
        <v>0</v>
      </c>
      <c r="E21" s="432"/>
      <c r="F21" s="427">
        <f>Input!J1134</f>
        <v>0</v>
      </c>
      <c r="J21" s="231"/>
      <c r="K21" s="381"/>
      <c r="L21" s="231"/>
      <c r="O21" s="714"/>
    </row>
    <row r="22" spans="2:15" hidden="1" x14ac:dyDescent="0.25">
      <c r="B22" s="734" t="s">
        <v>1093</v>
      </c>
      <c r="C22" s="479"/>
      <c r="D22" s="479"/>
      <c r="E22" s="238"/>
      <c r="F22" s="562"/>
      <c r="J22" s="566"/>
      <c r="K22" s="381"/>
      <c r="L22" s="566"/>
      <c r="O22" s="562"/>
    </row>
    <row r="23" spans="2:15" hidden="1" x14ac:dyDescent="0.25">
      <c r="B23" s="409" t="str">
        <f>Input!B1142</f>
        <v>Alternate Loss of Earnings</v>
      </c>
      <c r="C23" s="398" t="str">
        <f>Input!E1142</f>
        <v>ZZZ Hours</v>
      </c>
      <c r="D23" s="425" t="str">
        <f>Input!H1142</f>
        <v>ZZZ Hours</v>
      </c>
      <c r="E23" s="432"/>
      <c r="F23" s="427">
        <f>Input!K1142</f>
        <v>0</v>
      </c>
      <c r="J23" s="231"/>
      <c r="K23" s="381"/>
      <c r="L23" s="231"/>
      <c r="O23" s="714"/>
    </row>
    <row r="24" spans="2:15" hidden="1" x14ac:dyDescent="0.25">
      <c r="B24" s="409" t="str">
        <f>Input!B1143</f>
        <v>Disappearance Investigation &amp; Expense</v>
      </c>
      <c r="C24" s="398" t="str">
        <f>Input!E1143</f>
        <v>ZZZ Hours</v>
      </c>
      <c r="D24" s="425" t="str">
        <f>Input!H1143</f>
        <v>ZZZ Hours</v>
      </c>
      <c r="E24" s="433"/>
      <c r="F24" s="427">
        <f>Input!K1143</f>
        <v>0</v>
      </c>
      <c r="J24" s="231"/>
      <c r="K24" s="381"/>
      <c r="L24" s="231"/>
      <c r="O24" s="714"/>
    </row>
    <row r="25" spans="2:15" x14ac:dyDescent="0.25">
      <c r="B25" s="486" t="s">
        <v>367</v>
      </c>
      <c r="C25" s="486"/>
      <c r="D25" s="486"/>
      <c r="F25" s="562"/>
      <c r="J25" s="566"/>
      <c r="K25" s="720"/>
      <c r="L25" s="566"/>
      <c r="O25" s="562"/>
    </row>
    <row r="26" spans="2:15" x14ac:dyDescent="0.25">
      <c r="B26" s="402" t="s">
        <v>343</v>
      </c>
      <c r="C26" s="428">
        <f>Input!B1111</f>
        <v>6500</v>
      </c>
      <c r="D26" s="425">
        <f>Input!D1111</f>
        <v>6500</v>
      </c>
      <c r="F26" s="427">
        <f>Input!E1111</f>
        <v>0</v>
      </c>
      <c r="J26" s="231"/>
      <c r="K26" s="381"/>
      <c r="L26" s="231"/>
      <c r="O26" s="427"/>
    </row>
    <row r="27" spans="2:15" x14ac:dyDescent="0.25">
      <c r="B27" s="402" t="s">
        <v>366</v>
      </c>
      <c r="C27" s="428">
        <f>Input!B1115</f>
        <v>0</v>
      </c>
      <c r="D27" s="425">
        <f>Input!D1115</f>
        <v>0</v>
      </c>
      <c r="F27" s="427">
        <f>Input!E1115</f>
        <v>0</v>
      </c>
      <c r="J27" s="231"/>
      <c r="K27" s="381"/>
      <c r="L27" s="231"/>
      <c r="O27" s="427"/>
    </row>
    <row r="28" spans="2:15" x14ac:dyDescent="0.25">
      <c r="B28" s="402" t="s">
        <v>365</v>
      </c>
      <c r="C28" s="429">
        <f>Input!B1117</f>
        <v>0</v>
      </c>
      <c r="D28" s="431">
        <f>Input!D1117</f>
        <v>0</v>
      </c>
      <c r="F28" s="430">
        <f>Input!E1117</f>
        <v>0</v>
      </c>
      <c r="J28" s="231"/>
      <c r="K28" s="381"/>
      <c r="L28" s="231"/>
      <c r="O28" s="430"/>
    </row>
    <row r="29" spans="2:15" x14ac:dyDescent="0.25">
      <c r="B29" s="409" t="s">
        <v>368</v>
      </c>
      <c r="C29" s="428">
        <f>Input!B1119</f>
        <v>6500</v>
      </c>
      <c r="D29" s="425">
        <f>Input!D1119</f>
        <v>6500</v>
      </c>
      <c r="F29" s="427">
        <f>Input!E1119</f>
        <v>0</v>
      </c>
      <c r="J29" s="231"/>
      <c r="K29" s="381"/>
      <c r="L29" s="231"/>
      <c r="O29" s="427"/>
    </row>
    <row r="30" spans="2:15" ht="7.5" customHeight="1" x14ac:dyDescent="0.25">
      <c r="B30" s="310"/>
      <c r="C30" s="228"/>
      <c r="D30" s="228"/>
      <c r="F30" s="275"/>
      <c r="J30" s="381"/>
      <c r="K30" s="381"/>
      <c r="O30" s="275"/>
    </row>
    <row r="31" spans="2:15" x14ac:dyDescent="0.25">
      <c r="B31" s="1274" t="s">
        <v>144</v>
      </c>
      <c r="C31" s="1274"/>
      <c r="D31" s="1274"/>
      <c r="F31" s="274"/>
      <c r="J31" s="381"/>
      <c r="K31" s="381"/>
      <c r="O31" s="274"/>
    </row>
    <row r="32" spans="2:15" x14ac:dyDescent="0.25">
      <c r="B32" s="1275" t="s">
        <v>1172</v>
      </c>
      <c r="C32" s="1276"/>
      <c r="D32" s="1276"/>
      <c r="E32" s="1276"/>
      <c r="F32" s="1277"/>
      <c r="J32" s="381"/>
      <c r="K32" s="381"/>
      <c r="O32" s="16"/>
    </row>
    <row r="33" spans="2:15" ht="7.5" customHeight="1" x14ac:dyDescent="0.25">
      <c r="B33" s="380"/>
      <c r="C33" s="238"/>
      <c r="D33" s="238"/>
      <c r="F33" s="275"/>
      <c r="J33" s="381"/>
      <c r="K33" s="381"/>
      <c r="O33" s="275"/>
    </row>
    <row r="34" spans="2:15" x14ac:dyDescent="0.25">
      <c r="B34" s="1274" t="s">
        <v>145</v>
      </c>
      <c r="C34" s="1274"/>
      <c r="D34" s="1274"/>
      <c r="F34" s="275"/>
      <c r="J34" s="381"/>
      <c r="K34" s="381"/>
      <c r="O34" s="275"/>
    </row>
    <row r="35" spans="2:15" x14ac:dyDescent="0.25">
      <c r="B35" s="1275" t="s">
        <v>1172</v>
      </c>
      <c r="C35" s="1275"/>
      <c r="D35" s="1275"/>
      <c r="E35" s="870"/>
      <c r="F35" s="871"/>
      <c r="J35" s="381"/>
      <c r="K35" s="381"/>
      <c r="O35" s="16"/>
    </row>
    <row r="36" spans="2:15" ht="7.5" customHeight="1" x14ac:dyDescent="0.25">
      <c r="B36" s="310"/>
      <c r="C36" s="228"/>
      <c r="D36" s="228"/>
      <c r="F36" s="275"/>
      <c r="J36" s="381"/>
      <c r="K36" s="381"/>
      <c r="O36" s="275"/>
    </row>
    <row r="37" spans="2:15" x14ac:dyDescent="0.25">
      <c r="B37" s="523" t="s">
        <v>72</v>
      </c>
      <c r="C37" s="524" t="s">
        <v>62</v>
      </c>
      <c r="D37" s="525" t="s">
        <v>63</v>
      </c>
      <c r="F37" s="526" t="s">
        <v>146</v>
      </c>
      <c r="J37" s="527" t="s">
        <v>1002</v>
      </c>
      <c r="K37" s="720"/>
      <c r="L37" s="527" t="s">
        <v>363</v>
      </c>
      <c r="O37" s="526" t="s">
        <v>146</v>
      </c>
    </row>
    <row r="38" spans="2:15" x14ac:dyDescent="0.25">
      <c r="B38" s="400" t="s">
        <v>73</v>
      </c>
      <c r="C38" s="412" t="s">
        <v>1033</v>
      </c>
      <c r="D38" s="712" t="s">
        <v>1033</v>
      </c>
      <c r="F38" s="413"/>
      <c r="G38" s="450" t="str">
        <f t="shared" ref="G38:G44" si="0">IF(OR(TRIM(D38)&lt;&gt;"",TRIM(F38)&lt;&gt;""),IF(AND(TRIM(D38)&lt;&gt;"",TRIM(F38)&lt;&gt;""),IF(OR(TRIM(C38)&lt;&gt;TRIM(D38),TRIM(C38)&lt;&gt;TRIM(F38)),"_",""),IF(TRIM(C38)&lt;&gt;TRIM(D38), "_", "")),"")</f>
        <v/>
      </c>
      <c r="J38" s="231"/>
      <c r="K38" s="381"/>
      <c r="L38" s="231"/>
      <c r="O38" s="713" t="s">
        <v>1059</v>
      </c>
    </row>
    <row r="39" spans="2:15" x14ac:dyDescent="0.25">
      <c r="B39" s="400" t="s">
        <v>74</v>
      </c>
      <c r="C39" s="412" t="s">
        <v>1914</v>
      </c>
      <c r="D39" s="712" t="s">
        <v>1914</v>
      </c>
      <c r="F39" s="413"/>
      <c r="G39" s="450" t="str">
        <f t="shared" si="0"/>
        <v/>
      </c>
      <c r="J39" s="231"/>
      <c r="K39" s="381"/>
      <c r="L39" s="231"/>
      <c r="O39" s="713"/>
    </row>
    <row r="40" spans="2:15" ht="15" customHeight="1" x14ac:dyDescent="0.25">
      <c r="B40" s="368" t="s">
        <v>151</v>
      </c>
      <c r="C40" s="435" t="s">
        <v>1439</v>
      </c>
      <c r="D40" s="746" t="s">
        <v>1439</v>
      </c>
      <c r="F40" s="436"/>
      <c r="G40" s="450" t="str">
        <f t="shared" si="0"/>
        <v/>
      </c>
      <c r="J40" s="232"/>
      <c r="K40" s="381"/>
      <c r="L40" s="232"/>
      <c r="O40" s="715" t="s">
        <v>1060</v>
      </c>
    </row>
    <row r="41" spans="2:15" hidden="1" x14ac:dyDescent="0.25">
      <c r="B41" s="368" t="s">
        <v>75</v>
      </c>
      <c r="C41" s="435"/>
      <c r="D41" s="391"/>
      <c r="F41" s="436"/>
      <c r="G41" s="450" t="str">
        <f t="shared" si="0"/>
        <v/>
      </c>
      <c r="J41" s="232"/>
      <c r="K41" s="381"/>
      <c r="L41" s="232"/>
      <c r="O41" s="715" t="s">
        <v>284</v>
      </c>
    </row>
    <row r="42" spans="2:15" x14ac:dyDescent="0.25">
      <c r="B42" s="400" t="s">
        <v>152</v>
      </c>
      <c r="C42" s="412" t="s">
        <v>1036</v>
      </c>
      <c r="D42" s="712" t="s">
        <v>1036</v>
      </c>
      <c r="F42" s="413"/>
      <c r="G42" s="450" t="str">
        <f t="shared" si="0"/>
        <v/>
      </c>
      <c r="J42" s="231"/>
      <c r="K42" s="381"/>
      <c r="L42" s="231"/>
      <c r="O42" s="716">
        <v>0</v>
      </c>
    </row>
    <row r="43" spans="2:15" x14ac:dyDescent="0.25">
      <c r="B43" s="400" t="s">
        <v>77</v>
      </c>
      <c r="C43" s="412" t="s">
        <v>1036</v>
      </c>
      <c r="D43" s="712" t="s">
        <v>1036</v>
      </c>
      <c r="F43" s="413"/>
      <c r="G43" s="450" t="str">
        <f t="shared" si="0"/>
        <v/>
      </c>
      <c r="J43" s="231"/>
      <c r="K43" s="381"/>
      <c r="L43" s="231"/>
      <c r="O43" s="713" t="s">
        <v>1036</v>
      </c>
    </row>
    <row r="44" spans="2:15" hidden="1" x14ac:dyDescent="0.25">
      <c r="B44" s="400" t="s">
        <v>390</v>
      </c>
      <c r="C44" s="412"/>
      <c r="D44" s="390"/>
      <c r="F44" s="413"/>
      <c r="G44" s="450" t="str">
        <f t="shared" si="0"/>
        <v/>
      </c>
      <c r="J44" s="231"/>
      <c r="K44" s="381"/>
      <c r="L44" s="231"/>
      <c r="O44" s="692" t="s">
        <v>157</v>
      </c>
    </row>
    <row r="45" spans="2:15" ht="7.5" hidden="1" customHeight="1" x14ac:dyDescent="0.25">
      <c r="B45" s="310"/>
      <c r="C45" s="228"/>
      <c r="D45" s="228"/>
      <c r="F45" s="275"/>
      <c r="G45" s="450"/>
      <c r="J45" s="381"/>
      <c r="K45" s="381"/>
      <c r="O45" s="275"/>
    </row>
    <row r="46" spans="2:15" hidden="1" x14ac:dyDescent="0.25">
      <c r="B46" s="528" t="s">
        <v>1070</v>
      </c>
      <c r="C46" s="524" t="s">
        <v>62</v>
      </c>
      <c r="D46" s="525" t="s">
        <v>63</v>
      </c>
      <c r="F46" s="526" t="s">
        <v>146</v>
      </c>
      <c r="G46" s="228"/>
      <c r="H46" s="211"/>
      <c r="I46" s="211"/>
      <c r="J46" s="527" t="s">
        <v>1002</v>
      </c>
      <c r="K46" s="381"/>
      <c r="L46" s="527" t="s">
        <v>363</v>
      </c>
      <c r="O46" s="526" t="s">
        <v>146</v>
      </c>
    </row>
    <row r="47" spans="2:15" ht="15" hidden="1" customHeight="1" x14ac:dyDescent="0.25">
      <c r="B47" s="400" t="s">
        <v>1061</v>
      </c>
      <c r="C47" s="412"/>
      <c r="D47" s="390"/>
      <c r="F47" s="413"/>
      <c r="G47" s="228" t="str">
        <f t="shared" ref="G47:G56" si="1">IF(OR(TRIM(D47)&lt;&gt;"",TRIM(F47)&lt;&gt;""),IF(AND(TRIM(D47)&lt;&gt;"",TRIM(F47)&lt;&gt;""),IF(OR(TRIM(C47)&lt;&gt;TRIM(D47),TRIM(C47)&lt;&gt;TRIM(F47)),"_",""),IF(TRIM(C47)&lt;&gt;TRIM(D47), "_", "")),"")</f>
        <v/>
      </c>
      <c r="H47" s="211"/>
      <c r="I47" s="211"/>
      <c r="J47" s="231"/>
      <c r="K47" s="381"/>
      <c r="L47" s="231"/>
      <c r="O47" s="413" t="s">
        <v>1071</v>
      </c>
    </row>
    <row r="48" spans="2:15" ht="15" hidden="1" customHeight="1" x14ac:dyDescent="0.25">
      <c r="B48" s="368" t="s">
        <v>78</v>
      </c>
      <c r="C48" s="412"/>
      <c r="D48" s="390"/>
      <c r="F48" s="413"/>
      <c r="G48" s="228" t="str">
        <f t="shared" si="1"/>
        <v/>
      </c>
      <c r="H48" s="211"/>
      <c r="I48" s="211"/>
      <c r="J48" s="231"/>
      <c r="K48" s="381"/>
      <c r="L48" s="231"/>
      <c r="O48" s="413" t="s">
        <v>1072</v>
      </c>
    </row>
    <row r="49" spans="2:15" ht="15" hidden="1" customHeight="1" x14ac:dyDescent="0.25">
      <c r="B49" s="368" t="s">
        <v>1062</v>
      </c>
      <c r="C49" s="412"/>
      <c r="D49" s="390"/>
      <c r="F49" s="413"/>
      <c r="G49" s="228" t="str">
        <f t="shared" si="1"/>
        <v/>
      </c>
      <c r="H49" s="211"/>
      <c r="I49" s="211"/>
      <c r="J49" s="231"/>
      <c r="K49" s="381"/>
      <c r="L49" s="231"/>
      <c r="O49" s="413" t="s">
        <v>1073</v>
      </c>
    </row>
    <row r="50" spans="2:15" ht="15" hidden="1" customHeight="1" x14ac:dyDescent="0.25">
      <c r="B50" s="368" t="s">
        <v>1063</v>
      </c>
      <c r="C50" s="412"/>
      <c r="D50" s="390"/>
      <c r="F50" s="413"/>
      <c r="G50" s="228" t="str">
        <f t="shared" si="1"/>
        <v/>
      </c>
      <c r="H50" s="211"/>
      <c r="I50" s="211"/>
      <c r="J50" s="231"/>
      <c r="K50" s="381"/>
      <c r="L50" s="231"/>
      <c r="O50" s="413" t="s">
        <v>1074</v>
      </c>
    </row>
    <row r="51" spans="2:15" ht="15" hidden="1" customHeight="1" x14ac:dyDescent="0.25">
      <c r="B51" s="382" t="s">
        <v>1064</v>
      </c>
      <c r="C51" s="412"/>
      <c r="D51" s="390"/>
      <c r="F51" s="413"/>
      <c r="G51" s="228" t="str">
        <f t="shared" si="1"/>
        <v/>
      </c>
      <c r="H51" s="211"/>
      <c r="I51" s="211"/>
      <c r="J51" s="231"/>
      <c r="K51" s="381"/>
      <c r="L51" s="231"/>
      <c r="O51" s="413" t="s">
        <v>1075</v>
      </c>
    </row>
    <row r="52" spans="2:15" ht="15" hidden="1" customHeight="1" x14ac:dyDescent="0.25">
      <c r="B52" s="400" t="s">
        <v>1065</v>
      </c>
      <c r="C52" s="412"/>
      <c r="D52" s="390"/>
      <c r="F52" s="413"/>
      <c r="G52" s="228" t="str">
        <f t="shared" si="1"/>
        <v/>
      </c>
      <c r="H52" s="211"/>
      <c r="I52" s="211"/>
      <c r="J52" s="231"/>
      <c r="K52" s="381"/>
      <c r="L52" s="231"/>
      <c r="O52" s="413" t="s">
        <v>1076</v>
      </c>
    </row>
    <row r="53" spans="2:15" ht="15" hidden="1" customHeight="1" x14ac:dyDescent="0.25">
      <c r="B53" s="400" t="s">
        <v>1066</v>
      </c>
      <c r="C53" s="412"/>
      <c r="D53" s="390"/>
      <c r="F53" s="413"/>
      <c r="G53" s="228" t="str">
        <f t="shared" si="1"/>
        <v/>
      </c>
      <c r="H53" s="211"/>
      <c r="I53" s="211"/>
      <c r="J53" s="231"/>
      <c r="K53" s="381"/>
      <c r="L53" s="231"/>
      <c r="O53" s="413" t="s">
        <v>1077</v>
      </c>
    </row>
    <row r="54" spans="2:15" ht="15" hidden="1" customHeight="1" x14ac:dyDescent="0.25">
      <c r="B54" s="368" t="s">
        <v>1067</v>
      </c>
      <c r="C54" s="412"/>
      <c r="D54" s="390"/>
      <c r="F54" s="413"/>
      <c r="G54" s="228" t="str">
        <f t="shared" si="1"/>
        <v/>
      </c>
      <c r="H54" s="211"/>
      <c r="I54" s="211"/>
      <c r="J54" s="231"/>
      <c r="K54" s="381"/>
      <c r="L54" s="231"/>
      <c r="O54" s="413" t="s">
        <v>1078</v>
      </c>
    </row>
    <row r="55" spans="2:15" ht="15" hidden="1" customHeight="1" x14ac:dyDescent="0.25">
      <c r="B55" s="400" t="s">
        <v>1068</v>
      </c>
      <c r="C55" s="412"/>
      <c r="D55" s="390"/>
      <c r="F55" s="413"/>
      <c r="G55" s="228" t="str">
        <f t="shared" si="1"/>
        <v/>
      </c>
      <c r="H55" s="211"/>
      <c r="I55" s="211"/>
      <c r="J55" s="231"/>
      <c r="K55" s="381"/>
      <c r="L55" s="231"/>
      <c r="O55" s="413" t="s">
        <v>1079</v>
      </c>
    </row>
    <row r="56" spans="2:15" ht="15" hidden="1" customHeight="1" x14ac:dyDescent="0.25">
      <c r="B56" s="400" t="s">
        <v>1069</v>
      </c>
      <c r="C56" s="412"/>
      <c r="D56" s="390"/>
      <c r="F56" s="413"/>
      <c r="G56" s="228" t="str">
        <f t="shared" si="1"/>
        <v/>
      </c>
      <c r="H56" s="211"/>
      <c r="I56" s="211"/>
      <c r="J56" s="231"/>
      <c r="K56" s="381"/>
      <c r="L56" s="231"/>
      <c r="O56" s="413" t="s">
        <v>1080</v>
      </c>
    </row>
    <row r="57" spans="2:15" hidden="1" x14ac:dyDescent="0.25">
      <c r="K57" s="381"/>
    </row>
    <row r="58" spans="2:15" x14ac:dyDescent="0.25">
      <c r="K58" s="381"/>
    </row>
    <row r="59" spans="2:15" x14ac:dyDescent="0.25">
      <c r="K59" s="381"/>
    </row>
    <row r="60" spans="2:15" x14ac:dyDescent="0.25">
      <c r="K60" s="381"/>
    </row>
    <row r="61" spans="2:15" x14ac:dyDescent="0.25">
      <c r="K61" s="381"/>
    </row>
    <row r="62" spans="2:15" x14ac:dyDescent="0.25">
      <c r="E62" s="16"/>
      <c r="K62" s="381"/>
    </row>
    <row r="63" spans="2:15" x14ac:dyDescent="0.25">
      <c r="E63" s="16"/>
      <c r="K63" s="381"/>
    </row>
    <row r="64" spans="2:15" x14ac:dyDescent="0.25">
      <c r="E64" s="16"/>
    </row>
    <row r="65" spans="5:5" x14ac:dyDescent="0.25">
      <c r="E65" s="16"/>
    </row>
    <row r="66" spans="5:5" x14ac:dyDescent="0.25">
      <c r="E66" s="16"/>
    </row>
    <row r="67" spans="5:5" x14ac:dyDescent="0.25">
      <c r="E67" s="16"/>
    </row>
    <row r="68" spans="5:5" x14ac:dyDescent="0.25">
      <c r="E68" s="16"/>
    </row>
    <row r="69" spans="5:5" x14ac:dyDescent="0.25">
      <c r="E69" s="16"/>
    </row>
    <row r="70" spans="5:5" x14ac:dyDescent="0.25">
      <c r="E70" s="16"/>
    </row>
    <row r="71" spans="5:5" x14ac:dyDescent="0.25">
      <c r="E71" s="16"/>
    </row>
    <row r="72" spans="5:5" x14ac:dyDescent="0.25">
      <c r="E72" s="16"/>
    </row>
    <row r="73" spans="5:5" x14ac:dyDescent="0.25">
      <c r="E73" s="16"/>
    </row>
    <row r="74" spans="5:5" x14ac:dyDescent="0.25">
      <c r="E74" s="16"/>
    </row>
    <row r="75" spans="5:5" x14ac:dyDescent="0.25">
      <c r="E75" s="16"/>
    </row>
    <row r="76" spans="5:5" x14ac:dyDescent="0.25">
      <c r="E76" s="16"/>
    </row>
    <row r="77" spans="5:5" x14ac:dyDescent="0.25">
      <c r="E77" s="16"/>
    </row>
    <row r="78" spans="5:5" x14ac:dyDescent="0.25">
      <c r="E78" s="16"/>
    </row>
    <row r="80" spans="5:5" x14ac:dyDescent="0.25">
      <c r="E80"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sheetData>
  <mergeCells count="4">
    <mergeCell ref="B31:D31"/>
    <mergeCell ref="B34:D34"/>
    <mergeCell ref="B32:F32"/>
    <mergeCell ref="B35:D35"/>
  </mergeCells>
  <conditionalFormatting sqref="G57:G1048576 G45 G1:G17 G24:G37 G20:G21">
    <cfRule type="cellIs" dxfId="65" priority="16" operator="equal">
      <formula>"_"</formula>
    </cfRule>
  </conditionalFormatting>
  <conditionalFormatting sqref="G46:G56">
    <cfRule type="cellIs" dxfId="64" priority="12" operator="equal">
      <formula>"_"</formula>
    </cfRule>
  </conditionalFormatting>
  <conditionalFormatting sqref="G38">
    <cfRule type="cellIs" dxfId="63" priority="11" operator="equal">
      <formula>"_"</formula>
    </cfRule>
  </conditionalFormatting>
  <conditionalFormatting sqref="G38">
    <cfRule type="cellIs" dxfId="62" priority="10" operator="equal">
      <formula>"_"</formula>
    </cfRule>
  </conditionalFormatting>
  <conditionalFormatting sqref="G39:G40 G42:G44">
    <cfRule type="cellIs" dxfId="61" priority="9" operator="equal">
      <formula>"_"</formula>
    </cfRule>
  </conditionalFormatting>
  <conditionalFormatting sqref="G39:G40 G42:G44">
    <cfRule type="cellIs" dxfId="60" priority="8" operator="equal">
      <formula>"_"</formula>
    </cfRule>
  </conditionalFormatting>
  <conditionalFormatting sqref="G38:G40 G42:G44">
    <cfRule type="cellIs" dxfId="59" priority="7" operator="equal">
      <formula>"_"</formula>
    </cfRule>
  </conditionalFormatting>
  <conditionalFormatting sqref="G41">
    <cfRule type="cellIs" dxfId="58" priority="6" operator="equal">
      <formula>"_"</formula>
    </cfRule>
  </conditionalFormatting>
  <conditionalFormatting sqref="G41">
    <cfRule type="cellIs" dxfId="57" priority="5" operator="equal">
      <formula>"_"</formula>
    </cfRule>
  </conditionalFormatting>
  <conditionalFormatting sqref="G41">
    <cfRule type="cellIs" dxfId="56" priority="4" operator="equal">
      <formula>"_"</formula>
    </cfRule>
  </conditionalFormatting>
  <conditionalFormatting sqref="G22:G23">
    <cfRule type="cellIs" dxfId="55" priority="3" operator="equal">
      <formula>"_"</formula>
    </cfRule>
  </conditionalFormatting>
  <conditionalFormatting sqref="G18">
    <cfRule type="cellIs" dxfId="54" priority="2" operator="equal">
      <formula>"_"</formula>
    </cfRule>
  </conditionalFormatting>
  <conditionalFormatting sqref="G19">
    <cfRule type="cellIs" dxfId="53"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Excess Crime</oddHeader>
    <oddFooter>&amp;L&amp;G&amp;CPage &amp;P of &amp;N</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pageSetUpPr fitToPage="1"/>
  </sheetPr>
  <dimension ref="B1:M124"/>
  <sheetViews>
    <sheetView showGridLines="0" view="pageBreakPreview" topLeftCell="A16" zoomScale="115" zoomScaleNormal="100" zoomScaleSheetLayoutView="115" workbookViewId="0">
      <selection activeCell="B29" sqref="B29"/>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3.85546875" style="16" customWidth="1"/>
    <col min="14" max="53" width="9.140625" style="16" customWidth="1"/>
    <col min="54" max="16384" width="9.140625" style="16"/>
  </cols>
  <sheetData>
    <row r="1" spans="2:13" ht="7.5" customHeight="1" x14ac:dyDescent="0.25">
      <c r="E1" s="450"/>
    </row>
    <row r="2" spans="2:13" ht="15.75" x14ac:dyDescent="0.25">
      <c r="B2" s="453" t="str">
        <f>Input!B778</f>
        <v>Business Travel Accident</v>
      </c>
      <c r="E2" s="450"/>
      <c r="H2" s="454"/>
      <c r="I2" s="455"/>
      <c r="J2" s="455"/>
      <c r="L2" s="456" t="s">
        <v>391</v>
      </c>
      <c r="M2" s="381" t="s">
        <v>361</v>
      </c>
    </row>
    <row r="3" spans="2:13" x14ac:dyDescent="0.25">
      <c r="D3" s="455" t="str">
        <f xml:space="preserve"> IF(Input!D782=Input!G782,CHAR(254), "")</f>
        <v/>
      </c>
      <c r="E3" s="457"/>
      <c r="F3" s="458" t="str">
        <f xml:space="preserve"> IF(Input!E782=Input!G782,CHAR(254),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0" customHeight="1" x14ac:dyDescent="0.25">
      <c r="B5" s="409" t="s">
        <v>60</v>
      </c>
      <c r="C5" s="412" t="str">
        <f>Input!B783</f>
        <v>Zurich American Insurance Company</v>
      </c>
      <c r="D5" s="390" t="str">
        <f>Input!D783</f>
        <v>Zurich American Insurance Company</v>
      </c>
      <c r="F5" s="413" t="str">
        <f>Input!E783</f>
        <v>Zurich American Insurance Company</v>
      </c>
      <c r="J5" s="231"/>
      <c r="K5" s="231"/>
    </row>
    <row r="6" spans="2:13" x14ac:dyDescent="0.25">
      <c r="B6" s="409" t="s">
        <v>69</v>
      </c>
      <c r="C6" s="412" t="str">
        <f>Input!B785</f>
        <v>A+: XV</v>
      </c>
      <c r="D6" s="390" t="str">
        <f>Input!D785</f>
        <v>A+: XV</v>
      </c>
      <c r="F6" s="413" t="str">
        <f>Input!E785</f>
        <v>A+: XV</v>
      </c>
      <c r="J6" s="231"/>
      <c r="K6" s="231"/>
    </row>
    <row r="7" spans="2:13" x14ac:dyDescent="0.25">
      <c r="B7" s="409" t="str">
        <f>Input!B781</f>
        <v>Renewal Policy Number</v>
      </c>
      <c r="C7" s="412" t="str">
        <f>Input!C780</f>
        <v>GTU-0553546</v>
      </c>
      <c r="D7" s="390" t="str">
        <f>Input!C781</f>
        <v>TBD</v>
      </c>
      <c r="F7" s="413" t="str">
        <f>Input!C781</f>
        <v>TBD</v>
      </c>
      <c r="J7" s="231"/>
      <c r="K7" s="231"/>
    </row>
    <row r="8" spans="2:13" ht="15" customHeight="1" x14ac:dyDescent="0.25">
      <c r="B8" s="409" t="str">
        <f>Input!B6</f>
        <v>Renewal Policy Period</v>
      </c>
      <c r="C8" s="412" t="str">
        <f>Input!C5</f>
        <v>7/1/2022 - 7/1/2023</v>
      </c>
      <c r="D8" s="390" t="str">
        <f>Input!C6</f>
        <v>7/1/2023 - 7/1/2024</v>
      </c>
      <c r="F8" s="413" t="str">
        <f>Input!C6</f>
        <v>7/1/2023 - 7/1/2024</v>
      </c>
      <c r="J8" s="231"/>
      <c r="K8" s="231"/>
    </row>
    <row r="9" spans="2:13" ht="54.75" customHeight="1" x14ac:dyDescent="0.25">
      <c r="B9" s="409" t="str">
        <f>Input!B808</f>
        <v xml:space="preserve">Principal Sum </v>
      </c>
      <c r="C9" s="398" t="str">
        <f>Input!C808</f>
        <v>x5 Base Annual Earnings up to $1,000,000</v>
      </c>
      <c r="D9" s="425" t="str">
        <f>Input!D808</f>
        <v>x5 Base Annual Earnings up to Principal Sum of $1,000,000</v>
      </c>
      <c r="E9" s="414"/>
      <c r="F9" s="427">
        <f>Input!E808</f>
        <v>0</v>
      </c>
      <c r="J9" s="231"/>
      <c r="K9" s="231"/>
    </row>
    <row r="10" spans="2:13" x14ac:dyDescent="0.25">
      <c r="B10" s="409" t="str">
        <f>Input!B809</f>
        <v>Spouse/Partner</v>
      </c>
      <c r="C10" s="398">
        <f>Input!C809</f>
        <v>50000</v>
      </c>
      <c r="D10" s="425">
        <f>Input!D809</f>
        <v>50000</v>
      </c>
      <c r="E10" s="414"/>
      <c r="F10" s="427">
        <f>Input!E809</f>
        <v>0</v>
      </c>
      <c r="J10" s="231"/>
      <c r="K10" s="231"/>
    </row>
    <row r="11" spans="2:13" x14ac:dyDescent="0.25">
      <c r="B11" s="409" t="str">
        <f>Input!B810</f>
        <v>Dependent Children</v>
      </c>
      <c r="C11" s="398">
        <f>Input!C810</f>
        <v>25000</v>
      </c>
      <c r="D11" s="425">
        <f>Input!D810</f>
        <v>25000</v>
      </c>
      <c r="E11" s="414"/>
      <c r="F11" s="427">
        <f>Input!E810</f>
        <v>0</v>
      </c>
      <c r="J11" s="231"/>
      <c r="K11" s="231"/>
    </row>
    <row r="12" spans="2:13" ht="30" customHeight="1" x14ac:dyDescent="0.25">
      <c r="B12" s="409" t="str">
        <f>Input!B811</f>
        <v>Rehab Benefit</v>
      </c>
      <c r="C12" s="398" t="str">
        <f>Input!C811</f>
        <v>10% of principal sum up to $10,000</v>
      </c>
      <c r="D12" s="425" t="str">
        <f>Input!D811</f>
        <v>10% of principal sum up to $10,000</v>
      </c>
      <c r="E12" s="414"/>
      <c r="F12" s="427">
        <f>Input!E811</f>
        <v>0</v>
      </c>
      <c r="J12" s="231"/>
      <c r="K12" s="231"/>
    </row>
    <row r="13" spans="2:13" ht="30" customHeight="1" x14ac:dyDescent="0.25">
      <c r="B13" s="409" t="str">
        <f>Input!B812</f>
        <v>Terrorism Benefit</v>
      </c>
      <c r="C13" s="398" t="str">
        <f>Input!C812</f>
        <v>10% of principal sum up to $10,000</v>
      </c>
      <c r="D13" s="425" t="str">
        <f>Input!D812</f>
        <v>10% of principal sum up to $10,000</v>
      </c>
      <c r="E13" s="414"/>
      <c r="F13" s="427">
        <f>Input!E812</f>
        <v>0</v>
      </c>
      <c r="J13" s="231"/>
      <c r="K13" s="231"/>
    </row>
    <row r="14" spans="2:13" x14ac:dyDescent="0.25">
      <c r="B14" s="409" t="str">
        <f>Input!B813</f>
        <v>Med Evac Benefit</v>
      </c>
      <c r="C14" s="398" t="str">
        <f>Input!C813</f>
        <v>Unlimited</v>
      </c>
      <c r="D14" s="425" t="str">
        <f>Input!D813</f>
        <v>Unlimited</v>
      </c>
      <c r="E14" s="414"/>
      <c r="F14" s="427">
        <f>Input!E813</f>
        <v>0</v>
      </c>
      <c r="J14" s="231"/>
      <c r="K14" s="231"/>
    </row>
    <row r="15" spans="2:13" x14ac:dyDescent="0.25">
      <c r="B15" s="402" t="str">
        <f>Input!B814</f>
        <v>Aggregate Limit per Covered Accident</v>
      </c>
      <c r="C15" s="403">
        <f>Input!C814</f>
        <v>10000000</v>
      </c>
      <c r="D15" s="431">
        <f>Input!D814</f>
        <v>10000000</v>
      </c>
      <c r="E15" s="414"/>
      <c r="F15" s="430">
        <f>Input!E814</f>
        <v>0</v>
      </c>
      <c r="J15" s="231"/>
      <c r="K15" s="231"/>
    </row>
    <row r="16" spans="2:13" x14ac:dyDescent="0.25">
      <c r="B16" s="479" t="s">
        <v>367</v>
      </c>
      <c r="C16" s="479"/>
      <c r="D16" s="479"/>
      <c r="F16" s="562"/>
      <c r="G16" s="211"/>
      <c r="H16" s="211"/>
      <c r="I16" s="211"/>
      <c r="J16" s="566"/>
      <c r="K16" s="566"/>
    </row>
    <row r="17" spans="2:11" x14ac:dyDescent="0.25">
      <c r="B17" s="402" t="s">
        <v>343</v>
      </c>
      <c r="C17" s="428">
        <f>Input!B787</f>
        <v>3919</v>
      </c>
      <c r="D17" s="425">
        <f>Input!D787</f>
        <v>3173</v>
      </c>
      <c r="E17" s="414"/>
      <c r="F17" s="427">
        <f>Input!E787</f>
        <v>3173</v>
      </c>
      <c r="J17" s="231"/>
      <c r="K17" s="231"/>
    </row>
    <row r="18" spans="2:11" x14ac:dyDescent="0.25">
      <c r="B18" s="402" t="s">
        <v>374</v>
      </c>
      <c r="C18" s="428">
        <f>C19-C17</f>
        <v>0</v>
      </c>
      <c r="D18" s="425">
        <f>D19-D17</f>
        <v>0</v>
      </c>
      <c r="E18" s="414"/>
      <c r="F18" s="427">
        <f>F19-F17</f>
        <v>0</v>
      </c>
      <c r="J18" s="231"/>
      <c r="K18" s="231"/>
    </row>
    <row r="19" spans="2:11" x14ac:dyDescent="0.25">
      <c r="B19" s="409" t="s">
        <v>369</v>
      </c>
      <c r="C19" s="428">
        <f>Input!B795</f>
        <v>3919</v>
      </c>
      <c r="D19" s="425">
        <f>Input!D795</f>
        <v>3173</v>
      </c>
      <c r="F19" s="427">
        <f>Input!E795</f>
        <v>3173</v>
      </c>
      <c r="J19" s="231"/>
      <c r="K19" s="231"/>
    </row>
    <row r="20" spans="2:11" ht="7.5" customHeight="1" x14ac:dyDescent="0.25">
      <c r="B20" s="310"/>
      <c r="C20" s="228"/>
      <c r="D20" s="228"/>
      <c r="E20" s="238"/>
      <c r="F20" s="275"/>
      <c r="J20" s="381"/>
    </row>
    <row r="21" spans="2:11" x14ac:dyDescent="0.25">
      <c r="B21" s="1274" t="s">
        <v>144</v>
      </c>
      <c r="C21" s="1274"/>
      <c r="D21" s="1274"/>
      <c r="E21" s="432"/>
      <c r="F21" s="274"/>
      <c r="J21" s="381"/>
    </row>
    <row r="22" spans="2:11" ht="15" customHeight="1" x14ac:dyDescent="0.25">
      <c r="B22" s="1275" t="s">
        <v>1172</v>
      </c>
      <c r="C22" s="1275"/>
      <c r="D22" s="1275"/>
      <c r="E22" s="870"/>
      <c r="F22" s="871"/>
      <c r="J22" s="690" t="s">
        <v>995</v>
      </c>
      <c r="K22" s="690"/>
    </row>
    <row r="23" spans="2:11" ht="7.5" customHeight="1" x14ac:dyDescent="0.25">
      <c r="B23" s="380"/>
      <c r="C23" s="238"/>
      <c r="D23" s="238"/>
      <c r="E23" s="434"/>
      <c r="F23" s="275"/>
      <c r="J23" s="381"/>
    </row>
    <row r="24" spans="2:11" x14ac:dyDescent="0.25">
      <c r="B24" s="1274" t="s">
        <v>145</v>
      </c>
      <c r="C24" s="1274"/>
      <c r="D24" s="1274"/>
      <c r="F24" s="275"/>
      <c r="J24" s="381"/>
    </row>
    <row r="25" spans="2:11" x14ac:dyDescent="0.25">
      <c r="B25" s="1275" t="s">
        <v>1172</v>
      </c>
      <c r="C25" s="1276"/>
      <c r="D25" s="1276"/>
      <c r="E25" s="1276"/>
      <c r="F25" s="1277"/>
      <c r="J25" s="381"/>
    </row>
    <row r="26" spans="2:11" ht="7.5" customHeight="1" x14ac:dyDescent="0.25">
      <c r="B26" s="310"/>
      <c r="C26" s="228"/>
      <c r="D26" s="228"/>
      <c r="E26" s="426"/>
      <c r="F26" s="275"/>
      <c r="J26" s="381"/>
    </row>
    <row r="27" spans="2:11" x14ac:dyDescent="0.25">
      <c r="B27" s="523" t="s">
        <v>72</v>
      </c>
      <c r="C27" s="524" t="s">
        <v>62</v>
      </c>
      <c r="D27" s="525" t="s">
        <v>63</v>
      </c>
      <c r="F27" s="526" t="s">
        <v>146</v>
      </c>
      <c r="J27" s="527" t="s">
        <v>1002</v>
      </c>
      <c r="K27" s="527" t="s">
        <v>363</v>
      </c>
    </row>
    <row r="28" spans="2:11" x14ac:dyDescent="0.25">
      <c r="B28" s="673" t="s">
        <v>1697</v>
      </c>
      <c r="C28" s="824" t="s">
        <v>1033</v>
      </c>
      <c r="D28" s="745" t="s">
        <v>1033</v>
      </c>
      <c r="E28" s="926"/>
      <c r="F28" s="627"/>
      <c r="G28" s="450" t="str">
        <f t="shared" ref="G28:G91" si="0">IF(OR(TRIM(D28)&lt;&gt;"",TRIM(F28)&lt;&gt;""),IF(AND(TRIM(D28)&lt;&gt;"",TRIM(F28)&lt;&gt;""),IF(OR(TRIM(C28)&lt;&gt;TRIM(D28),TRIM(C28)&lt;&gt;TRIM(F28)),"_",""),IF(TRIM(C28)&lt;&gt;TRIM(D28), "_", "")),"")</f>
        <v/>
      </c>
      <c r="J28" s="929" t="s">
        <v>1698</v>
      </c>
      <c r="K28" s="527"/>
    </row>
    <row r="29" spans="2:11" ht="25.5" x14ac:dyDescent="0.25">
      <c r="B29" s="666" t="s">
        <v>74</v>
      </c>
      <c r="C29" s="824" t="s">
        <v>1775</v>
      </c>
      <c r="D29" s="745" t="s">
        <v>1775</v>
      </c>
      <c r="E29" s="926"/>
      <c r="F29" s="627"/>
      <c r="G29" s="450" t="str">
        <f t="shared" si="0"/>
        <v/>
      </c>
      <c r="J29" s="940"/>
      <c r="K29" s="527"/>
    </row>
    <row r="30" spans="2:11" hidden="1" x14ac:dyDescent="0.25">
      <c r="B30" s="939" t="s">
        <v>151</v>
      </c>
      <c r="C30" s="963"/>
      <c r="D30" s="955"/>
      <c r="E30" s="926"/>
      <c r="F30" s="627"/>
      <c r="G30" s="450" t="str">
        <f t="shared" si="0"/>
        <v/>
      </c>
      <c r="J30" s="940"/>
      <c r="K30" s="527"/>
    </row>
    <row r="31" spans="2:11" hidden="1" x14ac:dyDescent="0.25">
      <c r="B31" s="939" t="s">
        <v>76</v>
      </c>
      <c r="C31" s="963"/>
      <c r="D31" s="955"/>
      <c r="E31" s="926"/>
      <c r="F31" s="627"/>
      <c r="G31" s="450" t="str">
        <f t="shared" si="0"/>
        <v/>
      </c>
      <c r="J31" s="940"/>
      <c r="K31" s="527"/>
    </row>
    <row r="32" spans="2:11" hidden="1" x14ac:dyDescent="0.25">
      <c r="B32" s="939" t="s">
        <v>77</v>
      </c>
      <c r="C32" s="963"/>
      <c r="D32" s="955"/>
      <c r="E32" s="926"/>
      <c r="F32" s="627"/>
      <c r="G32" s="450" t="str">
        <f t="shared" si="0"/>
        <v/>
      </c>
      <c r="J32" s="940"/>
      <c r="K32" s="527"/>
    </row>
    <row r="33" spans="2:11" x14ac:dyDescent="0.25">
      <c r="B33" s="394" t="s">
        <v>390</v>
      </c>
      <c r="C33" s="692" t="s">
        <v>157</v>
      </c>
      <c r="D33" s="692" t="s">
        <v>157</v>
      </c>
      <c r="F33" s="443"/>
      <c r="G33" s="450" t="str">
        <f t="shared" si="0"/>
        <v/>
      </c>
      <c r="J33" s="231"/>
      <c r="K33" s="231"/>
    </row>
    <row r="34" spans="2:11" ht="25.5" hidden="1" x14ac:dyDescent="0.25">
      <c r="B34" s="941" t="s">
        <v>1699</v>
      </c>
      <c r="C34" s="937"/>
      <c r="D34" s="938"/>
      <c r="E34" s="926"/>
      <c r="F34" s="942"/>
      <c r="G34" s="450" t="str">
        <f t="shared" si="0"/>
        <v/>
      </c>
      <c r="J34" s="231"/>
      <c r="K34" s="231"/>
    </row>
    <row r="35" spans="2:11" ht="15" customHeight="1" x14ac:dyDescent="0.25">
      <c r="B35" s="673" t="s">
        <v>232</v>
      </c>
      <c r="C35" s="692" t="s">
        <v>157</v>
      </c>
      <c r="D35" s="692" t="s">
        <v>157</v>
      </c>
      <c r="F35" s="413"/>
      <c r="G35" s="450" t="str">
        <f t="shared" si="0"/>
        <v/>
      </c>
      <c r="J35" s="231"/>
      <c r="K35" s="231"/>
    </row>
    <row r="36" spans="2:11" hidden="1" x14ac:dyDescent="0.25">
      <c r="B36" s="400" t="s">
        <v>233</v>
      </c>
      <c r="C36" s="390"/>
      <c r="D36" s="390"/>
      <c r="F36" s="413"/>
      <c r="G36" s="450" t="str">
        <f t="shared" si="0"/>
        <v/>
      </c>
      <c r="J36" s="231"/>
      <c r="K36" s="231"/>
    </row>
    <row r="37" spans="2:11" x14ac:dyDescent="0.25">
      <c r="B37" s="368" t="s">
        <v>852</v>
      </c>
      <c r="C37" s="391"/>
      <c r="D37" s="391"/>
      <c r="F37" s="436"/>
      <c r="G37" s="450" t="str">
        <f t="shared" si="0"/>
        <v/>
      </c>
      <c r="J37" s="232"/>
      <c r="K37" s="232"/>
    </row>
    <row r="38" spans="2:11" x14ac:dyDescent="0.25">
      <c r="B38" s="636" t="s">
        <v>853</v>
      </c>
      <c r="C38" s="748" t="s">
        <v>157</v>
      </c>
      <c r="D38" s="748" t="s">
        <v>157</v>
      </c>
      <c r="F38" s="440"/>
      <c r="G38" s="450" t="str">
        <f t="shared" si="0"/>
        <v/>
      </c>
      <c r="J38" s="447"/>
      <c r="K38" s="447"/>
    </row>
    <row r="39" spans="2:11" x14ac:dyDescent="0.25">
      <c r="B39" s="657" t="s">
        <v>854</v>
      </c>
      <c r="C39" s="749" t="s">
        <v>157</v>
      </c>
      <c r="D39" s="749" t="s">
        <v>157</v>
      </c>
      <c r="F39" s="443"/>
      <c r="G39" s="450" t="str">
        <f t="shared" si="0"/>
        <v/>
      </c>
      <c r="J39" s="445"/>
      <c r="K39" s="445"/>
    </row>
    <row r="40" spans="2:11" ht="30" customHeight="1" x14ac:dyDescent="0.25">
      <c r="B40" s="400" t="s">
        <v>234</v>
      </c>
      <c r="C40" s="853" t="s">
        <v>1611</v>
      </c>
      <c r="D40" s="853" t="s">
        <v>1611</v>
      </c>
      <c r="F40" s="413"/>
      <c r="G40" s="450" t="str">
        <f t="shared" si="0"/>
        <v/>
      </c>
      <c r="J40" s="231"/>
      <c r="K40" s="231"/>
    </row>
    <row r="41" spans="2:11" hidden="1" x14ac:dyDescent="0.25">
      <c r="B41" s="400" t="s">
        <v>235</v>
      </c>
      <c r="C41" s="412"/>
      <c r="D41" s="390"/>
      <c r="F41" s="413"/>
      <c r="G41" s="450" t="str">
        <f t="shared" si="0"/>
        <v/>
      </c>
      <c r="J41" s="231"/>
      <c r="K41" s="231"/>
    </row>
    <row r="42" spans="2:11" ht="7.5" customHeight="1" x14ac:dyDescent="0.25">
      <c r="B42" s="310"/>
      <c r="C42" s="228"/>
      <c r="D42" s="228"/>
      <c r="F42" s="275"/>
      <c r="G42" s="450" t="str">
        <f t="shared" si="0"/>
        <v/>
      </c>
      <c r="J42" s="381"/>
    </row>
    <row r="43" spans="2:11" x14ac:dyDescent="0.25">
      <c r="B43" s="523" t="s">
        <v>103</v>
      </c>
      <c r="C43" s="524" t="s">
        <v>62</v>
      </c>
      <c r="D43" s="525" t="s">
        <v>63</v>
      </c>
      <c r="F43" s="526" t="s">
        <v>146</v>
      </c>
      <c r="G43" s="450" t="str">
        <f t="shared" si="0"/>
        <v>_</v>
      </c>
      <c r="J43" s="527" t="s">
        <v>1002</v>
      </c>
      <c r="K43" s="527" t="s">
        <v>363</v>
      </c>
    </row>
    <row r="44" spans="2:11" hidden="1" x14ac:dyDescent="0.25">
      <c r="B44" s="923" t="s">
        <v>1700</v>
      </c>
      <c r="C44" s="924"/>
      <c r="D44" s="925"/>
      <c r="E44" s="926"/>
      <c r="F44" s="713"/>
      <c r="G44" s="450" t="str">
        <f t="shared" si="0"/>
        <v/>
      </c>
      <c r="J44" s="922" t="s">
        <v>1701</v>
      </c>
      <c r="K44" s="527"/>
    </row>
    <row r="45" spans="2:11" ht="25.5" hidden="1" x14ac:dyDescent="0.25">
      <c r="B45" s="943" t="s">
        <v>1702</v>
      </c>
      <c r="C45" s="924"/>
      <c r="D45" s="925"/>
      <c r="E45" s="926"/>
      <c r="F45" s="713"/>
      <c r="G45" s="450" t="str">
        <f t="shared" si="0"/>
        <v/>
      </c>
      <c r="J45" s="740"/>
      <c r="K45" s="527"/>
    </row>
    <row r="46" spans="2:11" hidden="1" x14ac:dyDescent="0.25">
      <c r="B46" s="943" t="s">
        <v>1703</v>
      </c>
      <c r="C46" s="924"/>
      <c r="D46" s="925"/>
      <c r="E46" s="926"/>
      <c r="F46" s="713"/>
      <c r="G46" s="450" t="str">
        <f t="shared" si="0"/>
        <v/>
      </c>
      <c r="J46" s="740"/>
      <c r="K46" s="527"/>
    </row>
    <row r="47" spans="2:11" hidden="1" x14ac:dyDescent="0.25">
      <c r="B47" s="943" t="s">
        <v>1704</v>
      </c>
      <c r="C47" s="924"/>
      <c r="D47" s="925"/>
      <c r="E47" s="926"/>
      <c r="F47" s="713"/>
      <c r="G47" s="450" t="str">
        <f t="shared" si="0"/>
        <v/>
      </c>
      <c r="J47" s="740"/>
      <c r="K47" s="527"/>
    </row>
    <row r="48" spans="2:11" x14ac:dyDescent="0.25">
      <c r="B48" s="673" t="s">
        <v>1612</v>
      </c>
      <c r="C48" s="710" t="s">
        <v>1053</v>
      </c>
      <c r="D48" s="710" t="s">
        <v>1053</v>
      </c>
      <c r="F48" s="413"/>
      <c r="G48" s="450" t="str">
        <f t="shared" si="0"/>
        <v/>
      </c>
      <c r="J48" s="231"/>
      <c r="K48" s="231"/>
    </row>
    <row r="49" spans="2:11" x14ac:dyDescent="0.25">
      <c r="B49" s="674" t="s">
        <v>1613</v>
      </c>
      <c r="C49" s="710" t="s">
        <v>1053</v>
      </c>
      <c r="D49" s="710" t="s">
        <v>1053</v>
      </c>
      <c r="F49" s="413"/>
      <c r="G49" s="450" t="str">
        <f t="shared" si="0"/>
        <v/>
      </c>
      <c r="J49" s="231"/>
      <c r="K49" s="231"/>
    </row>
    <row r="50" spans="2:11" x14ac:dyDescent="0.25">
      <c r="B50" s="294"/>
      <c r="C50" s="412"/>
      <c r="D50" s="390"/>
      <c r="F50" s="413"/>
      <c r="G50" s="450" t="str">
        <f t="shared" si="0"/>
        <v/>
      </c>
      <c r="J50" s="231"/>
      <c r="K50" s="231"/>
    </row>
    <row r="51" spans="2:11" ht="7.5" customHeight="1" x14ac:dyDescent="0.25">
      <c r="B51" s="381"/>
      <c r="C51" s="228"/>
      <c r="D51" s="228"/>
      <c r="F51" s="228"/>
      <c r="G51" s="450" t="str">
        <f t="shared" si="0"/>
        <v/>
      </c>
      <c r="J51" s="381"/>
    </row>
    <row r="52" spans="2:11" x14ac:dyDescent="0.25">
      <c r="B52" s="528" t="s">
        <v>359</v>
      </c>
      <c r="C52" s="524" t="s">
        <v>62</v>
      </c>
      <c r="D52" s="525" t="s">
        <v>63</v>
      </c>
      <c r="F52" s="526" t="s">
        <v>146</v>
      </c>
      <c r="G52" s="450" t="str">
        <f t="shared" si="0"/>
        <v>_</v>
      </c>
      <c r="H52" s="211"/>
      <c r="I52" s="211"/>
      <c r="J52" s="527" t="s">
        <v>1002</v>
      </c>
      <c r="K52" s="527" t="s">
        <v>363</v>
      </c>
    </row>
    <row r="53" spans="2:11" x14ac:dyDescent="0.25">
      <c r="B53" s="400"/>
      <c r="C53" s="412"/>
      <c r="D53" s="390"/>
      <c r="F53" s="413"/>
      <c r="G53" s="450" t="str">
        <f t="shared" si="0"/>
        <v/>
      </c>
      <c r="H53" s="211"/>
      <c r="I53" s="211"/>
      <c r="J53" s="231"/>
      <c r="K53" s="231"/>
    </row>
    <row r="54" spans="2:11" x14ac:dyDescent="0.25">
      <c r="B54" s="368"/>
      <c r="C54" s="412"/>
      <c r="D54" s="390"/>
      <c r="F54" s="413"/>
      <c r="G54" s="450" t="str">
        <f t="shared" si="0"/>
        <v/>
      </c>
      <c r="H54" s="211"/>
      <c r="I54" s="211"/>
      <c r="J54" s="231"/>
      <c r="K54" s="231"/>
    </row>
    <row r="55" spans="2:11" x14ac:dyDescent="0.25">
      <c r="B55" s="368"/>
      <c r="C55" s="412"/>
      <c r="D55" s="390"/>
      <c r="F55" s="413"/>
      <c r="G55" s="450" t="str">
        <f t="shared" si="0"/>
        <v/>
      </c>
      <c r="H55" s="211"/>
      <c r="I55" s="211"/>
      <c r="J55" s="231"/>
      <c r="K55" s="231"/>
    </row>
    <row r="56" spans="2:11" x14ac:dyDescent="0.25">
      <c r="B56" s="368"/>
      <c r="C56" s="412"/>
      <c r="D56" s="390"/>
      <c r="F56" s="413"/>
      <c r="G56" s="450" t="str">
        <f t="shared" si="0"/>
        <v/>
      </c>
      <c r="H56" s="211"/>
      <c r="I56" s="211"/>
      <c r="J56" s="231"/>
      <c r="K56" s="231"/>
    </row>
    <row r="57" spans="2:11" x14ac:dyDescent="0.25">
      <c r="B57" s="382"/>
      <c r="C57" s="412"/>
      <c r="D57" s="390"/>
      <c r="F57" s="413"/>
      <c r="G57" s="450" t="str">
        <f t="shared" si="0"/>
        <v/>
      </c>
      <c r="H57" s="211"/>
      <c r="I57" s="211"/>
      <c r="J57" s="231"/>
      <c r="K57" s="231"/>
    </row>
    <row r="58" spans="2:11" x14ac:dyDescent="0.25">
      <c r="B58" s="400"/>
      <c r="C58" s="412"/>
      <c r="D58" s="390"/>
      <c r="F58" s="413"/>
      <c r="G58" s="450" t="str">
        <f t="shared" si="0"/>
        <v/>
      </c>
      <c r="H58" s="211"/>
      <c r="I58" s="211"/>
      <c r="J58" s="231"/>
      <c r="K58" s="231"/>
    </row>
    <row r="59" spans="2:11" x14ac:dyDescent="0.25">
      <c r="B59" s="400"/>
      <c r="C59" s="412"/>
      <c r="D59" s="390"/>
      <c r="F59" s="413"/>
      <c r="G59" s="450" t="str">
        <f t="shared" si="0"/>
        <v/>
      </c>
      <c r="H59" s="211"/>
      <c r="I59" s="211"/>
      <c r="J59" s="231"/>
      <c r="K59" s="231"/>
    </row>
    <row r="60" spans="2:11" x14ac:dyDescent="0.25">
      <c r="B60" s="368"/>
      <c r="C60" s="412"/>
      <c r="D60" s="390"/>
      <c r="F60" s="413"/>
      <c r="G60" s="450" t="str">
        <f t="shared" si="0"/>
        <v/>
      </c>
      <c r="H60" s="211"/>
      <c r="I60" s="211"/>
      <c r="J60" s="231"/>
      <c r="K60" s="231"/>
    </row>
    <row r="61" spans="2:11" x14ac:dyDescent="0.25">
      <c r="B61" s="400"/>
      <c r="C61" s="412"/>
      <c r="D61" s="390"/>
      <c r="F61" s="413"/>
      <c r="G61" s="450" t="str">
        <f t="shared" si="0"/>
        <v/>
      </c>
      <c r="H61" s="211"/>
      <c r="I61" s="211"/>
      <c r="J61" s="231"/>
      <c r="K61" s="231"/>
    </row>
    <row r="62" spans="2:11" x14ac:dyDescent="0.25">
      <c r="B62" s="400"/>
      <c r="C62" s="412"/>
      <c r="D62" s="390"/>
      <c r="F62" s="413"/>
      <c r="G62" s="450" t="str">
        <f t="shared" si="0"/>
        <v/>
      </c>
      <c r="H62" s="211"/>
      <c r="I62" s="211"/>
      <c r="J62" s="231"/>
      <c r="K62" s="231"/>
    </row>
    <row r="63" spans="2:11" x14ac:dyDescent="0.25">
      <c r="B63" s="400"/>
      <c r="C63" s="412"/>
      <c r="D63" s="390"/>
      <c r="F63" s="413"/>
      <c r="G63" s="450" t="str">
        <f t="shared" si="0"/>
        <v/>
      </c>
      <c r="H63" s="211"/>
      <c r="I63" s="211"/>
      <c r="J63" s="231"/>
      <c r="K63" s="231"/>
    </row>
    <row r="64" spans="2:11" x14ac:dyDescent="0.25">
      <c r="B64" s="368"/>
      <c r="C64" s="412"/>
      <c r="D64" s="390"/>
      <c r="F64" s="413"/>
      <c r="G64" s="450" t="str">
        <f t="shared" si="0"/>
        <v/>
      </c>
      <c r="H64" s="211"/>
      <c r="I64" s="211"/>
      <c r="J64" s="231"/>
      <c r="K64" s="231"/>
    </row>
    <row r="65" spans="2:11" x14ac:dyDescent="0.25">
      <c r="B65" s="368"/>
      <c r="C65" s="412"/>
      <c r="D65" s="390"/>
      <c r="F65" s="413"/>
      <c r="G65" s="450" t="str">
        <f t="shared" si="0"/>
        <v/>
      </c>
      <c r="H65" s="211"/>
      <c r="I65" s="211"/>
      <c r="J65" s="231"/>
      <c r="K65" s="231"/>
    </row>
    <row r="66" spans="2:11" x14ac:dyDescent="0.25">
      <c r="B66" s="400"/>
      <c r="C66" s="412"/>
      <c r="D66" s="390"/>
      <c r="F66" s="413"/>
      <c r="G66" s="450" t="str">
        <f t="shared" si="0"/>
        <v/>
      </c>
      <c r="H66" s="211"/>
      <c r="I66" s="211"/>
      <c r="J66" s="231"/>
      <c r="K66" s="231"/>
    </row>
    <row r="67" spans="2:11" x14ac:dyDescent="0.25">
      <c r="B67" s="368"/>
      <c r="C67" s="412"/>
      <c r="D67" s="390"/>
      <c r="F67" s="413"/>
      <c r="G67" s="450" t="str">
        <f t="shared" si="0"/>
        <v/>
      </c>
      <c r="H67" s="211"/>
      <c r="I67" s="211"/>
      <c r="J67" s="231"/>
      <c r="K67" s="231"/>
    </row>
    <row r="68" spans="2:11" x14ac:dyDescent="0.25">
      <c r="B68" s="368"/>
      <c r="C68" s="412"/>
      <c r="D68" s="390"/>
      <c r="F68" s="413"/>
      <c r="G68" s="450" t="str">
        <f t="shared" si="0"/>
        <v/>
      </c>
      <c r="H68" s="211"/>
      <c r="I68" s="211"/>
      <c r="J68" s="231"/>
      <c r="K68" s="231"/>
    </row>
    <row r="69" spans="2:11" x14ac:dyDescent="0.25">
      <c r="B69" s="368"/>
      <c r="C69" s="412"/>
      <c r="D69" s="390"/>
      <c r="F69" s="413"/>
      <c r="G69" s="450" t="str">
        <f t="shared" si="0"/>
        <v/>
      </c>
      <c r="H69" s="211"/>
      <c r="I69" s="211"/>
      <c r="J69" s="231"/>
      <c r="K69" s="231"/>
    </row>
    <row r="70" spans="2:11" x14ac:dyDescent="0.25">
      <c r="B70" s="400"/>
      <c r="C70" s="412"/>
      <c r="D70" s="390"/>
      <c r="F70" s="413"/>
      <c r="G70" s="450" t="str">
        <f t="shared" si="0"/>
        <v/>
      </c>
      <c r="H70" s="211"/>
      <c r="I70" s="211"/>
      <c r="J70" s="231"/>
      <c r="K70" s="231"/>
    </row>
    <row r="71" spans="2:11" x14ac:dyDescent="0.25">
      <c r="G71" s="450" t="str">
        <f t="shared" si="0"/>
        <v/>
      </c>
    </row>
    <row r="72" spans="2:11" x14ac:dyDescent="0.25">
      <c r="G72" s="450" t="str">
        <f t="shared" si="0"/>
        <v/>
      </c>
    </row>
    <row r="73" spans="2:11" x14ac:dyDescent="0.25">
      <c r="G73" s="450" t="str">
        <f t="shared" si="0"/>
        <v/>
      </c>
    </row>
    <row r="74" spans="2:11" x14ac:dyDescent="0.25">
      <c r="G74" s="450" t="str">
        <f t="shared" si="0"/>
        <v/>
      </c>
    </row>
    <row r="75" spans="2:11" x14ac:dyDescent="0.25">
      <c r="G75" s="450" t="str">
        <f t="shared" si="0"/>
        <v/>
      </c>
    </row>
    <row r="76" spans="2:11" x14ac:dyDescent="0.25">
      <c r="G76" s="450" t="str">
        <f t="shared" si="0"/>
        <v/>
      </c>
    </row>
    <row r="77" spans="2:11" x14ac:dyDescent="0.25">
      <c r="G77" s="450" t="str">
        <f t="shared" si="0"/>
        <v/>
      </c>
    </row>
    <row r="78" spans="2:11" x14ac:dyDescent="0.25">
      <c r="G78" s="450" t="str">
        <f t="shared" si="0"/>
        <v/>
      </c>
    </row>
    <row r="79" spans="2:11" x14ac:dyDescent="0.25">
      <c r="G79" s="450" t="str">
        <f t="shared" si="0"/>
        <v/>
      </c>
    </row>
    <row r="80" spans="2:11" x14ac:dyDescent="0.25">
      <c r="G80" s="450" t="str">
        <f t="shared" si="0"/>
        <v/>
      </c>
    </row>
    <row r="81" spans="5:7" x14ac:dyDescent="0.25">
      <c r="G81" s="450" t="str">
        <f t="shared" si="0"/>
        <v/>
      </c>
    </row>
    <row r="82" spans="5:7" x14ac:dyDescent="0.25">
      <c r="G82" s="450" t="str">
        <f t="shared" si="0"/>
        <v/>
      </c>
    </row>
    <row r="83" spans="5:7" x14ac:dyDescent="0.25">
      <c r="G83" s="450" t="str">
        <f t="shared" si="0"/>
        <v/>
      </c>
    </row>
    <row r="84" spans="5:7" x14ac:dyDescent="0.25">
      <c r="G84" s="450" t="str">
        <f t="shared" si="0"/>
        <v/>
      </c>
    </row>
    <row r="85" spans="5:7" x14ac:dyDescent="0.25">
      <c r="E85" s="16"/>
      <c r="G85" s="450" t="str">
        <f t="shared" si="0"/>
        <v/>
      </c>
    </row>
    <row r="86" spans="5:7" x14ac:dyDescent="0.25">
      <c r="E86" s="16"/>
      <c r="G86" s="450" t="str">
        <f t="shared" si="0"/>
        <v/>
      </c>
    </row>
    <row r="87" spans="5:7" x14ac:dyDescent="0.25">
      <c r="E87" s="16"/>
      <c r="G87" s="450" t="str">
        <f t="shared" si="0"/>
        <v/>
      </c>
    </row>
    <row r="88" spans="5:7" x14ac:dyDescent="0.25">
      <c r="E88" s="16"/>
      <c r="G88" s="450" t="str">
        <f t="shared" si="0"/>
        <v/>
      </c>
    </row>
    <row r="89" spans="5:7" x14ac:dyDescent="0.25">
      <c r="E89" s="16"/>
      <c r="G89" s="450" t="str">
        <f t="shared" si="0"/>
        <v/>
      </c>
    </row>
    <row r="90" spans="5:7" x14ac:dyDescent="0.25">
      <c r="E90" s="16"/>
      <c r="G90" s="450" t="str">
        <f t="shared" si="0"/>
        <v/>
      </c>
    </row>
    <row r="91" spans="5:7" x14ac:dyDescent="0.25">
      <c r="E91" s="16"/>
      <c r="G91" s="450" t="str">
        <f t="shared" si="0"/>
        <v/>
      </c>
    </row>
    <row r="92" spans="5:7" x14ac:dyDescent="0.25">
      <c r="E92" s="16"/>
      <c r="G92" s="450" t="str">
        <f t="shared" ref="G92:G102" si="1">IF(OR(TRIM(D92)&lt;&gt;"",TRIM(F92)&lt;&gt;""),IF(AND(TRIM(D92)&lt;&gt;"",TRIM(F92)&lt;&gt;""),IF(OR(TRIM(C92)&lt;&gt;TRIM(D92),TRIM(C92)&lt;&gt;TRIM(F92)),"_",""),IF(TRIM(C92)&lt;&gt;TRIM(D92), "_", "")),"")</f>
        <v/>
      </c>
    </row>
    <row r="93" spans="5:7" x14ac:dyDescent="0.25">
      <c r="E93" s="16"/>
      <c r="G93" s="450" t="str">
        <f t="shared" si="1"/>
        <v/>
      </c>
    </row>
    <row r="94" spans="5:7" x14ac:dyDescent="0.25">
      <c r="E94" s="16"/>
      <c r="G94" s="450" t="str">
        <f t="shared" si="1"/>
        <v/>
      </c>
    </row>
    <row r="95" spans="5:7" x14ac:dyDescent="0.25">
      <c r="E95" s="16"/>
      <c r="G95" s="450" t="str">
        <f t="shared" si="1"/>
        <v/>
      </c>
    </row>
    <row r="96" spans="5:7" x14ac:dyDescent="0.25">
      <c r="E96" s="16"/>
      <c r="G96" s="450" t="str">
        <f t="shared" si="1"/>
        <v/>
      </c>
    </row>
    <row r="97" spans="5:7" x14ac:dyDescent="0.25">
      <c r="E97" s="16"/>
      <c r="G97" s="450" t="str">
        <f t="shared" si="1"/>
        <v/>
      </c>
    </row>
    <row r="98" spans="5:7" x14ac:dyDescent="0.25">
      <c r="E98" s="16"/>
      <c r="G98" s="450" t="str">
        <f t="shared" si="1"/>
        <v/>
      </c>
    </row>
    <row r="99" spans="5:7" x14ac:dyDescent="0.25">
      <c r="E99" s="16"/>
      <c r="G99" s="450" t="str">
        <f t="shared" si="1"/>
        <v/>
      </c>
    </row>
    <row r="100" spans="5:7" x14ac:dyDescent="0.25">
      <c r="E100" s="16"/>
      <c r="G100" s="450" t="str">
        <f t="shared" si="1"/>
        <v/>
      </c>
    </row>
    <row r="101" spans="5:7" x14ac:dyDescent="0.25">
      <c r="E101" s="16"/>
      <c r="G101" s="450" t="str">
        <f t="shared" si="1"/>
        <v/>
      </c>
    </row>
    <row r="102" spans="5:7" x14ac:dyDescent="0.25">
      <c r="G102" s="450" t="str">
        <f t="shared" si="1"/>
        <v/>
      </c>
    </row>
    <row r="103" spans="5:7" x14ac:dyDescent="0.25">
      <c r="E103" s="16"/>
    </row>
    <row r="104" spans="5:7" x14ac:dyDescent="0.25">
      <c r="E104" s="16"/>
    </row>
    <row r="105" spans="5:7" x14ac:dyDescent="0.25">
      <c r="E105" s="16"/>
    </row>
    <row r="106" spans="5:7" x14ac:dyDescent="0.25">
      <c r="E106" s="16"/>
    </row>
    <row r="107" spans="5:7" x14ac:dyDescent="0.25">
      <c r="E107" s="16"/>
    </row>
    <row r="108" spans="5:7" x14ac:dyDescent="0.25">
      <c r="E108" s="16"/>
    </row>
    <row r="109" spans="5:7" x14ac:dyDescent="0.25">
      <c r="E109" s="16"/>
    </row>
    <row r="110" spans="5:7" x14ac:dyDescent="0.25">
      <c r="E110" s="16"/>
    </row>
    <row r="111" spans="5:7" x14ac:dyDescent="0.25">
      <c r="E111" s="16"/>
    </row>
    <row r="112" spans="5:7"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row r="121" spans="5:5" x14ac:dyDescent="0.25">
      <c r="E121" s="16"/>
    </row>
    <row r="122" spans="5:5" x14ac:dyDescent="0.25">
      <c r="E122" s="16"/>
    </row>
    <row r="123" spans="5:5" x14ac:dyDescent="0.25">
      <c r="E123" s="16"/>
    </row>
    <row r="124" spans="5:5" x14ac:dyDescent="0.25">
      <c r="E124" s="16"/>
    </row>
  </sheetData>
  <mergeCells count="4">
    <mergeCell ref="B21:D21"/>
    <mergeCell ref="B24:D24"/>
    <mergeCell ref="B25:F25"/>
    <mergeCell ref="B22:D22"/>
  </mergeCells>
  <conditionalFormatting sqref="G1:G15 G103:G1048576 G17:G27">
    <cfRule type="cellIs" dxfId="52" priority="10" operator="equal">
      <formula>"_"</formula>
    </cfRule>
  </conditionalFormatting>
  <conditionalFormatting sqref="G16">
    <cfRule type="cellIs" dxfId="51" priority="5" operator="equal">
      <formula>"_"</formula>
    </cfRule>
  </conditionalFormatting>
  <conditionalFormatting sqref="G28:G102">
    <cfRule type="cellIs" dxfId="50" priority="4" operator="equal">
      <formula>"_"</formula>
    </cfRule>
  </conditionalFormatting>
  <conditionalFormatting sqref="C44:D47">
    <cfRule type="cellIs" dxfId="49" priority="1" operator="equal">
      <formula>"Not Excluded"</formula>
    </cfRule>
    <cfRule type="cellIs" dxfId="48" priority="2" operator="equal">
      <formula>"Excluded"</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Business Travel Accident</oddHeader>
    <oddFooter>&amp;L&amp;G&amp;CPage &amp;P of &amp;N</oddFooter>
  </headerFooter>
  <drawing r:id="rId2"/>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pageSetUpPr fitToPage="1"/>
  </sheetPr>
  <dimension ref="B1:M158"/>
  <sheetViews>
    <sheetView showGridLines="0" zoomScaleNormal="100" zoomScaleSheetLayoutView="100" workbookViewId="0">
      <selection activeCell="M31" sqref="M31"/>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0"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6.42578125" style="16" customWidth="1"/>
    <col min="14" max="53" width="9.140625" style="16" customWidth="1"/>
    <col min="54" max="16384" width="9.140625" style="16"/>
  </cols>
  <sheetData>
    <row r="1" spans="2:13" ht="7.5" customHeight="1" x14ac:dyDescent="0.25">
      <c r="E1" s="450"/>
    </row>
    <row r="2" spans="2:13" ht="15.75" x14ac:dyDescent="0.25">
      <c r="B2" s="453" t="str">
        <f>Input!B816</f>
        <v>Foreign Package - T5CS</v>
      </c>
      <c r="E2" s="450"/>
      <c r="H2" s="454"/>
      <c r="I2" s="455"/>
      <c r="J2" s="455"/>
      <c r="L2" s="456" t="s">
        <v>391</v>
      </c>
      <c r="M2" s="381" t="s">
        <v>361</v>
      </c>
    </row>
    <row r="3" spans="2:13" x14ac:dyDescent="0.25">
      <c r="B3" s="310"/>
      <c r="C3" s="228"/>
      <c r="D3" s="455" t="str">
        <f xml:space="preserve"> IF(Input!D820=Input!G820,CHAR(254), "")</f>
        <v/>
      </c>
      <c r="E3" s="457"/>
      <c r="F3" s="455" t="str">
        <f xml:space="preserve"> IF(Input!E820=Input!G820,CHAR(254), "")</f>
        <v/>
      </c>
      <c r="G3" s="211"/>
      <c r="H3" s="211"/>
      <c r="I3" s="211"/>
      <c r="J3" s="211"/>
      <c r="L3" s="459" t="s">
        <v>157</v>
      </c>
      <c r="M3" s="211" t="s">
        <v>362</v>
      </c>
    </row>
    <row r="4" spans="2:13" x14ac:dyDescent="0.25">
      <c r="B4" s="523" t="s">
        <v>66</v>
      </c>
      <c r="C4" s="524" t="s">
        <v>62</v>
      </c>
      <c r="D4" s="525" t="s">
        <v>63</v>
      </c>
      <c r="E4" s="426"/>
      <c r="F4" s="525" t="s">
        <v>146</v>
      </c>
      <c r="G4" s="211"/>
      <c r="H4" s="211"/>
      <c r="I4" s="211"/>
      <c r="J4" s="527" t="s">
        <v>1002</v>
      </c>
      <c r="K4" s="527" t="s">
        <v>363</v>
      </c>
      <c r="L4" s="460"/>
      <c r="M4" s="211"/>
    </row>
    <row r="5" spans="2:13" ht="30" customHeight="1" x14ac:dyDescent="0.25">
      <c r="B5" s="409" t="s">
        <v>60</v>
      </c>
      <c r="C5" s="412" t="str">
        <f>Input!B821</f>
        <v>The Continental Insurance Company (CNA)</v>
      </c>
      <c r="D5" s="390" t="str">
        <f>Input!D821</f>
        <v>The Continental Insurance Company (CNA)</v>
      </c>
      <c r="F5" s="390">
        <f>Input!E821</f>
        <v>0</v>
      </c>
      <c r="G5" s="211"/>
      <c r="H5" s="211"/>
      <c r="I5" s="211"/>
      <c r="J5" s="231"/>
      <c r="K5" s="231"/>
    </row>
    <row r="6" spans="2:13" x14ac:dyDescent="0.25">
      <c r="B6" s="409" t="s">
        <v>69</v>
      </c>
      <c r="C6" s="412" t="str">
        <f>Input!B823</f>
        <v>A: XV</v>
      </c>
      <c r="D6" s="390" t="str">
        <f>Input!D823</f>
        <v>A: XV</v>
      </c>
      <c r="F6" s="390">
        <f>Input!E823</f>
        <v>0</v>
      </c>
      <c r="G6" s="211"/>
      <c r="H6" s="211"/>
      <c r="I6" s="211"/>
      <c r="J6" s="231"/>
      <c r="K6" s="231"/>
    </row>
    <row r="7" spans="2:13" x14ac:dyDescent="0.25">
      <c r="B7" s="409" t="str">
        <f>Input!B819</f>
        <v>Renewal Policy Number</v>
      </c>
      <c r="C7" s="412" t="str">
        <f>Input!C818</f>
        <v>PST 67 337 8561</v>
      </c>
      <c r="D7" s="390" t="str">
        <f>Input!C819</f>
        <v>PST 73 488 5104</v>
      </c>
      <c r="F7" s="390" t="str">
        <f>Input!C819</f>
        <v>PST 73 488 5104</v>
      </c>
      <c r="G7" s="211"/>
      <c r="H7" s="211"/>
      <c r="I7" s="211"/>
      <c r="J7" s="231"/>
      <c r="K7" s="231"/>
    </row>
    <row r="8" spans="2:13" ht="30" customHeight="1" x14ac:dyDescent="0.25">
      <c r="B8" s="409" t="str">
        <f>Input!B6</f>
        <v>Renewal Policy Period</v>
      </c>
      <c r="C8" s="412" t="str">
        <f>Input!C5</f>
        <v>7/1/2022 - 7/1/2023</v>
      </c>
      <c r="D8" s="712" t="s">
        <v>1922</v>
      </c>
      <c r="F8" s="712" t="s">
        <v>649</v>
      </c>
      <c r="G8" s="211"/>
      <c r="H8" s="211"/>
      <c r="I8" s="211"/>
      <c r="J8" s="231"/>
      <c r="K8" s="231"/>
    </row>
    <row r="9" spans="2:13" x14ac:dyDescent="0.25">
      <c r="B9" s="479" t="s">
        <v>9</v>
      </c>
      <c r="C9" s="479"/>
      <c r="D9" s="479"/>
      <c r="E9" s="414"/>
      <c r="F9" s="480"/>
      <c r="G9" s="211"/>
      <c r="H9" s="211"/>
      <c r="I9" s="211"/>
      <c r="J9" s="566"/>
      <c r="K9" s="566"/>
    </row>
    <row r="10" spans="2:13" x14ac:dyDescent="0.25">
      <c r="B10" s="409" t="str">
        <f>Input!B842</f>
        <v>Property</v>
      </c>
      <c r="C10" s="398">
        <f>Input!C842</f>
        <v>0</v>
      </c>
      <c r="D10" s="425">
        <f>Input!E842</f>
        <v>0</v>
      </c>
      <c r="E10" s="414"/>
      <c r="F10" s="425">
        <f>Input!G842</f>
        <v>0</v>
      </c>
      <c r="G10" s="211"/>
      <c r="H10" s="211"/>
      <c r="I10" s="211"/>
      <c r="J10" s="231"/>
      <c r="K10" s="231"/>
    </row>
    <row r="11" spans="2:13" x14ac:dyDescent="0.25">
      <c r="B11" s="409" t="str">
        <f>Input!B843</f>
        <v>General Liability</v>
      </c>
      <c r="C11" s="398">
        <f>Input!C843</f>
        <v>1000000</v>
      </c>
      <c r="D11" s="425">
        <f>Input!E843</f>
        <v>1000000</v>
      </c>
      <c r="E11" s="414"/>
      <c r="F11" s="425">
        <f>Input!G843</f>
        <v>0</v>
      </c>
      <c r="G11" s="211"/>
      <c r="H11" s="211"/>
      <c r="I11" s="211"/>
      <c r="J11" s="231"/>
      <c r="K11" s="231"/>
    </row>
    <row r="12" spans="2:13" x14ac:dyDescent="0.25">
      <c r="B12" s="409" t="str">
        <f>Input!B844</f>
        <v>Employee Benefits Liability</v>
      </c>
      <c r="C12" s="398">
        <f>Input!C844</f>
        <v>1000000</v>
      </c>
      <c r="D12" s="425">
        <f>Input!E844</f>
        <v>1000000</v>
      </c>
      <c r="E12" s="414"/>
      <c r="F12" s="425">
        <f>Input!G844</f>
        <v>0</v>
      </c>
      <c r="G12" s="211"/>
      <c r="H12" s="211"/>
      <c r="I12" s="211"/>
      <c r="J12" s="231"/>
      <c r="K12" s="231"/>
    </row>
    <row r="13" spans="2:13" x14ac:dyDescent="0.25">
      <c r="B13" s="409" t="str">
        <f>Input!B845</f>
        <v>Automobile Liability</v>
      </c>
      <c r="C13" s="398">
        <f>Input!C845</f>
        <v>1000000</v>
      </c>
      <c r="D13" s="425">
        <f>Input!E845</f>
        <v>1000000</v>
      </c>
      <c r="E13" s="414"/>
      <c r="F13" s="425">
        <f>Input!G845</f>
        <v>0</v>
      </c>
      <c r="G13" s="211"/>
      <c r="H13" s="211"/>
      <c r="I13" s="211"/>
      <c r="J13" s="231"/>
      <c r="K13" s="231"/>
    </row>
    <row r="14" spans="2:13" x14ac:dyDescent="0.25">
      <c r="B14" s="409" t="str">
        <f>Input!B846</f>
        <v>Hired Automobile Physical Damage</v>
      </c>
      <c r="C14" s="398">
        <f>Input!C846</f>
        <v>25000</v>
      </c>
      <c r="D14" s="425">
        <f>Input!E846</f>
        <v>25000</v>
      </c>
      <c r="E14" s="414"/>
      <c r="F14" s="425">
        <f>Input!G846</f>
        <v>0</v>
      </c>
      <c r="G14" s="211"/>
      <c r="H14" s="211"/>
      <c r="I14" s="211"/>
      <c r="J14" s="231"/>
      <c r="K14" s="231"/>
    </row>
    <row r="15" spans="2:13" x14ac:dyDescent="0.25">
      <c r="B15" s="409" t="str">
        <f>Input!B847</f>
        <v>Voluntary Compensation</v>
      </c>
      <c r="C15" s="398" t="str">
        <f>Input!C847</f>
        <v>Statutory Limits</v>
      </c>
      <c r="D15" s="425" t="str">
        <f>Input!E847</f>
        <v>Statutory Limits</v>
      </c>
      <c r="F15" s="425">
        <f>Input!G847</f>
        <v>0</v>
      </c>
      <c r="G15" s="211"/>
      <c r="H15" s="211"/>
      <c r="I15" s="211"/>
      <c r="J15" s="231"/>
      <c r="K15" s="231"/>
    </row>
    <row r="16" spans="2:13" x14ac:dyDescent="0.25">
      <c r="B16" s="409" t="str">
        <f>Input!B848</f>
        <v>Employers Liability</v>
      </c>
      <c r="C16" s="398">
        <f>Input!C848</f>
        <v>1000000</v>
      </c>
      <c r="D16" s="425">
        <f>Input!E848</f>
        <v>1000000</v>
      </c>
      <c r="E16" s="432"/>
      <c r="F16" s="425">
        <f>Input!G848</f>
        <v>0</v>
      </c>
      <c r="G16" s="211"/>
      <c r="H16" s="211"/>
      <c r="I16" s="211"/>
      <c r="J16" s="231"/>
      <c r="K16" s="231"/>
    </row>
    <row r="17" spans="2:11" x14ac:dyDescent="0.25">
      <c r="B17" s="409" t="str">
        <f>Input!B849</f>
        <v>Repatriation</v>
      </c>
      <c r="C17" s="398">
        <f>Input!C849</f>
        <v>1000000</v>
      </c>
      <c r="D17" s="425">
        <f>Input!E849</f>
        <v>1000000</v>
      </c>
      <c r="E17" s="238"/>
      <c r="F17" s="425">
        <f>Input!G849</f>
        <v>0</v>
      </c>
      <c r="G17" s="211"/>
      <c r="H17" s="211"/>
      <c r="I17" s="211"/>
      <c r="J17" s="231"/>
      <c r="K17" s="231"/>
    </row>
    <row r="18" spans="2:11" x14ac:dyDescent="0.25">
      <c r="B18" s="409" t="str">
        <f>Input!B850</f>
        <v>Travel Accident - Accidental Death &amp; Dismemberment</v>
      </c>
      <c r="C18" s="398">
        <f>Input!C850</f>
        <v>100000</v>
      </c>
      <c r="D18" s="425">
        <f>Input!E850</f>
        <v>100000</v>
      </c>
      <c r="E18" s="433"/>
      <c r="F18" s="425">
        <f>Input!G850</f>
        <v>0</v>
      </c>
      <c r="G18" s="211"/>
      <c r="H18" s="211"/>
      <c r="I18" s="211"/>
      <c r="J18" s="231"/>
      <c r="K18" s="231"/>
    </row>
    <row r="19" spans="2:11" x14ac:dyDescent="0.25">
      <c r="B19" s="409" t="str">
        <f>Input!B851</f>
        <v>Kidnap and Ransom</v>
      </c>
      <c r="C19" s="398">
        <f>Input!C851</f>
        <v>250000</v>
      </c>
      <c r="D19" s="425">
        <f>Input!E851</f>
        <v>250000</v>
      </c>
      <c r="E19" s="434"/>
      <c r="F19" s="425">
        <f>Input!G851</f>
        <v>0</v>
      </c>
      <c r="G19" s="211"/>
      <c r="H19" s="211"/>
      <c r="I19" s="211"/>
      <c r="J19" s="231"/>
      <c r="K19" s="231"/>
    </row>
    <row r="20" spans="2:11" hidden="1" x14ac:dyDescent="0.25">
      <c r="B20" s="788" t="s">
        <v>1276</v>
      </c>
      <c r="C20" s="479"/>
      <c r="D20" s="479"/>
      <c r="E20" s="414"/>
      <c r="F20" s="480"/>
      <c r="G20" s="211"/>
      <c r="H20" s="211"/>
      <c r="I20" s="211"/>
      <c r="J20" s="758"/>
      <c r="K20" s="1304" t="s">
        <v>1272</v>
      </c>
    </row>
    <row r="21" spans="2:11" hidden="1" x14ac:dyDescent="0.25">
      <c r="B21" s="789" t="s">
        <v>1273</v>
      </c>
      <c r="C21" s="398">
        <f>Input!C853</f>
        <v>0</v>
      </c>
      <c r="D21" s="425">
        <v>1000000</v>
      </c>
      <c r="E21" s="414"/>
      <c r="F21" s="865">
        <v>1000000</v>
      </c>
      <c r="G21" s="211"/>
      <c r="H21" s="211"/>
      <c r="I21" s="211"/>
      <c r="J21" s="758"/>
      <c r="K21" s="1305"/>
    </row>
    <row r="22" spans="2:11" hidden="1" x14ac:dyDescent="0.25">
      <c r="B22" s="789" t="s">
        <v>1274</v>
      </c>
      <c r="C22" s="398"/>
      <c r="D22" s="425">
        <v>1000000</v>
      </c>
      <c r="E22" s="414"/>
      <c r="F22" s="865">
        <v>1000000</v>
      </c>
      <c r="G22" s="211"/>
      <c r="H22" s="211"/>
      <c r="I22" s="211"/>
      <c r="J22" s="758"/>
      <c r="K22" s="1305"/>
    </row>
    <row r="23" spans="2:11" hidden="1" x14ac:dyDescent="0.25">
      <c r="B23" s="789" t="s">
        <v>1275</v>
      </c>
      <c r="C23" s="398"/>
      <c r="D23" s="790">
        <v>13500000</v>
      </c>
      <c r="E23" s="414"/>
      <c r="F23" s="865">
        <v>1000000</v>
      </c>
      <c r="G23" s="211"/>
      <c r="H23" s="211"/>
      <c r="I23" s="211"/>
      <c r="J23" s="758"/>
      <c r="K23" s="1306"/>
    </row>
    <row r="24" spans="2:11" x14ac:dyDescent="0.25">
      <c r="B24" s="479" t="s">
        <v>37</v>
      </c>
      <c r="C24" s="479"/>
      <c r="D24" s="479"/>
      <c r="F24" s="480"/>
      <c r="J24" s="566"/>
      <c r="K24" s="566"/>
    </row>
    <row r="25" spans="2:11" x14ac:dyDescent="0.25">
      <c r="B25" s="402" t="str">
        <f>Input!B842</f>
        <v>Property</v>
      </c>
      <c r="C25" s="403">
        <f>Input!D842</f>
        <v>0</v>
      </c>
      <c r="D25" s="431">
        <f>Input!F842</f>
        <v>0</v>
      </c>
      <c r="F25" s="431">
        <f>Input!H842</f>
        <v>0</v>
      </c>
      <c r="J25" s="231"/>
      <c r="K25" s="231"/>
    </row>
    <row r="26" spans="2:11" x14ac:dyDescent="0.25">
      <c r="B26" s="402" t="str">
        <f>Input!B843</f>
        <v>General Liability</v>
      </c>
      <c r="C26" s="403">
        <f>Input!D843</f>
        <v>0</v>
      </c>
      <c r="D26" s="431">
        <f>Input!F843</f>
        <v>0</v>
      </c>
      <c r="E26" s="426"/>
      <c r="F26" s="431">
        <f>Input!H843</f>
        <v>0</v>
      </c>
      <c r="J26" s="231"/>
      <c r="K26" s="231"/>
    </row>
    <row r="27" spans="2:11" x14ac:dyDescent="0.25">
      <c r="B27" s="402" t="str">
        <f>Input!B844</f>
        <v>Employee Benefits Liability</v>
      </c>
      <c r="C27" s="403">
        <f>Input!D844</f>
        <v>1000</v>
      </c>
      <c r="D27" s="431">
        <f>Input!F844</f>
        <v>1000</v>
      </c>
      <c r="F27" s="431">
        <f>Input!H844</f>
        <v>0</v>
      </c>
      <c r="J27" s="231"/>
      <c r="K27" s="231"/>
    </row>
    <row r="28" spans="2:11" x14ac:dyDescent="0.25">
      <c r="B28" s="402" t="str">
        <f>Input!B845</f>
        <v>Automobile Liability</v>
      </c>
      <c r="C28" s="403">
        <f>Input!D845</f>
        <v>0</v>
      </c>
      <c r="D28" s="431">
        <f>Input!F845</f>
        <v>0</v>
      </c>
      <c r="F28" s="431">
        <f>Input!H845</f>
        <v>0</v>
      </c>
      <c r="J28" s="231"/>
      <c r="K28" s="231"/>
    </row>
    <row r="29" spans="2:11" x14ac:dyDescent="0.25">
      <c r="B29" s="402" t="str">
        <f>Input!B846</f>
        <v>Hired Automobile Physical Damage</v>
      </c>
      <c r="C29" s="403">
        <f>Input!D846</f>
        <v>0</v>
      </c>
      <c r="D29" s="431">
        <f>Input!F846</f>
        <v>0</v>
      </c>
      <c r="F29" s="431">
        <f>Input!H846</f>
        <v>0</v>
      </c>
      <c r="J29" s="231"/>
      <c r="K29" s="231"/>
    </row>
    <row r="30" spans="2:11" x14ac:dyDescent="0.25">
      <c r="B30" s="402" t="str">
        <f>Input!B847</f>
        <v>Voluntary Compensation</v>
      </c>
      <c r="C30" s="403">
        <f>Input!D847</f>
        <v>0</v>
      </c>
      <c r="D30" s="431">
        <f>Input!F847</f>
        <v>0</v>
      </c>
      <c r="F30" s="431">
        <f>Input!H847</f>
        <v>0</v>
      </c>
      <c r="J30" s="231"/>
      <c r="K30" s="231"/>
    </row>
    <row r="31" spans="2:11" x14ac:dyDescent="0.25">
      <c r="B31" s="402" t="str">
        <f>Input!B848</f>
        <v>Employers Liability</v>
      </c>
      <c r="C31" s="403">
        <f>Input!D848</f>
        <v>0</v>
      </c>
      <c r="D31" s="431">
        <f>Input!F848</f>
        <v>0</v>
      </c>
      <c r="F31" s="431">
        <f>Input!H848</f>
        <v>0</v>
      </c>
      <c r="J31" s="231"/>
      <c r="K31" s="231"/>
    </row>
    <row r="32" spans="2:11" x14ac:dyDescent="0.25">
      <c r="B32" s="402" t="str">
        <f>Input!B849</f>
        <v>Repatriation</v>
      </c>
      <c r="C32" s="403">
        <f>Input!D849</f>
        <v>0</v>
      </c>
      <c r="D32" s="431">
        <f>Input!F849</f>
        <v>0</v>
      </c>
      <c r="F32" s="431">
        <f>Input!H849</f>
        <v>0</v>
      </c>
      <c r="J32" s="231"/>
      <c r="K32" s="231"/>
    </row>
    <row r="33" spans="2:11" x14ac:dyDescent="0.25">
      <c r="B33" s="402" t="str">
        <f>Input!B850</f>
        <v>Travel Accident - Accidental Death &amp; Dismemberment</v>
      </c>
      <c r="C33" s="403">
        <f>Input!D850</f>
        <v>0</v>
      </c>
      <c r="D33" s="431">
        <f>Input!F850</f>
        <v>0</v>
      </c>
      <c r="F33" s="431">
        <f>Input!H850</f>
        <v>0</v>
      </c>
      <c r="J33" s="231"/>
      <c r="K33" s="231"/>
    </row>
    <row r="34" spans="2:11" x14ac:dyDescent="0.25">
      <c r="B34" s="402" t="str">
        <f>Input!B851</f>
        <v>Kidnap and Ransom</v>
      </c>
      <c r="C34" s="403">
        <f>Input!D851</f>
        <v>0</v>
      </c>
      <c r="D34" s="431">
        <f>Input!F851</f>
        <v>0</v>
      </c>
      <c r="F34" s="431">
        <f>Input!H851</f>
        <v>0</v>
      </c>
      <c r="J34" s="231"/>
      <c r="K34" s="231"/>
    </row>
    <row r="35" spans="2:11" x14ac:dyDescent="0.25">
      <c r="B35" s="479" t="s">
        <v>367</v>
      </c>
      <c r="C35" s="479"/>
      <c r="D35" s="479"/>
      <c r="F35" s="487"/>
      <c r="G35" s="211"/>
      <c r="H35" s="211"/>
      <c r="I35" s="211"/>
      <c r="J35" s="566"/>
      <c r="K35" s="566"/>
    </row>
    <row r="36" spans="2:11" x14ac:dyDescent="0.25">
      <c r="B36" s="402" t="s">
        <v>343</v>
      </c>
      <c r="C36" s="403">
        <f>Input!B825</f>
        <v>2500</v>
      </c>
      <c r="D36" s="431">
        <v>2500</v>
      </c>
      <c r="F36" s="431">
        <f>F38-F37</f>
        <v>-5250</v>
      </c>
      <c r="J36" s="232"/>
      <c r="K36" s="232"/>
    </row>
    <row r="37" spans="2:11" x14ac:dyDescent="0.25">
      <c r="B37" s="789" t="s">
        <v>1929</v>
      </c>
      <c r="C37" s="398"/>
      <c r="D37" s="425">
        <v>0</v>
      </c>
      <c r="F37" s="425">
        <v>5250</v>
      </c>
      <c r="J37" s="231"/>
      <c r="K37" s="231"/>
    </row>
    <row r="38" spans="2:11" x14ac:dyDescent="0.25">
      <c r="B38" s="409" t="s">
        <v>64</v>
      </c>
      <c r="C38" s="398">
        <f>Input!B825</f>
        <v>2500</v>
      </c>
      <c r="D38" s="425">
        <f>Input!D825</f>
        <v>4276</v>
      </c>
      <c r="F38" s="425">
        <f>Input!E825</f>
        <v>0</v>
      </c>
      <c r="J38" s="381"/>
    </row>
    <row r="39" spans="2:11" ht="7.5" customHeight="1" x14ac:dyDescent="0.25">
      <c r="B39" s="310"/>
      <c r="C39" s="228"/>
      <c r="D39" s="228"/>
      <c r="F39" s="228"/>
      <c r="J39" s="381"/>
    </row>
    <row r="40" spans="2:11" x14ac:dyDescent="0.25">
      <c r="B40" s="1274" t="s">
        <v>144</v>
      </c>
      <c r="C40" s="1274"/>
      <c r="D40" s="1274"/>
      <c r="F40" s="238"/>
      <c r="J40" s="381"/>
    </row>
    <row r="41" spans="2:11" x14ac:dyDescent="0.25">
      <c r="B41" s="1301" t="s">
        <v>1172</v>
      </c>
      <c r="C41" s="1302"/>
      <c r="D41" s="1302"/>
      <c r="E41" s="1302"/>
      <c r="F41" s="1303"/>
      <c r="J41" s="381"/>
    </row>
    <row r="42" spans="2:11" ht="7.5" customHeight="1" x14ac:dyDescent="0.25">
      <c r="B42" s="380"/>
      <c r="C42" s="238"/>
      <c r="D42" s="238"/>
      <c r="F42" s="228"/>
      <c r="J42" s="381"/>
    </row>
    <row r="43" spans="2:11" x14ac:dyDescent="0.25">
      <c r="B43" s="1274" t="s">
        <v>145</v>
      </c>
      <c r="C43" s="1274"/>
      <c r="D43" s="1274"/>
      <c r="F43" s="228"/>
      <c r="J43" s="381"/>
    </row>
    <row r="44" spans="2:11" x14ac:dyDescent="0.25">
      <c r="B44" s="1301" t="s">
        <v>1172</v>
      </c>
      <c r="C44" s="1302"/>
      <c r="D44" s="1302"/>
      <c r="E44" s="1302"/>
      <c r="F44" s="1303"/>
      <c r="J44" s="381"/>
    </row>
    <row r="45" spans="2:11" ht="7.5" customHeight="1" x14ac:dyDescent="0.25">
      <c r="B45" s="310"/>
      <c r="C45" s="228"/>
      <c r="D45" s="228"/>
      <c r="F45" s="228"/>
      <c r="J45" s="381"/>
    </row>
    <row r="46" spans="2:11" x14ac:dyDescent="0.25">
      <c r="B46" s="523" t="s">
        <v>72</v>
      </c>
      <c r="C46" s="524" t="s">
        <v>62</v>
      </c>
      <c r="D46" s="525" t="s">
        <v>63</v>
      </c>
      <c r="F46" s="525" t="s">
        <v>146</v>
      </c>
      <c r="J46" s="527" t="s">
        <v>1002</v>
      </c>
      <c r="K46" s="527" t="s">
        <v>363</v>
      </c>
    </row>
    <row r="47" spans="2:11" x14ac:dyDescent="0.25">
      <c r="B47" s="400" t="s">
        <v>73</v>
      </c>
      <c r="C47" s="712" t="s">
        <v>1033</v>
      </c>
      <c r="D47" s="712" t="s">
        <v>1033</v>
      </c>
      <c r="F47" s="712"/>
      <c r="G47" s="450" t="str">
        <f t="shared" ref="G47:G110" si="0">IF(OR(TRIM(D47)&lt;&gt;"",TRIM(F47)&lt;&gt;""),IF(AND(TRIM(D47)&lt;&gt;"",TRIM(F47)&lt;&gt;""),IF(OR(TRIM(C47)&lt;&gt;TRIM(D47),TRIM(C47)&lt;&gt;TRIM(F47)),"_",""),IF(TRIM(C47)&lt;&gt;TRIM(D47), "_", "")),"")</f>
        <v/>
      </c>
      <c r="J47" s="231"/>
      <c r="K47" s="231"/>
    </row>
    <row r="48" spans="2:11" x14ac:dyDescent="0.25">
      <c r="B48" s="368" t="s">
        <v>74</v>
      </c>
      <c r="C48" s="391"/>
      <c r="D48" s="391"/>
      <c r="F48" s="391"/>
      <c r="G48" s="450" t="str">
        <f t="shared" si="0"/>
        <v/>
      </c>
      <c r="J48" s="232"/>
      <c r="K48" s="232"/>
    </row>
    <row r="49" spans="2:11" x14ac:dyDescent="0.25">
      <c r="B49" s="441" t="s">
        <v>16</v>
      </c>
      <c r="C49" s="668" t="s">
        <v>1117</v>
      </c>
      <c r="D49" s="668" t="s">
        <v>1117</v>
      </c>
      <c r="F49" s="668"/>
      <c r="G49" s="450" t="str">
        <f t="shared" si="0"/>
        <v/>
      </c>
      <c r="J49" s="447"/>
      <c r="K49" s="447"/>
    </row>
    <row r="50" spans="2:11" x14ac:dyDescent="0.25">
      <c r="B50" s="441" t="s">
        <v>257</v>
      </c>
      <c r="C50" s="668" t="s">
        <v>1118</v>
      </c>
      <c r="D50" s="668" t="s">
        <v>1118</v>
      </c>
      <c r="F50" s="668"/>
      <c r="G50" s="450" t="str">
        <f t="shared" si="0"/>
        <v/>
      </c>
      <c r="J50" s="447"/>
      <c r="K50" s="447"/>
    </row>
    <row r="51" spans="2:11" x14ac:dyDescent="0.25">
      <c r="B51" s="441" t="s">
        <v>859</v>
      </c>
      <c r="C51" s="668" t="s">
        <v>1119</v>
      </c>
      <c r="D51" s="668" t="s">
        <v>1119</v>
      </c>
      <c r="F51" s="668"/>
      <c r="G51" s="450" t="str">
        <f t="shared" si="0"/>
        <v/>
      </c>
      <c r="J51" s="447"/>
      <c r="K51" s="447"/>
    </row>
    <row r="52" spans="2:11" ht="15" customHeight="1" x14ac:dyDescent="0.25">
      <c r="B52" s="441" t="s">
        <v>860</v>
      </c>
      <c r="C52" s="668" t="s">
        <v>1120</v>
      </c>
      <c r="D52" s="668" t="s">
        <v>1120</v>
      </c>
      <c r="F52" s="668"/>
      <c r="G52" s="450" t="str">
        <f t="shared" si="0"/>
        <v/>
      </c>
      <c r="J52" s="447"/>
      <c r="K52" s="447"/>
    </row>
    <row r="53" spans="2:11" x14ac:dyDescent="0.25">
      <c r="B53" s="441" t="s">
        <v>861</v>
      </c>
      <c r="C53" s="668" t="s">
        <v>1121</v>
      </c>
      <c r="D53" s="668" t="s">
        <v>1121</v>
      </c>
      <c r="F53" s="668"/>
      <c r="G53" s="450" t="str">
        <f t="shared" si="0"/>
        <v/>
      </c>
      <c r="J53" s="447"/>
      <c r="K53" s="447"/>
    </row>
    <row r="54" spans="2:11" x14ac:dyDescent="0.25">
      <c r="B54" s="441" t="s">
        <v>240</v>
      </c>
      <c r="C54" s="668" t="s">
        <v>1122</v>
      </c>
      <c r="D54" s="668" t="s">
        <v>1122</v>
      </c>
      <c r="F54" s="668"/>
      <c r="G54" s="450" t="str">
        <f t="shared" si="0"/>
        <v/>
      </c>
      <c r="J54" s="447"/>
      <c r="K54" s="447"/>
    </row>
    <row r="55" spans="2:11" x14ac:dyDescent="0.25">
      <c r="B55" s="441" t="s">
        <v>189</v>
      </c>
      <c r="C55" s="745" t="s">
        <v>284</v>
      </c>
      <c r="D55" s="745" t="s">
        <v>284</v>
      </c>
      <c r="F55" s="745"/>
      <c r="G55" s="450" t="str">
        <f t="shared" si="0"/>
        <v/>
      </c>
      <c r="J55" s="445"/>
      <c r="K55" s="445"/>
    </row>
    <row r="56" spans="2:11" x14ac:dyDescent="0.25">
      <c r="B56" s="368" t="s">
        <v>151</v>
      </c>
      <c r="C56" s="746"/>
      <c r="D56" s="746"/>
      <c r="F56" s="746"/>
      <c r="G56" s="450" t="str">
        <f t="shared" si="0"/>
        <v/>
      </c>
      <c r="J56" s="232"/>
      <c r="K56" s="232"/>
    </row>
    <row r="57" spans="2:11" x14ac:dyDescent="0.25">
      <c r="B57" s="441" t="s">
        <v>257</v>
      </c>
      <c r="C57" s="668" t="s">
        <v>1035</v>
      </c>
      <c r="D57" s="668" t="s">
        <v>1035</v>
      </c>
      <c r="F57" s="668"/>
      <c r="G57" s="450" t="str">
        <f t="shared" si="0"/>
        <v/>
      </c>
      <c r="J57" s="447"/>
      <c r="K57" s="447"/>
    </row>
    <row r="58" spans="2:11" x14ac:dyDescent="0.25">
      <c r="B58" s="442" t="s">
        <v>665</v>
      </c>
      <c r="C58" s="745" t="s">
        <v>1035</v>
      </c>
      <c r="D58" s="745" t="s">
        <v>1035</v>
      </c>
      <c r="F58" s="745"/>
      <c r="G58" s="450" t="str">
        <f t="shared" si="0"/>
        <v/>
      </c>
      <c r="J58" s="445"/>
      <c r="K58" s="445"/>
    </row>
    <row r="59" spans="2:11" x14ac:dyDescent="0.25">
      <c r="B59" s="368" t="s">
        <v>75</v>
      </c>
      <c r="C59" s="746" t="s">
        <v>284</v>
      </c>
      <c r="D59" s="746" t="s">
        <v>284</v>
      </c>
      <c r="F59" s="746"/>
      <c r="G59" s="450" t="str">
        <f t="shared" si="0"/>
        <v/>
      </c>
      <c r="J59" s="232"/>
      <c r="K59" s="232"/>
    </row>
    <row r="60" spans="2:11" hidden="1" x14ac:dyDescent="0.25">
      <c r="B60" s="441" t="s">
        <v>257</v>
      </c>
      <c r="C60" s="439"/>
      <c r="D60" s="439"/>
      <c r="F60" s="439"/>
      <c r="G60" s="450" t="str">
        <f t="shared" si="0"/>
        <v/>
      </c>
      <c r="J60" s="447"/>
      <c r="K60" s="447"/>
    </row>
    <row r="61" spans="2:11" hidden="1" x14ac:dyDescent="0.25">
      <c r="B61" s="442" t="s">
        <v>665</v>
      </c>
      <c r="C61" s="424"/>
      <c r="D61" s="424"/>
      <c r="F61" s="424"/>
      <c r="G61" s="450" t="str">
        <f t="shared" si="0"/>
        <v/>
      </c>
      <c r="J61" s="445"/>
      <c r="K61" s="445"/>
    </row>
    <row r="62" spans="2:11" x14ac:dyDescent="0.25">
      <c r="B62" s="400" t="s">
        <v>152</v>
      </c>
      <c r="C62" s="747">
        <v>2500</v>
      </c>
      <c r="D62" s="747">
        <v>2500</v>
      </c>
      <c r="F62" s="747"/>
      <c r="G62" s="450" t="str">
        <f t="shared" si="0"/>
        <v/>
      </c>
      <c r="J62" s="231"/>
      <c r="K62" s="231"/>
    </row>
    <row r="63" spans="2:11" x14ac:dyDescent="0.25">
      <c r="B63" s="400" t="s">
        <v>77</v>
      </c>
      <c r="C63" s="712" t="s">
        <v>1036</v>
      </c>
      <c r="D63" s="712" t="s">
        <v>1036</v>
      </c>
      <c r="F63" s="712"/>
      <c r="G63" s="450" t="str">
        <f t="shared" si="0"/>
        <v/>
      </c>
      <c r="J63" s="231"/>
      <c r="K63" s="231"/>
    </row>
    <row r="64" spans="2:11" x14ac:dyDescent="0.25">
      <c r="B64" s="368" t="s">
        <v>863</v>
      </c>
      <c r="C64" s="391"/>
      <c r="D64" s="391"/>
      <c r="F64" s="391"/>
      <c r="G64" s="450" t="str">
        <f t="shared" si="0"/>
        <v/>
      </c>
      <c r="J64" s="232"/>
      <c r="K64" s="232"/>
    </row>
    <row r="65" spans="2:11" x14ac:dyDescent="0.25">
      <c r="B65" s="441" t="s">
        <v>864</v>
      </c>
      <c r="C65" s="748" t="s">
        <v>157</v>
      </c>
      <c r="D65" s="748" t="s">
        <v>157</v>
      </c>
      <c r="F65" s="748"/>
      <c r="G65" s="450" t="str">
        <f t="shared" si="0"/>
        <v/>
      </c>
      <c r="J65" s="447"/>
      <c r="K65" s="447"/>
    </row>
    <row r="66" spans="2:11" x14ac:dyDescent="0.25">
      <c r="B66" s="441" t="s">
        <v>865</v>
      </c>
      <c r="C66" s="748" t="s">
        <v>157</v>
      </c>
      <c r="D66" s="748" t="s">
        <v>157</v>
      </c>
      <c r="F66" s="748"/>
      <c r="G66" s="450" t="str">
        <f t="shared" si="0"/>
        <v/>
      </c>
      <c r="J66" s="447"/>
      <c r="K66" s="447"/>
    </row>
    <row r="67" spans="2:11" ht="30" customHeight="1" x14ac:dyDescent="0.25">
      <c r="B67" s="442" t="s">
        <v>866</v>
      </c>
      <c r="C67" s="748" t="s">
        <v>157</v>
      </c>
      <c r="D67" s="748" t="s">
        <v>157</v>
      </c>
      <c r="F67" s="748"/>
      <c r="G67" s="450" t="str">
        <f t="shared" si="0"/>
        <v/>
      </c>
      <c r="J67" s="445"/>
      <c r="K67" s="445"/>
    </row>
    <row r="68" spans="2:11" x14ac:dyDescent="0.25">
      <c r="B68" s="400" t="s">
        <v>626</v>
      </c>
      <c r="C68" s="692" t="s">
        <v>157</v>
      </c>
      <c r="D68" s="692" t="s">
        <v>157</v>
      </c>
      <c r="F68" s="692"/>
      <c r="G68" s="450" t="str">
        <f t="shared" si="0"/>
        <v/>
      </c>
      <c r="J68" s="231"/>
      <c r="K68" s="231"/>
    </row>
    <row r="69" spans="2:11" x14ac:dyDescent="0.25">
      <c r="B69" s="722" t="s">
        <v>1102</v>
      </c>
      <c r="C69" s="391"/>
      <c r="D69" s="391"/>
      <c r="F69" s="391"/>
      <c r="G69" s="450" t="str">
        <f t="shared" si="0"/>
        <v/>
      </c>
      <c r="J69" s="232"/>
      <c r="K69" s="232"/>
    </row>
    <row r="70" spans="2:11" x14ac:dyDescent="0.25">
      <c r="B70" s="441" t="s">
        <v>712</v>
      </c>
      <c r="C70" s="748" t="s">
        <v>157</v>
      </c>
      <c r="D70" s="748" t="s">
        <v>157</v>
      </c>
      <c r="F70" s="748"/>
      <c r="G70" s="450" t="str">
        <f t="shared" si="0"/>
        <v/>
      </c>
      <c r="J70" s="447"/>
      <c r="K70" s="447"/>
    </row>
    <row r="71" spans="2:11" x14ac:dyDescent="0.25">
      <c r="B71" s="442" t="s">
        <v>713</v>
      </c>
      <c r="C71" s="748" t="s">
        <v>157</v>
      </c>
      <c r="D71" s="748" t="s">
        <v>157</v>
      </c>
      <c r="F71" s="749"/>
      <c r="G71" s="450" t="str">
        <f t="shared" si="0"/>
        <v/>
      </c>
      <c r="J71" s="445"/>
      <c r="K71" s="445"/>
    </row>
    <row r="72" spans="2:11" x14ac:dyDescent="0.25">
      <c r="B72" s="400" t="s">
        <v>870</v>
      </c>
      <c r="C72" s="692" t="s">
        <v>157</v>
      </c>
      <c r="D72" s="692" t="s">
        <v>157</v>
      </c>
      <c r="F72" s="749"/>
      <c r="G72" s="450" t="str">
        <f t="shared" si="0"/>
        <v/>
      </c>
      <c r="J72" s="740"/>
      <c r="K72" s="231"/>
    </row>
    <row r="73" spans="2:11" x14ac:dyDescent="0.25">
      <c r="B73" s="400" t="s">
        <v>868</v>
      </c>
      <c r="C73" s="692" t="s">
        <v>157</v>
      </c>
      <c r="D73" s="692" t="s">
        <v>157</v>
      </c>
      <c r="F73" s="749"/>
      <c r="G73" s="450" t="str">
        <f t="shared" si="0"/>
        <v/>
      </c>
      <c r="J73" s="231"/>
      <c r="K73" s="231"/>
    </row>
    <row r="74" spans="2:11" x14ac:dyDescent="0.25">
      <c r="B74" s="400" t="s">
        <v>867</v>
      </c>
      <c r="C74" s="692" t="s">
        <v>157</v>
      </c>
      <c r="D74" s="692" t="s">
        <v>157</v>
      </c>
      <c r="F74" s="749"/>
      <c r="G74" s="450" t="str">
        <f t="shared" si="0"/>
        <v/>
      </c>
      <c r="J74" s="740"/>
      <c r="K74" s="231"/>
    </row>
    <row r="75" spans="2:11" x14ac:dyDescent="0.25">
      <c r="B75" s="400" t="s">
        <v>869</v>
      </c>
      <c r="C75" s="748" t="s">
        <v>157</v>
      </c>
      <c r="D75" s="748" t="s">
        <v>157</v>
      </c>
      <c r="F75" s="748"/>
      <c r="G75" s="450" t="str">
        <f t="shared" si="0"/>
        <v/>
      </c>
      <c r="J75" s="231"/>
      <c r="K75" s="231"/>
    </row>
    <row r="76" spans="2:11" x14ac:dyDescent="0.25">
      <c r="B76" s="368" t="s">
        <v>390</v>
      </c>
      <c r="C76" s="391"/>
      <c r="D76" s="391"/>
      <c r="F76" s="391"/>
      <c r="G76" s="450" t="str">
        <f t="shared" si="0"/>
        <v/>
      </c>
      <c r="J76" s="232"/>
      <c r="K76" s="232"/>
    </row>
    <row r="77" spans="2:11" x14ac:dyDescent="0.25">
      <c r="B77" s="441" t="s">
        <v>16</v>
      </c>
      <c r="C77" s="879" t="s">
        <v>157</v>
      </c>
      <c r="D77" s="879" t="s">
        <v>157</v>
      </c>
      <c r="F77" s="748"/>
      <c r="G77" s="450" t="str">
        <f t="shared" si="0"/>
        <v/>
      </c>
      <c r="J77" s="447"/>
      <c r="K77" s="447"/>
    </row>
    <row r="78" spans="2:11" x14ac:dyDescent="0.25">
      <c r="B78" s="441" t="s">
        <v>239</v>
      </c>
      <c r="C78" s="879" t="s">
        <v>157</v>
      </c>
      <c r="D78" s="879" t="s">
        <v>157</v>
      </c>
      <c r="F78" s="748"/>
      <c r="G78" s="450" t="str">
        <f t="shared" si="0"/>
        <v/>
      </c>
      <c r="J78" s="447"/>
      <c r="K78" s="447"/>
    </row>
    <row r="79" spans="2:11" x14ac:dyDescent="0.25">
      <c r="B79" s="441" t="s">
        <v>237</v>
      </c>
      <c r="C79" s="880" t="s">
        <v>391</v>
      </c>
      <c r="D79" s="880" t="s">
        <v>391</v>
      </c>
      <c r="F79" s="748"/>
      <c r="G79" s="450" t="str">
        <f t="shared" si="0"/>
        <v/>
      </c>
      <c r="J79" s="447"/>
      <c r="K79" s="447"/>
    </row>
    <row r="80" spans="2:11" x14ac:dyDescent="0.25">
      <c r="B80" s="368" t="s">
        <v>243</v>
      </c>
      <c r="C80" s="862" t="s">
        <v>157</v>
      </c>
      <c r="D80" s="862" t="s">
        <v>157</v>
      </c>
      <c r="E80" s="860"/>
      <c r="F80" s="862"/>
      <c r="G80" s="450" t="str">
        <f t="shared" si="0"/>
        <v/>
      </c>
      <c r="J80" s="231"/>
      <c r="K80" s="231"/>
    </row>
    <row r="81" spans="2:11" x14ac:dyDescent="0.25">
      <c r="B81" s="580" t="s">
        <v>242</v>
      </c>
      <c r="C81" s="439"/>
      <c r="D81" s="439"/>
      <c r="F81" s="439"/>
      <c r="G81" s="450" t="str">
        <f t="shared" si="0"/>
        <v/>
      </c>
      <c r="J81" s="232"/>
      <c r="K81" s="232"/>
    </row>
    <row r="82" spans="2:11" x14ac:dyDescent="0.25">
      <c r="B82" s="441" t="s">
        <v>16</v>
      </c>
      <c r="C82" s="748" t="s">
        <v>157</v>
      </c>
      <c r="D82" s="748" t="s">
        <v>157</v>
      </c>
      <c r="F82" s="748"/>
      <c r="G82" s="450" t="str">
        <f t="shared" si="0"/>
        <v/>
      </c>
      <c r="J82" s="447"/>
      <c r="K82" s="447"/>
    </row>
    <row r="83" spans="2:11" x14ac:dyDescent="0.25">
      <c r="B83" s="441" t="s">
        <v>862</v>
      </c>
      <c r="C83" s="748" t="s">
        <v>157</v>
      </c>
      <c r="D83" s="748" t="s">
        <v>157</v>
      </c>
      <c r="F83" s="748"/>
      <c r="G83" s="450" t="str">
        <f t="shared" si="0"/>
        <v/>
      </c>
      <c r="J83" s="447"/>
      <c r="K83" s="447"/>
    </row>
    <row r="84" spans="2:11" x14ac:dyDescent="0.25">
      <c r="B84" s="442" t="s">
        <v>859</v>
      </c>
      <c r="C84" s="749" t="s">
        <v>157</v>
      </c>
      <c r="D84" s="749" t="s">
        <v>157</v>
      </c>
      <c r="E84" s="762"/>
      <c r="F84" s="749"/>
      <c r="G84" s="450" t="str">
        <f t="shared" si="0"/>
        <v/>
      </c>
      <c r="J84" s="447"/>
      <c r="K84" s="447"/>
    </row>
    <row r="85" spans="2:11" ht="7.5" customHeight="1" x14ac:dyDescent="0.25">
      <c r="B85" s="310"/>
      <c r="C85" s="228"/>
      <c r="D85" s="228"/>
      <c r="F85" s="228"/>
      <c r="G85" s="450" t="str">
        <f t="shared" si="0"/>
        <v/>
      </c>
      <c r="J85" s="381"/>
    </row>
    <row r="86" spans="2:11" x14ac:dyDescent="0.25">
      <c r="B86" s="523" t="s">
        <v>103</v>
      </c>
      <c r="C86" s="524" t="s">
        <v>62</v>
      </c>
      <c r="D86" s="525" t="s">
        <v>63</v>
      </c>
      <c r="F86" s="525" t="s">
        <v>146</v>
      </c>
      <c r="G86" s="450" t="str">
        <f t="shared" si="0"/>
        <v>_</v>
      </c>
      <c r="J86" s="527" t="s">
        <v>1002</v>
      </c>
      <c r="K86" s="527" t="s">
        <v>363</v>
      </c>
    </row>
    <row r="87" spans="2:11" x14ac:dyDescent="0.25">
      <c r="B87" s="400" t="s">
        <v>531</v>
      </c>
      <c r="C87" s="708" t="s">
        <v>1052</v>
      </c>
      <c r="D87" s="708" t="s">
        <v>1052</v>
      </c>
      <c r="F87" s="750"/>
      <c r="G87" s="450" t="str">
        <f t="shared" si="0"/>
        <v/>
      </c>
      <c r="H87" s="211"/>
      <c r="I87" s="211"/>
      <c r="J87" s="231"/>
      <c r="K87" s="231"/>
    </row>
    <row r="88" spans="2:11" x14ac:dyDescent="0.25">
      <c r="B88" s="368" t="s">
        <v>850</v>
      </c>
      <c r="C88" s="708" t="s">
        <v>1052</v>
      </c>
      <c r="D88" s="708" t="s">
        <v>1052</v>
      </c>
      <c r="F88" s="751"/>
      <c r="G88" s="450" t="str">
        <f t="shared" si="0"/>
        <v/>
      </c>
      <c r="H88" s="211"/>
      <c r="I88" s="211"/>
      <c r="J88" s="232"/>
      <c r="K88" s="232"/>
    </row>
    <row r="89" spans="2:11" x14ac:dyDescent="0.25">
      <c r="B89" s="368" t="s">
        <v>530</v>
      </c>
      <c r="C89" s="779" t="s">
        <v>1053</v>
      </c>
      <c r="D89" s="779" t="s">
        <v>1053</v>
      </c>
      <c r="F89" s="752"/>
      <c r="G89" s="450" t="str">
        <f t="shared" si="0"/>
        <v/>
      </c>
      <c r="H89" s="211"/>
      <c r="I89" s="211"/>
      <c r="J89" s="232"/>
      <c r="K89" s="232"/>
    </row>
    <row r="90" spans="2:11" x14ac:dyDescent="0.25">
      <c r="B90" s="442" t="s">
        <v>983</v>
      </c>
      <c r="C90" s="753" t="s">
        <v>157</v>
      </c>
      <c r="D90" s="753" t="s">
        <v>157</v>
      </c>
      <c r="F90" s="753"/>
      <c r="G90" s="450" t="str">
        <f t="shared" si="0"/>
        <v/>
      </c>
      <c r="H90" s="211"/>
      <c r="I90" s="211"/>
      <c r="J90" s="445"/>
      <c r="K90" s="445"/>
    </row>
    <row r="91" spans="2:11" ht="7.5" customHeight="1" x14ac:dyDescent="0.25">
      <c r="C91" s="228"/>
      <c r="D91" s="228"/>
      <c r="F91" s="228"/>
      <c r="G91" s="450" t="str">
        <f t="shared" si="0"/>
        <v/>
      </c>
      <c r="H91" s="211"/>
      <c r="I91" s="211"/>
      <c r="J91" s="381"/>
    </row>
    <row r="92" spans="2:11" x14ac:dyDescent="0.25">
      <c r="B92" s="528" t="s">
        <v>359</v>
      </c>
      <c r="C92" s="524" t="s">
        <v>62</v>
      </c>
      <c r="D92" s="525" t="s">
        <v>63</v>
      </c>
      <c r="F92" s="525" t="s">
        <v>146</v>
      </c>
      <c r="G92" s="450" t="str">
        <f t="shared" si="0"/>
        <v>_</v>
      </c>
      <c r="H92" s="211"/>
      <c r="I92" s="211"/>
      <c r="J92" s="527" t="s">
        <v>1002</v>
      </c>
      <c r="K92" s="527" t="s">
        <v>363</v>
      </c>
    </row>
    <row r="93" spans="2:11" hidden="1" x14ac:dyDescent="0.25">
      <c r="B93" s="400" t="s">
        <v>1174</v>
      </c>
      <c r="C93" s="412"/>
      <c r="D93" s="712"/>
      <c r="F93" s="390" t="s">
        <v>1181</v>
      </c>
      <c r="G93" s="450" t="str">
        <f t="shared" si="0"/>
        <v/>
      </c>
      <c r="H93" s="211"/>
      <c r="I93" s="211"/>
      <c r="J93" s="231"/>
      <c r="K93" s="231"/>
    </row>
    <row r="94" spans="2:11" hidden="1" x14ac:dyDescent="0.25">
      <c r="B94" s="400" t="s">
        <v>1175</v>
      </c>
      <c r="C94" s="412"/>
      <c r="D94" s="712"/>
      <c r="F94" s="390" t="s">
        <v>1181</v>
      </c>
      <c r="G94" s="450" t="str">
        <f t="shared" si="0"/>
        <v/>
      </c>
      <c r="H94" s="211"/>
      <c r="I94" s="211"/>
      <c r="J94" s="231"/>
      <c r="K94" s="231"/>
    </row>
    <row r="95" spans="2:11" hidden="1" x14ac:dyDescent="0.25">
      <c r="B95" s="400" t="s">
        <v>1176</v>
      </c>
      <c r="C95" s="412"/>
      <c r="D95" s="712"/>
      <c r="F95" s="390" t="s">
        <v>1181</v>
      </c>
      <c r="G95" s="450" t="str">
        <f t="shared" si="0"/>
        <v/>
      </c>
      <c r="H95" s="211"/>
      <c r="I95" s="211"/>
      <c r="J95" s="231"/>
      <c r="K95" s="231"/>
    </row>
    <row r="96" spans="2:11" x14ac:dyDescent="0.25">
      <c r="B96" s="400" t="s">
        <v>1177</v>
      </c>
      <c r="C96" s="412" t="s">
        <v>1123</v>
      </c>
      <c r="D96" s="712" t="s">
        <v>1123</v>
      </c>
      <c r="F96" s="390"/>
      <c r="G96" s="450" t="str">
        <f t="shared" si="0"/>
        <v/>
      </c>
      <c r="H96" s="211"/>
      <c r="I96" s="211"/>
      <c r="J96" s="231"/>
      <c r="K96" s="231"/>
    </row>
    <row r="97" spans="2:11" hidden="1" x14ac:dyDescent="0.25">
      <c r="B97" s="400" t="s">
        <v>1178</v>
      </c>
      <c r="C97" s="412"/>
      <c r="D97" s="712"/>
      <c r="F97" s="390" t="s">
        <v>1182</v>
      </c>
      <c r="G97" s="450" t="str">
        <f t="shared" si="0"/>
        <v/>
      </c>
      <c r="H97" s="211"/>
      <c r="I97" s="211"/>
      <c r="J97" s="231"/>
      <c r="K97" s="231"/>
    </row>
    <row r="98" spans="2:11" hidden="1" x14ac:dyDescent="0.25">
      <c r="B98" s="400" t="s">
        <v>1179</v>
      </c>
      <c r="C98" s="412"/>
      <c r="D98" s="712"/>
      <c r="F98" s="390" t="s">
        <v>1183</v>
      </c>
      <c r="G98" s="450" t="str">
        <f t="shared" si="0"/>
        <v/>
      </c>
      <c r="H98" s="211"/>
      <c r="I98" s="211"/>
      <c r="J98" s="231"/>
      <c r="K98" s="231"/>
    </row>
    <row r="99" spans="2:11" hidden="1" x14ac:dyDescent="0.25">
      <c r="B99" s="400" t="s">
        <v>1180</v>
      </c>
      <c r="C99" s="412"/>
      <c r="D99" s="712"/>
      <c r="F99" s="390" t="s">
        <v>1181</v>
      </c>
      <c r="G99" s="450" t="str">
        <f t="shared" si="0"/>
        <v/>
      </c>
      <c r="H99" s="211"/>
      <c r="I99" s="211"/>
      <c r="J99" s="231"/>
      <c r="K99" s="231"/>
    </row>
    <row r="100" spans="2:11" ht="8.1" customHeight="1" x14ac:dyDescent="0.25">
      <c r="B100" s="759"/>
      <c r="C100" s="760"/>
      <c r="D100" s="761"/>
      <c r="F100" s="760"/>
      <c r="G100" s="450" t="str">
        <f t="shared" si="0"/>
        <v/>
      </c>
      <c r="H100" s="211"/>
      <c r="I100" s="211"/>
      <c r="J100" s="758"/>
      <c r="K100" s="758"/>
    </row>
    <row r="101" spans="2:11" x14ac:dyDescent="0.25">
      <c r="B101" s="754" t="s">
        <v>1225</v>
      </c>
      <c r="C101" s="755" t="s">
        <v>62</v>
      </c>
      <c r="D101" s="756" t="s">
        <v>63</v>
      </c>
      <c r="E101" s="16"/>
      <c r="F101" s="525" t="s">
        <v>146</v>
      </c>
      <c r="G101" s="450" t="str">
        <f t="shared" si="0"/>
        <v>_</v>
      </c>
      <c r="H101" s="757"/>
      <c r="I101" s="757"/>
      <c r="J101" s="527" t="s">
        <v>1002</v>
      </c>
      <c r="K101" s="231"/>
    </row>
    <row r="102" spans="2:11" hidden="1" x14ac:dyDescent="0.25">
      <c r="B102" s="400" t="s">
        <v>1184</v>
      </c>
      <c r="C102" s="412"/>
      <c r="D102" s="712"/>
      <c r="F102" s="390" t="s">
        <v>1181</v>
      </c>
      <c r="G102" s="450" t="str">
        <f t="shared" si="0"/>
        <v/>
      </c>
      <c r="H102" s="211"/>
      <c r="I102" s="211"/>
      <c r="J102" s="231"/>
      <c r="K102" s="231"/>
    </row>
    <row r="103" spans="2:11" ht="29.25" hidden="1" customHeight="1" x14ac:dyDescent="0.25">
      <c r="B103" s="400" t="s">
        <v>1185</v>
      </c>
      <c r="C103" s="412"/>
      <c r="D103" s="712"/>
      <c r="F103" s="390" t="s">
        <v>1181</v>
      </c>
      <c r="G103" s="450" t="str">
        <f t="shared" si="0"/>
        <v/>
      </c>
      <c r="H103" s="211"/>
      <c r="I103" s="211"/>
      <c r="J103" s="231"/>
      <c r="K103" s="231"/>
    </row>
    <row r="104" spans="2:11" hidden="1" x14ac:dyDescent="0.25">
      <c r="B104" s="400" t="s">
        <v>1186</v>
      </c>
      <c r="C104" s="412"/>
      <c r="D104" s="712"/>
      <c r="F104" s="390" t="s">
        <v>1173</v>
      </c>
      <c r="G104" s="450" t="str">
        <f t="shared" si="0"/>
        <v/>
      </c>
      <c r="H104" s="211"/>
      <c r="I104" s="211"/>
      <c r="J104" s="231"/>
      <c r="K104" s="231"/>
    </row>
    <row r="105" spans="2:11" hidden="1" x14ac:dyDescent="0.25">
      <c r="B105" s="400" t="s">
        <v>1187</v>
      </c>
      <c r="C105" s="412"/>
      <c r="D105" s="712"/>
      <c r="F105" s="390" t="s">
        <v>1173</v>
      </c>
      <c r="G105" s="450" t="str">
        <f t="shared" si="0"/>
        <v/>
      </c>
      <c r="H105" s="211"/>
      <c r="I105" s="211"/>
      <c r="J105" s="231"/>
      <c r="K105" s="231"/>
    </row>
    <row r="106" spans="2:11" hidden="1" x14ac:dyDescent="0.25">
      <c r="B106" s="400" t="s">
        <v>1188</v>
      </c>
      <c r="C106" s="412"/>
      <c r="D106" s="712"/>
      <c r="F106" s="390" t="s">
        <v>1173</v>
      </c>
      <c r="G106" s="450" t="str">
        <f t="shared" si="0"/>
        <v/>
      </c>
      <c r="H106" s="211"/>
      <c r="I106" s="211"/>
      <c r="J106" s="231"/>
      <c r="K106" s="231"/>
    </row>
    <row r="107" spans="2:11" hidden="1" x14ac:dyDescent="0.25">
      <c r="B107" s="400" t="s">
        <v>1189</v>
      </c>
      <c r="C107" s="412"/>
      <c r="D107" s="712"/>
      <c r="F107" s="390" t="s">
        <v>1173</v>
      </c>
      <c r="G107" s="450" t="str">
        <f t="shared" si="0"/>
        <v/>
      </c>
      <c r="H107" s="211"/>
      <c r="I107" s="211"/>
      <c r="J107" s="231"/>
      <c r="K107" s="231"/>
    </row>
    <row r="108" spans="2:11" ht="29.25" hidden="1" customHeight="1" x14ac:dyDescent="0.25">
      <c r="B108" s="400" t="s">
        <v>1190</v>
      </c>
      <c r="C108" s="412"/>
      <c r="D108" s="712"/>
      <c r="F108" s="390" t="s">
        <v>1181</v>
      </c>
      <c r="G108" s="450" t="str">
        <f t="shared" si="0"/>
        <v/>
      </c>
      <c r="H108" s="211"/>
      <c r="I108" s="211"/>
      <c r="J108" s="231"/>
      <c r="K108" s="231"/>
    </row>
    <row r="109" spans="2:11" ht="15" hidden="1" customHeight="1" x14ac:dyDescent="0.25">
      <c r="B109" s="400" t="s">
        <v>1191</v>
      </c>
      <c r="C109" s="412"/>
      <c r="D109" s="712"/>
      <c r="F109" s="390" t="s">
        <v>1197</v>
      </c>
      <c r="G109" s="450" t="str">
        <f t="shared" si="0"/>
        <v/>
      </c>
      <c r="H109" s="211"/>
      <c r="I109" s="211"/>
      <c r="J109" s="231"/>
      <c r="K109" s="231"/>
    </row>
    <row r="110" spans="2:11" ht="29.25" hidden="1" customHeight="1" x14ac:dyDescent="0.25">
      <c r="B110" s="400" t="s">
        <v>1192</v>
      </c>
      <c r="C110" s="412"/>
      <c r="D110" s="712"/>
      <c r="F110" s="390" t="s">
        <v>1198</v>
      </c>
      <c r="G110" s="450" t="str">
        <f t="shared" si="0"/>
        <v/>
      </c>
      <c r="H110" s="211"/>
      <c r="I110" s="211"/>
      <c r="J110" s="231"/>
      <c r="K110" s="231"/>
    </row>
    <row r="111" spans="2:11" hidden="1" x14ac:dyDescent="0.25">
      <c r="B111" s="400" t="s">
        <v>1193</v>
      </c>
      <c r="C111" s="412"/>
      <c r="D111" s="712"/>
      <c r="F111" s="390" t="s">
        <v>1199</v>
      </c>
      <c r="G111" s="450" t="str">
        <f t="shared" ref="G111:G158" si="1">IF(OR(TRIM(D111)&lt;&gt;"",TRIM(F111)&lt;&gt;""),IF(AND(TRIM(D111)&lt;&gt;"",TRIM(F111)&lt;&gt;""),IF(OR(TRIM(C111)&lt;&gt;TRIM(D111),TRIM(C111)&lt;&gt;TRIM(F111)),"_",""),IF(TRIM(C111)&lt;&gt;TRIM(D111), "_", "")),"")</f>
        <v/>
      </c>
      <c r="H111" s="211"/>
      <c r="I111" s="211"/>
      <c r="J111" s="231"/>
      <c r="K111" s="231"/>
    </row>
    <row r="112" spans="2:11" hidden="1" x14ac:dyDescent="0.25">
      <c r="B112" s="400" t="s">
        <v>1194</v>
      </c>
      <c r="C112" s="412"/>
      <c r="D112" s="712"/>
      <c r="F112" s="390" t="s">
        <v>1200</v>
      </c>
      <c r="G112" s="450" t="str">
        <f t="shared" si="1"/>
        <v/>
      </c>
      <c r="H112" s="211"/>
      <c r="I112" s="211"/>
      <c r="J112" s="231"/>
      <c r="K112" s="231"/>
    </row>
    <row r="113" spans="2:11" hidden="1" x14ac:dyDescent="0.25">
      <c r="B113" s="400" t="s">
        <v>1195</v>
      </c>
      <c r="C113" s="412"/>
      <c r="D113" s="712"/>
      <c r="F113" s="390" t="s">
        <v>1173</v>
      </c>
      <c r="G113" s="450" t="str">
        <f t="shared" si="1"/>
        <v/>
      </c>
      <c r="H113" s="211"/>
      <c r="I113" s="211"/>
      <c r="J113" s="231"/>
      <c r="K113" s="231"/>
    </row>
    <row r="114" spans="2:11" ht="15" hidden="1" customHeight="1" x14ac:dyDescent="0.25">
      <c r="B114" s="400" t="s">
        <v>1196</v>
      </c>
      <c r="C114" s="412"/>
      <c r="D114" s="712"/>
      <c r="F114" s="390" t="s">
        <v>1181</v>
      </c>
      <c r="G114" s="450" t="str">
        <f t="shared" si="1"/>
        <v/>
      </c>
      <c r="H114" s="211"/>
      <c r="I114" s="211"/>
      <c r="J114" s="231"/>
      <c r="K114" s="231"/>
    </row>
    <row r="115" spans="2:11" ht="29.25" customHeight="1" x14ac:dyDescent="0.25">
      <c r="B115" s="368" t="s">
        <v>1124</v>
      </c>
      <c r="C115" s="412" t="s">
        <v>1125</v>
      </c>
      <c r="D115" s="712" t="s">
        <v>1125</v>
      </c>
      <c r="F115" s="390"/>
      <c r="G115" s="450" t="str">
        <f t="shared" si="1"/>
        <v/>
      </c>
      <c r="H115" s="211"/>
      <c r="I115" s="211"/>
      <c r="J115" s="231"/>
      <c r="K115" s="231"/>
    </row>
    <row r="116" spans="2:11" x14ac:dyDescent="0.25">
      <c r="B116" s="368" t="s">
        <v>1188</v>
      </c>
      <c r="C116" s="412" t="s">
        <v>1141</v>
      </c>
      <c r="D116" s="712" t="s">
        <v>1141</v>
      </c>
      <c r="F116" s="390"/>
      <c r="G116" s="450" t="str">
        <f t="shared" si="1"/>
        <v/>
      </c>
      <c r="H116" s="211"/>
      <c r="I116" s="211"/>
      <c r="J116" s="231"/>
      <c r="K116" s="231"/>
    </row>
    <row r="117" spans="2:11" x14ac:dyDescent="0.25">
      <c r="B117" s="368" t="s">
        <v>1126</v>
      </c>
      <c r="C117" s="412" t="s">
        <v>1146</v>
      </c>
      <c r="D117" s="712" t="s">
        <v>1146</v>
      </c>
      <c r="F117" s="390"/>
      <c r="G117" s="450" t="str">
        <f t="shared" si="1"/>
        <v/>
      </c>
      <c r="H117" s="211"/>
      <c r="I117" s="211"/>
      <c r="J117" s="231"/>
      <c r="K117" s="231"/>
    </row>
    <row r="118" spans="2:11" x14ac:dyDescent="0.25">
      <c r="B118" s="368" t="s">
        <v>1148</v>
      </c>
      <c r="C118" s="412" t="s">
        <v>1127</v>
      </c>
      <c r="D118" s="712" t="s">
        <v>1127</v>
      </c>
      <c r="F118" s="390"/>
      <c r="G118" s="450" t="str">
        <f t="shared" si="1"/>
        <v/>
      </c>
      <c r="H118" s="211"/>
      <c r="I118" s="211"/>
      <c r="J118" s="231"/>
      <c r="K118" s="231"/>
    </row>
    <row r="119" spans="2:11" x14ac:dyDescent="0.25">
      <c r="B119" s="368" t="s">
        <v>1128</v>
      </c>
      <c r="C119" s="435" t="s">
        <v>1129</v>
      </c>
      <c r="D119" s="746" t="s">
        <v>1129</v>
      </c>
      <c r="F119" s="391"/>
      <c r="G119" s="450" t="str">
        <f t="shared" si="1"/>
        <v/>
      </c>
      <c r="H119" s="211"/>
      <c r="I119" s="211"/>
      <c r="J119" s="231"/>
      <c r="K119" s="231"/>
    </row>
    <row r="120" spans="2:11" x14ac:dyDescent="0.25">
      <c r="B120" s="368" t="s">
        <v>1130</v>
      </c>
      <c r="C120" s="435" t="s">
        <v>1131</v>
      </c>
      <c r="D120" s="746" t="s">
        <v>1131</v>
      </c>
      <c r="E120" s="860"/>
      <c r="F120" s="391"/>
      <c r="G120" s="450" t="str">
        <f t="shared" si="1"/>
        <v/>
      </c>
      <c r="H120" s="211"/>
      <c r="I120" s="211"/>
      <c r="J120" s="231"/>
      <c r="K120" s="231"/>
    </row>
    <row r="121" spans="2:11" x14ac:dyDescent="0.25">
      <c r="B121" s="580" t="s">
        <v>1147</v>
      </c>
      <c r="C121" s="396" t="s">
        <v>1132</v>
      </c>
      <c r="D121" s="745" t="s">
        <v>1132</v>
      </c>
      <c r="F121" s="424"/>
      <c r="G121" s="450" t="str">
        <f t="shared" si="1"/>
        <v/>
      </c>
      <c r="H121" s="211"/>
      <c r="I121" s="211"/>
      <c r="J121" s="231"/>
      <c r="K121" s="231"/>
    </row>
    <row r="122" spans="2:11" x14ac:dyDescent="0.25">
      <c r="B122" s="368" t="s">
        <v>1133</v>
      </c>
      <c r="C122" s="412" t="s">
        <v>1134</v>
      </c>
      <c r="D122" s="712" t="s">
        <v>1134</v>
      </c>
      <c r="F122" s="390"/>
      <c r="G122" s="450" t="str">
        <f t="shared" si="1"/>
        <v/>
      </c>
      <c r="H122" s="211"/>
      <c r="I122" s="211"/>
      <c r="J122" s="231"/>
      <c r="K122" s="231"/>
    </row>
    <row r="123" spans="2:11" x14ac:dyDescent="0.25">
      <c r="B123" s="368" t="s">
        <v>1135</v>
      </c>
      <c r="C123" s="412" t="s">
        <v>1136</v>
      </c>
      <c r="D123" s="712" t="s">
        <v>1136</v>
      </c>
      <c r="F123" s="390"/>
      <c r="G123" s="450" t="str">
        <f t="shared" si="1"/>
        <v/>
      </c>
      <c r="H123" s="211"/>
      <c r="I123" s="211"/>
      <c r="J123" s="231"/>
      <c r="K123" s="231"/>
    </row>
    <row r="124" spans="2:11" x14ac:dyDescent="0.25">
      <c r="B124" s="763" t="s">
        <v>1137</v>
      </c>
      <c r="C124" s="764" t="s">
        <v>1138</v>
      </c>
      <c r="D124" s="765" t="s">
        <v>1138</v>
      </c>
      <c r="E124" s="766"/>
      <c r="F124" s="867"/>
      <c r="G124" s="450" t="str">
        <f t="shared" si="1"/>
        <v/>
      </c>
      <c r="H124" s="211"/>
      <c r="I124" s="211"/>
      <c r="J124" s="231"/>
      <c r="K124" s="231"/>
    </row>
    <row r="125" spans="2:11" x14ac:dyDescent="0.25">
      <c r="B125" s="767" t="s">
        <v>1139</v>
      </c>
      <c r="C125" s="768" t="s">
        <v>1140</v>
      </c>
      <c r="D125" s="769" t="s">
        <v>1140</v>
      </c>
      <c r="E125" s="770"/>
      <c r="F125" s="868"/>
      <c r="G125" s="450" t="str">
        <f t="shared" si="1"/>
        <v/>
      </c>
      <c r="H125" s="211"/>
      <c r="I125" s="211"/>
      <c r="J125" s="231"/>
      <c r="K125" s="231"/>
    </row>
    <row r="126" spans="2:11" ht="45.75" customHeight="1" x14ac:dyDescent="0.25">
      <c r="B126" s="368" t="s">
        <v>1142</v>
      </c>
      <c r="C126" s="412" t="s">
        <v>1143</v>
      </c>
      <c r="D126" s="712" t="s">
        <v>1143</v>
      </c>
      <c r="F126" s="390"/>
      <c r="G126" s="450" t="str">
        <f t="shared" si="1"/>
        <v/>
      </c>
      <c r="H126" s="211"/>
      <c r="I126" s="211"/>
      <c r="J126" s="231"/>
      <c r="K126" s="231"/>
    </row>
    <row r="127" spans="2:11" ht="44.25" customHeight="1" x14ac:dyDescent="0.25">
      <c r="B127" s="722" t="s">
        <v>1144</v>
      </c>
      <c r="C127" s="412" t="s">
        <v>1145</v>
      </c>
      <c r="D127" s="712" t="s">
        <v>1145</v>
      </c>
      <c r="F127" s="390"/>
      <c r="G127" s="450" t="str">
        <f t="shared" si="1"/>
        <v/>
      </c>
      <c r="H127" s="211"/>
      <c r="I127" s="211"/>
      <c r="J127" s="231"/>
      <c r="K127" s="231"/>
    </row>
    <row r="128" spans="2:11" ht="15" customHeight="1" x14ac:dyDescent="0.25">
      <c r="B128" s="722" t="s">
        <v>1149</v>
      </c>
      <c r="C128" s="412" t="s">
        <v>1150</v>
      </c>
      <c r="D128" s="712" t="s">
        <v>1150</v>
      </c>
      <c r="F128" s="390"/>
      <c r="G128" s="450" t="str">
        <f t="shared" si="1"/>
        <v/>
      </c>
      <c r="H128" s="211"/>
      <c r="I128" s="211"/>
      <c r="J128" s="231"/>
      <c r="K128" s="231"/>
    </row>
    <row r="129" spans="2:11" ht="8.1" customHeight="1" x14ac:dyDescent="0.25">
      <c r="B129" s="759"/>
      <c r="C129" s="760"/>
      <c r="D129" s="761"/>
      <c r="F129" s="760"/>
      <c r="G129" s="450" t="str">
        <f t="shared" si="1"/>
        <v/>
      </c>
      <c r="H129" s="211"/>
      <c r="I129" s="211"/>
      <c r="J129" s="758"/>
      <c r="K129" s="758"/>
    </row>
    <row r="130" spans="2:11" x14ac:dyDescent="0.25">
      <c r="B130" s="754" t="s">
        <v>1226</v>
      </c>
      <c r="C130" s="524" t="s">
        <v>62</v>
      </c>
      <c r="D130" s="525" t="s">
        <v>63</v>
      </c>
      <c r="E130" s="16"/>
      <c r="F130" s="525" t="s">
        <v>146</v>
      </c>
      <c r="G130" s="450" t="str">
        <f t="shared" si="1"/>
        <v>_</v>
      </c>
      <c r="H130" s="757"/>
      <c r="I130" s="757"/>
      <c r="J130" s="527" t="s">
        <v>1002</v>
      </c>
      <c r="K130" s="231"/>
    </row>
    <row r="131" spans="2:11" hidden="1" x14ac:dyDescent="0.25">
      <c r="B131" s="400" t="s">
        <v>1201</v>
      </c>
      <c r="C131" s="412"/>
      <c r="D131" s="712"/>
      <c r="F131" s="390" t="s">
        <v>1205</v>
      </c>
      <c r="G131" s="450" t="str">
        <f t="shared" si="1"/>
        <v/>
      </c>
      <c r="H131" s="211"/>
      <c r="I131" s="211"/>
      <c r="J131" s="231"/>
      <c r="K131" s="231"/>
    </row>
    <row r="132" spans="2:11" hidden="1" x14ac:dyDescent="0.25">
      <c r="B132" s="400" t="s">
        <v>1202</v>
      </c>
      <c r="C132" s="412"/>
      <c r="D132" s="712"/>
      <c r="F132" s="390" t="s">
        <v>1206</v>
      </c>
      <c r="G132" s="450" t="str">
        <f t="shared" si="1"/>
        <v/>
      </c>
      <c r="H132" s="211"/>
      <c r="I132" s="211"/>
      <c r="J132" s="231"/>
      <c r="K132" s="231"/>
    </row>
    <row r="133" spans="2:11" ht="15" hidden="1" customHeight="1" x14ac:dyDescent="0.25">
      <c r="B133" s="400" t="s">
        <v>869</v>
      </c>
      <c r="C133" s="412"/>
      <c r="D133" s="712"/>
      <c r="F133" s="390" t="s">
        <v>1207</v>
      </c>
      <c r="G133" s="450" t="str">
        <f t="shared" si="1"/>
        <v/>
      </c>
      <c r="H133" s="211"/>
      <c r="I133" s="211"/>
      <c r="J133" s="231"/>
      <c r="K133" s="231"/>
    </row>
    <row r="134" spans="2:11" ht="15" hidden="1" customHeight="1" x14ac:dyDescent="0.25">
      <c r="B134" s="400" t="s">
        <v>1203</v>
      </c>
      <c r="C134" s="412"/>
      <c r="D134" s="712"/>
      <c r="F134" s="390" t="s">
        <v>1208</v>
      </c>
      <c r="G134" s="450" t="str">
        <f t="shared" si="1"/>
        <v/>
      </c>
      <c r="H134" s="211"/>
      <c r="I134" s="211"/>
      <c r="J134" s="231"/>
      <c r="K134" s="231"/>
    </row>
    <row r="135" spans="2:11" ht="15" hidden="1" customHeight="1" x14ac:dyDescent="0.25">
      <c r="B135" s="400" t="s">
        <v>1204</v>
      </c>
      <c r="C135" s="412"/>
      <c r="D135" s="712"/>
      <c r="F135" s="390" t="s">
        <v>1209</v>
      </c>
      <c r="G135" s="450" t="str">
        <f t="shared" si="1"/>
        <v/>
      </c>
      <c r="H135" s="211"/>
      <c r="I135" s="211"/>
      <c r="J135" s="231"/>
      <c r="K135" s="231"/>
    </row>
    <row r="136" spans="2:11" x14ac:dyDescent="0.25">
      <c r="B136" s="368" t="s">
        <v>1201</v>
      </c>
      <c r="C136" s="412" t="s">
        <v>1153</v>
      </c>
      <c r="D136" s="712" t="s">
        <v>1153</v>
      </c>
      <c r="F136" s="390"/>
      <c r="G136" s="450" t="str">
        <f t="shared" si="1"/>
        <v/>
      </c>
      <c r="H136" s="211"/>
      <c r="I136" s="211"/>
      <c r="J136" s="231"/>
      <c r="K136" s="231"/>
    </row>
    <row r="137" spans="2:11" ht="45" customHeight="1" x14ac:dyDescent="0.25">
      <c r="B137" s="368" t="s">
        <v>1151</v>
      </c>
      <c r="C137" s="412" t="s">
        <v>1152</v>
      </c>
      <c r="D137" s="712" t="s">
        <v>1152</v>
      </c>
      <c r="F137" s="390"/>
      <c r="G137" s="450" t="str">
        <f t="shared" si="1"/>
        <v/>
      </c>
      <c r="H137" s="211"/>
      <c r="I137" s="211"/>
      <c r="J137" s="231"/>
      <c r="K137" s="231"/>
    </row>
    <row r="138" spans="2:11" x14ac:dyDescent="0.25">
      <c r="B138" s="368" t="s">
        <v>1154</v>
      </c>
      <c r="C138" s="412" t="s">
        <v>1155</v>
      </c>
      <c r="D138" s="712" t="s">
        <v>1155</v>
      </c>
      <c r="F138" s="390"/>
      <c r="G138" s="450" t="str">
        <f t="shared" si="1"/>
        <v/>
      </c>
      <c r="H138" s="211"/>
      <c r="I138" s="211"/>
      <c r="J138" s="231"/>
      <c r="K138" s="231"/>
    </row>
    <row r="139" spans="2:11" ht="8.1" customHeight="1" x14ac:dyDescent="0.25">
      <c r="B139" s="759"/>
      <c r="C139" s="860"/>
      <c r="D139" s="881"/>
      <c r="F139" s="760"/>
      <c r="G139" s="450" t="str">
        <f t="shared" si="1"/>
        <v/>
      </c>
      <c r="H139" s="211"/>
      <c r="I139" s="211"/>
      <c r="J139" s="758"/>
      <c r="K139" s="758"/>
    </row>
    <row r="140" spans="2:11" ht="29.25" customHeight="1" x14ac:dyDescent="0.25">
      <c r="B140" s="754" t="s">
        <v>1227</v>
      </c>
      <c r="C140" s="524" t="s">
        <v>62</v>
      </c>
      <c r="D140" s="525" t="s">
        <v>63</v>
      </c>
      <c r="E140" s="16"/>
      <c r="F140" s="525" t="s">
        <v>146</v>
      </c>
      <c r="G140" s="450" t="str">
        <f t="shared" si="1"/>
        <v>_</v>
      </c>
      <c r="H140" s="757"/>
      <c r="I140" s="757"/>
      <c r="J140" s="527" t="s">
        <v>1002</v>
      </c>
      <c r="K140" s="231"/>
    </row>
    <row r="141" spans="2:11" ht="14.25" hidden="1" customHeight="1" x14ac:dyDescent="0.25">
      <c r="B141" s="400" t="s">
        <v>870</v>
      </c>
      <c r="C141" s="412"/>
      <c r="D141" s="712"/>
      <c r="F141" s="390" t="s">
        <v>1215</v>
      </c>
      <c r="G141" s="450" t="str">
        <f t="shared" si="1"/>
        <v/>
      </c>
      <c r="H141" s="211"/>
      <c r="I141" s="211"/>
      <c r="J141" s="231"/>
      <c r="K141" s="231"/>
    </row>
    <row r="142" spans="2:11" ht="14.25" hidden="1" customHeight="1" x14ac:dyDescent="0.25">
      <c r="B142" s="400" t="s">
        <v>1210</v>
      </c>
      <c r="C142" s="412"/>
      <c r="D142" s="712"/>
      <c r="F142" s="390" t="s">
        <v>1216</v>
      </c>
      <c r="G142" s="450" t="str">
        <f t="shared" si="1"/>
        <v/>
      </c>
      <c r="H142" s="211"/>
      <c r="I142" s="211"/>
      <c r="J142" s="231"/>
      <c r="K142" s="231"/>
    </row>
    <row r="143" spans="2:11" ht="14.25" hidden="1" customHeight="1" x14ac:dyDescent="0.25">
      <c r="B143" s="400" t="s">
        <v>1211</v>
      </c>
      <c r="C143" s="412"/>
      <c r="D143" s="712"/>
      <c r="F143" s="390" t="s">
        <v>1217</v>
      </c>
      <c r="G143" s="450" t="str">
        <f t="shared" si="1"/>
        <v/>
      </c>
      <c r="H143" s="211"/>
      <c r="I143" s="211"/>
      <c r="J143" s="231"/>
      <c r="K143" s="231"/>
    </row>
    <row r="144" spans="2:11" ht="14.25" hidden="1" customHeight="1" x14ac:dyDescent="0.25">
      <c r="B144" s="400" t="s">
        <v>1212</v>
      </c>
      <c r="C144" s="412"/>
      <c r="D144" s="712"/>
      <c r="F144" s="390" t="s">
        <v>1218</v>
      </c>
      <c r="G144" s="450" t="str">
        <f t="shared" si="1"/>
        <v/>
      </c>
      <c r="H144" s="211"/>
      <c r="I144" s="211"/>
      <c r="J144" s="231"/>
      <c r="K144" s="231"/>
    </row>
    <row r="145" spans="2:11" ht="14.25" hidden="1" customHeight="1" x14ac:dyDescent="0.25">
      <c r="B145" s="400" t="s">
        <v>1213</v>
      </c>
      <c r="C145" s="412"/>
      <c r="D145" s="712"/>
      <c r="F145" s="390" t="s">
        <v>1219</v>
      </c>
      <c r="G145" s="450" t="str">
        <f t="shared" si="1"/>
        <v/>
      </c>
      <c r="H145" s="211"/>
      <c r="I145" s="211"/>
      <c r="J145" s="231"/>
      <c r="K145" s="231"/>
    </row>
    <row r="146" spans="2:11" ht="14.25" hidden="1" customHeight="1" x14ac:dyDescent="0.25">
      <c r="B146" s="400" t="s">
        <v>1214</v>
      </c>
      <c r="C146" s="412"/>
      <c r="D146" s="712"/>
      <c r="F146" s="390" t="s">
        <v>1220</v>
      </c>
      <c r="G146" s="450" t="str">
        <f t="shared" si="1"/>
        <v/>
      </c>
      <c r="H146" s="211"/>
      <c r="I146" s="211"/>
      <c r="J146" s="231"/>
      <c r="K146" s="231"/>
    </row>
    <row r="147" spans="2:11" ht="29.25" customHeight="1" x14ac:dyDescent="0.25">
      <c r="B147" s="368" t="s">
        <v>1156</v>
      </c>
      <c r="C147" s="412" t="s">
        <v>1157</v>
      </c>
      <c r="D147" s="712" t="s">
        <v>1157</v>
      </c>
      <c r="F147" s="390"/>
      <c r="G147" s="450" t="str">
        <f t="shared" si="1"/>
        <v/>
      </c>
      <c r="H147" s="211"/>
      <c r="I147" s="211"/>
      <c r="J147" s="231"/>
      <c r="K147" s="231"/>
    </row>
    <row r="148" spans="2:11" ht="29.25" customHeight="1" x14ac:dyDescent="0.25">
      <c r="B148" s="368" t="s">
        <v>1158</v>
      </c>
      <c r="C148" s="412" t="s">
        <v>1159</v>
      </c>
      <c r="D148" s="712" t="s">
        <v>1159</v>
      </c>
      <c r="F148" s="390"/>
      <c r="G148" s="450" t="str">
        <f t="shared" si="1"/>
        <v/>
      </c>
      <c r="H148" s="211"/>
      <c r="I148" s="211"/>
      <c r="J148" s="231"/>
      <c r="K148" s="231"/>
    </row>
    <row r="149" spans="2:11" ht="29.25" customHeight="1" x14ac:dyDescent="0.25">
      <c r="B149" s="368" t="s">
        <v>1160</v>
      </c>
      <c r="C149" s="412" t="s">
        <v>1161</v>
      </c>
      <c r="D149" s="712" t="s">
        <v>1161</v>
      </c>
      <c r="F149" s="390"/>
      <c r="G149" s="450" t="str">
        <f t="shared" si="1"/>
        <v/>
      </c>
      <c r="H149" s="211"/>
      <c r="I149" s="211"/>
      <c r="J149" s="231"/>
      <c r="K149" s="231"/>
    </row>
    <row r="150" spans="2:11" ht="15" customHeight="1" x14ac:dyDescent="0.25">
      <c r="B150" s="722" t="s">
        <v>1162</v>
      </c>
      <c r="C150" s="412" t="s">
        <v>1163</v>
      </c>
      <c r="D150" s="712" t="s">
        <v>1163</v>
      </c>
      <c r="F150" s="390"/>
      <c r="G150" s="450" t="str">
        <f t="shared" si="1"/>
        <v/>
      </c>
      <c r="H150" s="211"/>
      <c r="I150" s="211"/>
      <c r="J150" s="231"/>
      <c r="K150" s="231"/>
    </row>
    <row r="151" spans="2:11" x14ac:dyDescent="0.25">
      <c r="B151" s="792" t="s">
        <v>1164</v>
      </c>
      <c r="C151" s="793" t="s">
        <v>1165</v>
      </c>
      <c r="D151" s="794" t="s">
        <v>1165</v>
      </c>
      <c r="E151" s="795"/>
      <c r="F151" s="866"/>
      <c r="G151" s="450" t="str">
        <f t="shared" si="1"/>
        <v/>
      </c>
      <c r="H151" s="211"/>
      <c r="I151" s="211"/>
      <c r="J151" s="231"/>
      <c r="K151" s="231"/>
    </row>
    <row r="152" spans="2:11" ht="8.1" customHeight="1" x14ac:dyDescent="0.25">
      <c r="B152" s="757"/>
      <c r="C152" s="762"/>
      <c r="D152" s="791"/>
      <c r="F152" s="762"/>
      <c r="G152" s="450" t="str">
        <f t="shared" si="1"/>
        <v/>
      </c>
      <c r="H152" s="211"/>
      <c r="I152" s="211"/>
      <c r="J152" s="758"/>
      <c r="K152" s="758"/>
    </row>
    <row r="153" spans="2:11" x14ac:dyDescent="0.25">
      <c r="B153" s="754" t="s">
        <v>1228</v>
      </c>
      <c r="C153" s="755" t="s">
        <v>62</v>
      </c>
      <c r="D153" s="756" t="s">
        <v>63</v>
      </c>
      <c r="E153" s="16"/>
      <c r="F153" s="525" t="s">
        <v>146</v>
      </c>
      <c r="G153" s="450" t="str">
        <f t="shared" si="1"/>
        <v>_</v>
      </c>
      <c r="H153" s="757"/>
      <c r="I153" s="757"/>
      <c r="J153" s="527" t="s">
        <v>1002</v>
      </c>
      <c r="K153" s="231"/>
    </row>
    <row r="154" spans="2:11" ht="15" hidden="1" customHeight="1" x14ac:dyDescent="0.25">
      <c r="B154" s="400" t="s">
        <v>1221</v>
      </c>
      <c r="C154" s="412"/>
      <c r="D154" s="712"/>
      <c r="F154" s="390" t="s">
        <v>1223</v>
      </c>
      <c r="G154" s="450" t="str">
        <f t="shared" si="1"/>
        <v/>
      </c>
      <c r="H154" s="211"/>
      <c r="I154" s="211"/>
      <c r="J154" s="231"/>
      <c r="K154" s="231"/>
    </row>
    <row r="155" spans="2:11" hidden="1" x14ac:dyDescent="0.25">
      <c r="B155" s="400" t="s">
        <v>1222</v>
      </c>
      <c r="C155" s="412"/>
      <c r="D155" s="712"/>
      <c r="F155" s="390" t="s">
        <v>1224</v>
      </c>
      <c r="G155" s="450" t="str">
        <f t="shared" si="1"/>
        <v/>
      </c>
      <c r="H155" s="211"/>
      <c r="I155" s="211"/>
      <c r="J155" s="231"/>
      <c r="K155" s="231"/>
    </row>
    <row r="156" spans="2:11" x14ac:dyDescent="0.25">
      <c r="B156" s="673" t="s">
        <v>1166</v>
      </c>
      <c r="C156" s="412" t="s">
        <v>1167</v>
      </c>
      <c r="D156" s="712" t="s">
        <v>1167</v>
      </c>
      <c r="E156" s="16"/>
      <c r="F156" s="390"/>
      <c r="G156" s="450" t="str">
        <f t="shared" si="1"/>
        <v/>
      </c>
      <c r="J156" s="231"/>
      <c r="K156" s="231"/>
    </row>
    <row r="157" spans="2:11" ht="15" customHeight="1" x14ac:dyDescent="0.25">
      <c r="B157" s="400" t="s">
        <v>1168</v>
      </c>
      <c r="C157" s="412" t="s">
        <v>1169</v>
      </c>
      <c r="D157" s="712" t="s">
        <v>1169</v>
      </c>
      <c r="E157" s="16"/>
      <c r="F157" s="390"/>
      <c r="G157" s="450" t="str">
        <f t="shared" si="1"/>
        <v/>
      </c>
      <c r="J157" s="231"/>
      <c r="K157" s="231"/>
    </row>
    <row r="158" spans="2:11" x14ac:dyDescent="0.25">
      <c r="B158" s="400" t="s">
        <v>1170</v>
      </c>
      <c r="C158" s="412" t="s">
        <v>1171</v>
      </c>
      <c r="D158" s="712" t="s">
        <v>1171</v>
      </c>
      <c r="E158" s="16"/>
      <c r="F158" s="390"/>
      <c r="G158" s="450" t="str">
        <f t="shared" si="1"/>
        <v/>
      </c>
      <c r="J158" s="231"/>
      <c r="K158" s="231"/>
    </row>
  </sheetData>
  <mergeCells count="5">
    <mergeCell ref="B40:D40"/>
    <mergeCell ref="B43:D43"/>
    <mergeCell ref="B41:F41"/>
    <mergeCell ref="B44:F44"/>
    <mergeCell ref="K20:K23"/>
  </mergeCells>
  <conditionalFormatting sqref="G1:G34 G36:G1048576">
    <cfRule type="cellIs" dxfId="47" priority="31" operator="equal">
      <formula>"_"</formula>
    </cfRule>
  </conditionalFormatting>
  <conditionalFormatting sqref="G35">
    <cfRule type="cellIs" dxfId="46" priority="26" operator="equal">
      <formula>"_"</formula>
    </cfRule>
  </conditionalFormatting>
  <conditionalFormatting sqref="D88">
    <cfRule type="containsText" priority="18" operator="containsText" text="Not Excluded">
      <formula>NOT(ISERROR(SEARCH("Not Excluded",D88)))</formula>
    </cfRule>
  </conditionalFormatting>
  <conditionalFormatting sqref="D88">
    <cfRule type="cellIs" dxfId="45" priority="16" operator="equal">
      <formula>"Not Excluded"</formula>
    </cfRule>
    <cfRule type="cellIs" dxfId="44" priority="17" operator="equal">
      <formula>"Excluded"</formula>
    </cfRule>
  </conditionalFormatting>
  <conditionalFormatting sqref="D87">
    <cfRule type="containsText" priority="15" operator="containsText" text="Not Excluded">
      <formula>NOT(ISERROR(SEARCH("Not Excluded",D87)))</formula>
    </cfRule>
  </conditionalFormatting>
  <conditionalFormatting sqref="D87">
    <cfRule type="cellIs" dxfId="43" priority="13" operator="equal">
      <formula>"Not Excluded"</formula>
    </cfRule>
    <cfRule type="cellIs" dxfId="42" priority="14" operator="equal">
      <formula>"Excluded"</formula>
    </cfRule>
  </conditionalFormatting>
  <conditionalFormatting sqref="D89">
    <cfRule type="cellIs" dxfId="41" priority="10" operator="equal">
      <formula>"Not Excluded"</formula>
    </cfRule>
    <cfRule type="cellIs" dxfId="40" priority="11" operator="equal">
      <formula>"Excluded"</formula>
    </cfRule>
  </conditionalFormatting>
  <conditionalFormatting sqref="D89">
    <cfRule type="containsText" priority="12" operator="containsText" text="Not Excluded">
      <formula>NOT(ISERROR(SEARCH("Not Excluded",D89)))</formula>
    </cfRule>
  </conditionalFormatting>
  <conditionalFormatting sqref="C88">
    <cfRule type="containsText" priority="9" operator="containsText" text="Not Excluded">
      <formula>NOT(ISERROR(SEARCH("Not Excluded",C88)))</formula>
    </cfRule>
  </conditionalFormatting>
  <conditionalFormatting sqref="C88">
    <cfRule type="cellIs" dxfId="39" priority="7" operator="equal">
      <formula>"Not Excluded"</formula>
    </cfRule>
    <cfRule type="cellIs" dxfId="38" priority="8" operator="equal">
      <formula>"Excluded"</formula>
    </cfRule>
  </conditionalFormatting>
  <conditionalFormatting sqref="C87">
    <cfRule type="containsText" priority="6" operator="containsText" text="Not Excluded">
      <formula>NOT(ISERROR(SEARCH("Not Excluded",C87)))</formula>
    </cfRule>
  </conditionalFormatting>
  <conditionalFormatting sqref="C87">
    <cfRule type="cellIs" dxfId="37" priority="4" operator="equal">
      <formula>"Not Excluded"</formula>
    </cfRule>
    <cfRule type="cellIs" dxfId="36" priority="5" operator="equal">
      <formula>"Excluded"</formula>
    </cfRule>
  </conditionalFormatting>
  <conditionalFormatting sqref="C89">
    <cfRule type="cellIs" dxfId="35" priority="1" operator="equal">
      <formula>"Not Excluded"</formula>
    </cfRule>
    <cfRule type="cellIs" dxfId="34" priority="2" operator="equal">
      <formula>"Excluded"</formula>
    </cfRule>
  </conditionalFormatting>
  <conditionalFormatting sqref="C89">
    <cfRule type="containsText" priority="3" operator="containsText" text="Not Excluded">
      <formula>NOT(ISERROR(SEARCH("Not Excluded",C89)))</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Foreign Package - T5CS</oddHeader>
    <oddFooter>&amp;L&amp;G&amp;CPage &amp;P of &amp;N</oddFooter>
  </headerFooter>
  <rowBreaks count="3" manualBreakCount="3">
    <brk id="42" min="1" max="3" man="1"/>
    <brk id="85" min="1" max="3" man="1"/>
    <brk id="139" min="1" max="3" man="1"/>
  </rowBreaks>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2">
    <pageSetUpPr fitToPage="1"/>
  </sheetPr>
  <dimension ref="B1:M120"/>
  <sheetViews>
    <sheetView showGridLines="0" workbookViewId="0"/>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2.85546875" style="452" customWidth="1"/>
    <col min="10" max="10" width="32.140625" style="452" customWidth="1"/>
    <col min="11" max="11" width="32.140625" style="381" customWidth="1"/>
    <col min="12" max="12" width="9.140625" style="16" customWidth="1"/>
    <col min="13" max="13" width="18.28515625" style="16" customWidth="1"/>
    <col min="14" max="53" width="9.140625" style="16" customWidth="1"/>
    <col min="54" max="16384" width="9.140625" style="16"/>
  </cols>
  <sheetData>
    <row r="1" spans="2:13" ht="7.5" customHeight="1" x14ac:dyDescent="0.25">
      <c r="E1" s="450"/>
    </row>
    <row r="2" spans="2:13" ht="15.75" x14ac:dyDescent="0.25">
      <c r="B2" s="453" t="s">
        <v>189</v>
      </c>
      <c r="E2" s="450"/>
      <c r="H2" s="454"/>
      <c r="I2" s="455"/>
      <c r="J2" s="455"/>
      <c r="L2" s="456" t="s">
        <v>391</v>
      </c>
      <c r="M2" s="381" t="s">
        <v>361</v>
      </c>
    </row>
    <row r="3" spans="2:13" x14ac:dyDescent="0.25">
      <c r="D3" s="455" t="str">
        <f xml:space="preserve"> IF(Input!D545=Input!G545,CHAR(254), "")</f>
        <v/>
      </c>
      <c r="E3" s="457"/>
      <c r="F3" s="458" t="str">
        <f xml:space="preserve"> IF(Input!E545=Input!G545,CHAR(254),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8.25" x14ac:dyDescent="0.25">
      <c r="B5" s="409" t="s">
        <v>60</v>
      </c>
      <c r="C5" s="412" t="str">
        <f>Input!B546</f>
        <v>Continental Insurance Company (CNA)</v>
      </c>
      <c r="D5" s="390" t="str">
        <f>Input!D546</f>
        <v>Continental Insurance Company (CNA)</v>
      </c>
      <c r="F5" s="413" t="str">
        <f>Input!E546</f>
        <v>Continental Insurance Company (CNA)</v>
      </c>
      <c r="J5" s="231"/>
      <c r="K5" s="231"/>
    </row>
    <row r="6" spans="2:13" x14ac:dyDescent="0.25">
      <c r="B6" s="409" t="s">
        <v>69</v>
      </c>
      <c r="C6" s="412" t="str">
        <f>Input!B548</f>
        <v>A: XV</v>
      </c>
      <c r="D6" s="390" t="str">
        <f>Input!D548</f>
        <v>A: XV</v>
      </c>
      <c r="F6" s="413" t="str">
        <f>Input!E548</f>
        <v>A: XV</v>
      </c>
      <c r="J6" s="231"/>
      <c r="K6" s="231"/>
    </row>
    <row r="7" spans="2:13" x14ac:dyDescent="0.25">
      <c r="B7" s="409" t="str">
        <f>Input!B544</f>
        <v>Renewal Policy Number</v>
      </c>
      <c r="C7" s="412"/>
      <c r="D7" s="390">
        <f>Input!C544</f>
        <v>6080912085</v>
      </c>
      <c r="F7" s="413">
        <f>Input!C544</f>
        <v>6080912085</v>
      </c>
      <c r="J7" s="231"/>
      <c r="K7" s="231"/>
    </row>
    <row r="8" spans="2:13" ht="26.2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79" t="s">
        <v>9</v>
      </c>
      <c r="C9" s="479"/>
      <c r="D9" s="479"/>
      <c r="E9" s="414"/>
      <c r="F9" s="566"/>
      <c r="J9" s="566"/>
      <c r="K9" s="566"/>
    </row>
    <row r="10" spans="2:13" x14ac:dyDescent="0.25">
      <c r="B10" s="491" t="str">
        <f>Input!B576</f>
        <v>Building</v>
      </c>
      <c r="C10" s="398">
        <f>Input!C576</f>
        <v>0</v>
      </c>
      <c r="D10" s="425">
        <f>Input!D576</f>
        <v>0</v>
      </c>
      <c r="E10" s="414"/>
      <c r="F10" s="427">
        <f>Input!E576</f>
        <v>0</v>
      </c>
      <c r="J10" s="231"/>
      <c r="K10" s="231"/>
    </row>
    <row r="11" spans="2:13" x14ac:dyDescent="0.25">
      <c r="B11" s="491" t="str">
        <f>Input!B577</f>
        <v>Business Personal Property</v>
      </c>
      <c r="C11" s="398">
        <f>Input!C577</f>
        <v>0</v>
      </c>
      <c r="D11" s="425">
        <f>Input!D577</f>
        <v>0</v>
      </c>
      <c r="E11" s="414"/>
      <c r="F11" s="427">
        <f>Input!E577</f>
        <v>0</v>
      </c>
      <c r="J11" s="231"/>
      <c r="K11" s="231"/>
    </row>
    <row r="12" spans="2:13" x14ac:dyDescent="0.25">
      <c r="B12" s="491" t="str">
        <f>Input!B578</f>
        <v>Business Income &amp; Extra Expense</v>
      </c>
      <c r="C12" s="398">
        <f>Input!C578</f>
        <v>0</v>
      </c>
      <c r="D12" s="425">
        <f>Input!D578</f>
        <v>0</v>
      </c>
      <c r="E12" s="414"/>
      <c r="F12" s="427">
        <f>Input!E578</f>
        <v>0</v>
      </c>
      <c r="J12" s="231"/>
      <c r="K12" s="231"/>
    </row>
    <row r="13" spans="2:13" x14ac:dyDescent="0.25">
      <c r="B13" s="491" t="str">
        <f>Input!B579</f>
        <v>Valuable Papers</v>
      </c>
      <c r="C13" s="398">
        <f>Input!C579</f>
        <v>0</v>
      </c>
      <c r="D13" s="425">
        <f>Input!D579</f>
        <v>0</v>
      </c>
      <c r="E13" s="414"/>
      <c r="F13" s="427">
        <f>Input!E579</f>
        <v>0</v>
      </c>
      <c r="J13" s="231"/>
      <c r="K13" s="231"/>
    </row>
    <row r="14" spans="2:13" x14ac:dyDescent="0.25">
      <c r="B14" s="491" t="str">
        <f>Input!B580</f>
        <v>Accounts Receivable</v>
      </c>
      <c r="C14" s="398">
        <f>Input!C580</f>
        <v>0</v>
      </c>
      <c r="D14" s="425">
        <f>Input!D580</f>
        <v>0</v>
      </c>
      <c r="E14" s="414"/>
      <c r="F14" s="427">
        <f>Input!E580</f>
        <v>0</v>
      </c>
      <c r="J14" s="231"/>
      <c r="K14" s="231"/>
    </row>
    <row r="15" spans="2:13" x14ac:dyDescent="0.25">
      <c r="B15" s="491" t="str">
        <f>Input!B581</f>
        <v>Utility Service - Direct Damage</v>
      </c>
      <c r="C15" s="398">
        <f>Input!C581</f>
        <v>0</v>
      </c>
      <c r="D15" s="425">
        <f>Input!D581</f>
        <v>0</v>
      </c>
      <c r="F15" s="427">
        <f>Input!E581</f>
        <v>0</v>
      </c>
      <c r="J15" s="231"/>
      <c r="K15" s="231"/>
    </row>
    <row r="16" spans="2:13" x14ac:dyDescent="0.25">
      <c r="B16" s="491" t="str">
        <f>Input!B582</f>
        <v>Utility Service - Time Element</v>
      </c>
      <c r="C16" s="398">
        <f>Input!C582</f>
        <v>0</v>
      </c>
      <c r="D16" s="425">
        <f>Input!D582</f>
        <v>0</v>
      </c>
      <c r="E16" s="238"/>
      <c r="F16" s="427">
        <f>Input!E582</f>
        <v>0</v>
      </c>
      <c r="J16" s="231"/>
      <c r="K16" s="231"/>
    </row>
    <row r="17" spans="2:11" x14ac:dyDescent="0.25">
      <c r="B17" s="491" t="str">
        <f>Input!B583</f>
        <v>Overhead Transmission Lines</v>
      </c>
      <c r="C17" s="398">
        <f>Input!C583</f>
        <v>0</v>
      </c>
      <c r="D17" s="425">
        <f>Input!D583</f>
        <v>0</v>
      </c>
      <c r="E17" s="432"/>
      <c r="F17" s="427">
        <f>Input!E583</f>
        <v>0</v>
      </c>
      <c r="J17" s="231"/>
      <c r="K17" s="231"/>
    </row>
    <row r="18" spans="2:11" x14ac:dyDescent="0.25">
      <c r="B18" s="491" t="str">
        <f>Input!B584</f>
        <v xml:space="preserve">Civil Authority </v>
      </c>
      <c r="C18" s="398">
        <f>Input!C584</f>
        <v>0</v>
      </c>
      <c r="D18" s="425">
        <f>Input!D584</f>
        <v>0</v>
      </c>
      <c r="E18" s="433"/>
      <c r="F18" s="427">
        <f>Input!E584</f>
        <v>0</v>
      </c>
      <c r="J18" s="231"/>
      <c r="K18" s="231"/>
    </row>
    <row r="19" spans="2:11" x14ac:dyDescent="0.25">
      <c r="B19" s="491" t="str">
        <f>Input!B585</f>
        <v>Ingress / Egress</v>
      </c>
      <c r="C19" s="398">
        <f>Input!C585</f>
        <v>0</v>
      </c>
      <c r="D19" s="425">
        <f>Input!D585</f>
        <v>0</v>
      </c>
      <c r="E19" s="434"/>
      <c r="F19" s="427">
        <f>Input!E585</f>
        <v>0</v>
      </c>
      <c r="J19" s="231"/>
      <c r="K19" s="231"/>
    </row>
    <row r="20" spans="2:11" x14ac:dyDescent="0.25">
      <c r="B20" s="491" t="str">
        <f>Input!B586</f>
        <v>Ordinance or Law</v>
      </c>
      <c r="C20" s="398">
        <f>Input!C586</f>
        <v>0</v>
      </c>
      <c r="D20" s="425">
        <f>Input!D586</f>
        <v>0</v>
      </c>
      <c r="F20" s="427">
        <f>Input!E586</f>
        <v>0</v>
      </c>
      <c r="J20" s="231"/>
      <c r="K20" s="231"/>
    </row>
    <row r="21" spans="2:11" x14ac:dyDescent="0.25">
      <c r="B21" s="409" t="str">
        <f>Input!B587</f>
        <v>Newly Acquired Building</v>
      </c>
      <c r="C21" s="398">
        <f>Input!C587</f>
        <v>0</v>
      </c>
      <c r="D21" s="425">
        <f>Input!D587</f>
        <v>0</v>
      </c>
      <c r="F21" s="427">
        <f>Input!E587</f>
        <v>0</v>
      </c>
      <c r="J21" s="231"/>
      <c r="K21" s="231"/>
    </row>
    <row r="22" spans="2:11" x14ac:dyDescent="0.25">
      <c r="B22" s="409" t="str">
        <f>Input!B588</f>
        <v>Newly Acquired Business Personal Property</v>
      </c>
      <c r="C22" s="398">
        <f>Input!C588</f>
        <v>0</v>
      </c>
      <c r="D22" s="425">
        <f>Input!D588</f>
        <v>0</v>
      </c>
      <c r="E22" s="426"/>
      <c r="F22" s="427">
        <f>Input!E588</f>
        <v>0</v>
      </c>
      <c r="J22" s="231"/>
      <c r="K22" s="231"/>
    </row>
    <row r="23" spans="2:11" x14ac:dyDescent="0.25">
      <c r="B23" s="409" t="str">
        <f>Input!B589</f>
        <v>Flood</v>
      </c>
      <c r="C23" s="398">
        <f>Input!C589</f>
        <v>0</v>
      </c>
      <c r="D23" s="425">
        <f>Input!D589</f>
        <v>0</v>
      </c>
      <c r="F23" s="427">
        <f>Input!E589</f>
        <v>0</v>
      </c>
      <c r="J23" s="231"/>
      <c r="K23" s="231"/>
    </row>
    <row r="24" spans="2:11" x14ac:dyDescent="0.25">
      <c r="B24" s="409" t="str">
        <f>Input!B590</f>
        <v>Earthquake</v>
      </c>
      <c r="C24" s="398">
        <f>Input!C590</f>
        <v>0</v>
      </c>
      <c r="D24" s="425">
        <f>Input!D590</f>
        <v>0</v>
      </c>
      <c r="F24" s="427">
        <f>Input!E590</f>
        <v>0</v>
      </c>
      <c r="J24" s="231"/>
      <c r="K24" s="231"/>
    </row>
    <row r="25" spans="2:11" x14ac:dyDescent="0.25">
      <c r="B25" s="409" t="str">
        <f>Input!B591</f>
        <v>Windstorm</v>
      </c>
      <c r="C25" s="398">
        <f>Input!C591</f>
        <v>0</v>
      </c>
      <c r="D25" s="425">
        <f>Input!D591</f>
        <v>0</v>
      </c>
      <c r="F25" s="427">
        <f>Input!E591</f>
        <v>0</v>
      </c>
      <c r="J25" s="231"/>
      <c r="K25" s="231"/>
    </row>
    <row r="26" spans="2:11" x14ac:dyDescent="0.25">
      <c r="B26" s="409" t="str">
        <f>Input!B592</f>
        <v>Named Storm</v>
      </c>
      <c r="C26" s="398">
        <f>Input!C592</f>
        <v>0</v>
      </c>
      <c r="D26" s="425">
        <f>Input!D592</f>
        <v>0</v>
      </c>
      <c r="F26" s="427">
        <f>Input!E592</f>
        <v>0</v>
      </c>
      <c r="J26" s="231"/>
      <c r="K26" s="231"/>
    </row>
    <row r="27" spans="2:11" x14ac:dyDescent="0.25">
      <c r="B27" s="479" t="s">
        <v>37</v>
      </c>
      <c r="C27" s="479"/>
      <c r="D27" s="479"/>
      <c r="F27" s="566"/>
      <c r="J27" s="566"/>
      <c r="K27" s="566"/>
    </row>
    <row r="28" spans="2:11" x14ac:dyDescent="0.25">
      <c r="B28" s="402" t="str">
        <f>Input!B594</f>
        <v>All Other</v>
      </c>
      <c r="C28" s="403">
        <f>Input!C594</f>
        <v>0</v>
      </c>
      <c r="D28" s="431">
        <f>Input!D594</f>
        <v>0</v>
      </c>
      <c r="F28" s="430">
        <f>Input!E594</f>
        <v>0</v>
      </c>
      <c r="J28" s="231"/>
      <c r="K28" s="231"/>
    </row>
    <row r="29" spans="2:11" x14ac:dyDescent="0.25">
      <c r="B29" s="402" t="str">
        <f>Input!B595</f>
        <v>Flood</v>
      </c>
      <c r="C29" s="403">
        <f>Input!C595</f>
        <v>0</v>
      </c>
      <c r="D29" s="431">
        <f>Input!D595</f>
        <v>0</v>
      </c>
      <c r="F29" s="430">
        <f>Input!E595</f>
        <v>0</v>
      </c>
      <c r="J29" s="231"/>
      <c r="K29" s="231"/>
    </row>
    <row r="30" spans="2:11" x14ac:dyDescent="0.25">
      <c r="B30" s="402" t="str">
        <f>Input!B596</f>
        <v>Earthquake</v>
      </c>
      <c r="C30" s="403">
        <f>Input!C596</f>
        <v>0</v>
      </c>
      <c r="D30" s="431">
        <f>Input!D596</f>
        <v>0</v>
      </c>
      <c r="F30" s="430">
        <f>Input!E596</f>
        <v>0</v>
      </c>
      <c r="J30" s="231"/>
      <c r="K30" s="231"/>
    </row>
    <row r="31" spans="2:11" x14ac:dyDescent="0.25">
      <c r="B31" s="402" t="str">
        <f>Input!B597</f>
        <v>Windstorm</v>
      </c>
      <c r="C31" s="403">
        <f>Input!C597</f>
        <v>0</v>
      </c>
      <c r="D31" s="431">
        <f>Input!D597</f>
        <v>0</v>
      </c>
      <c r="F31" s="430">
        <f>Input!E597</f>
        <v>0</v>
      </c>
      <c r="J31" s="231"/>
      <c r="K31" s="231"/>
    </row>
    <row r="32" spans="2:11" x14ac:dyDescent="0.25">
      <c r="B32" s="402" t="str">
        <f>Input!B598</f>
        <v>Named Storm</v>
      </c>
      <c r="C32" s="403">
        <f>Input!C598</f>
        <v>0</v>
      </c>
      <c r="D32" s="431">
        <f>Input!D598</f>
        <v>0</v>
      </c>
      <c r="F32" s="430">
        <f>Input!E598</f>
        <v>0</v>
      </c>
      <c r="J32" s="231"/>
      <c r="K32" s="231"/>
    </row>
    <row r="33" spans="2:11" x14ac:dyDescent="0.25">
      <c r="B33" s="479" t="s">
        <v>766</v>
      </c>
      <c r="C33" s="479"/>
      <c r="D33" s="479"/>
      <c r="F33" s="566"/>
      <c r="J33" s="566"/>
      <c r="K33" s="566"/>
    </row>
    <row r="34" spans="2:11" x14ac:dyDescent="0.25">
      <c r="B34" s="402" t="str">
        <f>Input!B600</f>
        <v>All Other</v>
      </c>
      <c r="C34" s="435">
        <f>Input!C600</f>
        <v>0</v>
      </c>
      <c r="D34" s="391">
        <f>Input!D600</f>
        <v>0</v>
      </c>
      <c r="F34" s="436">
        <f>Input!E600</f>
        <v>0</v>
      </c>
      <c r="J34" s="231"/>
      <c r="K34" s="231"/>
    </row>
    <row r="35" spans="2:11" x14ac:dyDescent="0.25">
      <c r="B35" s="402" t="str">
        <f>Input!B601</f>
        <v xml:space="preserve">Civil Authority </v>
      </c>
      <c r="C35" s="435">
        <f>Input!C601</f>
        <v>0</v>
      </c>
      <c r="D35" s="391">
        <f>Input!D601</f>
        <v>0</v>
      </c>
      <c r="F35" s="436">
        <f>Input!E601</f>
        <v>0</v>
      </c>
      <c r="J35" s="231"/>
      <c r="K35" s="231"/>
    </row>
    <row r="36" spans="2:11" x14ac:dyDescent="0.25">
      <c r="B36" s="402" t="str">
        <f>Input!B602</f>
        <v>Ingress / Egress</v>
      </c>
      <c r="C36" s="435">
        <f>Input!C602</f>
        <v>0</v>
      </c>
      <c r="D36" s="391">
        <f>Input!D602</f>
        <v>0</v>
      </c>
      <c r="F36" s="436">
        <f>Input!E602</f>
        <v>0</v>
      </c>
      <c r="J36" s="231"/>
      <c r="K36" s="231"/>
    </row>
    <row r="37" spans="2:11" x14ac:dyDescent="0.25">
      <c r="B37" s="402" t="str">
        <f>Input!B603</f>
        <v>Flood</v>
      </c>
      <c r="C37" s="435">
        <f>Input!C603</f>
        <v>0</v>
      </c>
      <c r="D37" s="391">
        <f>Input!D603</f>
        <v>0</v>
      </c>
      <c r="F37" s="436">
        <f>Input!E603</f>
        <v>0</v>
      </c>
      <c r="J37" s="231"/>
      <c r="K37" s="231"/>
    </row>
    <row r="38" spans="2:11" x14ac:dyDescent="0.25">
      <c r="B38" s="402" t="str">
        <f>Input!B604</f>
        <v>Earthquake</v>
      </c>
      <c r="C38" s="435">
        <f>Input!C604</f>
        <v>0</v>
      </c>
      <c r="D38" s="391">
        <f>Input!D604</f>
        <v>0</v>
      </c>
      <c r="F38" s="436">
        <f>Input!E604</f>
        <v>0</v>
      </c>
      <c r="J38" s="231"/>
      <c r="K38" s="231"/>
    </row>
    <row r="39" spans="2:11" x14ac:dyDescent="0.25">
      <c r="B39" s="402" t="str">
        <f>Input!B605</f>
        <v>Windstorm</v>
      </c>
      <c r="C39" s="435">
        <f>Input!C605</f>
        <v>0</v>
      </c>
      <c r="D39" s="391">
        <f>Input!D605</f>
        <v>0</v>
      </c>
      <c r="F39" s="436">
        <f>Input!E605</f>
        <v>0</v>
      </c>
      <c r="J39" s="231"/>
      <c r="K39" s="231"/>
    </row>
    <row r="40" spans="2:11" x14ac:dyDescent="0.25">
      <c r="B40" s="402" t="str">
        <f>Input!B606</f>
        <v>Named Storm</v>
      </c>
      <c r="C40" s="435">
        <f>Input!C606</f>
        <v>0</v>
      </c>
      <c r="D40" s="391">
        <f>Input!D606</f>
        <v>0</v>
      </c>
      <c r="F40" s="436">
        <f>Input!E606</f>
        <v>0</v>
      </c>
      <c r="J40" s="231"/>
      <c r="K40" s="231"/>
    </row>
    <row r="41" spans="2:11" x14ac:dyDescent="0.25">
      <c r="B41" s="486" t="s">
        <v>367</v>
      </c>
      <c r="C41" s="486"/>
      <c r="D41" s="486"/>
      <c r="F41" s="566"/>
      <c r="J41" s="566"/>
      <c r="K41" s="566"/>
    </row>
    <row r="42" spans="2:11" x14ac:dyDescent="0.25">
      <c r="B42" s="402" t="s">
        <v>343</v>
      </c>
      <c r="C42" s="428">
        <f>Input!B550</f>
        <v>1327</v>
      </c>
      <c r="D42" s="425">
        <f>Input!D550</f>
        <v>1546</v>
      </c>
      <c r="F42" s="427">
        <f>Input!E550</f>
        <v>1546</v>
      </c>
      <c r="J42" s="231"/>
      <c r="K42" s="231"/>
    </row>
    <row r="43" spans="2:11" x14ac:dyDescent="0.25">
      <c r="B43" s="402" t="s">
        <v>366</v>
      </c>
      <c r="C43" s="428">
        <f>Input!B556</f>
        <v>0</v>
      </c>
      <c r="D43" s="425">
        <f>Input!D556</f>
        <v>0</v>
      </c>
      <c r="F43" s="427">
        <f>Input!E556</f>
        <v>0</v>
      </c>
      <c r="J43" s="231"/>
      <c r="K43" s="231"/>
    </row>
    <row r="44" spans="2:11" x14ac:dyDescent="0.25">
      <c r="B44" s="402" t="s">
        <v>365</v>
      </c>
      <c r="C44" s="429">
        <f>Input!B558</f>
        <v>0</v>
      </c>
      <c r="D44" s="431">
        <f>Input!D558</f>
        <v>0</v>
      </c>
      <c r="F44" s="430">
        <f>Input!E558</f>
        <v>0</v>
      </c>
      <c r="J44" s="231"/>
      <c r="K44" s="231"/>
    </row>
    <row r="45" spans="2:11" x14ac:dyDescent="0.25">
      <c r="B45" s="409" t="s">
        <v>368</v>
      </c>
      <c r="C45" s="428">
        <f>Input!B560</f>
        <v>1327</v>
      </c>
      <c r="D45" s="425">
        <f>Input!D560</f>
        <v>1546</v>
      </c>
      <c r="F45" s="427">
        <f>Input!E560</f>
        <v>1546</v>
      </c>
      <c r="J45" s="231"/>
      <c r="K45" s="231"/>
    </row>
    <row r="46" spans="2:11" ht="7.5" customHeight="1" x14ac:dyDescent="0.25">
      <c r="B46" s="310"/>
      <c r="C46" s="228"/>
      <c r="D46" s="228"/>
      <c r="F46" s="275"/>
      <c r="J46" s="381"/>
    </row>
    <row r="47" spans="2:11" x14ac:dyDescent="0.25">
      <c r="B47" s="1274" t="s">
        <v>144</v>
      </c>
      <c r="C47" s="1274"/>
      <c r="D47" s="1274"/>
      <c r="F47" s="274"/>
      <c r="J47" s="381"/>
    </row>
    <row r="48" spans="2:11" x14ac:dyDescent="0.25">
      <c r="B48" s="1288" t="s">
        <v>150</v>
      </c>
      <c r="C48" s="1288"/>
      <c r="D48" s="1288"/>
      <c r="E48" s="1288"/>
      <c r="F48" s="1289"/>
      <c r="J48" s="381"/>
    </row>
    <row r="49" spans="2:11" ht="7.5" customHeight="1" x14ac:dyDescent="0.25">
      <c r="B49" s="380"/>
      <c r="C49" s="238"/>
      <c r="D49" s="238"/>
      <c r="F49" s="275"/>
      <c r="J49" s="381"/>
    </row>
    <row r="50" spans="2:11" x14ac:dyDescent="0.25">
      <c r="B50" s="1274" t="s">
        <v>145</v>
      </c>
      <c r="C50" s="1274"/>
      <c r="D50" s="1274"/>
      <c r="F50" s="275"/>
      <c r="J50" s="381"/>
    </row>
    <row r="51" spans="2:11" x14ac:dyDescent="0.25">
      <c r="B51" s="1288" t="s">
        <v>150</v>
      </c>
      <c r="C51" s="1288"/>
      <c r="D51" s="1288"/>
      <c r="E51" s="1288"/>
      <c r="F51" s="1289"/>
      <c r="J51" s="381"/>
    </row>
    <row r="52" spans="2:11" ht="7.5" customHeight="1" x14ac:dyDescent="0.25">
      <c r="B52" s="310"/>
      <c r="C52" s="228"/>
      <c r="D52" s="228"/>
      <c r="F52" s="275"/>
      <c r="J52" s="381"/>
    </row>
    <row r="53" spans="2:11" x14ac:dyDescent="0.25">
      <c r="B53" s="523" t="s">
        <v>72</v>
      </c>
      <c r="C53" s="524" t="s">
        <v>62</v>
      </c>
      <c r="D53" s="525" t="s">
        <v>63</v>
      </c>
      <c r="F53" s="526" t="s">
        <v>146</v>
      </c>
      <c r="J53" s="527" t="s">
        <v>1002</v>
      </c>
      <c r="K53" s="527" t="s">
        <v>363</v>
      </c>
    </row>
    <row r="54" spans="2:11" x14ac:dyDescent="0.25">
      <c r="B54" s="400" t="s">
        <v>73</v>
      </c>
      <c r="C54" s="412"/>
      <c r="D54" s="390"/>
      <c r="F54" s="413"/>
      <c r="G54" s="228" t="str">
        <f t="shared" ref="G54:G76" si="0">IF(OR(TRIM(D54)&lt;&gt;"",TRIM(F54)&lt;&gt;""),IF(AND(TRIM(D54)&lt;&gt;"",TRIM(F54)&lt;&gt;""),IF(OR(TRIM(C54)&lt;&gt;TRIM(D54),TRIM(C54)&lt;&gt;TRIM(F54)),"_",""),IF(TRIM(C54)&lt;&gt;TRIM(D54), "_", "")),"")</f>
        <v/>
      </c>
      <c r="H54" s="211"/>
      <c r="I54" s="211"/>
      <c r="J54" s="231"/>
      <c r="K54" s="231"/>
    </row>
    <row r="55" spans="2:11" x14ac:dyDescent="0.25">
      <c r="B55" s="400" t="s">
        <v>74</v>
      </c>
      <c r="C55" s="412"/>
      <c r="D55" s="390"/>
      <c r="F55" s="413"/>
      <c r="G55" s="228" t="str">
        <f t="shared" si="0"/>
        <v/>
      </c>
      <c r="H55" s="211"/>
      <c r="I55" s="211"/>
      <c r="J55" s="231"/>
      <c r="K55" s="231"/>
    </row>
    <row r="56" spans="2:11" x14ac:dyDescent="0.25">
      <c r="B56" s="400" t="s">
        <v>151</v>
      </c>
      <c r="C56" s="412"/>
      <c r="D56" s="390"/>
      <c r="F56" s="413"/>
      <c r="G56" s="228" t="str">
        <f t="shared" si="0"/>
        <v/>
      </c>
      <c r="H56" s="211"/>
      <c r="I56" s="211"/>
      <c r="J56" s="231"/>
      <c r="K56" s="231"/>
    </row>
    <row r="57" spans="2:11" x14ac:dyDescent="0.25">
      <c r="B57" s="400" t="s">
        <v>152</v>
      </c>
      <c r="C57" s="412"/>
      <c r="D57" s="390"/>
      <c r="F57" s="413"/>
      <c r="G57" s="228" t="str">
        <f t="shared" si="0"/>
        <v/>
      </c>
      <c r="H57" s="211"/>
      <c r="I57" s="211"/>
      <c r="J57" s="231"/>
      <c r="K57" s="231"/>
    </row>
    <row r="58" spans="2:11" x14ac:dyDescent="0.25">
      <c r="B58" s="400" t="s">
        <v>77</v>
      </c>
      <c r="C58" s="412"/>
      <c r="D58" s="390"/>
      <c r="F58" s="413"/>
      <c r="G58" s="228" t="str">
        <f t="shared" si="0"/>
        <v/>
      </c>
      <c r="H58" s="211"/>
      <c r="I58" s="211"/>
      <c r="J58" s="231"/>
      <c r="K58" s="231"/>
    </row>
    <row r="59" spans="2:11" x14ac:dyDescent="0.25">
      <c r="B59" s="400" t="s">
        <v>390</v>
      </c>
      <c r="C59" s="412"/>
      <c r="D59" s="390"/>
      <c r="F59" s="413"/>
      <c r="G59" s="228" t="str">
        <f t="shared" si="0"/>
        <v/>
      </c>
      <c r="H59" s="211"/>
      <c r="I59" s="211"/>
      <c r="J59" s="231"/>
      <c r="K59" s="231"/>
    </row>
    <row r="60" spans="2:11" x14ac:dyDescent="0.25">
      <c r="B60" s="368" t="s">
        <v>761</v>
      </c>
      <c r="C60" s="435"/>
      <c r="D60" s="391"/>
      <c r="F60" s="436"/>
      <c r="G60" s="228" t="str">
        <f t="shared" si="0"/>
        <v/>
      </c>
      <c r="H60" s="211"/>
      <c r="I60" s="211"/>
      <c r="J60" s="232"/>
      <c r="K60" s="232"/>
    </row>
    <row r="61" spans="2:11" ht="25.5" x14ac:dyDescent="0.25">
      <c r="B61" s="441" t="s">
        <v>857</v>
      </c>
      <c r="C61" s="438"/>
      <c r="D61" s="439"/>
      <c r="F61" s="440"/>
      <c r="G61" s="228" t="str">
        <f t="shared" si="0"/>
        <v/>
      </c>
      <c r="H61" s="211"/>
      <c r="I61" s="211"/>
      <c r="J61" s="447"/>
      <c r="K61" s="447"/>
    </row>
    <row r="62" spans="2:11" ht="114.75" x14ac:dyDescent="0.25">
      <c r="B62" s="441" t="s">
        <v>855</v>
      </c>
      <c r="C62" s="667" t="s">
        <v>879</v>
      </c>
      <c r="D62" s="668" t="s">
        <v>879</v>
      </c>
      <c r="F62" s="440"/>
      <c r="G62" s="228" t="str">
        <f t="shared" si="0"/>
        <v/>
      </c>
      <c r="H62" s="211"/>
      <c r="I62" s="211"/>
      <c r="J62" s="447"/>
      <c r="K62" s="447"/>
    </row>
    <row r="63" spans="2:11" ht="25.5" x14ac:dyDescent="0.25">
      <c r="B63" s="442" t="s">
        <v>856</v>
      </c>
      <c r="C63" s="396"/>
      <c r="D63" s="424"/>
      <c r="F63" s="443"/>
      <c r="G63" s="228" t="str">
        <f t="shared" si="0"/>
        <v/>
      </c>
      <c r="H63" s="211"/>
      <c r="I63" s="211"/>
      <c r="J63" s="445"/>
      <c r="K63" s="445"/>
    </row>
    <row r="64" spans="2:11" x14ac:dyDescent="0.25">
      <c r="B64" s="400" t="s">
        <v>186</v>
      </c>
      <c r="C64" s="412"/>
      <c r="D64" s="390"/>
      <c r="F64" s="413"/>
      <c r="G64" s="228" t="str">
        <f t="shared" si="0"/>
        <v/>
      </c>
      <c r="H64" s="211"/>
      <c r="I64" s="211"/>
      <c r="J64" s="231"/>
      <c r="K64" s="231"/>
    </row>
    <row r="65" spans="2:11" x14ac:dyDescent="0.25">
      <c r="B65" s="722" t="s">
        <v>1103</v>
      </c>
      <c r="C65" s="435"/>
      <c r="D65" s="391"/>
      <c r="E65" s="530"/>
      <c r="F65" s="436"/>
      <c r="G65" s="585" t="str">
        <f>IF(OR(TRIM(D65)&lt;&gt;"",TRIM(F65)&lt;&gt;""),IF(AND(TRIM(D65)&lt;&gt;"",TRIM(F65)&lt;&gt;""),IF(OR(TRIM(C65)&lt;&gt;TRIM(D65),TRIM(C65)&lt;&gt;TRIM(F65)),"_",""),IF(TRIM(C65)&lt;&gt;TRIM(D65), "_", "")),"")</f>
        <v/>
      </c>
      <c r="H65" s="16"/>
      <c r="I65" s="586"/>
      <c r="J65" s="232"/>
      <c r="K65" s="232"/>
    </row>
    <row r="66" spans="2:11" x14ac:dyDescent="0.25">
      <c r="B66" s="441" t="s">
        <v>712</v>
      </c>
      <c r="C66" s="438"/>
      <c r="D66" s="439"/>
      <c r="E66" s="530"/>
      <c r="F66" s="440"/>
      <c r="G66" s="585"/>
      <c r="H66" s="16"/>
      <c r="I66" s="586"/>
      <c r="J66" s="447"/>
      <c r="K66" s="447"/>
    </row>
    <row r="67" spans="2:11" x14ac:dyDescent="0.25">
      <c r="B67" s="441" t="s">
        <v>713</v>
      </c>
      <c r="C67" s="438"/>
      <c r="D67" s="439"/>
      <c r="E67" s="530"/>
      <c r="F67" s="440"/>
      <c r="G67" s="585"/>
      <c r="H67" s="16"/>
      <c r="I67" s="586"/>
      <c r="J67" s="447"/>
      <c r="K67" s="447"/>
    </row>
    <row r="68" spans="2:11" x14ac:dyDescent="0.25">
      <c r="B68" s="400" t="s">
        <v>858</v>
      </c>
      <c r="C68" s="412"/>
      <c r="D68" s="390"/>
      <c r="F68" s="413"/>
      <c r="G68" s="228" t="str">
        <f t="shared" si="0"/>
        <v/>
      </c>
      <c r="H68" s="211"/>
      <c r="I68" s="211"/>
      <c r="J68" s="231"/>
      <c r="K68" s="231"/>
    </row>
    <row r="69" spans="2:11" ht="15" customHeight="1" x14ac:dyDescent="0.25">
      <c r="B69" s="400" t="s">
        <v>706</v>
      </c>
      <c r="C69" s="412"/>
      <c r="D69" s="390"/>
      <c r="F69" s="413"/>
      <c r="G69" s="228" t="str">
        <f t="shared" si="0"/>
        <v/>
      </c>
      <c r="H69" s="211"/>
      <c r="I69" s="211"/>
      <c r="J69" s="231"/>
      <c r="K69" s="231"/>
    </row>
    <row r="70" spans="2:11" x14ac:dyDescent="0.25">
      <c r="B70" s="400" t="s">
        <v>762</v>
      </c>
      <c r="C70" s="412"/>
      <c r="D70" s="390"/>
      <c r="F70" s="413"/>
      <c r="G70" s="228" t="str">
        <f t="shared" si="0"/>
        <v/>
      </c>
      <c r="H70" s="211"/>
      <c r="I70" s="211"/>
      <c r="J70" s="231"/>
      <c r="K70" s="231"/>
    </row>
    <row r="71" spans="2:11" x14ac:dyDescent="0.25">
      <c r="B71" s="400" t="s">
        <v>711</v>
      </c>
      <c r="C71" s="412"/>
      <c r="D71" s="390"/>
      <c r="F71" s="413"/>
      <c r="G71" s="228" t="str">
        <f t="shared" si="0"/>
        <v/>
      </c>
      <c r="H71" s="211"/>
      <c r="I71" s="211"/>
      <c r="J71" s="231"/>
      <c r="K71" s="231"/>
    </row>
    <row r="72" spans="2:11" ht="7.5" customHeight="1" x14ac:dyDescent="0.25">
      <c r="B72" s="310"/>
      <c r="C72" s="228"/>
      <c r="D72" s="228"/>
      <c r="F72" s="275"/>
      <c r="G72" s="228" t="str">
        <f t="shared" si="0"/>
        <v/>
      </c>
      <c r="H72" s="211"/>
      <c r="I72" s="211"/>
      <c r="J72" s="381"/>
    </row>
    <row r="73" spans="2:11" x14ac:dyDescent="0.25">
      <c r="B73" s="523" t="s">
        <v>103</v>
      </c>
      <c r="C73" s="524" t="s">
        <v>62</v>
      </c>
      <c r="D73" s="525" t="s">
        <v>63</v>
      </c>
      <c r="F73" s="526" t="s">
        <v>146</v>
      </c>
      <c r="G73" s="228"/>
      <c r="H73" s="211"/>
      <c r="I73" s="211"/>
      <c r="J73" s="527" t="s">
        <v>1002</v>
      </c>
      <c r="K73" s="527" t="s">
        <v>363</v>
      </c>
    </row>
    <row r="74" spans="2:11" x14ac:dyDescent="0.25">
      <c r="B74" s="394"/>
      <c r="C74" s="396"/>
      <c r="D74" s="424"/>
      <c r="F74" s="443"/>
      <c r="G74" s="228" t="str">
        <f t="shared" si="0"/>
        <v/>
      </c>
      <c r="H74" s="211"/>
      <c r="I74" s="211"/>
      <c r="J74" s="231"/>
      <c r="K74" s="231"/>
    </row>
    <row r="75" spans="2:11" x14ac:dyDescent="0.25">
      <c r="B75" s="400"/>
      <c r="C75" s="412"/>
      <c r="D75" s="390"/>
      <c r="F75" s="413"/>
      <c r="G75" s="228" t="str">
        <f t="shared" si="0"/>
        <v/>
      </c>
      <c r="H75" s="211"/>
      <c r="I75" s="211"/>
      <c r="J75" s="231"/>
      <c r="K75" s="231"/>
    </row>
    <row r="76" spans="2:11" x14ac:dyDescent="0.25">
      <c r="B76" s="400"/>
      <c r="C76" s="412"/>
      <c r="D76" s="390"/>
      <c r="F76" s="413"/>
      <c r="G76" s="228" t="str">
        <f t="shared" si="0"/>
        <v/>
      </c>
      <c r="H76" s="211"/>
      <c r="I76" s="211"/>
      <c r="J76" s="231"/>
      <c r="K76" s="231"/>
    </row>
    <row r="77" spans="2:11" ht="6.75" customHeight="1" x14ac:dyDescent="0.25">
      <c r="B77" s="211"/>
      <c r="C77" s="228"/>
      <c r="D77" s="228"/>
      <c r="F77" s="228"/>
      <c r="G77" s="228"/>
      <c r="H77" s="211"/>
      <c r="I77" s="211"/>
      <c r="J77" s="381"/>
    </row>
    <row r="78" spans="2:11" x14ac:dyDescent="0.25">
      <c r="B78" s="528" t="s">
        <v>359</v>
      </c>
      <c r="C78" s="524" t="s">
        <v>62</v>
      </c>
      <c r="D78" s="525" t="s">
        <v>63</v>
      </c>
      <c r="F78" s="526" t="s">
        <v>146</v>
      </c>
      <c r="G78" s="228"/>
      <c r="H78" s="211"/>
      <c r="I78" s="211"/>
      <c r="J78" s="527" t="s">
        <v>1002</v>
      </c>
      <c r="K78" s="527" t="s">
        <v>363</v>
      </c>
    </row>
    <row r="79" spans="2:11" x14ac:dyDescent="0.25">
      <c r="B79" s="400"/>
      <c r="C79" s="412"/>
      <c r="D79" s="390"/>
      <c r="F79" s="413"/>
      <c r="G79" s="228" t="str">
        <f t="shared" ref="G79:G96" si="1">IF(OR(TRIM(D79)&lt;&gt;"",TRIM(F79)&lt;&gt;""),IF(AND(TRIM(D79)&lt;&gt;"",TRIM(F79)&lt;&gt;""),IF(OR(TRIM(C79)&lt;&gt;TRIM(D79),TRIM(C79)&lt;&gt;TRIM(F79)),"_",""),IF(TRIM(C79)&lt;&gt;TRIM(D79), "_", "")),"")</f>
        <v/>
      </c>
      <c r="H79" s="211"/>
      <c r="I79" s="211"/>
      <c r="J79" s="231"/>
      <c r="K79" s="231"/>
    </row>
    <row r="80" spans="2:11" x14ac:dyDescent="0.25">
      <c r="B80" s="368"/>
      <c r="C80" s="412"/>
      <c r="D80" s="390"/>
      <c r="F80" s="413"/>
      <c r="G80" s="228" t="str">
        <f t="shared" si="1"/>
        <v/>
      </c>
      <c r="H80" s="211"/>
      <c r="I80" s="211"/>
      <c r="J80" s="231"/>
      <c r="K80" s="231"/>
    </row>
    <row r="81" spans="2:11" x14ac:dyDescent="0.25">
      <c r="B81" s="368"/>
      <c r="C81" s="412"/>
      <c r="D81" s="390"/>
      <c r="E81" s="16"/>
      <c r="F81" s="413"/>
      <c r="G81" s="228" t="str">
        <f t="shared" si="1"/>
        <v/>
      </c>
      <c r="H81" s="211"/>
      <c r="I81" s="211"/>
      <c r="J81" s="231"/>
      <c r="K81" s="231"/>
    </row>
    <row r="82" spans="2:11" x14ac:dyDescent="0.25">
      <c r="B82" s="368"/>
      <c r="C82" s="412"/>
      <c r="D82" s="390"/>
      <c r="E82" s="16"/>
      <c r="F82" s="413"/>
      <c r="G82" s="228" t="str">
        <f t="shared" si="1"/>
        <v/>
      </c>
      <c r="H82" s="211"/>
      <c r="I82" s="211"/>
      <c r="J82" s="231"/>
      <c r="K82" s="231"/>
    </row>
    <row r="83" spans="2:11" x14ac:dyDescent="0.25">
      <c r="B83" s="382"/>
      <c r="C83" s="412"/>
      <c r="D83" s="390"/>
      <c r="E83" s="16"/>
      <c r="F83" s="413"/>
      <c r="G83" s="228" t="str">
        <f t="shared" si="1"/>
        <v/>
      </c>
      <c r="H83" s="211"/>
      <c r="I83" s="211"/>
      <c r="J83" s="231"/>
      <c r="K83" s="231"/>
    </row>
    <row r="84" spans="2:11" x14ac:dyDescent="0.25">
      <c r="B84" s="400"/>
      <c r="C84" s="412"/>
      <c r="D84" s="390"/>
      <c r="E84" s="16"/>
      <c r="F84" s="413"/>
      <c r="G84" s="228" t="str">
        <f t="shared" si="1"/>
        <v/>
      </c>
      <c r="H84" s="211"/>
      <c r="I84" s="211"/>
      <c r="J84" s="231"/>
      <c r="K84" s="231"/>
    </row>
    <row r="85" spans="2:11" x14ac:dyDescent="0.25">
      <c r="B85" s="400"/>
      <c r="C85" s="412"/>
      <c r="D85" s="390"/>
      <c r="E85" s="16"/>
      <c r="F85" s="413"/>
      <c r="G85" s="228" t="str">
        <f t="shared" si="1"/>
        <v/>
      </c>
      <c r="H85" s="211"/>
      <c r="I85" s="211"/>
      <c r="J85" s="231"/>
      <c r="K85" s="231"/>
    </row>
    <row r="86" spans="2:11" x14ac:dyDescent="0.25">
      <c r="B86" s="368"/>
      <c r="C86" s="412"/>
      <c r="D86" s="390"/>
      <c r="E86" s="16"/>
      <c r="F86" s="413"/>
      <c r="G86" s="228" t="str">
        <f t="shared" si="1"/>
        <v/>
      </c>
      <c r="H86" s="211"/>
      <c r="I86" s="211"/>
      <c r="J86" s="231"/>
      <c r="K86" s="231"/>
    </row>
    <row r="87" spans="2:11" x14ac:dyDescent="0.25">
      <c r="B87" s="400"/>
      <c r="C87" s="412"/>
      <c r="D87" s="390"/>
      <c r="E87" s="16"/>
      <c r="F87" s="413"/>
      <c r="G87" s="228" t="str">
        <f t="shared" si="1"/>
        <v/>
      </c>
      <c r="H87" s="211"/>
      <c r="I87" s="211"/>
      <c r="J87" s="231"/>
      <c r="K87" s="231"/>
    </row>
    <row r="88" spans="2:11" x14ac:dyDescent="0.25">
      <c r="B88" s="400"/>
      <c r="C88" s="412"/>
      <c r="D88" s="390"/>
      <c r="E88" s="16"/>
      <c r="F88" s="413"/>
      <c r="G88" s="228" t="str">
        <f t="shared" si="1"/>
        <v/>
      </c>
      <c r="H88" s="211"/>
      <c r="I88" s="211"/>
      <c r="J88" s="231"/>
      <c r="K88" s="231"/>
    </row>
    <row r="89" spans="2:11" x14ac:dyDescent="0.25">
      <c r="B89" s="400"/>
      <c r="C89" s="412"/>
      <c r="D89" s="390"/>
      <c r="E89" s="16"/>
      <c r="F89" s="413"/>
      <c r="G89" s="228" t="str">
        <f t="shared" si="1"/>
        <v/>
      </c>
      <c r="H89" s="211"/>
      <c r="I89" s="211"/>
      <c r="J89" s="231"/>
      <c r="K89" s="231"/>
    </row>
    <row r="90" spans="2:11" x14ac:dyDescent="0.25">
      <c r="B90" s="368"/>
      <c r="C90" s="412"/>
      <c r="D90" s="390"/>
      <c r="E90" s="16"/>
      <c r="F90" s="413"/>
      <c r="G90" s="228" t="str">
        <f t="shared" si="1"/>
        <v/>
      </c>
      <c r="H90" s="211"/>
      <c r="I90" s="211"/>
      <c r="J90" s="231"/>
      <c r="K90" s="231"/>
    </row>
    <row r="91" spans="2:11" x14ac:dyDescent="0.25">
      <c r="B91" s="368"/>
      <c r="C91" s="412"/>
      <c r="D91" s="390"/>
      <c r="E91" s="16"/>
      <c r="F91" s="413"/>
      <c r="G91" s="228" t="str">
        <f t="shared" si="1"/>
        <v/>
      </c>
      <c r="H91" s="211"/>
      <c r="I91" s="211"/>
      <c r="J91" s="231"/>
      <c r="K91" s="231"/>
    </row>
    <row r="92" spans="2:11" x14ac:dyDescent="0.25">
      <c r="B92" s="400"/>
      <c r="C92" s="412"/>
      <c r="D92" s="390"/>
      <c r="E92" s="16"/>
      <c r="F92" s="413"/>
      <c r="G92" s="228" t="str">
        <f t="shared" si="1"/>
        <v/>
      </c>
      <c r="H92" s="211"/>
      <c r="I92" s="211"/>
      <c r="J92" s="231"/>
      <c r="K92" s="231"/>
    </row>
    <row r="93" spans="2:11" x14ac:dyDescent="0.25">
      <c r="B93" s="368"/>
      <c r="C93" s="412"/>
      <c r="D93" s="390"/>
      <c r="E93" s="16"/>
      <c r="F93" s="413"/>
      <c r="G93" s="228" t="str">
        <f t="shared" si="1"/>
        <v/>
      </c>
      <c r="H93" s="211"/>
      <c r="I93" s="211"/>
      <c r="J93" s="231"/>
      <c r="K93" s="231"/>
    </row>
    <row r="94" spans="2:11" x14ac:dyDescent="0.25">
      <c r="B94" s="368"/>
      <c r="C94" s="412"/>
      <c r="D94" s="390"/>
      <c r="E94" s="16"/>
      <c r="F94" s="413"/>
      <c r="G94" s="228" t="str">
        <f t="shared" si="1"/>
        <v/>
      </c>
      <c r="H94" s="211"/>
      <c r="I94" s="211"/>
      <c r="J94" s="231"/>
      <c r="K94" s="231"/>
    </row>
    <row r="95" spans="2:11" x14ac:dyDescent="0.25">
      <c r="B95" s="368"/>
      <c r="C95" s="412"/>
      <c r="D95" s="390"/>
      <c r="E95" s="16"/>
      <c r="F95" s="413"/>
      <c r="G95" s="228" t="str">
        <f t="shared" si="1"/>
        <v/>
      </c>
      <c r="H95" s="211"/>
      <c r="I95" s="211"/>
      <c r="J95" s="231"/>
      <c r="K95" s="231"/>
    </row>
    <row r="96" spans="2:11" x14ac:dyDescent="0.25">
      <c r="B96" s="400"/>
      <c r="C96" s="412"/>
      <c r="D96" s="390"/>
      <c r="E96" s="16"/>
      <c r="F96" s="413"/>
      <c r="G96" s="228" t="str">
        <f t="shared" si="1"/>
        <v/>
      </c>
      <c r="H96" s="211"/>
      <c r="I96" s="211"/>
      <c r="J96" s="231"/>
      <c r="K96" s="231"/>
    </row>
    <row r="97" spans="5:5" x14ac:dyDescent="0.25">
      <c r="E97"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sheetData>
  <mergeCells count="4">
    <mergeCell ref="B47:D47"/>
    <mergeCell ref="B50:D50"/>
    <mergeCell ref="B48:F48"/>
    <mergeCell ref="B51:F51"/>
  </mergeCells>
  <conditionalFormatting sqref="G1:G32 G97:G1048576 G34:G64 G68:G77">
    <cfRule type="cellIs" dxfId="33" priority="5" operator="equal">
      <formula>"_"</formula>
    </cfRule>
  </conditionalFormatting>
  <conditionalFormatting sqref="G78:G96">
    <cfRule type="cellIs" dxfId="32" priority="4" operator="equal">
      <formula>"_"</formula>
    </cfRule>
  </conditionalFormatting>
  <conditionalFormatting sqref="G33">
    <cfRule type="cellIs" dxfId="31" priority="3" operator="equal">
      <formula>"_"</formula>
    </cfRule>
  </conditionalFormatting>
  <conditionalFormatting sqref="G65:G67">
    <cfRule type="cellIs" dxfId="30"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Property</oddHeader>
    <oddFooter>&amp;L&amp;G&amp;CPage &amp;P of &amp;N</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7">
    <pageSetUpPr fitToPage="1"/>
  </sheetPr>
  <dimension ref="B1:M107"/>
  <sheetViews>
    <sheetView showGridLines="0" workbookViewId="0"/>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2.42578125" style="16" customWidth="1"/>
    <col min="14" max="53" width="9.140625" style="16" customWidth="1"/>
    <col min="54" max="16384" width="9.140625" style="16"/>
  </cols>
  <sheetData>
    <row r="1" spans="2:13" ht="7.5" customHeight="1" x14ac:dyDescent="0.25">
      <c r="E1" s="450"/>
    </row>
    <row r="2" spans="2:13" ht="15.75" x14ac:dyDescent="0.25">
      <c r="B2" s="453" t="s">
        <v>225</v>
      </c>
      <c r="E2" s="450"/>
      <c r="H2" s="454"/>
      <c r="I2" s="455"/>
      <c r="J2" s="455"/>
      <c r="L2" s="456" t="s">
        <v>391</v>
      </c>
      <c r="M2" s="381" t="s">
        <v>361</v>
      </c>
    </row>
    <row r="3" spans="2:13" x14ac:dyDescent="0.25">
      <c r="D3" s="455" t="str">
        <f xml:space="preserve"> IF(Input!D653=Input!G653,CHAR(254), "")</f>
        <v/>
      </c>
      <c r="E3" s="457"/>
      <c r="F3" s="458" t="str">
        <f xml:space="preserve"> IF(Input!E653=Input!G653,CHAR(254),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8.25" x14ac:dyDescent="0.25">
      <c r="B5" s="409" t="s">
        <v>60</v>
      </c>
      <c r="C5" s="412" t="str">
        <f>Input!B654</f>
        <v>Valley Forge Insurance Company (CNA)</v>
      </c>
      <c r="D5" s="390" t="str">
        <f>Input!D654</f>
        <v>Valley Forge Insurance Company (CNA)</v>
      </c>
      <c r="F5" s="413" t="str">
        <f>Input!E654</f>
        <v>Valley Forge Insurance Company (CNA)</v>
      </c>
      <c r="J5" s="231"/>
      <c r="K5" s="231"/>
    </row>
    <row r="6" spans="2:13" x14ac:dyDescent="0.25">
      <c r="B6" s="409" t="s">
        <v>69</v>
      </c>
      <c r="C6" s="412" t="str">
        <f>Input!B656</f>
        <v>A: XV</v>
      </c>
      <c r="D6" s="390" t="str">
        <f>Input!D656</f>
        <v>A: XV</v>
      </c>
      <c r="F6" s="413" t="str">
        <f>Input!E656</f>
        <v>A: XV</v>
      </c>
      <c r="J6" s="231"/>
      <c r="K6" s="231"/>
    </row>
    <row r="7" spans="2:13" x14ac:dyDescent="0.25">
      <c r="B7" s="409" t="str">
        <f>Input!B652</f>
        <v>Renewal Policy Number</v>
      </c>
      <c r="C7" s="412"/>
      <c r="D7" s="390">
        <f>Input!C652</f>
        <v>6080911471</v>
      </c>
      <c r="F7" s="413">
        <f>Input!C652</f>
        <v>6080911471</v>
      </c>
      <c r="J7" s="231"/>
      <c r="K7" s="231"/>
    </row>
    <row r="8" spans="2:13" ht="26.2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79" t="s">
        <v>9</v>
      </c>
      <c r="C9" s="479"/>
      <c r="D9" s="479"/>
      <c r="E9" s="414"/>
      <c r="F9" s="472"/>
      <c r="J9" s="566"/>
      <c r="K9" s="566"/>
    </row>
    <row r="10" spans="2:13" x14ac:dyDescent="0.25">
      <c r="B10" s="491" t="str">
        <f>Input!F713</f>
        <v>Scheduled Equipment</v>
      </c>
      <c r="C10" s="398">
        <f>Input!G713</f>
        <v>169669</v>
      </c>
      <c r="D10" s="425">
        <f>Input!H713</f>
        <v>169669</v>
      </c>
      <c r="E10" s="414"/>
      <c r="F10" s="427">
        <f>Input!I713</f>
        <v>0</v>
      </c>
      <c r="J10" s="231"/>
      <c r="K10" s="231"/>
    </row>
    <row r="11" spans="2:13" x14ac:dyDescent="0.25">
      <c r="B11" s="491" t="str">
        <f>Input!F714</f>
        <v>Unscheduled Equipment</v>
      </c>
      <c r="C11" s="398">
        <f>Input!G714</f>
        <v>0</v>
      </c>
      <c r="D11" s="425">
        <f>Input!H714</f>
        <v>0</v>
      </c>
      <c r="E11" s="414"/>
      <c r="F11" s="427">
        <f>Input!I714</f>
        <v>0</v>
      </c>
      <c r="J11" s="231"/>
      <c r="K11" s="231"/>
    </row>
    <row r="12" spans="2:13" x14ac:dyDescent="0.25">
      <c r="B12" s="491" t="str">
        <f>Input!F715</f>
        <v>Leased or Rented Equipment</v>
      </c>
      <c r="C12" s="398">
        <f>Input!G715</f>
        <v>0</v>
      </c>
      <c r="D12" s="425">
        <f>Input!H715</f>
        <v>0</v>
      </c>
      <c r="E12" s="414"/>
      <c r="F12" s="427">
        <f>Input!I715</f>
        <v>0</v>
      </c>
      <c r="J12" s="231"/>
      <c r="K12" s="231"/>
    </row>
    <row r="13" spans="2:13" x14ac:dyDescent="0.25">
      <c r="B13" s="491" t="str">
        <f>Input!F716</f>
        <v>Contractor’s Employees Property</v>
      </c>
      <c r="C13" s="398">
        <f>Input!G716</f>
        <v>0</v>
      </c>
      <c r="D13" s="425">
        <f>Input!H716</f>
        <v>0</v>
      </c>
      <c r="E13" s="414"/>
      <c r="F13" s="427">
        <f>Input!I716</f>
        <v>0</v>
      </c>
      <c r="J13" s="231"/>
      <c r="K13" s="231"/>
    </row>
    <row r="14" spans="2:13" x14ac:dyDescent="0.25">
      <c r="B14" s="491" t="str">
        <f>Input!F717</f>
        <v>Continuing Lease or Rental Payments</v>
      </c>
      <c r="C14" s="398">
        <f>Input!G717</f>
        <v>0</v>
      </c>
      <c r="D14" s="425">
        <f>Input!H717</f>
        <v>0</v>
      </c>
      <c r="E14" s="414"/>
      <c r="F14" s="427">
        <f>Input!I717</f>
        <v>0</v>
      </c>
      <c r="J14" s="231"/>
      <c r="K14" s="231"/>
    </row>
    <row r="15" spans="2:13" x14ac:dyDescent="0.25">
      <c r="B15" s="491" t="str">
        <f>Input!F718</f>
        <v>Expediting Expense</v>
      </c>
      <c r="C15" s="398">
        <f>Input!G718</f>
        <v>0</v>
      </c>
      <c r="D15" s="425">
        <f>Input!H718</f>
        <v>0</v>
      </c>
      <c r="F15" s="427">
        <f>Input!I718</f>
        <v>0</v>
      </c>
      <c r="J15" s="231"/>
      <c r="K15" s="231"/>
    </row>
    <row r="16" spans="2:13" x14ac:dyDescent="0.25">
      <c r="B16" s="491" t="str">
        <f>Input!F719</f>
        <v xml:space="preserve">Pollutant Clean Up </v>
      </c>
      <c r="C16" s="398">
        <f>Input!G719</f>
        <v>0</v>
      </c>
      <c r="D16" s="425">
        <f>Input!H719</f>
        <v>0</v>
      </c>
      <c r="E16" s="238"/>
      <c r="F16" s="427">
        <f>Input!I719</f>
        <v>0</v>
      </c>
      <c r="J16" s="231"/>
      <c r="K16" s="231"/>
    </row>
    <row r="17" spans="2:11" x14ac:dyDescent="0.25">
      <c r="B17" s="491" t="str">
        <f>Input!F720</f>
        <v xml:space="preserve">Rental Reimbursement </v>
      </c>
      <c r="C17" s="398">
        <f>Input!G720</f>
        <v>0</v>
      </c>
      <c r="D17" s="425">
        <f>Input!H720</f>
        <v>0</v>
      </c>
      <c r="E17" s="432"/>
      <c r="F17" s="427">
        <f>Input!I720</f>
        <v>0</v>
      </c>
      <c r="J17" s="231"/>
      <c r="K17" s="231"/>
    </row>
    <row r="18" spans="2:11" x14ac:dyDescent="0.25">
      <c r="B18" s="491" t="str">
        <f>Input!F721</f>
        <v>Newly Acquired Equipment</v>
      </c>
      <c r="C18" s="398">
        <f>Input!G721</f>
        <v>0</v>
      </c>
      <c r="D18" s="425">
        <f>Input!H721</f>
        <v>0</v>
      </c>
      <c r="E18" s="433"/>
      <c r="F18" s="427">
        <f>Input!I721</f>
        <v>0</v>
      </c>
      <c r="J18" s="231"/>
      <c r="K18" s="231"/>
    </row>
    <row r="19" spans="2:11" x14ac:dyDescent="0.25">
      <c r="B19" s="491" t="str">
        <f>Input!F722</f>
        <v>Waterborne Equipment</v>
      </c>
      <c r="C19" s="398">
        <f>Input!G722</f>
        <v>0</v>
      </c>
      <c r="D19" s="425">
        <f>Input!H722</f>
        <v>0</v>
      </c>
      <c r="E19" s="434"/>
      <c r="F19" s="427">
        <f>Input!I722</f>
        <v>0</v>
      </c>
      <c r="J19" s="231"/>
      <c r="K19" s="231"/>
    </row>
    <row r="20" spans="2:11" x14ac:dyDescent="0.25">
      <c r="B20" s="491" t="str">
        <f>Input!F723</f>
        <v>Flood</v>
      </c>
      <c r="C20" s="398">
        <f>Input!G723</f>
        <v>0</v>
      </c>
      <c r="D20" s="425">
        <f>Input!H723</f>
        <v>0</v>
      </c>
      <c r="F20" s="427">
        <f>Input!I723</f>
        <v>0</v>
      </c>
      <c r="J20" s="231"/>
      <c r="K20" s="231"/>
    </row>
    <row r="21" spans="2:11" x14ac:dyDescent="0.25">
      <c r="B21" s="491" t="str">
        <f>Input!F724</f>
        <v>Earthquake</v>
      </c>
      <c r="C21" s="398">
        <f>Input!G724</f>
        <v>0</v>
      </c>
      <c r="D21" s="425">
        <f>Input!H724</f>
        <v>0</v>
      </c>
      <c r="F21" s="427">
        <f>Input!I724</f>
        <v>0</v>
      </c>
      <c r="J21" s="231"/>
      <c r="K21" s="231"/>
    </row>
    <row r="22" spans="2:11" x14ac:dyDescent="0.25">
      <c r="B22" s="491" t="str">
        <f>Input!F725</f>
        <v>Windstorm</v>
      </c>
      <c r="C22" s="398">
        <f>Input!G725</f>
        <v>0</v>
      </c>
      <c r="D22" s="425">
        <f>Input!H725</f>
        <v>0</v>
      </c>
      <c r="E22" s="426"/>
      <c r="F22" s="427">
        <f>Input!I725</f>
        <v>0</v>
      </c>
      <c r="J22" s="231"/>
      <c r="K22" s="231"/>
    </row>
    <row r="23" spans="2:11" x14ac:dyDescent="0.25">
      <c r="B23" s="491" t="str">
        <f>Input!F726</f>
        <v>Named Storm</v>
      </c>
      <c r="C23" s="398">
        <f>Input!G726</f>
        <v>0</v>
      </c>
      <c r="D23" s="425">
        <f>Input!H726</f>
        <v>0</v>
      </c>
      <c r="F23" s="427">
        <f>Input!I726</f>
        <v>0</v>
      </c>
      <c r="J23" s="231"/>
      <c r="K23" s="231"/>
    </row>
    <row r="24" spans="2:11" x14ac:dyDescent="0.25">
      <c r="B24" s="479" t="s">
        <v>37</v>
      </c>
      <c r="C24" s="479"/>
      <c r="D24" s="479"/>
      <c r="F24" s="473"/>
      <c r="J24" s="566"/>
      <c r="K24" s="566"/>
    </row>
    <row r="25" spans="2:11" x14ac:dyDescent="0.25">
      <c r="B25" s="402" t="str">
        <f>Input!F731</f>
        <v>All Other</v>
      </c>
      <c r="C25" s="403">
        <f>Input!G731</f>
        <v>0</v>
      </c>
      <c r="D25" s="431">
        <f>Input!H731</f>
        <v>0</v>
      </c>
      <c r="F25" s="430">
        <f>Input!I731</f>
        <v>0</v>
      </c>
      <c r="J25" s="231"/>
      <c r="K25" s="231"/>
    </row>
    <row r="26" spans="2:11" x14ac:dyDescent="0.25">
      <c r="B26" s="402" t="str">
        <f>Input!F732</f>
        <v>Flood</v>
      </c>
      <c r="C26" s="403">
        <f>Input!G732</f>
        <v>0</v>
      </c>
      <c r="D26" s="431">
        <f>Input!H732</f>
        <v>0</v>
      </c>
      <c r="F26" s="430">
        <f>Input!I732</f>
        <v>0</v>
      </c>
      <c r="J26" s="231"/>
      <c r="K26" s="231"/>
    </row>
    <row r="27" spans="2:11" x14ac:dyDescent="0.25">
      <c r="B27" s="402" t="str">
        <f>Input!F733</f>
        <v>Earthquake</v>
      </c>
      <c r="C27" s="403">
        <f>Input!G733</f>
        <v>0</v>
      </c>
      <c r="D27" s="431">
        <f>Input!H733</f>
        <v>0</v>
      </c>
      <c r="F27" s="430">
        <f>Input!I733</f>
        <v>0</v>
      </c>
      <c r="J27" s="231"/>
      <c r="K27" s="231"/>
    </row>
    <row r="28" spans="2:11" x14ac:dyDescent="0.25">
      <c r="B28" s="402" t="str">
        <f>Input!F734</f>
        <v>Windstorm</v>
      </c>
      <c r="C28" s="403">
        <f>Input!G734</f>
        <v>0</v>
      </c>
      <c r="D28" s="431">
        <f>Input!H734</f>
        <v>0</v>
      </c>
      <c r="F28" s="430">
        <f>Input!I734</f>
        <v>0</v>
      </c>
      <c r="J28" s="231"/>
      <c r="K28" s="231"/>
    </row>
    <row r="29" spans="2:11" x14ac:dyDescent="0.25">
      <c r="B29" s="402" t="str">
        <f>Input!F735</f>
        <v>Named Storm</v>
      </c>
      <c r="C29" s="403">
        <f>Input!G735</f>
        <v>0</v>
      </c>
      <c r="D29" s="425">
        <f>Input!H735</f>
        <v>0</v>
      </c>
      <c r="F29" s="430">
        <f>Input!I735</f>
        <v>0</v>
      </c>
      <c r="J29" s="231"/>
      <c r="K29" s="231"/>
    </row>
    <row r="30" spans="2:11" ht="25.5" x14ac:dyDescent="0.25">
      <c r="B30" s="409" t="s">
        <v>343</v>
      </c>
      <c r="C30" s="398" t="s">
        <v>372</v>
      </c>
      <c r="D30" s="425" t="s">
        <v>372</v>
      </c>
      <c r="F30" s="427" t="s">
        <v>372</v>
      </c>
      <c r="J30" s="231"/>
      <c r="K30" s="231"/>
    </row>
    <row r="31" spans="2:11" ht="7.5" customHeight="1" x14ac:dyDescent="0.25">
      <c r="B31" s="310"/>
      <c r="C31" s="228"/>
      <c r="D31" s="228"/>
      <c r="F31" s="275"/>
      <c r="J31" s="381"/>
    </row>
    <row r="32" spans="2:11" x14ac:dyDescent="0.25">
      <c r="B32" s="1274" t="s">
        <v>144</v>
      </c>
      <c r="C32" s="1274"/>
      <c r="D32" s="1274"/>
      <c r="F32" s="274"/>
      <c r="J32" s="381"/>
    </row>
    <row r="33" spans="2:11" x14ac:dyDescent="0.25">
      <c r="B33" s="1288" t="s">
        <v>150</v>
      </c>
      <c r="C33" s="1288"/>
      <c r="D33" s="1288"/>
      <c r="E33" s="1288"/>
      <c r="F33" s="1289"/>
      <c r="J33" s="381"/>
    </row>
    <row r="34" spans="2:11" ht="7.5" customHeight="1" x14ac:dyDescent="0.25">
      <c r="B34" s="380"/>
      <c r="C34" s="238"/>
      <c r="D34" s="238"/>
      <c r="F34" s="275"/>
      <c r="J34" s="381"/>
    </row>
    <row r="35" spans="2:11" x14ac:dyDescent="0.25">
      <c r="B35" s="1274" t="s">
        <v>145</v>
      </c>
      <c r="C35" s="1274"/>
      <c r="D35" s="1274"/>
      <c r="F35" s="275"/>
      <c r="J35" s="381"/>
    </row>
    <row r="36" spans="2:11" x14ac:dyDescent="0.25">
      <c r="B36" s="1288" t="s">
        <v>150</v>
      </c>
      <c r="C36" s="1288"/>
      <c r="D36" s="1288"/>
      <c r="E36" s="1288"/>
      <c r="F36" s="1289"/>
      <c r="J36" s="381"/>
    </row>
    <row r="37" spans="2:11" ht="7.5" customHeight="1" x14ac:dyDescent="0.25">
      <c r="B37" s="310"/>
      <c r="C37" s="228"/>
      <c r="D37" s="228"/>
      <c r="F37" s="275"/>
      <c r="J37" s="381"/>
    </row>
    <row r="38" spans="2:11" x14ac:dyDescent="0.25">
      <c r="B38" s="523" t="s">
        <v>72</v>
      </c>
      <c r="C38" s="524" t="s">
        <v>62</v>
      </c>
      <c r="D38" s="525" t="s">
        <v>63</v>
      </c>
      <c r="F38" s="526" t="s">
        <v>146</v>
      </c>
      <c r="J38" s="527" t="s">
        <v>1002</v>
      </c>
      <c r="K38" s="527" t="s">
        <v>363</v>
      </c>
    </row>
    <row r="39" spans="2:11" x14ac:dyDescent="0.25">
      <c r="B39" s="400" t="s">
        <v>74</v>
      </c>
      <c r="C39" s="412"/>
      <c r="D39" s="390"/>
      <c r="F39" s="413"/>
      <c r="G39" s="450" t="str">
        <f t="shared" ref="G39:G46" si="0">IF(OR(TRIM(D39)&lt;&gt;"",TRIM(F39)&lt;&gt;""),IF(AND(TRIM(D39)&lt;&gt;"",TRIM(F39)&lt;&gt;""),IF(OR(TRIM(C39)&lt;&gt;TRIM(D39),TRIM(C39)&lt;&gt;TRIM(F39)),"_",""),IF(TRIM(C39)&lt;&gt;TRIM(D39), "_", "")),"")</f>
        <v/>
      </c>
      <c r="J39" s="231"/>
      <c r="K39" s="231"/>
    </row>
    <row r="40" spans="2:11" x14ac:dyDescent="0.25">
      <c r="B40" s="400" t="s">
        <v>151</v>
      </c>
      <c r="C40" s="412"/>
      <c r="D40" s="390"/>
      <c r="F40" s="413"/>
      <c r="G40" s="450" t="str">
        <f t="shared" si="0"/>
        <v/>
      </c>
      <c r="J40" s="231"/>
      <c r="K40" s="231"/>
    </row>
    <row r="41" spans="2:11" x14ac:dyDescent="0.25">
      <c r="B41" s="400" t="s">
        <v>780</v>
      </c>
      <c r="C41" s="412"/>
      <c r="D41" s="390"/>
      <c r="F41" s="413"/>
      <c r="G41" s="450" t="str">
        <f t="shared" si="0"/>
        <v/>
      </c>
      <c r="J41" s="231"/>
      <c r="K41" s="231"/>
    </row>
    <row r="42" spans="2:11" x14ac:dyDescent="0.25">
      <c r="B42" s="400" t="s">
        <v>390</v>
      </c>
      <c r="C42" s="412"/>
      <c r="D42" s="390"/>
      <c r="F42" s="413"/>
      <c r="G42" s="450" t="str">
        <f t="shared" si="0"/>
        <v/>
      </c>
      <c r="J42" s="231"/>
      <c r="K42" s="231"/>
    </row>
    <row r="43" spans="2:11" ht="38.25" x14ac:dyDescent="0.25">
      <c r="B43" s="400" t="s">
        <v>773</v>
      </c>
      <c r="C43" s="412"/>
      <c r="D43" s="390"/>
      <c r="F43" s="413"/>
      <c r="G43" s="228" t="str">
        <f t="shared" si="0"/>
        <v/>
      </c>
      <c r="H43" s="211"/>
      <c r="I43" s="211"/>
      <c r="J43" s="231"/>
      <c r="K43" s="231"/>
    </row>
    <row r="44" spans="2:11" x14ac:dyDescent="0.25">
      <c r="B44" s="400" t="s">
        <v>186</v>
      </c>
      <c r="C44" s="412"/>
      <c r="D44" s="390"/>
      <c r="F44" s="413"/>
      <c r="G44" s="450" t="str">
        <f t="shared" si="0"/>
        <v/>
      </c>
      <c r="J44" s="231"/>
      <c r="K44" s="231"/>
    </row>
    <row r="45" spans="2:11" ht="15" customHeight="1" x14ac:dyDescent="0.25">
      <c r="B45" s="400" t="s">
        <v>706</v>
      </c>
      <c r="C45" s="412"/>
      <c r="D45" s="390"/>
      <c r="F45" s="413"/>
      <c r="G45" s="450" t="str">
        <f t="shared" si="0"/>
        <v/>
      </c>
      <c r="J45" s="231"/>
      <c r="K45" s="231"/>
    </row>
    <row r="46" spans="2:11" x14ac:dyDescent="0.25">
      <c r="B46" s="400" t="s">
        <v>762</v>
      </c>
      <c r="C46" s="412"/>
      <c r="D46" s="390"/>
      <c r="F46" s="413"/>
      <c r="G46" s="450" t="str">
        <f t="shared" si="0"/>
        <v/>
      </c>
      <c r="J46" s="231"/>
      <c r="K46" s="231"/>
    </row>
    <row r="47" spans="2:11" ht="7.5" customHeight="1" x14ac:dyDescent="0.25">
      <c r="B47" s="310"/>
      <c r="C47" s="228"/>
      <c r="D47" s="228"/>
      <c r="F47" s="275"/>
      <c r="G47" s="450"/>
      <c r="J47" s="381"/>
    </row>
    <row r="48" spans="2:11" x14ac:dyDescent="0.25">
      <c r="B48" s="523" t="s">
        <v>103</v>
      </c>
      <c r="C48" s="524" t="s">
        <v>62</v>
      </c>
      <c r="D48" s="525" t="s">
        <v>63</v>
      </c>
      <c r="F48" s="526" t="s">
        <v>146</v>
      </c>
      <c r="G48" s="450"/>
      <c r="J48" s="527" t="s">
        <v>1002</v>
      </c>
      <c r="K48" s="527" t="s">
        <v>363</v>
      </c>
    </row>
    <row r="49" spans="2:11" x14ac:dyDescent="0.25">
      <c r="B49" s="464"/>
      <c r="C49" s="396"/>
      <c r="D49" s="424"/>
      <c r="F49" s="443"/>
      <c r="G49" s="450" t="str">
        <f t="shared" ref="G49:G51" si="1">IF(OR(TRIM(D49)&lt;&gt;"",TRIM(F49)&lt;&gt;""),IF(AND(TRIM(D49)&lt;&gt;"",TRIM(F49)&lt;&gt;""),IF(OR(TRIM(C49)&lt;&gt;TRIM(D49),TRIM(C49)&lt;&gt;TRIM(F49)),"_",""),IF(TRIM(C49)&lt;&gt;TRIM(D49), "_", "")),"")</f>
        <v/>
      </c>
      <c r="J49" s="231"/>
      <c r="K49" s="231"/>
    </row>
    <row r="50" spans="2:11" x14ac:dyDescent="0.25">
      <c r="B50" s="294"/>
      <c r="C50" s="412"/>
      <c r="D50" s="390"/>
      <c r="F50" s="413"/>
      <c r="G50" s="450" t="str">
        <f t="shared" si="1"/>
        <v/>
      </c>
      <c r="J50" s="231"/>
      <c r="K50" s="231"/>
    </row>
    <row r="51" spans="2:11" x14ac:dyDescent="0.25">
      <c r="B51" s="294"/>
      <c r="C51" s="412"/>
      <c r="D51" s="390"/>
      <c r="F51" s="413"/>
      <c r="G51" s="450" t="str">
        <f t="shared" si="1"/>
        <v/>
      </c>
      <c r="J51" s="231"/>
      <c r="K51" s="231"/>
    </row>
    <row r="52" spans="2:11" ht="7.5" customHeight="1" x14ac:dyDescent="0.25">
      <c r="B52" s="381"/>
      <c r="C52" s="228"/>
      <c r="D52" s="228"/>
      <c r="F52" s="228"/>
      <c r="G52" s="450"/>
      <c r="J52" s="381"/>
    </row>
    <row r="53" spans="2:11" x14ac:dyDescent="0.25">
      <c r="B53" s="528" t="s">
        <v>359</v>
      </c>
      <c r="C53" s="524" t="s">
        <v>62</v>
      </c>
      <c r="D53" s="525" t="s">
        <v>63</v>
      </c>
      <c r="F53" s="526" t="s">
        <v>146</v>
      </c>
      <c r="G53" s="228"/>
      <c r="H53" s="211"/>
      <c r="I53" s="211"/>
      <c r="J53" s="527" t="s">
        <v>1002</v>
      </c>
      <c r="K53" s="527" t="s">
        <v>363</v>
      </c>
    </row>
    <row r="54" spans="2:11" x14ac:dyDescent="0.25">
      <c r="B54" s="400"/>
      <c r="C54" s="412"/>
      <c r="D54" s="390"/>
      <c r="F54" s="413"/>
      <c r="G54" s="228" t="str">
        <f t="shared" ref="G54:G71" si="2">IF(OR(TRIM(D54)&lt;&gt;"",TRIM(F54)&lt;&gt;""),IF(AND(TRIM(D54)&lt;&gt;"",TRIM(F54)&lt;&gt;""),IF(OR(TRIM(C54)&lt;&gt;TRIM(D54),TRIM(C54)&lt;&gt;TRIM(F54)),"_",""),IF(TRIM(C54)&lt;&gt;TRIM(D54), "_", "")),"")</f>
        <v/>
      </c>
      <c r="H54" s="211"/>
      <c r="I54" s="211"/>
      <c r="J54" s="231"/>
      <c r="K54" s="231"/>
    </row>
    <row r="55" spans="2:11" x14ac:dyDescent="0.25">
      <c r="B55" s="368"/>
      <c r="C55" s="412"/>
      <c r="D55" s="390"/>
      <c r="F55" s="413"/>
      <c r="G55" s="228" t="str">
        <f t="shared" si="2"/>
        <v/>
      </c>
      <c r="H55" s="211"/>
      <c r="I55" s="211"/>
      <c r="J55" s="231"/>
      <c r="K55" s="231"/>
    </row>
    <row r="56" spans="2:11" x14ac:dyDescent="0.25">
      <c r="B56" s="368"/>
      <c r="C56" s="412"/>
      <c r="D56" s="390"/>
      <c r="F56" s="413"/>
      <c r="G56" s="228" t="str">
        <f t="shared" si="2"/>
        <v/>
      </c>
      <c r="H56" s="211"/>
      <c r="I56" s="211"/>
      <c r="J56" s="231"/>
      <c r="K56" s="231"/>
    </row>
    <row r="57" spans="2:11" x14ac:dyDescent="0.25">
      <c r="B57" s="368"/>
      <c r="C57" s="412"/>
      <c r="D57" s="390"/>
      <c r="F57" s="413"/>
      <c r="G57" s="228" t="str">
        <f t="shared" si="2"/>
        <v/>
      </c>
      <c r="H57" s="211"/>
      <c r="I57" s="211"/>
      <c r="J57" s="231"/>
      <c r="K57" s="231"/>
    </row>
    <row r="58" spans="2:11" x14ac:dyDescent="0.25">
      <c r="B58" s="382"/>
      <c r="C58" s="412"/>
      <c r="D58" s="390"/>
      <c r="F58" s="413"/>
      <c r="G58" s="228" t="str">
        <f t="shared" si="2"/>
        <v/>
      </c>
      <c r="H58" s="211"/>
      <c r="I58" s="211"/>
      <c r="J58" s="231"/>
      <c r="K58" s="231"/>
    </row>
    <row r="59" spans="2:11" x14ac:dyDescent="0.25">
      <c r="B59" s="400"/>
      <c r="C59" s="412"/>
      <c r="D59" s="390"/>
      <c r="F59" s="413"/>
      <c r="G59" s="228" t="str">
        <f t="shared" si="2"/>
        <v/>
      </c>
      <c r="H59" s="211"/>
      <c r="I59" s="211"/>
      <c r="J59" s="231"/>
      <c r="K59" s="231"/>
    </row>
    <row r="60" spans="2:11" x14ac:dyDescent="0.25">
      <c r="B60" s="400"/>
      <c r="C60" s="412"/>
      <c r="D60" s="390"/>
      <c r="F60" s="413"/>
      <c r="G60" s="228" t="str">
        <f t="shared" si="2"/>
        <v/>
      </c>
      <c r="H60" s="211"/>
      <c r="I60" s="211"/>
      <c r="J60" s="231"/>
      <c r="K60" s="231"/>
    </row>
    <row r="61" spans="2:11" x14ac:dyDescent="0.25">
      <c r="B61" s="368"/>
      <c r="C61" s="412"/>
      <c r="D61" s="390"/>
      <c r="F61" s="413"/>
      <c r="G61" s="228" t="str">
        <f t="shared" si="2"/>
        <v/>
      </c>
      <c r="H61" s="211"/>
      <c r="I61" s="211"/>
      <c r="J61" s="231"/>
      <c r="K61" s="231"/>
    </row>
    <row r="62" spans="2:11" x14ac:dyDescent="0.25">
      <c r="B62" s="400"/>
      <c r="C62" s="412"/>
      <c r="D62" s="390"/>
      <c r="F62" s="413"/>
      <c r="G62" s="228" t="str">
        <f t="shared" si="2"/>
        <v/>
      </c>
      <c r="H62" s="211"/>
      <c r="I62" s="211"/>
      <c r="J62" s="231"/>
      <c r="K62" s="231"/>
    </row>
    <row r="63" spans="2:11" x14ac:dyDescent="0.25">
      <c r="B63" s="400"/>
      <c r="C63" s="412"/>
      <c r="D63" s="390"/>
      <c r="F63" s="413"/>
      <c r="G63" s="228" t="str">
        <f t="shared" si="2"/>
        <v/>
      </c>
      <c r="H63" s="211"/>
      <c r="I63" s="211"/>
      <c r="J63" s="231"/>
      <c r="K63" s="231"/>
    </row>
    <row r="64" spans="2:11" x14ac:dyDescent="0.25">
      <c r="B64" s="400"/>
      <c r="C64" s="412"/>
      <c r="D64" s="390"/>
      <c r="F64" s="413"/>
      <c r="G64" s="228" t="str">
        <f t="shared" si="2"/>
        <v/>
      </c>
      <c r="H64" s="211"/>
      <c r="I64" s="211"/>
      <c r="J64" s="231"/>
      <c r="K64" s="231"/>
    </row>
    <row r="65" spans="2:11" x14ac:dyDescent="0.25">
      <c r="B65" s="368"/>
      <c r="C65" s="412"/>
      <c r="D65" s="390"/>
      <c r="F65" s="413"/>
      <c r="G65" s="228" t="str">
        <f t="shared" si="2"/>
        <v/>
      </c>
      <c r="H65" s="211"/>
      <c r="I65" s="211"/>
      <c r="J65" s="231"/>
      <c r="K65" s="231"/>
    </row>
    <row r="66" spans="2:11" x14ac:dyDescent="0.25">
      <c r="B66" s="368"/>
      <c r="C66" s="412"/>
      <c r="D66" s="390"/>
      <c r="F66" s="413"/>
      <c r="G66" s="228" t="str">
        <f t="shared" si="2"/>
        <v/>
      </c>
      <c r="H66" s="211"/>
      <c r="I66" s="211"/>
      <c r="J66" s="231"/>
      <c r="K66" s="231"/>
    </row>
    <row r="67" spans="2:11" x14ac:dyDescent="0.25">
      <c r="B67" s="400"/>
      <c r="C67" s="412"/>
      <c r="D67" s="390"/>
      <c r="F67" s="413"/>
      <c r="G67" s="228" t="str">
        <f t="shared" si="2"/>
        <v/>
      </c>
      <c r="H67" s="211"/>
      <c r="I67" s="211"/>
      <c r="J67" s="231"/>
      <c r="K67" s="231"/>
    </row>
    <row r="68" spans="2:11" x14ac:dyDescent="0.25">
      <c r="B68" s="368"/>
      <c r="C68" s="412"/>
      <c r="D68" s="390"/>
      <c r="E68" s="16"/>
      <c r="F68" s="413"/>
      <c r="G68" s="228" t="str">
        <f t="shared" si="2"/>
        <v/>
      </c>
      <c r="H68" s="211"/>
      <c r="I68" s="211"/>
      <c r="J68" s="231"/>
      <c r="K68" s="231"/>
    </row>
    <row r="69" spans="2:11" x14ac:dyDescent="0.25">
      <c r="B69" s="368"/>
      <c r="C69" s="412"/>
      <c r="D69" s="390"/>
      <c r="E69" s="16"/>
      <c r="F69" s="413"/>
      <c r="G69" s="228" t="str">
        <f t="shared" si="2"/>
        <v/>
      </c>
      <c r="H69" s="211"/>
      <c r="I69" s="211"/>
      <c r="J69" s="231"/>
      <c r="K69" s="231"/>
    </row>
    <row r="70" spans="2:11" x14ac:dyDescent="0.25">
      <c r="B70" s="368"/>
      <c r="C70" s="412"/>
      <c r="D70" s="390"/>
      <c r="E70" s="16"/>
      <c r="F70" s="413"/>
      <c r="G70" s="228" t="str">
        <f t="shared" si="2"/>
        <v/>
      </c>
      <c r="H70" s="211"/>
      <c r="I70" s="211"/>
      <c r="J70" s="231"/>
      <c r="K70" s="231"/>
    </row>
    <row r="71" spans="2:11" x14ac:dyDescent="0.25">
      <c r="B71" s="400"/>
      <c r="C71" s="412"/>
      <c r="D71" s="390"/>
      <c r="E71" s="16"/>
      <c r="F71" s="413"/>
      <c r="G71" s="228" t="str">
        <f t="shared" si="2"/>
        <v/>
      </c>
      <c r="H71" s="211"/>
      <c r="I71" s="211"/>
      <c r="J71" s="231"/>
      <c r="K71" s="231"/>
    </row>
    <row r="72" spans="2:11" x14ac:dyDescent="0.25">
      <c r="E72" s="16"/>
    </row>
    <row r="73" spans="2:11" x14ac:dyDescent="0.25">
      <c r="E73" s="16"/>
    </row>
    <row r="74" spans="2:11" x14ac:dyDescent="0.25">
      <c r="E74" s="16"/>
    </row>
    <row r="75" spans="2:11" x14ac:dyDescent="0.25">
      <c r="E75" s="16"/>
    </row>
    <row r="76" spans="2:11" x14ac:dyDescent="0.25">
      <c r="E76" s="16"/>
    </row>
    <row r="77" spans="2:11" x14ac:dyDescent="0.25">
      <c r="E77" s="16"/>
    </row>
    <row r="78" spans="2:11" x14ac:dyDescent="0.25">
      <c r="E78" s="16"/>
    </row>
    <row r="79" spans="2:11" x14ac:dyDescent="0.25">
      <c r="E79" s="16"/>
    </row>
    <row r="80" spans="2:11" x14ac:dyDescent="0.25">
      <c r="E80" s="16"/>
    </row>
    <row r="81" spans="5:5" x14ac:dyDescent="0.25">
      <c r="E81" s="16"/>
    </row>
    <row r="82" spans="5:5" x14ac:dyDescent="0.25">
      <c r="E82" s="16"/>
    </row>
    <row r="83" spans="5:5" x14ac:dyDescent="0.25">
      <c r="E83" s="16"/>
    </row>
    <row r="84" spans="5:5" x14ac:dyDescent="0.25">
      <c r="E84"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sheetData>
  <mergeCells count="4">
    <mergeCell ref="B32:D32"/>
    <mergeCell ref="B35:D35"/>
    <mergeCell ref="B33:F33"/>
    <mergeCell ref="B36:F36"/>
  </mergeCells>
  <conditionalFormatting sqref="G72:G1048576 G1:G42 G44:G52">
    <cfRule type="cellIs" dxfId="29" priority="6" operator="equal">
      <formula>"_"</formula>
    </cfRule>
  </conditionalFormatting>
  <conditionalFormatting sqref="G53:G71">
    <cfRule type="cellIs" dxfId="28" priority="2" operator="equal">
      <formula>"_"</formula>
    </cfRule>
  </conditionalFormatting>
  <conditionalFormatting sqref="G43">
    <cfRule type="cellIs" dxfId="27"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Package - Inland Marine</oddHeader>
    <oddFooter>&amp;L&amp;G&amp;CPage &amp;P of &amp;N</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8">
    <pageSetUpPr fitToPage="1"/>
  </sheetPr>
  <dimension ref="B1:M117"/>
  <sheetViews>
    <sheetView showGridLines="0" view="pageBreakPreview" zoomScaleNormal="100" zoomScaleSheetLayoutView="100" workbookViewId="0"/>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8.42578125" style="16" customWidth="1"/>
    <col min="14" max="53" width="9.140625" style="16" customWidth="1"/>
    <col min="54" max="16384" width="9.140625" style="16"/>
  </cols>
  <sheetData>
    <row r="1" spans="2:13" ht="7.5" customHeight="1" x14ac:dyDescent="0.25">
      <c r="E1" s="450"/>
    </row>
    <row r="2" spans="2:13" ht="15.75" x14ac:dyDescent="0.25">
      <c r="B2" s="453" t="str">
        <f>Input!B745</f>
        <v>Real Estate Errors &amp; Omissions</v>
      </c>
      <c r="E2" s="450"/>
      <c r="H2" s="454"/>
      <c r="I2" s="455"/>
      <c r="J2" s="455"/>
      <c r="L2" s="456" t="s">
        <v>391</v>
      </c>
      <c r="M2" s="381" t="s">
        <v>361</v>
      </c>
    </row>
    <row r="3" spans="2:13" x14ac:dyDescent="0.25">
      <c r="D3" s="455" t="str">
        <f xml:space="preserve"> IF(Input!D748=Input!G748,CHAR(254), "")</f>
        <v/>
      </c>
      <c r="E3" s="457"/>
      <c r="F3" s="458" t="str">
        <f xml:space="preserve"> IF(Input!E748=Input!G748,CHAR(254), "")</f>
        <v/>
      </c>
      <c r="L3" s="459" t="s">
        <v>157</v>
      </c>
      <c r="M3" s="211" t="s">
        <v>362</v>
      </c>
    </row>
    <row r="4" spans="2:13" x14ac:dyDescent="0.25">
      <c r="B4" s="523" t="s">
        <v>66</v>
      </c>
      <c r="C4" s="524" t="s">
        <v>62</v>
      </c>
      <c r="D4" s="525" t="s">
        <v>63</v>
      </c>
      <c r="E4" s="426"/>
      <c r="F4" s="526" t="s">
        <v>146</v>
      </c>
      <c r="G4" s="211"/>
      <c r="H4" s="211"/>
      <c r="I4" s="211"/>
      <c r="J4" s="527" t="s">
        <v>1002</v>
      </c>
      <c r="K4" s="527" t="s">
        <v>363</v>
      </c>
      <c r="L4" s="460"/>
      <c r="M4" s="211"/>
    </row>
    <row r="5" spans="2:13" ht="38.25" x14ac:dyDescent="0.25">
      <c r="B5" s="409" t="s">
        <v>60</v>
      </c>
      <c r="C5" s="412" t="str">
        <f>Input!B749</f>
        <v>Houston Specialty Insurance Company</v>
      </c>
      <c r="D5" s="390" t="str">
        <f>Input!D749</f>
        <v>Houston Specialty Insurance Company</v>
      </c>
      <c r="F5" s="413">
        <f>Input!E749</f>
        <v>0</v>
      </c>
      <c r="G5" s="211"/>
      <c r="H5" s="211"/>
      <c r="I5" s="211"/>
      <c r="J5" s="231"/>
      <c r="K5" s="231"/>
    </row>
    <row r="6" spans="2:13" x14ac:dyDescent="0.25">
      <c r="B6" s="409" t="s">
        <v>69</v>
      </c>
      <c r="C6" s="412" t="str">
        <f>Input!B751</f>
        <v>A-: IX</v>
      </c>
      <c r="D6" s="390" t="str">
        <f>Input!D751</f>
        <v>A-: IX</v>
      </c>
      <c r="F6" s="413">
        <f>Input!E751</f>
        <v>0</v>
      </c>
      <c r="G6" s="211"/>
      <c r="H6" s="211"/>
      <c r="I6" s="211"/>
      <c r="J6" s="231"/>
      <c r="K6" s="231"/>
    </row>
    <row r="7" spans="2:13" x14ac:dyDescent="0.25">
      <c r="B7" s="409" t="str">
        <f>Input!B747</f>
        <v>Policy Number</v>
      </c>
      <c r="C7" s="412"/>
      <c r="D7" s="390" t="str">
        <f>Input!C747</f>
        <v>TBD</v>
      </c>
      <c r="F7" s="413" t="str">
        <f>Input!C747</f>
        <v>TBD</v>
      </c>
      <c r="G7" s="211"/>
      <c r="H7" s="211"/>
      <c r="I7" s="211"/>
      <c r="J7" s="231"/>
      <c r="K7" s="231"/>
    </row>
    <row r="8" spans="2:13" ht="15.75" customHeight="1" x14ac:dyDescent="0.25">
      <c r="B8" s="409" t="str">
        <f>Input!B6</f>
        <v>Renewal Policy Period</v>
      </c>
      <c r="C8" s="412" t="str">
        <f>Input!C5</f>
        <v>7/1/2022 - 7/1/2023</v>
      </c>
      <c r="D8" s="390" t="str">
        <f>Input!C6</f>
        <v>7/1/2023 - 7/1/2024</v>
      </c>
      <c r="F8" s="413" t="str">
        <f>Input!C6</f>
        <v>7/1/2023 - 7/1/2024</v>
      </c>
      <c r="G8" s="211"/>
      <c r="H8" s="211"/>
      <c r="I8" s="211"/>
      <c r="J8" s="231"/>
      <c r="K8" s="231"/>
    </row>
    <row r="9" spans="2:13" x14ac:dyDescent="0.25">
      <c r="B9" s="479" t="s">
        <v>9</v>
      </c>
      <c r="C9" s="479"/>
      <c r="D9" s="479"/>
      <c r="E9" s="238"/>
      <c r="F9" s="466"/>
      <c r="G9" s="211"/>
      <c r="H9" s="211"/>
      <c r="I9" s="211"/>
      <c r="J9" s="566"/>
      <c r="K9" s="566"/>
    </row>
    <row r="10" spans="2:13" x14ac:dyDescent="0.25">
      <c r="B10" s="409" t="str">
        <f>Input!B774</f>
        <v>Miscellaneous Professional Services</v>
      </c>
      <c r="C10" s="398">
        <f>Input!C774</f>
        <v>1000000</v>
      </c>
      <c r="D10" s="425">
        <f>Input!E774</f>
        <v>1000000</v>
      </c>
      <c r="E10" s="414"/>
      <c r="F10" s="427">
        <f>Input!G774</f>
        <v>0</v>
      </c>
      <c r="G10" s="211"/>
      <c r="H10" s="211"/>
      <c r="I10" s="211"/>
      <c r="J10" s="231"/>
      <c r="K10" s="231"/>
    </row>
    <row r="11" spans="2:13" x14ac:dyDescent="0.25">
      <c r="B11" s="409" t="str">
        <f>Input!B776</f>
        <v>Aggregate</v>
      </c>
      <c r="C11" s="398">
        <f>Input!C776</f>
        <v>1000000</v>
      </c>
      <c r="D11" s="425">
        <f>Input!E776</f>
        <v>1000000</v>
      </c>
      <c r="E11" s="414"/>
      <c r="F11" s="427">
        <f>Input!G776</f>
        <v>0</v>
      </c>
      <c r="G11" s="211"/>
      <c r="H11" s="211"/>
      <c r="I11" s="211"/>
      <c r="J11" s="231"/>
      <c r="K11" s="231"/>
    </row>
    <row r="12" spans="2:13" x14ac:dyDescent="0.25">
      <c r="B12" s="479" t="s">
        <v>37</v>
      </c>
      <c r="C12" s="479"/>
      <c r="D12" s="479"/>
      <c r="E12" s="426"/>
      <c r="F12" s="606"/>
      <c r="G12" s="211"/>
      <c r="H12" s="211"/>
      <c r="I12" s="211"/>
      <c r="J12" s="566"/>
      <c r="K12" s="566"/>
    </row>
    <row r="13" spans="2:13" x14ac:dyDescent="0.25">
      <c r="B13" s="409" t="str">
        <f>Input!B774</f>
        <v>Miscellaneous Professional Services</v>
      </c>
      <c r="C13" s="398">
        <f>Input!D774</f>
        <v>7500</v>
      </c>
      <c r="D13" s="425">
        <f>Input!F774</f>
        <v>7500</v>
      </c>
      <c r="E13" s="414"/>
      <c r="F13" s="427">
        <f>Input!H774</f>
        <v>0</v>
      </c>
      <c r="G13" s="211"/>
      <c r="H13" s="211"/>
      <c r="I13" s="211"/>
      <c r="J13" s="231"/>
      <c r="K13" s="231"/>
    </row>
    <row r="14" spans="2:13" x14ac:dyDescent="0.25">
      <c r="B14" s="409" t="str">
        <f>Input!B776</f>
        <v>Aggregate</v>
      </c>
      <c r="C14" s="403" t="str">
        <f>Input!D776</f>
        <v>N/A</v>
      </c>
      <c r="D14" s="431" t="str">
        <f>Input!F776</f>
        <v>N/A</v>
      </c>
      <c r="E14" s="414"/>
      <c r="F14" s="430">
        <f>Input!H776</f>
        <v>0</v>
      </c>
      <c r="G14" s="211"/>
      <c r="H14" s="211"/>
      <c r="I14" s="211"/>
      <c r="J14" s="231"/>
      <c r="K14" s="231"/>
    </row>
    <row r="15" spans="2:13" x14ac:dyDescent="0.25">
      <c r="B15" s="479" t="s">
        <v>367</v>
      </c>
      <c r="C15" s="479"/>
      <c r="D15" s="479"/>
      <c r="F15" s="562"/>
      <c r="G15" s="211"/>
      <c r="H15" s="211"/>
      <c r="I15" s="211"/>
      <c r="J15" s="566"/>
      <c r="K15" s="566"/>
    </row>
    <row r="16" spans="2:13" x14ac:dyDescent="0.25">
      <c r="B16" s="402" t="s">
        <v>343</v>
      </c>
      <c r="C16" s="428">
        <f>Input!B753</f>
        <v>0</v>
      </c>
      <c r="D16" s="425">
        <f>Input!D753</f>
        <v>8745</v>
      </c>
      <c r="E16" s="414"/>
      <c r="F16" s="427">
        <f>Input!E753</f>
        <v>0</v>
      </c>
      <c r="G16" s="211"/>
      <c r="H16" s="211"/>
      <c r="I16" s="211"/>
      <c r="J16" s="231"/>
      <c r="K16" s="231"/>
    </row>
    <row r="17" spans="2:11" x14ac:dyDescent="0.25">
      <c r="B17" s="402" t="s">
        <v>374</v>
      </c>
      <c r="C17" s="428">
        <f>C18-C16</f>
        <v>0</v>
      </c>
      <c r="D17" s="425">
        <f>D18-D16</f>
        <v>557.79999999999927</v>
      </c>
      <c r="E17" s="414"/>
      <c r="F17" s="427">
        <f>F18-F16</f>
        <v>0</v>
      </c>
      <c r="G17" s="211"/>
      <c r="H17" s="211"/>
      <c r="I17" s="211"/>
      <c r="J17" s="231"/>
      <c r="K17" s="231"/>
    </row>
    <row r="18" spans="2:11" x14ac:dyDescent="0.25">
      <c r="B18" s="409" t="s">
        <v>369</v>
      </c>
      <c r="C18" s="428">
        <f>Input!B763</f>
        <v>0</v>
      </c>
      <c r="D18" s="425">
        <f>Input!D763</f>
        <v>9302.7999999999993</v>
      </c>
      <c r="F18" s="427">
        <f>Input!E763</f>
        <v>0</v>
      </c>
      <c r="G18" s="211"/>
      <c r="H18" s="211"/>
      <c r="I18" s="211"/>
      <c r="J18" s="231"/>
      <c r="K18" s="231"/>
    </row>
    <row r="19" spans="2:11" ht="7.5" customHeight="1" x14ac:dyDescent="0.25">
      <c r="B19" s="310"/>
      <c r="C19" s="228"/>
      <c r="D19" s="228"/>
      <c r="E19" s="238"/>
      <c r="F19" s="275"/>
      <c r="G19" s="211"/>
      <c r="H19" s="211"/>
      <c r="I19" s="211"/>
      <c r="J19" s="381"/>
    </row>
    <row r="20" spans="2:11" x14ac:dyDescent="0.25">
      <c r="B20" s="1274" t="s">
        <v>144</v>
      </c>
      <c r="C20" s="1274"/>
      <c r="D20" s="1274"/>
      <c r="E20" s="432"/>
      <c r="F20" s="274"/>
      <c r="G20" s="211"/>
      <c r="H20" s="211"/>
      <c r="I20" s="211"/>
      <c r="J20" s="381"/>
    </row>
    <row r="21" spans="2:11" x14ac:dyDescent="0.25">
      <c r="B21" s="965" t="s">
        <v>1172</v>
      </c>
      <c r="C21" s="381"/>
      <c r="D21" s="381"/>
      <c r="E21" s="624"/>
      <c r="F21" s="625"/>
      <c r="G21" s="211"/>
      <c r="H21" s="211"/>
      <c r="I21" s="211"/>
      <c r="J21" s="381"/>
    </row>
    <row r="22" spans="2:11" ht="7.5" customHeight="1" x14ac:dyDescent="0.25">
      <c r="B22" s="380"/>
      <c r="C22" s="238"/>
      <c r="D22" s="238"/>
      <c r="E22" s="434"/>
      <c r="F22" s="275"/>
      <c r="G22" s="211"/>
      <c r="H22" s="211"/>
      <c r="I22" s="211"/>
      <c r="J22" s="381"/>
    </row>
    <row r="23" spans="2:11" x14ac:dyDescent="0.25">
      <c r="B23" s="1274" t="s">
        <v>145</v>
      </c>
      <c r="C23" s="1274"/>
      <c r="D23" s="1274"/>
      <c r="F23" s="275"/>
      <c r="G23" s="211"/>
      <c r="H23" s="211"/>
      <c r="I23" s="211"/>
      <c r="J23" s="381"/>
    </row>
    <row r="24" spans="2:11" x14ac:dyDescent="0.25">
      <c r="B24" s="1136" t="s">
        <v>1172</v>
      </c>
      <c r="C24" s="1307"/>
      <c r="D24" s="1307"/>
      <c r="E24" s="1307"/>
      <c r="F24" s="1308"/>
      <c r="G24" s="211"/>
      <c r="H24" s="211"/>
      <c r="I24" s="211"/>
      <c r="J24" s="381"/>
    </row>
    <row r="25" spans="2:11" ht="7.5" customHeight="1" x14ac:dyDescent="0.25">
      <c r="B25" s="310"/>
      <c r="C25" s="228"/>
      <c r="D25" s="228"/>
      <c r="E25" s="426"/>
      <c r="F25" s="275"/>
      <c r="G25" s="211"/>
      <c r="H25" s="211"/>
      <c r="I25" s="211"/>
      <c r="J25" s="381"/>
    </row>
    <row r="26" spans="2:11" x14ac:dyDescent="0.25">
      <c r="B26" s="523" t="s">
        <v>72</v>
      </c>
      <c r="C26" s="524" t="s">
        <v>62</v>
      </c>
      <c r="D26" s="525" t="s">
        <v>63</v>
      </c>
      <c r="F26" s="526" t="s">
        <v>146</v>
      </c>
      <c r="G26" s="211"/>
      <c r="H26" s="211"/>
      <c r="I26" s="211"/>
      <c r="J26" s="527" t="s">
        <v>1002</v>
      </c>
      <c r="K26" s="527" t="s">
        <v>363</v>
      </c>
    </row>
    <row r="27" spans="2:11" x14ac:dyDescent="0.25">
      <c r="B27" s="394" t="s">
        <v>1729</v>
      </c>
      <c r="C27" s="626"/>
      <c r="D27" s="745" t="s">
        <v>1239</v>
      </c>
      <c r="F27" s="627"/>
      <c r="G27" s="228" t="str">
        <f t="shared" ref="G27:G30" si="0">IF(OR(TRIM(D27)&lt;&gt;"",TRIM(F27)&lt;&gt;""),IF(AND(TRIM(D27)&lt;&gt;"",TRIM(F27)&lt;&gt;""),IF(OR(TRIM(C27)&lt;&gt;TRIM(D27),TRIM(C27)&lt;&gt;TRIM(F27)),"_",""),IF(TRIM(C27)&lt;&gt;TRIM(D27), "_", "")),"")</f>
        <v>_</v>
      </c>
      <c r="H27" s="211"/>
      <c r="I27" s="211"/>
      <c r="J27" s="527"/>
      <c r="K27" s="527"/>
    </row>
    <row r="28" spans="2:11" x14ac:dyDescent="0.25">
      <c r="B28" s="394" t="s">
        <v>74</v>
      </c>
      <c r="C28" s="626"/>
      <c r="D28" s="745" t="s">
        <v>1730</v>
      </c>
      <c r="F28" s="627"/>
      <c r="G28" s="228" t="str">
        <f t="shared" si="0"/>
        <v>_</v>
      </c>
      <c r="H28" s="211"/>
      <c r="I28" s="211"/>
      <c r="J28" s="527"/>
      <c r="K28" s="527"/>
    </row>
    <row r="29" spans="2:11" x14ac:dyDescent="0.25">
      <c r="B29" s="394" t="s">
        <v>151</v>
      </c>
      <c r="C29" s="626"/>
      <c r="D29" s="745" t="s">
        <v>1229</v>
      </c>
      <c r="F29" s="627"/>
      <c r="G29" s="228" t="str">
        <f t="shared" si="0"/>
        <v>_</v>
      </c>
      <c r="H29" s="211"/>
      <c r="I29" s="211"/>
      <c r="J29" s="527"/>
      <c r="K29" s="527"/>
    </row>
    <row r="30" spans="2:11" x14ac:dyDescent="0.25">
      <c r="B30" s="394" t="s">
        <v>76</v>
      </c>
      <c r="C30" s="626"/>
      <c r="D30" s="954">
        <v>0.25</v>
      </c>
      <c r="F30" s="627"/>
      <c r="G30" s="228" t="str">
        <f t="shared" si="0"/>
        <v>_</v>
      </c>
      <c r="H30" s="211"/>
      <c r="I30" s="211"/>
      <c r="J30" s="527"/>
      <c r="K30" s="527"/>
    </row>
    <row r="31" spans="2:11" x14ac:dyDescent="0.25">
      <c r="B31" s="394" t="s">
        <v>75</v>
      </c>
      <c r="C31" s="396"/>
      <c r="D31" s="424" t="s">
        <v>1267</v>
      </c>
      <c r="F31" s="443"/>
      <c r="G31" s="228" t="str">
        <f t="shared" ref="G31:G39" si="1">IF(OR(TRIM(D31)&lt;&gt;"",TRIM(F31)&lt;&gt;""),IF(AND(TRIM(D31)&lt;&gt;"",TRIM(F31)&lt;&gt;""),IF(OR(TRIM(C31)&lt;&gt;TRIM(D31),TRIM(C31)&lt;&gt;TRIM(F31)),"_",""),IF(TRIM(C31)&lt;&gt;TRIM(D31), "_", "")),"")</f>
        <v>_</v>
      </c>
      <c r="H31" s="211"/>
      <c r="I31" s="211"/>
      <c r="J31" s="231"/>
      <c r="K31" s="231"/>
    </row>
    <row r="32" spans="2:11" hidden="1" x14ac:dyDescent="0.25">
      <c r="B32" s="400" t="s">
        <v>77</v>
      </c>
      <c r="C32" s="412"/>
      <c r="D32" s="390"/>
      <c r="F32" s="413"/>
      <c r="G32" s="228" t="str">
        <f t="shared" si="1"/>
        <v/>
      </c>
      <c r="H32" s="211"/>
      <c r="I32" s="211"/>
      <c r="J32" s="231"/>
      <c r="K32" s="231"/>
    </row>
    <row r="33" spans="2:11" x14ac:dyDescent="0.25">
      <c r="B33" s="368" t="s">
        <v>721</v>
      </c>
      <c r="C33" s="435"/>
      <c r="D33" s="1309" t="s">
        <v>157</v>
      </c>
      <c r="F33" s="413"/>
      <c r="G33" s="228" t="str">
        <f t="shared" si="1"/>
        <v>_</v>
      </c>
      <c r="H33" s="211"/>
      <c r="I33" s="211"/>
      <c r="J33" s="231"/>
      <c r="K33" s="231"/>
    </row>
    <row r="34" spans="2:11" ht="30" customHeight="1" x14ac:dyDescent="0.25">
      <c r="B34" s="442" t="s">
        <v>1731</v>
      </c>
      <c r="C34" s="396"/>
      <c r="D34" s="1310"/>
      <c r="F34" s="413"/>
      <c r="G34" s="228" t="str">
        <f t="shared" si="1"/>
        <v/>
      </c>
      <c r="H34" s="211"/>
      <c r="I34" s="211"/>
      <c r="J34" s="231"/>
      <c r="K34" s="231"/>
    </row>
    <row r="35" spans="2:11" hidden="1" x14ac:dyDescent="0.25">
      <c r="B35" s="400" t="s">
        <v>226</v>
      </c>
      <c r="C35" s="412"/>
      <c r="D35" s="390"/>
      <c r="F35" s="413"/>
      <c r="G35" s="228" t="str">
        <f t="shared" si="1"/>
        <v/>
      </c>
      <c r="H35" s="211"/>
      <c r="I35" s="211"/>
      <c r="J35" s="231"/>
      <c r="K35" s="231"/>
    </row>
    <row r="36" spans="2:11" hidden="1" x14ac:dyDescent="0.25">
      <c r="B36" s="400" t="s">
        <v>227</v>
      </c>
      <c r="C36" s="412"/>
      <c r="D36" s="390"/>
      <c r="F36" s="413"/>
      <c r="G36" s="228" t="str">
        <f t="shared" si="1"/>
        <v/>
      </c>
      <c r="H36" s="211"/>
      <c r="I36" s="211"/>
      <c r="J36" s="231"/>
      <c r="K36" s="231"/>
    </row>
    <row r="37" spans="2:11" hidden="1" x14ac:dyDescent="0.25">
      <c r="B37" s="400" t="s">
        <v>228</v>
      </c>
      <c r="C37" s="412"/>
      <c r="D37" s="390"/>
      <c r="F37" s="413"/>
      <c r="G37" s="228" t="str">
        <f t="shared" si="1"/>
        <v/>
      </c>
      <c r="H37" s="211"/>
      <c r="I37" s="211"/>
      <c r="J37" s="231"/>
      <c r="K37" s="231"/>
    </row>
    <row r="38" spans="2:11" hidden="1" x14ac:dyDescent="0.25">
      <c r="B38" s="400" t="s">
        <v>404</v>
      </c>
      <c r="C38" s="412"/>
      <c r="D38" s="390"/>
      <c r="F38" s="413"/>
      <c r="G38" s="228" t="str">
        <f t="shared" si="1"/>
        <v/>
      </c>
      <c r="H38" s="211"/>
      <c r="I38" s="211"/>
      <c r="J38" s="231"/>
      <c r="K38" s="231"/>
    </row>
    <row r="39" spans="2:11" hidden="1" x14ac:dyDescent="0.25">
      <c r="B39" s="400" t="s">
        <v>229</v>
      </c>
      <c r="C39" s="412"/>
      <c r="D39" s="390"/>
      <c r="F39" s="413"/>
      <c r="G39" s="228" t="str">
        <f t="shared" si="1"/>
        <v/>
      </c>
      <c r="H39" s="211"/>
      <c r="I39" s="211"/>
      <c r="J39" s="231"/>
      <c r="K39" s="231"/>
    </row>
    <row r="40" spans="2:11" ht="7.5" customHeight="1" x14ac:dyDescent="0.25">
      <c r="B40" s="310"/>
      <c r="C40" s="228"/>
      <c r="D40" s="228"/>
      <c r="F40" s="275"/>
      <c r="G40" s="228"/>
      <c r="H40" s="211"/>
      <c r="I40" s="211"/>
      <c r="J40" s="381"/>
    </row>
    <row r="41" spans="2:11" x14ac:dyDescent="0.25">
      <c r="B41" s="523" t="s">
        <v>103</v>
      </c>
      <c r="C41" s="524" t="s">
        <v>62</v>
      </c>
      <c r="D41" s="525" t="s">
        <v>63</v>
      </c>
      <c r="F41" s="526" t="s">
        <v>146</v>
      </c>
      <c r="G41" s="228"/>
      <c r="H41" s="211"/>
      <c r="I41" s="211"/>
      <c r="J41" s="527" t="s">
        <v>1002</v>
      </c>
      <c r="K41" s="527" t="s">
        <v>363</v>
      </c>
    </row>
    <row r="42" spans="2:11" x14ac:dyDescent="0.25">
      <c r="B42" s="673" t="s">
        <v>826</v>
      </c>
      <c r="C42" s="711"/>
      <c r="D42" s="710" t="s">
        <v>1053</v>
      </c>
      <c r="F42" s="413"/>
      <c r="G42" s="228" t="str">
        <f t="shared" ref="G42:G50" si="2">IF(OR(TRIM(D42)&lt;&gt;"",TRIM(F42)&lt;&gt;""),IF(AND(TRIM(D42)&lt;&gt;"",TRIM(F42)&lt;&gt;""),IF(OR(TRIM(C42)&lt;&gt;TRIM(D42),TRIM(C42)&lt;&gt;TRIM(F42)),"_",""),IF(TRIM(C42)&lt;&gt;TRIM(D42), "_", "")),"")</f>
        <v>_</v>
      </c>
      <c r="H42" s="211"/>
      <c r="I42" s="211"/>
      <c r="J42" s="231"/>
      <c r="K42" s="231"/>
    </row>
    <row r="43" spans="2:11" x14ac:dyDescent="0.25">
      <c r="B43" s="673" t="s">
        <v>650</v>
      </c>
      <c r="C43" s="711"/>
      <c r="D43" s="710" t="s">
        <v>1053</v>
      </c>
      <c r="F43" s="413"/>
      <c r="G43" s="228" t="str">
        <f t="shared" si="2"/>
        <v>_</v>
      </c>
      <c r="H43" s="211"/>
      <c r="I43" s="211"/>
      <c r="J43" s="231"/>
      <c r="K43" s="231"/>
    </row>
    <row r="44" spans="2:11" x14ac:dyDescent="0.25">
      <c r="B44" s="673" t="s">
        <v>1732</v>
      </c>
      <c r="C44" s="711"/>
      <c r="D44" s="710" t="s">
        <v>1053</v>
      </c>
      <c r="F44" s="413"/>
      <c r="G44" s="228" t="str">
        <f t="shared" si="2"/>
        <v>_</v>
      </c>
      <c r="H44" s="211"/>
      <c r="I44" s="211"/>
      <c r="J44" s="231"/>
      <c r="K44" s="231"/>
    </row>
    <row r="45" spans="2:11" x14ac:dyDescent="0.25">
      <c r="B45" s="673" t="s">
        <v>653</v>
      </c>
      <c r="C45" s="711"/>
      <c r="D45" s="710" t="s">
        <v>1053</v>
      </c>
      <c r="F45" s="413"/>
      <c r="G45" s="228" t="str">
        <f t="shared" si="2"/>
        <v>_</v>
      </c>
      <c r="H45" s="211"/>
      <c r="I45" s="211"/>
      <c r="J45" s="231"/>
      <c r="K45" s="231"/>
    </row>
    <row r="46" spans="2:11" x14ac:dyDescent="0.25">
      <c r="B46" s="673" t="s">
        <v>118</v>
      </c>
      <c r="C46" s="711"/>
      <c r="D46" s="708" t="s">
        <v>1733</v>
      </c>
      <c r="F46" s="413"/>
      <c r="G46" s="228"/>
      <c r="H46" s="211"/>
      <c r="I46" s="211"/>
      <c r="J46" s="231"/>
      <c r="K46" s="231"/>
    </row>
    <row r="47" spans="2:11" x14ac:dyDescent="0.25">
      <c r="B47" s="673" t="s">
        <v>1734</v>
      </c>
      <c r="C47" s="711"/>
      <c r="D47" s="710" t="s">
        <v>1053</v>
      </c>
      <c r="F47" s="413"/>
      <c r="G47" s="228" t="str">
        <f t="shared" si="2"/>
        <v>_</v>
      </c>
      <c r="H47" s="211"/>
      <c r="I47" s="211"/>
      <c r="J47" s="231"/>
      <c r="K47" s="231"/>
    </row>
    <row r="48" spans="2:11" x14ac:dyDescent="0.25">
      <c r="B48" s="673" t="s">
        <v>1735</v>
      </c>
      <c r="C48" s="711"/>
      <c r="D48" s="710" t="s">
        <v>1053</v>
      </c>
      <c r="F48" s="413"/>
      <c r="G48" s="228" t="str">
        <f t="shared" si="2"/>
        <v>_</v>
      </c>
      <c r="H48" s="211"/>
      <c r="I48" s="211"/>
      <c r="J48" s="231"/>
      <c r="K48" s="231"/>
    </row>
    <row r="49" spans="2:11" x14ac:dyDescent="0.25">
      <c r="B49" s="673" t="s">
        <v>652</v>
      </c>
      <c r="C49" s="711"/>
      <c r="D49" s="710" t="s">
        <v>1053</v>
      </c>
      <c r="F49" s="413"/>
      <c r="G49" s="228" t="str">
        <f t="shared" si="2"/>
        <v>_</v>
      </c>
      <c r="H49" s="211"/>
      <c r="I49" s="211"/>
      <c r="J49" s="231"/>
      <c r="K49" s="231"/>
    </row>
    <row r="50" spans="2:11" x14ac:dyDescent="0.25">
      <c r="B50" s="673" t="s">
        <v>253</v>
      </c>
      <c r="C50" s="711"/>
      <c r="D50" s="710" t="s">
        <v>1053</v>
      </c>
      <c r="F50" s="413"/>
      <c r="G50" s="228" t="str">
        <f t="shared" si="2"/>
        <v>_</v>
      </c>
      <c r="H50" s="211"/>
      <c r="I50" s="211"/>
      <c r="J50" s="231"/>
      <c r="K50" s="231"/>
    </row>
    <row r="51" spans="2:11" ht="7.5" customHeight="1" x14ac:dyDescent="0.25">
      <c r="J51" s="381"/>
    </row>
    <row r="52" spans="2:11" x14ac:dyDescent="0.25">
      <c r="B52" s="528" t="s">
        <v>359</v>
      </c>
      <c r="C52" s="524" t="s">
        <v>62</v>
      </c>
      <c r="D52" s="525" t="s">
        <v>63</v>
      </c>
      <c r="F52" s="526" t="s">
        <v>146</v>
      </c>
      <c r="G52" s="228"/>
      <c r="H52" s="211"/>
      <c r="I52" s="211"/>
      <c r="J52" s="527" t="s">
        <v>1002</v>
      </c>
      <c r="K52" s="527" t="s">
        <v>363</v>
      </c>
    </row>
    <row r="53" spans="2:11" x14ac:dyDescent="0.25">
      <c r="B53" s="400" t="s">
        <v>1736</v>
      </c>
      <c r="C53" s="412"/>
      <c r="D53" s="390" t="s">
        <v>1737</v>
      </c>
      <c r="F53" s="413"/>
      <c r="G53" s="228" t="str">
        <f t="shared" ref="G53:G70" si="3">IF(OR(TRIM(D53)&lt;&gt;"",TRIM(F53)&lt;&gt;""),IF(AND(TRIM(D53)&lt;&gt;"",TRIM(F53)&lt;&gt;""),IF(OR(TRIM(C53)&lt;&gt;TRIM(D53),TRIM(C53)&lt;&gt;TRIM(F53)),"_",""),IF(TRIM(C53)&lt;&gt;TRIM(D53), "_", "")),"")</f>
        <v>_</v>
      </c>
      <c r="H53" s="211"/>
      <c r="I53" s="211"/>
      <c r="J53" s="231"/>
      <c r="K53" s="231"/>
    </row>
    <row r="54" spans="2:11" x14ac:dyDescent="0.25">
      <c r="B54" s="400" t="s">
        <v>1738</v>
      </c>
      <c r="C54" s="412"/>
      <c r="D54" s="390" t="s">
        <v>1739</v>
      </c>
      <c r="F54" s="413"/>
      <c r="G54" s="228" t="str">
        <f t="shared" si="3"/>
        <v>_</v>
      </c>
      <c r="H54" s="211"/>
      <c r="I54" s="211"/>
      <c r="J54" s="231"/>
      <c r="K54" s="231"/>
    </row>
    <row r="55" spans="2:11" ht="15.75" customHeight="1" x14ac:dyDescent="0.25">
      <c r="B55" s="400" t="s">
        <v>1740</v>
      </c>
      <c r="C55" s="412"/>
      <c r="D55" s="390" t="s">
        <v>1741</v>
      </c>
      <c r="F55" s="413"/>
      <c r="G55" s="228" t="str">
        <f t="shared" si="3"/>
        <v>_</v>
      </c>
      <c r="H55" s="211"/>
      <c r="I55" s="211"/>
      <c r="J55" s="231"/>
      <c r="K55" s="231"/>
    </row>
    <row r="56" spans="2:11" x14ac:dyDescent="0.25">
      <c r="B56" s="400" t="s">
        <v>1742</v>
      </c>
      <c r="C56" s="412"/>
      <c r="D56" s="390" t="s">
        <v>1743</v>
      </c>
      <c r="F56" s="413"/>
      <c r="G56" s="228" t="str">
        <f t="shared" si="3"/>
        <v>_</v>
      </c>
      <c r="H56" s="211"/>
      <c r="I56" s="211"/>
      <c r="J56" s="231"/>
      <c r="K56" s="231"/>
    </row>
    <row r="57" spans="2:11" x14ac:dyDescent="0.25">
      <c r="B57" s="294" t="s">
        <v>1744</v>
      </c>
      <c r="C57" s="412"/>
      <c r="D57" s="390" t="s">
        <v>1745</v>
      </c>
      <c r="F57" s="413"/>
      <c r="G57" s="228" t="str">
        <f t="shared" si="3"/>
        <v>_</v>
      </c>
      <c r="H57" s="211"/>
      <c r="I57" s="211"/>
      <c r="J57" s="231"/>
      <c r="K57" s="231"/>
    </row>
    <row r="58" spans="2:11" x14ac:dyDescent="0.25">
      <c r="B58" s="400" t="s">
        <v>1746</v>
      </c>
      <c r="C58" s="412"/>
      <c r="D58" s="390" t="s">
        <v>1747</v>
      </c>
      <c r="F58" s="413"/>
      <c r="G58" s="228" t="str">
        <f t="shared" si="3"/>
        <v>_</v>
      </c>
      <c r="H58" s="211"/>
      <c r="I58" s="211"/>
      <c r="J58" s="231"/>
      <c r="K58" s="231"/>
    </row>
    <row r="59" spans="2:11" x14ac:dyDescent="0.25">
      <c r="B59" s="400" t="s">
        <v>1748</v>
      </c>
      <c r="C59" s="412"/>
      <c r="D59" s="390" t="s">
        <v>1749</v>
      </c>
      <c r="F59" s="413"/>
      <c r="G59" s="228" t="str">
        <f t="shared" si="3"/>
        <v>_</v>
      </c>
      <c r="H59" s="211"/>
      <c r="I59" s="211"/>
      <c r="J59" s="231"/>
      <c r="K59" s="231"/>
    </row>
    <row r="60" spans="2:11" x14ac:dyDescent="0.25">
      <c r="B60" s="400" t="s">
        <v>1750</v>
      </c>
      <c r="C60" s="412"/>
      <c r="D60" s="390" t="s">
        <v>1751</v>
      </c>
      <c r="F60" s="413"/>
      <c r="G60" s="228" t="str">
        <f t="shared" si="3"/>
        <v>_</v>
      </c>
      <c r="H60" s="211"/>
      <c r="I60" s="211"/>
      <c r="J60" s="231"/>
      <c r="K60" s="231"/>
    </row>
    <row r="61" spans="2:11" x14ac:dyDescent="0.25">
      <c r="B61" s="400" t="s">
        <v>1752</v>
      </c>
      <c r="C61" s="412"/>
      <c r="D61" s="390" t="s">
        <v>1753</v>
      </c>
      <c r="F61" s="413"/>
      <c r="G61" s="228" t="str">
        <f t="shared" si="3"/>
        <v>_</v>
      </c>
      <c r="H61" s="211"/>
      <c r="I61" s="211"/>
      <c r="J61" s="231"/>
      <c r="K61" s="231"/>
    </row>
    <row r="62" spans="2:11" x14ac:dyDescent="0.25">
      <c r="B62" s="400" t="s">
        <v>1754</v>
      </c>
      <c r="C62" s="412"/>
      <c r="D62" s="390" t="s">
        <v>1755</v>
      </c>
      <c r="F62" s="413"/>
      <c r="G62" s="228" t="str">
        <f t="shared" si="3"/>
        <v>_</v>
      </c>
      <c r="H62" s="211"/>
      <c r="I62" s="211"/>
      <c r="J62" s="231"/>
      <c r="K62" s="231"/>
    </row>
    <row r="63" spans="2:11" ht="30" customHeight="1" x14ac:dyDescent="0.25">
      <c r="B63" s="400" t="s">
        <v>1756</v>
      </c>
      <c r="C63" s="412"/>
      <c r="D63" s="390" t="s">
        <v>1757</v>
      </c>
      <c r="F63" s="413"/>
      <c r="G63" s="228" t="str">
        <f t="shared" si="3"/>
        <v>_</v>
      </c>
      <c r="H63" s="211"/>
      <c r="I63" s="211"/>
      <c r="J63" s="231"/>
      <c r="K63" s="231"/>
    </row>
    <row r="64" spans="2:11" x14ac:dyDescent="0.25">
      <c r="B64" s="368" t="s">
        <v>1758</v>
      </c>
      <c r="C64" s="412"/>
      <c r="D64" s="390" t="s">
        <v>1759</v>
      </c>
      <c r="F64" s="413"/>
      <c r="G64" s="228" t="str">
        <f t="shared" si="3"/>
        <v>_</v>
      </c>
      <c r="H64" s="211"/>
      <c r="I64" s="211"/>
      <c r="J64" s="231"/>
      <c r="K64" s="231"/>
    </row>
    <row r="65" spans="2:11" x14ac:dyDescent="0.25">
      <c r="B65" s="400" t="s">
        <v>1760</v>
      </c>
      <c r="C65" s="412"/>
      <c r="D65" s="390" t="s">
        <v>1761</v>
      </c>
      <c r="F65" s="413"/>
      <c r="G65" s="228" t="str">
        <f t="shared" si="3"/>
        <v>_</v>
      </c>
      <c r="H65" s="211"/>
      <c r="I65" s="211"/>
      <c r="J65" s="231"/>
      <c r="K65" s="231"/>
    </row>
    <row r="66" spans="2:11" x14ac:dyDescent="0.25">
      <c r="B66" s="400"/>
      <c r="C66" s="412"/>
      <c r="D66" s="390"/>
      <c r="F66" s="413"/>
      <c r="G66" s="228" t="str">
        <f t="shared" si="3"/>
        <v/>
      </c>
      <c r="H66" s="211"/>
      <c r="I66" s="211"/>
      <c r="J66" s="231"/>
      <c r="K66" s="231"/>
    </row>
    <row r="67" spans="2:11" x14ac:dyDescent="0.25">
      <c r="B67" s="368"/>
      <c r="C67" s="412"/>
      <c r="D67" s="390"/>
      <c r="F67" s="413"/>
      <c r="G67" s="228" t="str">
        <f t="shared" si="3"/>
        <v/>
      </c>
      <c r="H67" s="211"/>
      <c r="I67" s="211"/>
      <c r="J67" s="231"/>
      <c r="K67" s="231"/>
    </row>
    <row r="68" spans="2:11" x14ac:dyDescent="0.25">
      <c r="B68" s="368"/>
      <c r="C68" s="412"/>
      <c r="D68" s="390"/>
      <c r="F68" s="413"/>
      <c r="G68" s="228" t="str">
        <f t="shared" si="3"/>
        <v/>
      </c>
      <c r="H68" s="211"/>
      <c r="I68" s="211"/>
      <c r="J68" s="231"/>
      <c r="K68" s="231"/>
    </row>
    <row r="69" spans="2:11" x14ac:dyDescent="0.25">
      <c r="B69" s="368"/>
      <c r="C69" s="412"/>
      <c r="D69" s="390"/>
      <c r="F69" s="413"/>
      <c r="G69" s="228" t="str">
        <f t="shared" si="3"/>
        <v/>
      </c>
      <c r="H69" s="211"/>
      <c r="I69" s="211"/>
      <c r="J69" s="231"/>
      <c r="K69" s="231"/>
    </row>
    <row r="70" spans="2:11" x14ac:dyDescent="0.25">
      <c r="B70" s="400"/>
      <c r="C70" s="412"/>
      <c r="D70" s="390"/>
      <c r="F70" s="413"/>
      <c r="G70" s="228" t="str">
        <f t="shared" si="3"/>
        <v/>
      </c>
      <c r="H70" s="211"/>
      <c r="I70" s="211"/>
      <c r="J70" s="231"/>
      <c r="K70" s="231"/>
    </row>
    <row r="78" spans="2:11" x14ac:dyDescent="0.25">
      <c r="E78" s="16"/>
    </row>
    <row r="79" spans="2:11" x14ac:dyDescent="0.25">
      <c r="E79" s="16"/>
    </row>
    <row r="80" spans="2:11" x14ac:dyDescent="0.25">
      <c r="E80" s="16"/>
    </row>
    <row r="81" spans="5:5" x14ac:dyDescent="0.25">
      <c r="E81" s="16"/>
    </row>
    <row r="82" spans="5:5" x14ac:dyDescent="0.25">
      <c r="E82"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sheetData>
  <mergeCells count="4">
    <mergeCell ref="B20:D20"/>
    <mergeCell ref="B23:D23"/>
    <mergeCell ref="B24:F24"/>
    <mergeCell ref="D33:D34"/>
  </mergeCells>
  <conditionalFormatting sqref="G1:G8 G71:G1048576 G10:G11 G13:G14 G16:G51">
    <cfRule type="cellIs" dxfId="26" priority="8" operator="equal">
      <formula>"_"</formula>
    </cfRule>
  </conditionalFormatting>
  <conditionalFormatting sqref="G52:G70">
    <cfRule type="cellIs" dxfId="25" priority="4" operator="equal">
      <formula>"_"</formula>
    </cfRule>
  </conditionalFormatting>
  <conditionalFormatting sqref="G15">
    <cfRule type="cellIs" dxfId="24" priority="3" operator="equal">
      <formula>"_"</formula>
    </cfRule>
  </conditionalFormatting>
  <conditionalFormatting sqref="G9">
    <cfRule type="cellIs" dxfId="23" priority="2" operator="equal">
      <formula>"_"</formula>
    </cfRule>
  </conditionalFormatting>
  <conditionalFormatting sqref="G12">
    <cfRule type="cellIs" dxfId="22" priority="1" operator="equal">
      <formula>"_"</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Real Estate Errors &amp; &amp;&amp; Omissions</oddHeader>
    <oddFooter>&amp;L&amp;G&amp;CPage &amp;P of &amp;N</oddFooter>
  </headerFooter>
  <rowBreaks count="1" manualBreakCount="1">
    <brk id="40" min="1" max="3" man="1"/>
  </rowBreaks>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pageSetUpPr fitToPage="1"/>
  </sheetPr>
  <dimension ref="B1:M117"/>
  <sheetViews>
    <sheetView showGridLines="0" zoomScaleNormal="100" zoomScaleSheetLayoutView="115" workbookViewId="0">
      <selection activeCell="M27" sqref="M27"/>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1.28515625" style="16" customWidth="1"/>
    <col min="14" max="53" width="9.140625" style="16" customWidth="1"/>
    <col min="54" max="16384" width="9.140625" style="16"/>
  </cols>
  <sheetData>
    <row r="1" spans="2:13" ht="7.5" customHeight="1" x14ac:dyDescent="0.25">
      <c r="E1" s="450"/>
    </row>
    <row r="2" spans="2:13" ht="15.75" x14ac:dyDescent="0.25">
      <c r="B2" s="453" t="str">
        <f>Input!B1000</f>
        <v>Foreign Package - T5DC</v>
      </c>
      <c r="E2" s="450"/>
      <c r="H2" s="454"/>
      <c r="I2" s="455"/>
      <c r="J2" s="455"/>
      <c r="L2" s="456" t="s">
        <v>391</v>
      </c>
      <c r="M2" s="381" t="s">
        <v>361</v>
      </c>
    </row>
    <row r="3" spans="2:13" x14ac:dyDescent="0.25">
      <c r="D3" s="455" t="str">
        <f xml:space="preserve"> IF(Input!D1004=Input!G1004,CHAR(254), "")</f>
        <v/>
      </c>
      <c r="E3" s="457"/>
      <c r="F3" s="458" t="str">
        <f xml:space="preserve"> IF(Input!E1004=Input!G1004,CHAR(254), "")</f>
        <v/>
      </c>
      <c r="L3" s="459" t="s">
        <v>157</v>
      </c>
      <c r="M3" s="211" t="s">
        <v>362</v>
      </c>
    </row>
    <row r="4" spans="2:13" x14ac:dyDescent="0.25">
      <c r="B4" s="523" t="s">
        <v>66</v>
      </c>
      <c r="C4" s="524" t="s">
        <v>62</v>
      </c>
      <c r="D4" s="525" t="s">
        <v>63</v>
      </c>
      <c r="E4" s="426"/>
      <c r="F4" s="526" t="s">
        <v>146</v>
      </c>
      <c r="J4" s="527" t="s">
        <v>1002</v>
      </c>
      <c r="K4" s="527" t="s">
        <v>363</v>
      </c>
      <c r="L4" s="460"/>
      <c r="M4" s="211"/>
    </row>
    <row r="5" spans="2:13" ht="38.25" x14ac:dyDescent="0.25">
      <c r="B5" s="409" t="s">
        <v>60</v>
      </c>
      <c r="C5" s="412" t="str">
        <f>Input!B1005</f>
        <v>The Continental Insurance Company (CNA)</v>
      </c>
      <c r="D5" s="390" t="str">
        <f>Input!D1005</f>
        <v>The Continental Insurance Company (CNA)</v>
      </c>
      <c r="F5" s="413">
        <f>Input!E1005</f>
        <v>0</v>
      </c>
      <c r="J5" s="231"/>
      <c r="K5" s="231"/>
    </row>
    <row r="6" spans="2:13" x14ac:dyDescent="0.25">
      <c r="B6" s="409" t="s">
        <v>69</v>
      </c>
      <c r="C6" s="412" t="str">
        <f>Input!B1007</f>
        <v>A: XV</v>
      </c>
      <c r="D6" s="390" t="str">
        <f>Input!D1007</f>
        <v>A: XV</v>
      </c>
      <c r="F6" s="413">
        <f>Input!E1007</f>
        <v>0</v>
      </c>
      <c r="J6" s="231"/>
      <c r="K6" s="231"/>
    </row>
    <row r="7" spans="2:13" x14ac:dyDescent="0.25">
      <c r="B7" s="409" t="str">
        <f>Input!B1003</f>
        <v>Renewal Policy Number</v>
      </c>
      <c r="C7" s="412" t="str">
        <f>Input!C1002</f>
        <v>WP 71 676 2145</v>
      </c>
      <c r="D7" s="390" t="str">
        <f>Input!C1003</f>
        <v>TBD</v>
      </c>
      <c r="F7" s="413" t="str">
        <f>Input!C1003</f>
        <v>TBD</v>
      </c>
      <c r="J7" s="231"/>
      <c r="K7" s="231"/>
    </row>
    <row r="8" spans="2:13" ht="15" customHeight="1" x14ac:dyDescent="0.25">
      <c r="B8" s="409" t="str">
        <f>Input!B6</f>
        <v>Renewal Policy Period</v>
      </c>
      <c r="C8" s="412" t="str">
        <f>Input!C5</f>
        <v>7/1/2022 - 7/1/2023</v>
      </c>
      <c r="D8" s="712" t="s">
        <v>1888</v>
      </c>
      <c r="F8" s="413" t="str">
        <f>Input!C6</f>
        <v>7/1/2023 - 7/1/2024</v>
      </c>
      <c r="J8" s="231"/>
      <c r="K8" s="231"/>
    </row>
    <row r="9" spans="2:13" x14ac:dyDescent="0.25">
      <c r="B9" s="479" t="s">
        <v>9</v>
      </c>
      <c r="C9" s="479"/>
      <c r="D9" s="479"/>
      <c r="E9" s="414"/>
      <c r="F9" s="466"/>
      <c r="J9" s="566"/>
      <c r="K9" s="566"/>
    </row>
    <row r="10" spans="2:13" x14ac:dyDescent="0.25">
      <c r="B10" s="409" t="str">
        <f>Input!B1032</f>
        <v>Property</v>
      </c>
      <c r="C10" s="398">
        <f>Input!C1032</f>
        <v>0</v>
      </c>
      <c r="D10" s="425">
        <f>Input!E1032</f>
        <v>0</v>
      </c>
      <c r="E10" s="414"/>
      <c r="F10" s="427">
        <f>Input!G1032</f>
        <v>0</v>
      </c>
      <c r="J10" s="231"/>
      <c r="K10" s="231"/>
    </row>
    <row r="11" spans="2:13" x14ac:dyDescent="0.25">
      <c r="B11" s="409" t="str">
        <f>Input!B1033</f>
        <v>General Liability</v>
      </c>
      <c r="C11" s="398">
        <f>Input!C1033</f>
        <v>1000000</v>
      </c>
      <c r="D11" s="425">
        <f>Input!E1033</f>
        <v>1000000</v>
      </c>
      <c r="E11" s="414"/>
      <c r="F11" s="427">
        <f>Input!G1033</f>
        <v>0</v>
      </c>
      <c r="J11" s="231"/>
      <c r="K11" s="231"/>
    </row>
    <row r="12" spans="2:13" x14ac:dyDescent="0.25">
      <c r="B12" s="409" t="str">
        <f>Input!B1034</f>
        <v>Employee Benefits Liability</v>
      </c>
      <c r="C12" s="398">
        <f>Input!C1034</f>
        <v>1000000</v>
      </c>
      <c r="D12" s="425">
        <f>Input!E1034</f>
        <v>1000000</v>
      </c>
      <c r="E12" s="414"/>
      <c r="F12" s="427">
        <f>Input!G1034</f>
        <v>0</v>
      </c>
      <c r="J12" s="231"/>
      <c r="K12" s="231"/>
    </row>
    <row r="13" spans="2:13" x14ac:dyDescent="0.25">
      <c r="B13" s="409" t="str">
        <f>Input!B1035</f>
        <v>Automobile Liability</v>
      </c>
      <c r="C13" s="398">
        <f>Input!C1035</f>
        <v>1000000</v>
      </c>
      <c r="D13" s="425">
        <f>Input!E1035</f>
        <v>1000000</v>
      </c>
      <c r="E13" s="414"/>
      <c r="F13" s="427">
        <f>Input!G1035</f>
        <v>0</v>
      </c>
      <c r="J13" s="231"/>
      <c r="K13" s="231"/>
    </row>
    <row r="14" spans="2:13" x14ac:dyDescent="0.25">
      <c r="B14" s="409" t="str">
        <f>Input!B1041</f>
        <v>Kidnap and Ransom</v>
      </c>
      <c r="C14" s="398">
        <f>Input!C1041</f>
        <v>250000</v>
      </c>
      <c r="D14" s="425">
        <f>Input!E1041</f>
        <v>250000</v>
      </c>
      <c r="E14" s="414"/>
      <c r="F14" s="427">
        <f>Input!G1041</f>
        <v>0</v>
      </c>
      <c r="J14" s="231"/>
      <c r="K14" s="231"/>
    </row>
    <row r="15" spans="2:13" x14ac:dyDescent="0.25">
      <c r="B15" s="788" t="s">
        <v>1276</v>
      </c>
      <c r="C15" s="479"/>
      <c r="D15" s="479"/>
      <c r="E15" s="414"/>
      <c r="F15" s="1025"/>
      <c r="J15" s="758"/>
      <c r="K15" s="758"/>
    </row>
    <row r="16" spans="2:13" x14ac:dyDescent="0.25">
      <c r="B16" s="789" t="s">
        <v>1273</v>
      </c>
      <c r="C16" s="398">
        <v>0</v>
      </c>
      <c r="D16" s="1026">
        <v>883700</v>
      </c>
      <c r="E16" s="414"/>
      <c r="F16" s="1025"/>
      <c r="J16" s="758"/>
      <c r="K16" s="758"/>
    </row>
    <row r="17" spans="2:11" x14ac:dyDescent="0.25">
      <c r="B17" s="789" t="s">
        <v>1274</v>
      </c>
      <c r="C17" s="398"/>
      <c r="D17" s="1026">
        <v>883700</v>
      </c>
      <c r="E17" s="414"/>
      <c r="F17" s="1025"/>
      <c r="J17" s="758"/>
      <c r="K17" s="758"/>
    </row>
    <row r="18" spans="2:11" x14ac:dyDescent="0.25">
      <c r="B18" s="789" t="s">
        <v>1275</v>
      </c>
      <c r="C18" s="398"/>
      <c r="D18" s="790">
        <v>13500000</v>
      </c>
      <c r="E18" s="414"/>
      <c r="F18" s="1025"/>
      <c r="J18" s="758"/>
      <c r="K18" s="758"/>
    </row>
    <row r="19" spans="2:11" x14ac:dyDescent="0.25">
      <c r="B19" s="479" t="s">
        <v>298</v>
      </c>
      <c r="C19" s="479"/>
      <c r="D19" s="479"/>
      <c r="F19" s="562"/>
      <c r="J19" s="566"/>
      <c r="K19" s="566"/>
    </row>
    <row r="20" spans="2:11" x14ac:dyDescent="0.25">
      <c r="B20" s="409" t="str">
        <f>Input!B1032</f>
        <v>Property</v>
      </c>
      <c r="C20" s="398">
        <f>Input!D1032</f>
        <v>0</v>
      </c>
      <c r="D20" s="425">
        <f>Input!F1032</f>
        <v>0</v>
      </c>
      <c r="E20" s="238"/>
      <c r="F20" s="427">
        <f>Input!H1032</f>
        <v>0</v>
      </c>
      <c r="J20" s="231"/>
      <c r="K20" s="231"/>
    </row>
    <row r="21" spans="2:11" x14ac:dyDescent="0.25">
      <c r="B21" s="409" t="str">
        <f>Input!B1033</f>
        <v>General Liability</v>
      </c>
      <c r="C21" s="398">
        <f>Input!D1033</f>
        <v>0</v>
      </c>
      <c r="D21" s="425">
        <f>Input!F1033</f>
        <v>0</v>
      </c>
      <c r="E21" s="432"/>
      <c r="F21" s="427">
        <f>Input!H1033</f>
        <v>0</v>
      </c>
      <c r="J21" s="231"/>
      <c r="K21" s="231"/>
    </row>
    <row r="22" spans="2:11" x14ac:dyDescent="0.25">
      <c r="B22" s="409" t="str">
        <f>Input!B1034</f>
        <v>Employee Benefits Liability</v>
      </c>
      <c r="C22" s="398">
        <f>Input!D1034</f>
        <v>1000</v>
      </c>
      <c r="D22" s="425">
        <f>Input!F1034</f>
        <v>1000</v>
      </c>
      <c r="E22" s="433"/>
      <c r="F22" s="427">
        <f>Input!H1034</f>
        <v>0</v>
      </c>
      <c r="J22" s="231"/>
      <c r="K22" s="231"/>
    </row>
    <row r="23" spans="2:11" x14ac:dyDescent="0.25">
      <c r="B23" s="409" t="str">
        <f>Input!B1035</f>
        <v>Automobile Liability</v>
      </c>
      <c r="C23" s="398">
        <f>Input!D1035</f>
        <v>0</v>
      </c>
      <c r="D23" s="425">
        <f>Input!F1035</f>
        <v>0</v>
      </c>
      <c r="E23" s="434"/>
      <c r="F23" s="427">
        <f>Input!H1035</f>
        <v>0</v>
      </c>
      <c r="J23" s="231"/>
      <c r="K23" s="231"/>
    </row>
    <row r="24" spans="2:11" x14ac:dyDescent="0.25">
      <c r="B24" s="402" t="str">
        <f>Input!B1041</f>
        <v>Kidnap and Ransom</v>
      </c>
      <c r="C24" s="403">
        <f>Input!D1041</f>
        <v>0</v>
      </c>
      <c r="D24" s="431">
        <f>Input!F1041</f>
        <v>0</v>
      </c>
      <c r="F24" s="430">
        <f>Input!H1041</f>
        <v>0</v>
      </c>
      <c r="J24" s="231"/>
      <c r="K24" s="231"/>
    </row>
    <row r="25" spans="2:11" x14ac:dyDescent="0.25">
      <c r="B25" s="561" t="s">
        <v>367</v>
      </c>
      <c r="C25" s="561"/>
      <c r="D25" s="561"/>
      <c r="F25" s="562"/>
      <c r="J25" s="566"/>
      <c r="K25" s="566"/>
    </row>
    <row r="26" spans="2:11" x14ac:dyDescent="0.25">
      <c r="B26" s="402" t="s">
        <v>343</v>
      </c>
      <c r="C26" s="428">
        <f>Input!B1009</f>
        <v>2500</v>
      </c>
      <c r="D26" s="425">
        <f>Input!D1009</f>
        <v>2500</v>
      </c>
      <c r="E26" s="426"/>
      <c r="F26" s="427">
        <f>Input!E1009</f>
        <v>0</v>
      </c>
      <c r="J26" s="231"/>
      <c r="K26" s="231"/>
    </row>
    <row r="27" spans="2:11" x14ac:dyDescent="0.25">
      <c r="B27" s="402" t="s">
        <v>366</v>
      </c>
      <c r="C27" s="428">
        <f>Input!B1013</f>
        <v>0</v>
      </c>
      <c r="D27" s="1026">
        <f>Input!D1013</f>
        <v>0</v>
      </c>
      <c r="F27" s="427">
        <f>Input!E1013</f>
        <v>0</v>
      </c>
      <c r="J27" s="231"/>
      <c r="K27" s="231"/>
    </row>
    <row r="28" spans="2:11" x14ac:dyDescent="0.25">
      <c r="B28" s="402" t="s">
        <v>365</v>
      </c>
      <c r="C28" s="429">
        <f>Input!B1015</f>
        <v>0</v>
      </c>
      <c r="D28" s="431">
        <f>Input!D1015</f>
        <v>0</v>
      </c>
      <c r="F28" s="430">
        <f>Input!E1015</f>
        <v>0</v>
      </c>
      <c r="J28" s="231"/>
      <c r="K28" s="231"/>
    </row>
    <row r="29" spans="2:11" x14ac:dyDescent="0.25">
      <c r="B29" s="409" t="s">
        <v>368</v>
      </c>
      <c r="C29" s="428">
        <f>Input!B1017</f>
        <v>2500</v>
      </c>
      <c r="D29" s="425">
        <f>Input!D1017</f>
        <v>2500</v>
      </c>
      <c r="F29" s="427">
        <f>Input!E1017</f>
        <v>0</v>
      </c>
      <c r="J29" s="231"/>
      <c r="K29" s="231"/>
    </row>
    <row r="30" spans="2:11" ht="7.5" customHeight="1" x14ac:dyDescent="0.25">
      <c r="B30" s="310"/>
      <c r="C30" s="414"/>
      <c r="D30" s="414"/>
      <c r="F30" s="461"/>
      <c r="J30" s="381"/>
    </row>
    <row r="31" spans="2:11" x14ac:dyDescent="0.25">
      <c r="B31" s="1274" t="s">
        <v>144</v>
      </c>
      <c r="C31" s="1274"/>
      <c r="D31" s="1274"/>
      <c r="F31" s="274"/>
      <c r="J31" s="381"/>
    </row>
    <row r="32" spans="2:11" x14ac:dyDescent="0.25">
      <c r="B32" s="1301" t="s">
        <v>1172</v>
      </c>
      <c r="C32" s="1302"/>
      <c r="D32" s="1302"/>
      <c r="E32" s="1302"/>
      <c r="F32" s="1303"/>
      <c r="J32" s="381"/>
    </row>
    <row r="33" spans="2:11" ht="7.5" customHeight="1" x14ac:dyDescent="0.25">
      <c r="B33" s="380"/>
      <c r="C33" s="238"/>
      <c r="D33" s="238"/>
      <c r="F33" s="275"/>
      <c r="J33" s="381"/>
    </row>
    <row r="34" spans="2:11" x14ac:dyDescent="0.25">
      <c r="B34" s="1274" t="s">
        <v>145</v>
      </c>
      <c r="C34" s="1274"/>
      <c r="D34" s="1274"/>
      <c r="F34" s="275"/>
      <c r="J34" s="381"/>
    </row>
    <row r="35" spans="2:11" x14ac:dyDescent="0.25">
      <c r="B35" s="1301" t="s">
        <v>1172</v>
      </c>
      <c r="C35" s="1302"/>
      <c r="D35" s="1302"/>
      <c r="E35" s="1302"/>
      <c r="F35" s="1303"/>
      <c r="J35" s="381"/>
    </row>
    <row r="36" spans="2:11" ht="7.5" customHeight="1" x14ac:dyDescent="0.25">
      <c r="B36" s="310"/>
      <c r="C36" s="228"/>
      <c r="D36" s="228"/>
      <c r="F36" s="275"/>
      <c r="J36" s="381"/>
    </row>
    <row r="37" spans="2:11" x14ac:dyDescent="0.25">
      <c r="B37" s="523" t="s">
        <v>72</v>
      </c>
      <c r="C37" s="524" t="s">
        <v>62</v>
      </c>
      <c r="D37" s="525" t="s">
        <v>63</v>
      </c>
      <c r="F37" s="526" t="s">
        <v>146</v>
      </c>
      <c r="J37" s="527" t="s">
        <v>1002</v>
      </c>
      <c r="K37" s="527" t="s">
        <v>363</v>
      </c>
    </row>
    <row r="38" spans="2:11" x14ac:dyDescent="0.25">
      <c r="B38" s="400" t="s">
        <v>73</v>
      </c>
      <c r="C38" s="712" t="s">
        <v>1033</v>
      </c>
      <c r="D38" s="712" t="s">
        <v>1033</v>
      </c>
      <c r="F38" s="413"/>
      <c r="G38" s="450" t="str">
        <f t="shared" ref="G38:G101" si="0">IF(OR(TRIM(D38)&lt;&gt;"",TRIM(F38)&lt;&gt;""),IF(AND(TRIM(D38)&lt;&gt;"",TRIM(F38)&lt;&gt;""),IF(OR(TRIM(C38)&lt;&gt;TRIM(D38),TRIM(C38)&lt;&gt;TRIM(F38)),"_",""),IF(TRIM(C38)&lt;&gt;TRIM(D38), "_", "")),"")</f>
        <v/>
      </c>
      <c r="J38" s="231"/>
      <c r="K38" s="231"/>
    </row>
    <row r="39" spans="2:11" x14ac:dyDescent="0.25">
      <c r="B39" s="368" t="s">
        <v>74</v>
      </c>
      <c r="C39" s="391"/>
      <c r="D39" s="391"/>
      <c r="F39" s="413"/>
      <c r="G39" s="450" t="str">
        <f t="shared" si="0"/>
        <v/>
      </c>
      <c r="J39" s="231"/>
      <c r="K39" s="231"/>
    </row>
    <row r="40" spans="2:11" x14ac:dyDescent="0.25">
      <c r="B40" s="441" t="s">
        <v>16</v>
      </c>
      <c r="C40" s="668" t="s">
        <v>1117</v>
      </c>
      <c r="D40" s="668" t="s">
        <v>1117</v>
      </c>
      <c r="F40" s="413"/>
      <c r="G40" s="450" t="str">
        <f t="shared" si="0"/>
        <v/>
      </c>
      <c r="J40" s="231"/>
      <c r="K40" s="231"/>
    </row>
    <row r="41" spans="2:11" x14ac:dyDescent="0.25">
      <c r="B41" s="441" t="s">
        <v>257</v>
      </c>
      <c r="C41" s="668" t="s">
        <v>1118</v>
      </c>
      <c r="D41" s="668" t="s">
        <v>1118</v>
      </c>
      <c r="F41" s="413"/>
      <c r="G41" s="450" t="str">
        <f t="shared" si="0"/>
        <v/>
      </c>
      <c r="J41" s="231"/>
      <c r="K41" s="231"/>
    </row>
    <row r="42" spans="2:11" x14ac:dyDescent="0.25">
      <c r="B42" s="441" t="s">
        <v>859</v>
      </c>
      <c r="C42" s="668" t="s">
        <v>1119</v>
      </c>
      <c r="D42" s="668" t="s">
        <v>1119</v>
      </c>
      <c r="F42" s="436"/>
      <c r="G42" s="450" t="str">
        <f t="shared" si="0"/>
        <v/>
      </c>
      <c r="J42" s="232"/>
      <c r="K42" s="232"/>
    </row>
    <row r="43" spans="2:11" x14ac:dyDescent="0.25">
      <c r="B43" s="441" t="s">
        <v>860</v>
      </c>
      <c r="C43" s="668" t="s">
        <v>1120</v>
      </c>
      <c r="D43" s="668" t="s">
        <v>1120</v>
      </c>
      <c r="F43" s="440"/>
      <c r="G43" s="450" t="str">
        <f t="shared" si="0"/>
        <v/>
      </c>
      <c r="J43" s="447"/>
      <c r="K43" s="447"/>
    </row>
    <row r="44" spans="2:11" x14ac:dyDescent="0.25">
      <c r="B44" s="441" t="s">
        <v>861</v>
      </c>
      <c r="C44" s="668" t="s">
        <v>1121</v>
      </c>
      <c r="D44" s="668" t="s">
        <v>1121</v>
      </c>
      <c r="F44" s="440"/>
      <c r="G44" s="450" t="str">
        <f t="shared" si="0"/>
        <v/>
      </c>
      <c r="J44" s="658"/>
      <c r="K44" s="658" t="s">
        <v>872</v>
      </c>
    </row>
    <row r="45" spans="2:11" x14ac:dyDescent="0.25">
      <c r="B45" s="441" t="s">
        <v>240</v>
      </c>
      <c r="C45" s="668" t="s">
        <v>1122</v>
      </c>
      <c r="D45" s="668" t="s">
        <v>1122</v>
      </c>
      <c r="F45" s="440"/>
      <c r="G45" s="450" t="str">
        <f t="shared" si="0"/>
        <v/>
      </c>
      <c r="J45" s="658"/>
      <c r="K45" s="658" t="s">
        <v>873</v>
      </c>
    </row>
    <row r="46" spans="2:11" x14ac:dyDescent="0.25">
      <c r="B46" s="441" t="s">
        <v>189</v>
      </c>
      <c r="C46" s="745" t="s">
        <v>284</v>
      </c>
      <c r="D46" s="745" t="s">
        <v>284</v>
      </c>
      <c r="F46" s="443"/>
      <c r="G46" s="450" t="str">
        <f t="shared" si="0"/>
        <v/>
      </c>
      <c r="J46" s="445"/>
      <c r="K46" s="445"/>
    </row>
    <row r="47" spans="2:11" x14ac:dyDescent="0.25">
      <c r="B47" s="368" t="s">
        <v>151</v>
      </c>
      <c r="C47" s="746"/>
      <c r="D47" s="746"/>
      <c r="F47" s="413"/>
      <c r="G47" s="450" t="str">
        <f t="shared" si="0"/>
        <v/>
      </c>
      <c r="J47" s="231"/>
      <c r="K47" s="231"/>
    </row>
    <row r="48" spans="2:11" x14ac:dyDescent="0.25">
      <c r="B48" s="441" t="s">
        <v>257</v>
      </c>
      <c r="C48" s="668" t="s">
        <v>1035</v>
      </c>
      <c r="D48" s="668" t="s">
        <v>1035</v>
      </c>
      <c r="F48" s="275"/>
      <c r="G48" s="450" t="str">
        <f t="shared" si="0"/>
        <v/>
      </c>
      <c r="J48" s="381"/>
    </row>
    <row r="49" spans="2:11" x14ac:dyDescent="0.25">
      <c r="B49" s="442" t="s">
        <v>665</v>
      </c>
      <c r="C49" s="745" t="s">
        <v>1035</v>
      </c>
      <c r="D49" s="745" t="s">
        <v>1035</v>
      </c>
      <c r="F49" s="526" t="s">
        <v>146</v>
      </c>
      <c r="G49" s="450" t="str">
        <f t="shared" si="0"/>
        <v>_</v>
      </c>
      <c r="J49" s="527" t="s">
        <v>1002</v>
      </c>
      <c r="K49" s="527" t="s">
        <v>363</v>
      </c>
    </row>
    <row r="50" spans="2:11" x14ac:dyDescent="0.25">
      <c r="B50" s="368" t="s">
        <v>75</v>
      </c>
      <c r="C50" s="746" t="s">
        <v>284</v>
      </c>
      <c r="D50" s="746" t="s">
        <v>284</v>
      </c>
      <c r="F50" s="413"/>
      <c r="G50" s="450" t="str">
        <f t="shared" si="0"/>
        <v/>
      </c>
      <c r="J50" s="231"/>
      <c r="K50" s="231"/>
    </row>
    <row r="51" spans="2:11" hidden="1" x14ac:dyDescent="0.25">
      <c r="B51" s="441" t="s">
        <v>257</v>
      </c>
      <c r="C51" s="439"/>
      <c r="D51" s="439"/>
      <c r="F51" s="413"/>
      <c r="G51" s="450" t="str">
        <f t="shared" si="0"/>
        <v/>
      </c>
      <c r="J51" s="231"/>
      <c r="K51" s="231"/>
    </row>
    <row r="52" spans="2:11" hidden="1" x14ac:dyDescent="0.25">
      <c r="B52" s="442" t="s">
        <v>665</v>
      </c>
      <c r="C52" s="424"/>
      <c r="D52" s="424"/>
      <c r="F52" s="413"/>
      <c r="G52" s="450" t="str">
        <f t="shared" si="0"/>
        <v/>
      </c>
      <c r="J52" s="231"/>
      <c r="K52" s="231"/>
    </row>
    <row r="53" spans="2:11" x14ac:dyDescent="0.25">
      <c r="B53" s="400" t="s">
        <v>152</v>
      </c>
      <c r="C53" s="747">
        <v>2500</v>
      </c>
      <c r="D53" s="747">
        <v>2500</v>
      </c>
      <c r="F53" s="228"/>
      <c r="G53" s="450" t="str">
        <f t="shared" si="0"/>
        <v/>
      </c>
      <c r="J53" s="381"/>
    </row>
    <row r="54" spans="2:11" x14ac:dyDescent="0.25">
      <c r="B54" s="400" t="s">
        <v>77</v>
      </c>
      <c r="C54" s="712" t="s">
        <v>1036</v>
      </c>
      <c r="D54" s="712" t="s">
        <v>1036</v>
      </c>
      <c r="F54" s="526" t="s">
        <v>146</v>
      </c>
      <c r="G54" s="450" t="str">
        <f t="shared" si="0"/>
        <v>_</v>
      </c>
      <c r="H54" s="211"/>
      <c r="I54" s="211"/>
      <c r="J54" s="527" t="s">
        <v>1002</v>
      </c>
      <c r="K54" s="527" t="s">
        <v>363</v>
      </c>
    </row>
    <row r="55" spans="2:11" x14ac:dyDescent="0.25">
      <c r="B55" s="368" t="s">
        <v>863</v>
      </c>
      <c r="C55" s="391"/>
      <c r="D55" s="391"/>
      <c r="F55" s="413"/>
      <c r="G55" s="450" t="str">
        <f t="shared" si="0"/>
        <v/>
      </c>
      <c r="H55" s="211"/>
      <c r="I55" s="211"/>
      <c r="J55" s="231"/>
      <c r="K55" s="231"/>
    </row>
    <row r="56" spans="2:11" x14ac:dyDescent="0.25">
      <c r="B56" s="441" t="s">
        <v>864</v>
      </c>
      <c r="C56" s="748" t="s">
        <v>157</v>
      </c>
      <c r="D56" s="748" t="s">
        <v>157</v>
      </c>
      <c r="F56" s="413"/>
      <c r="G56" s="450" t="str">
        <f t="shared" si="0"/>
        <v/>
      </c>
      <c r="H56" s="211"/>
      <c r="I56" s="211"/>
      <c r="J56" s="231"/>
      <c r="K56" s="231"/>
    </row>
    <row r="57" spans="2:11" x14ac:dyDescent="0.25">
      <c r="B57" s="441" t="s">
        <v>865</v>
      </c>
      <c r="C57" s="748" t="s">
        <v>157</v>
      </c>
      <c r="D57" s="748" t="s">
        <v>157</v>
      </c>
      <c r="F57" s="413"/>
      <c r="G57" s="450" t="str">
        <f t="shared" si="0"/>
        <v/>
      </c>
      <c r="H57" s="211"/>
      <c r="I57" s="211"/>
      <c r="J57" s="231"/>
      <c r="K57" s="231"/>
    </row>
    <row r="58" spans="2:11" ht="25.5" x14ac:dyDescent="0.25">
      <c r="B58" s="442" t="s">
        <v>866</v>
      </c>
      <c r="C58" s="748" t="s">
        <v>157</v>
      </c>
      <c r="D58" s="748" t="s">
        <v>157</v>
      </c>
      <c r="F58" s="413"/>
      <c r="G58" s="450" t="str">
        <f t="shared" si="0"/>
        <v/>
      </c>
      <c r="H58" s="211"/>
      <c r="I58" s="211"/>
      <c r="J58" s="231"/>
      <c r="K58" s="231"/>
    </row>
    <row r="59" spans="2:11" x14ac:dyDescent="0.25">
      <c r="B59" s="400" t="s">
        <v>626</v>
      </c>
      <c r="C59" s="692" t="s">
        <v>157</v>
      </c>
      <c r="D59" s="692" t="s">
        <v>157</v>
      </c>
      <c r="F59" s="413"/>
      <c r="G59" s="450" t="str">
        <f t="shared" si="0"/>
        <v/>
      </c>
      <c r="H59" s="211"/>
      <c r="I59" s="211"/>
      <c r="J59" s="231"/>
      <c r="K59" s="231"/>
    </row>
    <row r="60" spans="2:11" x14ac:dyDescent="0.25">
      <c r="B60" s="722" t="s">
        <v>1102</v>
      </c>
      <c r="C60" s="391"/>
      <c r="D60" s="391"/>
      <c r="F60" s="413"/>
      <c r="G60" s="450" t="str">
        <f t="shared" si="0"/>
        <v/>
      </c>
      <c r="H60" s="211"/>
      <c r="I60" s="211"/>
      <c r="J60" s="231"/>
      <c r="K60" s="231"/>
    </row>
    <row r="61" spans="2:11" x14ac:dyDescent="0.25">
      <c r="B61" s="441" t="s">
        <v>712</v>
      </c>
      <c r="C61" s="748" t="s">
        <v>157</v>
      </c>
      <c r="D61" s="748" t="s">
        <v>157</v>
      </c>
      <c r="F61" s="413"/>
      <c r="G61" s="450" t="str">
        <f t="shared" si="0"/>
        <v/>
      </c>
      <c r="H61" s="211"/>
      <c r="I61" s="211"/>
      <c r="J61" s="231"/>
      <c r="K61" s="231"/>
    </row>
    <row r="62" spans="2:11" x14ac:dyDescent="0.25">
      <c r="B62" s="442" t="s">
        <v>713</v>
      </c>
      <c r="C62" s="748" t="s">
        <v>157</v>
      </c>
      <c r="D62" s="748" t="s">
        <v>157</v>
      </c>
      <c r="F62" s="413"/>
      <c r="G62" s="450" t="str">
        <f t="shared" si="0"/>
        <v/>
      </c>
      <c r="H62" s="211"/>
      <c r="I62" s="211"/>
      <c r="J62" s="231"/>
      <c r="K62" s="231"/>
    </row>
    <row r="63" spans="2:11" x14ac:dyDescent="0.25">
      <c r="B63" s="400" t="s">
        <v>870</v>
      </c>
      <c r="C63" s="692" t="s">
        <v>157</v>
      </c>
      <c r="D63" s="692" t="s">
        <v>157</v>
      </c>
      <c r="F63" s="413"/>
      <c r="G63" s="450" t="str">
        <f t="shared" si="0"/>
        <v/>
      </c>
      <c r="H63" s="211"/>
      <c r="I63" s="211"/>
      <c r="J63" s="231"/>
      <c r="K63" s="231"/>
    </row>
    <row r="64" spans="2:11" x14ac:dyDescent="0.25">
      <c r="B64" s="400" t="s">
        <v>868</v>
      </c>
      <c r="C64" s="692" t="s">
        <v>157</v>
      </c>
      <c r="D64" s="692" t="s">
        <v>157</v>
      </c>
      <c r="F64" s="413"/>
      <c r="G64" s="450" t="str">
        <f t="shared" si="0"/>
        <v/>
      </c>
      <c r="H64" s="211"/>
      <c r="I64" s="211"/>
      <c r="J64" s="231"/>
      <c r="K64" s="231"/>
    </row>
    <row r="65" spans="2:11" x14ac:dyDescent="0.25">
      <c r="B65" s="400" t="s">
        <v>867</v>
      </c>
      <c r="C65" s="692" t="s">
        <v>157</v>
      </c>
      <c r="D65" s="692" t="s">
        <v>157</v>
      </c>
      <c r="F65" s="413"/>
      <c r="G65" s="450" t="str">
        <f t="shared" si="0"/>
        <v/>
      </c>
      <c r="H65" s="211"/>
      <c r="I65" s="211"/>
      <c r="J65" s="231"/>
      <c r="K65" s="231"/>
    </row>
    <row r="66" spans="2:11" x14ac:dyDescent="0.25">
      <c r="B66" s="400" t="s">
        <v>869</v>
      </c>
      <c r="C66" s="748" t="s">
        <v>157</v>
      </c>
      <c r="D66" s="748" t="s">
        <v>157</v>
      </c>
      <c r="F66" s="413"/>
      <c r="G66" s="450" t="str">
        <f t="shared" si="0"/>
        <v/>
      </c>
      <c r="H66" s="211"/>
      <c r="I66" s="211"/>
      <c r="J66" s="231"/>
      <c r="K66" s="231"/>
    </row>
    <row r="67" spans="2:11" x14ac:dyDescent="0.25">
      <c r="B67" s="368" t="s">
        <v>390</v>
      </c>
      <c r="C67" s="391"/>
      <c r="D67" s="391"/>
      <c r="F67" s="413"/>
      <c r="G67" s="450" t="str">
        <f t="shared" si="0"/>
        <v/>
      </c>
      <c r="H67" s="211"/>
      <c r="I67" s="211"/>
      <c r="J67" s="231"/>
      <c r="K67" s="231"/>
    </row>
    <row r="68" spans="2:11" x14ac:dyDescent="0.25">
      <c r="B68" s="441" t="s">
        <v>16</v>
      </c>
      <c r="C68" s="879" t="s">
        <v>157</v>
      </c>
      <c r="D68" s="879" t="s">
        <v>157</v>
      </c>
      <c r="F68" s="413"/>
      <c r="G68" s="450" t="str">
        <f t="shared" si="0"/>
        <v/>
      </c>
      <c r="H68" s="211"/>
      <c r="I68" s="211"/>
      <c r="J68" s="231"/>
      <c r="K68" s="231"/>
    </row>
    <row r="69" spans="2:11" x14ac:dyDescent="0.25">
      <c r="B69" s="441" t="s">
        <v>239</v>
      </c>
      <c r="C69" s="879" t="s">
        <v>157</v>
      </c>
      <c r="D69" s="879" t="s">
        <v>157</v>
      </c>
      <c r="F69" s="413"/>
      <c r="G69" s="450" t="str">
        <f t="shared" si="0"/>
        <v/>
      </c>
      <c r="H69" s="211"/>
      <c r="I69" s="211"/>
      <c r="J69" s="231"/>
      <c r="K69" s="231"/>
    </row>
    <row r="70" spans="2:11" x14ac:dyDescent="0.25">
      <c r="B70" s="441" t="s">
        <v>237</v>
      </c>
      <c r="C70" s="880" t="s">
        <v>391</v>
      </c>
      <c r="D70" s="880" t="s">
        <v>391</v>
      </c>
      <c r="F70" s="413"/>
      <c r="G70" s="450" t="str">
        <f t="shared" si="0"/>
        <v/>
      </c>
      <c r="H70" s="211"/>
      <c r="I70" s="211"/>
      <c r="J70" s="231"/>
      <c r="K70" s="231"/>
    </row>
    <row r="71" spans="2:11" x14ac:dyDescent="0.25">
      <c r="B71" s="368" t="s">
        <v>243</v>
      </c>
      <c r="C71" s="862" t="s">
        <v>157</v>
      </c>
      <c r="D71" s="862" t="s">
        <v>157</v>
      </c>
      <c r="F71" s="413"/>
      <c r="G71" s="450" t="str">
        <f t="shared" si="0"/>
        <v/>
      </c>
      <c r="H71" s="211"/>
      <c r="I71" s="211"/>
      <c r="J71" s="231"/>
      <c r="K71" s="231"/>
    </row>
    <row r="72" spans="2:11" x14ac:dyDescent="0.25">
      <c r="B72" s="580" t="s">
        <v>242</v>
      </c>
      <c r="C72" s="439"/>
      <c r="D72" s="439"/>
      <c r="F72" s="413"/>
      <c r="G72" s="450" t="str">
        <f t="shared" si="0"/>
        <v/>
      </c>
      <c r="H72" s="211"/>
      <c r="I72" s="211"/>
      <c r="J72" s="231"/>
      <c r="K72" s="231"/>
    </row>
    <row r="73" spans="2:11" x14ac:dyDescent="0.25">
      <c r="B73" s="441" t="s">
        <v>16</v>
      </c>
      <c r="C73" s="748" t="s">
        <v>157</v>
      </c>
      <c r="D73" s="748" t="s">
        <v>157</v>
      </c>
      <c r="G73" s="450" t="str">
        <f t="shared" si="0"/>
        <v/>
      </c>
    </row>
    <row r="74" spans="2:11" x14ac:dyDescent="0.25">
      <c r="B74" s="441" t="s">
        <v>862</v>
      </c>
      <c r="C74" s="748" t="s">
        <v>157</v>
      </c>
      <c r="D74" s="748" t="s">
        <v>157</v>
      </c>
      <c r="G74" s="450" t="str">
        <f t="shared" si="0"/>
        <v/>
      </c>
    </row>
    <row r="75" spans="2:11" x14ac:dyDescent="0.25">
      <c r="B75" s="442" t="s">
        <v>859</v>
      </c>
      <c r="C75" s="749" t="s">
        <v>157</v>
      </c>
      <c r="D75" s="749" t="s">
        <v>157</v>
      </c>
      <c r="G75" s="450" t="str">
        <f t="shared" si="0"/>
        <v/>
      </c>
    </row>
    <row r="76" spans="2:11" x14ac:dyDescent="0.25">
      <c r="G76" s="450" t="str">
        <f t="shared" si="0"/>
        <v/>
      </c>
    </row>
    <row r="77" spans="2:11" x14ac:dyDescent="0.25">
      <c r="B77" s="523" t="s">
        <v>103</v>
      </c>
      <c r="C77" s="524" t="s">
        <v>62</v>
      </c>
      <c r="D77" s="525" t="s">
        <v>63</v>
      </c>
      <c r="G77" s="450" t="str">
        <f t="shared" si="0"/>
        <v>_</v>
      </c>
    </row>
    <row r="78" spans="2:11" x14ac:dyDescent="0.25">
      <c r="B78" s="400" t="s">
        <v>531</v>
      </c>
      <c r="C78" s="708" t="s">
        <v>1052</v>
      </c>
      <c r="D78" s="708" t="s">
        <v>1052</v>
      </c>
      <c r="E78" s="16"/>
      <c r="G78" s="450" t="str">
        <f t="shared" si="0"/>
        <v/>
      </c>
    </row>
    <row r="79" spans="2:11" x14ac:dyDescent="0.25">
      <c r="B79" s="368" t="s">
        <v>850</v>
      </c>
      <c r="C79" s="708" t="s">
        <v>1052</v>
      </c>
      <c r="D79" s="708" t="s">
        <v>1052</v>
      </c>
      <c r="E79" s="16"/>
      <c r="G79" s="450" t="str">
        <f t="shared" si="0"/>
        <v/>
      </c>
    </row>
    <row r="80" spans="2:11" x14ac:dyDescent="0.25">
      <c r="B80" s="368" t="s">
        <v>530</v>
      </c>
      <c r="C80" s="779" t="s">
        <v>1053</v>
      </c>
      <c r="D80" s="779" t="s">
        <v>1053</v>
      </c>
      <c r="E80" s="16"/>
      <c r="G80" s="450" t="str">
        <f t="shared" si="0"/>
        <v/>
      </c>
    </row>
    <row r="81" spans="2:7" x14ac:dyDescent="0.25">
      <c r="B81" s="442" t="s">
        <v>983</v>
      </c>
      <c r="C81" s="753" t="s">
        <v>157</v>
      </c>
      <c r="D81" s="753" t="s">
        <v>157</v>
      </c>
      <c r="E81" s="16"/>
      <c r="G81" s="450" t="str">
        <f t="shared" si="0"/>
        <v/>
      </c>
    </row>
    <row r="82" spans="2:7" x14ac:dyDescent="0.25">
      <c r="C82" s="228"/>
      <c r="D82" s="228"/>
      <c r="E82" s="16"/>
      <c r="G82" s="450" t="str">
        <f t="shared" si="0"/>
        <v/>
      </c>
    </row>
    <row r="83" spans="2:7" x14ac:dyDescent="0.25">
      <c r="B83" s="528" t="s">
        <v>359</v>
      </c>
      <c r="C83" s="524" t="s">
        <v>62</v>
      </c>
      <c r="D83" s="525" t="s">
        <v>63</v>
      </c>
      <c r="E83" s="16"/>
      <c r="G83" s="450" t="str">
        <f t="shared" si="0"/>
        <v>_</v>
      </c>
    </row>
    <row r="84" spans="2:7" x14ac:dyDescent="0.25">
      <c r="B84" s="400" t="s">
        <v>1177</v>
      </c>
      <c r="C84" s="412" t="s">
        <v>1123</v>
      </c>
      <c r="D84" s="712" t="s">
        <v>1123</v>
      </c>
      <c r="E84" s="16"/>
      <c r="G84" s="450" t="str">
        <f t="shared" si="0"/>
        <v/>
      </c>
    </row>
    <row r="85" spans="2:7" x14ac:dyDescent="0.25">
      <c r="B85" s="759"/>
      <c r="C85" s="760"/>
      <c r="D85" s="761"/>
      <c r="E85" s="16"/>
      <c r="G85" s="450" t="str">
        <f t="shared" si="0"/>
        <v/>
      </c>
    </row>
    <row r="86" spans="2:7" x14ac:dyDescent="0.25">
      <c r="B86" s="754" t="s">
        <v>1225</v>
      </c>
      <c r="C86" s="755" t="s">
        <v>62</v>
      </c>
      <c r="D86" s="756" t="s">
        <v>63</v>
      </c>
      <c r="E86" s="16"/>
      <c r="G86" s="450" t="str">
        <f t="shared" si="0"/>
        <v>_</v>
      </c>
    </row>
    <row r="87" spans="2:7" ht="30" customHeight="1" x14ac:dyDescent="0.25">
      <c r="B87" s="368" t="s">
        <v>1124</v>
      </c>
      <c r="C87" s="412" t="s">
        <v>1125</v>
      </c>
      <c r="D87" s="712" t="s">
        <v>1125</v>
      </c>
      <c r="E87" s="16"/>
      <c r="G87" s="450" t="str">
        <f t="shared" si="0"/>
        <v/>
      </c>
    </row>
    <row r="88" spans="2:7" x14ac:dyDescent="0.25">
      <c r="B88" s="368" t="s">
        <v>1188</v>
      </c>
      <c r="C88" s="412" t="s">
        <v>1141</v>
      </c>
      <c r="D88" s="712" t="s">
        <v>1141</v>
      </c>
      <c r="E88" s="16"/>
      <c r="G88" s="450" t="str">
        <f t="shared" si="0"/>
        <v/>
      </c>
    </row>
    <row r="89" spans="2:7" x14ac:dyDescent="0.25">
      <c r="B89" s="368" t="s">
        <v>1126</v>
      </c>
      <c r="C89" s="412" t="s">
        <v>1146</v>
      </c>
      <c r="D89" s="712" t="s">
        <v>1146</v>
      </c>
      <c r="E89" s="16"/>
      <c r="G89" s="450" t="str">
        <f t="shared" si="0"/>
        <v/>
      </c>
    </row>
    <row r="90" spans="2:7" x14ac:dyDescent="0.25">
      <c r="B90" s="368" t="s">
        <v>1148</v>
      </c>
      <c r="C90" s="412" t="s">
        <v>1127</v>
      </c>
      <c r="D90" s="712" t="s">
        <v>1127</v>
      </c>
      <c r="E90" s="16"/>
      <c r="G90" s="450" t="str">
        <f t="shared" si="0"/>
        <v/>
      </c>
    </row>
    <row r="91" spans="2:7" x14ac:dyDescent="0.25">
      <c r="B91" s="368" t="s">
        <v>1128</v>
      </c>
      <c r="C91" s="435" t="s">
        <v>1129</v>
      </c>
      <c r="D91" s="746" t="s">
        <v>1129</v>
      </c>
      <c r="E91" s="16"/>
      <c r="G91" s="450" t="str">
        <f t="shared" si="0"/>
        <v/>
      </c>
    </row>
    <row r="92" spans="2:7" x14ac:dyDescent="0.25">
      <c r="B92" s="400" t="s">
        <v>1130</v>
      </c>
      <c r="C92" s="412" t="s">
        <v>1131</v>
      </c>
      <c r="D92" s="712" t="s">
        <v>1131</v>
      </c>
      <c r="E92" s="16"/>
      <c r="G92" s="450" t="str">
        <f t="shared" si="0"/>
        <v/>
      </c>
    </row>
    <row r="93" spans="2:7" x14ac:dyDescent="0.25">
      <c r="B93" s="580" t="s">
        <v>1147</v>
      </c>
      <c r="C93" s="396" t="s">
        <v>1132</v>
      </c>
      <c r="D93" s="745" t="s">
        <v>1132</v>
      </c>
      <c r="E93" s="16"/>
      <c r="G93" s="450" t="str">
        <f t="shared" si="0"/>
        <v/>
      </c>
    </row>
    <row r="94" spans="2:7" x14ac:dyDescent="0.25">
      <c r="B94" s="368" t="s">
        <v>1133</v>
      </c>
      <c r="C94" s="412" t="s">
        <v>1134</v>
      </c>
      <c r="D94" s="712" t="s">
        <v>1134</v>
      </c>
      <c r="E94" s="16"/>
      <c r="G94" s="450" t="str">
        <f t="shared" si="0"/>
        <v/>
      </c>
    </row>
    <row r="95" spans="2:7" x14ac:dyDescent="0.25">
      <c r="B95" s="368" t="s">
        <v>1135</v>
      </c>
      <c r="C95" s="412" t="s">
        <v>1136</v>
      </c>
      <c r="D95" s="712" t="s">
        <v>1136</v>
      </c>
      <c r="E95" s="16"/>
      <c r="G95" s="450" t="str">
        <f t="shared" si="0"/>
        <v/>
      </c>
    </row>
    <row r="96" spans="2:7" x14ac:dyDescent="0.25">
      <c r="B96" s="400" t="s">
        <v>1137</v>
      </c>
      <c r="C96" s="412" t="s">
        <v>1138</v>
      </c>
      <c r="D96" s="712" t="s">
        <v>1138</v>
      </c>
      <c r="E96" s="16"/>
      <c r="G96" s="450" t="str">
        <f t="shared" si="0"/>
        <v/>
      </c>
    </row>
    <row r="97" spans="2:7" x14ac:dyDescent="0.25">
      <c r="B97" s="580" t="s">
        <v>1139</v>
      </c>
      <c r="C97" s="396" t="s">
        <v>1140</v>
      </c>
      <c r="D97" s="745" t="s">
        <v>1140</v>
      </c>
      <c r="E97" s="16"/>
      <c r="G97" s="450" t="str">
        <f t="shared" si="0"/>
        <v/>
      </c>
    </row>
    <row r="98" spans="2:7" ht="45" customHeight="1" x14ac:dyDescent="0.25">
      <c r="B98" s="368" t="s">
        <v>1142</v>
      </c>
      <c r="C98" s="412" t="s">
        <v>1143</v>
      </c>
      <c r="D98" s="712" t="s">
        <v>1143</v>
      </c>
      <c r="E98" s="16"/>
      <c r="G98" s="450" t="str">
        <f t="shared" si="0"/>
        <v/>
      </c>
    </row>
    <row r="99" spans="2:7" ht="45" customHeight="1" x14ac:dyDescent="0.25">
      <c r="B99" s="722" t="s">
        <v>1144</v>
      </c>
      <c r="C99" s="412" t="s">
        <v>1145</v>
      </c>
      <c r="D99" s="712" t="s">
        <v>1145</v>
      </c>
      <c r="G99" s="450" t="str">
        <f t="shared" si="0"/>
        <v/>
      </c>
    </row>
    <row r="100" spans="2:7" ht="15.75" customHeight="1" x14ac:dyDescent="0.25">
      <c r="B100" s="722" t="s">
        <v>1149</v>
      </c>
      <c r="C100" s="412" t="s">
        <v>1150</v>
      </c>
      <c r="D100" s="712" t="s">
        <v>1150</v>
      </c>
      <c r="G100" s="450" t="str">
        <f t="shared" si="0"/>
        <v/>
      </c>
    </row>
    <row r="101" spans="2:7" x14ac:dyDescent="0.25">
      <c r="B101" s="759"/>
      <c r="C101" s="760"/>
      <c r="D101" s="761"/>
      <c r="G101" s="450" t="str">
        <f t="shared" si="0"/>
        <v/>
      </c>
    </row>
    <row r="102" spans="2:7" x14ac:dyDescent="0.25">
      <c r="B102" s="754" t="s">
        <v>1226</v>
      </c>
      <c r="C102" s="524" t="s">
        <v>62</v>
      </c>
      <c r="D102" s="525" t="s">
        <v>63</v>
      </c>
      <c r="G102" s="450" t="str">
        <f t="shared" ref="G102:G117" si="1">IF(OR(TRIM(D102)&lt;&gt;"",TRIM(F102)&lt;&gt;""),IF(AND(TRIM(D102)&lt;&gt;"",TRIM(F102)&lt;&gt;""),IF(OR(TRIM(C102)&lt;&gt;TRIM(D102),TRIM(C102)&lt;&gt;TRIM(F102)),"_",""),IF(TRIM(C102)&lt;&gt;TRIM(D102), "_", "")),"")</f>
        <v>_</v>
      </c>
    </row>
    <row r="103" spans="2:7" x14ac:dyDescent="0.25">
      <c r="B103" s="368" t="s">
        <v>1201</v>
      </c>
      <c r="C103" s="412" t="s">
        <v>1153</v>
      </c>
      <c r="D103" s="712" t="s">
        <v>1153</v>
      </c>
      <c r="G103" s="450" t="str">
        <f t="shared" si="1"/>
        <v/>
      </c>
    </row>
    <row r="104" spans="2:7" ht="45.75" customHeight="1" x14ac:dyDescent="0.25">
      <c r="B104" s="368" t="s">
        <v>1151</v>
      </c>
      <c r="C104" s="412" t="s">
        <v>1152</v>
      </c>
      <c r="D104" s="712" t="s">
        <v>1152</v>
      </c>
      <c r="G104" s="450" t="str">
        <f t="shared" si="1"/>
        <v/>
      </c>
    </row>
    <row r="105" spans="2:7" x14ac:dyDescent="0.25">
      <c r="B105" s="368" t="s">
        <v>1154</v>
      </c>
      <c r="C105" s="412" t="s">
        <v>1155</v>
      </c>
      <c r="D105" s="712" t="s">
        <v>1155</v>
      </c>
      <c r="G105" s="450" t="str">
        <f t="shared" si="1"/>
        <v/>
      </c>
    </row>
    <row r="106" spans="2:7" x14ac:dyDescent="0.25">
      <c r="B106" s="759"/>
      <c r="C106" s="860"/>
      <c r="D106" s="881"/>
      <c r="G106" s="450" t="str">
        <f t="shared" si="1"/>
        <v/>
      </c>
    </row>
    <row r="107" spans="2:7" ht="30" customHeight="1" x14ac:dyDescent="0.25">
      <c r="B107" s="754" t="s">
        <v>1227</v>
      </c>
      <c r="C107" s="524" t="s">
        <v>62</v>
      </c>
      <c r="D107" s="525" t="s">
        <v>63</v>
      </c>
      <c r="G107" s="450" t="str">
        <f t="shared" si="1"/>
        <v>_</v>
      </c>
    </row>
    <row r="108" spans="2:7" ht="30.75" customHeight="1" x14ac:dyDescent="0.25">
      <c r="B108" s="368" t="s">
        <v>1156</v>
      </c>
      <c r="C108" s="412" t="s">
        <v>1157</v>
      </c>
      <c r="D108" s="712" t="s">
        <v>1157</v>
      </c>
      <c r="G108" s="450" t="str">
        <f t="shared" si="1"/>
        <v/>
      </c>
    </row>
    <row r="109" spans="2:7" ht="30.75" customHeight="1" x14ac:dyDescent="0.25">
      <c r="B109" s="368" t="s">
        <v>1158</v>
      </c>
      <c r="C109" s="412" t="s">
        <v>1159</v>
      </c>
      <c r="D109" s="712" t="s">
        <v>1159</v>
      </c>
      <c r="G109" s="450" t="str">
        <f t="shared" si="1"/>
        <v/>
      </c>
    </row>
    <row r="110" spans="2:7" ht="30.75" customHeight="1" x14ac:dyDescent="0.25">
      <c r="B110" s="368" t="s">
        <v>1160</v>
      </c>
      <c r="C110" s="412" t="s">
        <v>1161</v>
      </c>
      <c r="D110" s="712" t="s">
        <v>1161</v>
      </c>
      <c r="G110" s="450" t="str">
        <f t="shared" si="1"/>
        <v/>
      </c>
    </row>
    <row r="111" spans="2:7" ht="30.75" customHeight="1" x14ac:dyDescent="0.25">
      <c r="B111" s="722" t="s">
        <v>1162</v>
      </c>
      <c r="C111" s="412" t="s">
        <v>1163</v>
      </c>
      <c r="D111" s="712" t="s">
        <v>1163</v>
      </c>
      <c r="G111" s="450" t="str">
        <f t="shared" si="1"/>
        <v/>
      </c>
    </row>
    <row r="112" spans="2:7" x14ac:dyDescent="0.25">
      <c r="B112" s="792" t="s">
        <v>1164</v>
      </c>
      <c r="C112" s="793" t="s">
        <v>1165</v>
      </c>
      <c r="D112" s="794" t="s">
        <v>1165</v>
      </c>
      <c r="G112" s="450" t="str">
        <f t="shared" si="1"/>
        <v/>
      </c>
    </row>
    <row r="113" spans="2:7" x14ac:dyDescent="0.25">
      <c r="B113" s="757"/>
      <c r="C113" s="762"/>
      <c r="D113" s="791"/>
      <c r="G113" s="450" t="str">
        <f t="shared" si="1"/>
        <v/>
      </c>
    </row>
    <row r="114" spans="2:7" x14ac:dyDescent="0.25">
      <c r="B114" s="754" t="s">
        <v>1228</v>
      </c>
      <c r="C114" s="755" t="s">
        <v>62</v>
      </c>
      <c r="D114" s="756" t="s">
        <v>63</v>
      </c>
      <c r="G114" s="450" t="str">
        <f t="shared" si="1"/>
        <v>_</v>
      </c>
    </row>
    <row r="115" spans="2:7" x14ac:dyDescent="0.25">
      <c r="B115" s="673" t="s">
        <v>1166</v>
      </c>
      <c r="C115" s="412" t="s">
        <v>1167</v>
      </c>
      <c r="D115" s="712" t="s">
        <v>1167</v>
      </c>
      <c r="G115" s="450" t="str">
        <f t="shared" si="1"/>
        <v/>
      </c>
    </row>
    <row r="116" spans="2:7" ht="31.5" customHeight="1" x14ac:dyDescent="0.25">
      <c r="B116" s="400" t="s">
        <v>1168</v>
      </c>
      <c r="C116" s="412" t="s">
        <v>1169</v>
      </c>
      <c r="D116" s="712" t="s">
        <v>1169</v>
      </c>
      <c r="G116" s="450" t="str">
        <f t="shared" si="1"/>
        <v/>
      </c>
    </row>
    <row r="117" spans="2:7" x14ac:dyDescent="0.25">
      <c r="B117" s="400" t="s">
        <v>1170</v>
      </c>
      <c r="C117" s="412" t="s">
        <v>1171</v>
      </c>
      <c r="D117" s="712" t="s">
        <v>1171</v>
      </c>
      <c r="G117" s="450" t="str">
        <f t="shared" si="1"/>
        <v/>
      </c>
    </row>
  </sheetData>
  <mergeCells count="4">
    <mergeCell ref="B31:D31"/>
    <mergeCell ref="B34:D34"/>
    <mergeCell ref="B32:F32"/>
    <mergeCell ref="B35:F35"/>
  </mergeCells>
  <conditionalFormatting sqref="G1:G1048576">
    <cfRule type="cellIs" dxfId="21" priority="23" operator="equal">
      <formula>"_"</formula>
    </cfRule>
  </conditionalFormatting>
  <conditionalFormatting sqref="G38:G117">
    <cfRule type="cellIs" dxfId="20" priority="22" operator="equal">
      <formula>"_"</formula>
    </cfRule>
  </conditionalFormatting>
  <conditionalFormatting sqref="D79">
    <cfRule type="containsText" priority="18" operator="containsText" text="Not Excluded">
      <formula>NOT(ISERROR(SEARCH("Not Excluded",D79)))</formula>
    </cfRule>
  </conditionalFormatting>
  <conditionalFormatting sqref="D79">
    <cfRule type="cellIs" dxfId="19" priority="16" operator="equal">
      <formula>"Not Excluded"</formula>
    </cfRule>
    <cfRule type="cellIs" dxfId="18" priority="17" operator="equal">
      <formula>"Excluded"</formula>
    </cfRule>
  </conditionalFormatting>
  <conditionalFormatting sqref="D78">
    <cfRule type="containsText" priority="15" operator="containsText" text="Not Excluded">
      <formula>NOT(ISERROR(SEARCH("Not Excluded",D78)))</formula>
    </cfRule>
  </conditionalFormatting>
  <conditionalFormatting sqref="D78">
    <cfRule type="cellIs" dxfId="17" priority="13" operator="equal">
      <formula>"Not Excluded"</formula>
    </cfRule>
    <cfRule type="cellIs" dxfId="16" priority="14" operator="equal">
      <formula>"Excluded"</formula>
    </cfRule>
  </conditionalFormatting>
  <conditionalFormatting sqref="D80">
    <cfRule type="cellIs" dxfId="15" priority="10" operator="equal">
      <formula>"Not Excluded"</formula>
    </cfRule>
    <cfRule type="cellIs" dxfId="14" priority="11" operator="equal">
      <formula>"Excluded"</formula>
    </cfRule>
  </conditionalFormatting>
  <conditionalFormatting sqref="D80">
    <cfRule type="containsText" priority="12" operator="containsText" text="Not Excluded">
      <formula>NOT(ISERROR(SEARCH("Not Excluded",D80)))</formula>
    </cfRule>
  </conditionalFormatting>
  <conditionalFormatting sqref="C79">
    <cfRule type="containsText" priority="9" operator="containsText" text="Not Excluded">
      <formula>NOT(ISERROR(SEARCH("Not Excluded",C79)))</formula>
    </cfRule>
  </conditionalFormatting>
  <conditionalFormatting sqref="C79">
    <cfRule type="cellIs" dxfId="13" priority="7" operator="equal">
      <formula>"Not Excluded"</formula>
    </cfRule>
    <cfRule type="cellIs" dxfId="12" priority="8" operator="equal">
      <formula>"Excluded"</formula>
    </cfRule>
  </conditionalFormatting>
  <conditionalFormatting sqref="C78">
    <cfRule type="containsText" priority="6" operator="containsText" text="Not Excluded">
      <formula>NOT(ISERROR(SEARCH("Not Excluded",C78)))</formula>
    </cfRule>
  </conditionalFormatting>
  <conditionalFormatting sqref="C78">
    <cfRule type="cellIs" dxfId="11" priority="4" operator="equal">
      <formula>"Not Excluded"</formula>
    </cfRule>
    <cfRule type="cellIs" dxfId="10" priority="5" operator="equal">
      <formula>"Excluded"</formula>
    </cfRule>
  </conditionalFormatting>
  <conditionalFormatting sqref="C80">
    <cfRule type="cellIs" dxfId="9" priority="1" operator="equal">
      <formula>"Not Excluded"</formula>
    </cfRule>
    <cfRule type="cellIs" dxfId="8" priority="2" operator="equal">
      <formula>"Excluded"</formula>
    </cfRule>
  </conditionalFormatting>
  <conditionalFormatting sqref="C80">
    <cfRule type="containsText" priority="3" operator="containsText" text="Not Excluded">
      <formula>NOT(ISERROR(SEARCH("Not Excluded",C80)))</formula>
    </cfRule>
  </conditionalFormatting>
  <printOptions horizontalCentered="1"/>
  <pageMargins left="0.196850393700787" right="0.196850393700787" top="1.1811023622047201" bottom="1.25984251968504" header="0.31496062992126" footer="0.31496062992126"/>
  <pageSetup fitToHeight="0" orientation="portrait" r:id="rId1"/>
  <headerFooter scaleWithDoc="0">
    <oddHeader>&amp;L&amp;"Calibri,Bold"&amp;14 Foreign Package - T5 DCMC</oddHeader>
    <oddFooter>&amp;L&amp;G&amp;CPage &amp;P of &amp;N</oddFooter>
  </headerFooter>
  <rowBreaks count="3" manualBreakCount="3">
    <brk id="36" min="1" max="3" man="1"/>
    <brk id="76" min="1" max="3" man="1"/>
    <brk id="106" min="1" max="3" man="1"/>
  </rowBreaks>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3">
    <pageSetUpPr fitToPage="1"/>
  </sheetPr>
  <dimension ref="B1:O122"/>
  <sheetViews>
    <sheetView showGridLines="0" workbookViewId="0"/>
  </sheetViews>
  <sheetFormatPr defaultColWidth="9.140625" defaultRowHeight="15" x14ac:dyDescent="0.25"/>
  <cols>
    <col min="1" max="1" width="2.28515625" style="16" customWidth="1"/>
    <col min="2" max="2" width="46.42578125" style="16" customWidth="1"/>
    <col min="3" max="4" width="16.42578125" style="450" customWidth="1"/>
    <col min="5" max="5" width="5.7109375" style="228" customWidth="1"/>
    <col min="6" max="6" width="16.42578125" style="451" customWidth="1"/>
    <col min="7" max="7" width="9.140625" style="452" customWidth="1"/>
    <col min="8" max="9" width="3.5703125" style="452" customWidth="1"/>
    <col min="10" max="10" width="32.140625" style="452" customWidth="1"/>
    <col min="11" max="11" width="32.140625" style="381" customWidth="1"/>
    <col min="12" max="12" width="9.140625" style="16" customWidth="1"/>
    <col min="13" max="13" width="23.42578125" style="16" customWidth="1"/>
    <col min="14" max="53" width="9.140625" style="16" customWidth="1"/>
    <col min="54" max="16384" width="9.140625" style="16"/>
  </cols>
  <sheetData>
    <row r="1" spans="2:13" ht="7.5" customHeight="1" x14ac:dyDescent="0.25">
      <c r="E1" s="450"/>
    </row>
    <row r="2" spans="2:13" ht="15.75" x14ac:dyDescent="0.25">
      <c r="B2" s="453" t="str">
        <f>Input!B1174</f>
        <v>Aircraft (Drone) Liability</v>
      </c>
      <c r="E2" s="450"/>
      <c r="H2" s="454"/>
      <c r="I2" s="455"/>
      <c r="J2" s="455"/>
      <c r="L2" s="456" t="s">
        <v>391</v>
      </c>
      <c r="M2" s="381" t="s">
        <v>361</v>
      </c>
    </row>
    <row r="3" spans="2:13" x14ac:dyDescent="0.25">
      <c r="D3" s="455" t="str">
        <f xml:space="preserve"> IF(Input!D1177=Input!G1177,CHAR(254), "")</f>
        <v/>
      </c>
      <c r="E3" s="457"/>
      <c r="F3" s="458" t="str">
        <f xml:space="preserve"> IF(Input!E1177=Input!G1177,CHAR(254), "")</f>
        <v/>
      </c>
      <c r="L3" s="459" t="s">
        <v>157</v>
      </c>
      <c r="M3" s="211" t="s">
        <v>362</v>
      </c>
    </row>
    <row r="4" spans="2:13" x14ac:dyDescent="0.25">
      <c r="B4" s="523" t="s">
        <v>66</v>
      </c>
      <c r="C4" s="524" t="s">
        <v>62</v>
      </c>
      <c r="D4" s="525" t="s">
        <v>63</v>
      </c>
      <c r="E4" s="426"/>
      <c r="F4" s="526" t="s">
        <v>146</v>
      </c>
      <c r="J4" s="527" t="s">
        <v>1002</v>
      </c>
      <c r="K4" s="527" t="s">
        <v>363</v>
      </c>
      <c r="L4" s="460"/>
      <c r="M4" s="211"/>
    </row>
    <row r="5" spans="2:13" x14ac:dyDescent="0.25">
      <c r="B5" s="409" t="s">
        <v>60</v>
      </c>
      <c r="C5" s="412" t="str">
        <f>Input!B1178</f>
        <v>Global Aerospace</v>
      </c>
      <c r="D5" s="390" t="str">
        <f>Input!D1178</f>
        <v>Global Aerospace</v>
      </c>
      <c r="F5" s="413">
        <f>Input!E1178</f>
        <v>0</v>
      </c>
      <c r="J5" s="231"/>
      <c r="K5" s="231"/>
    </row>
    <row r="6" spans="2:13" x14ac:dyDescent="0.25">
      <c r="B6" s="409" t="s">
        <v>69</v>
      </c>
      <c r="C6" s="412">
        <f>Input!B1180</f>
        <v>0</v>
      </c>
      <c r="D6" s="390">
        <f>Input!D1180</f>
        <v>0</v>
      </c>
      <c r="F6" s="413">
        <f>Input!E1180</f>
        <v>0</v>
      </c>
      <c r="J6" s="231"/>
      <c r="K6" s="231"/>
    </row>
    <row r="7" spans="2:13" x14ac:dyDescent="0.25">
      <c r="B7" s="409" t="str">
        <f>Input!B1176</f>
        <v>Policy Number</v>
      </c>
      <c r="C7" s="412"/>
      <c r="D7" s="390" t="str">
        <f>Input!C1176</f>
        <v>TBD</v>
      </c>
      <c r="F7" s="413" t="str">
        <f>Input!C1176</f>
        <v>TBD</v>
      </c>
      <c r="J7" s="231"/>
      <c r="K7" s="231"/>
    </row>
    <row r="8" spans="2:13" ht="26.25" customHeight="1" x14ac:dyDescent="0.25">
      <c r="B8" s="409" t="str">
        <f>Input!B6</f>
        <v>Renewal Policy Period</v>
      </c>
      <c r="C8" s="412" t="str">
        <f>Input!C5</f>
        <v>7/1/2022 - 7/1/2023</v>
      </c>
      <c r="D8" s="390" t="str">
        <f>Input!C6</f>
        <v>7/1/2023 - 7/1/2024</v>
      </c>
      <c r="F8" s="413" t="str">
        <f>Input!C6</f>
        <v>7/1/2023 - 7/1/2024</v>
      </c>
      <c r="J8" s="231"/>
      <c r="K8" s="231"/>
    </row>
    <row r="9" spans="2:13" x14ac:dyDescent="0.25">
      <c r="B9" s="486" t="str">
        <f>Input!G1194</f>
        <v>Liability</v>
      </c>
      <c r="C9" s="486"/>
      <c r="D9" s="486"/>
      <c r="F9" s="562"/>
      <c r="J9" s="566"/>
      <c r="K9" s="566"/>
    </row>
    <row r="10" spans="2:13" x14ac:dyDescent="0.25">
      <c r="B10" s="409" t="str">
        <f>Input!G1193</f>
        <v>Policy Limits</v>
      </c>
      <c r="C10" s="398">
        <f>Input!G1195</f>
        <v>0</v>
      </c>
      <c r="D10" s="425">
        <f>Input!G1196</f>
        <v>0</v>
      </c>
      <c r="E10" s="414"/>
      <c r="F10" s="427">
        <f>Input!G1197</f>
        <v>0</v>
      </c>
      <c r="J10" s="231"/>
      <c r="K10" s="231"/>
    </row>
    <row r="11" spans="2:13" x14ac:dyDescent="0.25">
      <c r="B11" s="402" t="str">
        <f>Input!I1193</f>
        <v>Deductible</v>
      </c>
      <c r="C11" s="403">
        <f>Input!I1195</f>
        <v>0</v>
      </c>
      <c r="D11" s="431">
        <f>Input!I1196</f>
        <v>0</v>
      </c>
      <c r="E11" s="414"/>
      <c r="F11" s="430">
        <f>Input!I1197</f>
        <v>0</v>
      </c>
      <c r="J11" s="231"/>
      <c r="K11" s="231"/>
    </row>
    <row r="12" spans="2:13" x14ac:dyDescent="0.25">
      <c r="B12" s="486" t="str">
        <f>Input!H1194</f>
        <v>Physical Damage</v>
      </c>
      <c r="C12" s="486"/>
      <c r="D12" s="486"/>
      <c r="F12" s="562"/>
      <c r="J12" s="566"/>
      <c r="K12" s="566"/>
    </row>
    <row r="13" spans="2:13" x14ac:dyDescent="0.25">
      <c r="B13" s="409" t="str">
        <f>Input!G1193</f>
        <v>Policy Limits</v>
      </c>
      <c r="C13" s="398">
        <f>Input!H1195</f>
        <v>0</v>
      </c>
      <c r="D13" s="425">
        <f>Input!H1196</f>
        <v>0</v>
      </c>
      <c r="E13" s="414"/>
      <c r="F13" s="427">
        <f>Input!H1197</f>
        <v>0</v>
      </c>
      <c r="J13" s="231"/>
      <c r="K13" s="231"/>
    </row>
    <row r="14" spans="2:13" x14ac:dyDescent="0.25">
      <c r="B14" s="402" t="str">
        <f>Input!I1193</f>
        <v>Deductible</v>
      </c>
      <c r="C14" s="429">
        <f>Input!J1195</f>
        <v>0</v>
      </c>
      <c r="D14" s="431">
        <f>Input!J1196</f>
        <v>0</v>
      </c>
      <c r="E14" s="414"/>
      <c r="F14" s="430">
        <f>Input!J1197</f>
        <v>0</v>
      </c>
      <c r="J14" s="231"/>
      <c r="K14" s="231"/>
    </row>
    <row r="15" spans="2:13" x14ac:dyDescent="0.25">
      <c r="B15" s="486" t="s">
        <v>367</v>
      </c>
      <c r="C15" s="486"/>
      <c r="D15" s="486"/>
      <c r="F15" s="562"/>
      <c r="J15" s="566"/>
      <c r="K15" s="566"/>
    </row>
    <row r="16" spans="2:13" x14ac:dyDescent="0.25">
      <c r="B16" s="402" t="s">
        <v>343</v>
      </c>
      <c r="C16" s="428">
        <f>Input!B1182</f>
        <v>0</v>
      </c>
      <c r="D16" s="425">
        <f>Input!D1182</f>
        <v>0</v>
      </c>
      <c r="E16" s="414"/>
      <c r="F16" s="427">
        <f>Input!E1182</f>
        <v>0</v>
      </c>
      <c r="J16" s="231"/>
      <c r="K16" s="231"/>
    </row>
    <row r="17" spans="2:11" x14ac:dyDescent="0.25">
      <c r="B17" s="402" t="s">
        <v>412</v>
      </c>
      <c r="C17" s="429">
        <f>Input!B1186</f>
        <v>0</v>
      </c>
      <c r="D17" s="431">
        <f>Input!D1186</f>
        <v>0</v>
      </c>
      <c r="E17" s="414"/>
      <c r="F17" s="430">
        <f>Input!E1186</f>
        <v>0</v>
      </c>
      <c r="J17" s="232"/>
      <c r="K17" s="232"/>
    </row>
    <row r="18" spans="2:11" x14ac:dyDescent="0.25">
      <c r="B18" s="409" t="s">
        <v>369</v>
      </c>
      <c r="C18" s="428">
        <f>Input!B1188</f>
        <v>0</v>
      </c>
      <c r="D18" s="425">
        <f>Input!D1188</f>
        <v>0</v>
      </c>
      <c r="F18" s="427">
        <f>Input!E1188</f>
        <v>0</v>
      </c>
      <c r="J18" s="231"/>
      <c r="K18" s="231"/>
    </row>
    <row r="19" spans="2:11" ht="7.5" customHeight="1" x14ac:dyDescent="0.25">
      <c r="B19" s="310"/>
      <c r="C19" s="228"/>
      <c r="D19" s="228"/>
      <c r="E19" s="238"/>
      <c r="F19" s="275"/>
      <c r="J19" s="381"/>
    </row>
    <row r="20" spans="2:11" x14ac:dyDescent="0.25">
      <c r="B20" s="1274" t="s">
        <v>144</v>
      </c>
      <c r="C20" s="1274"/>
      <c r="D20" s="1274"/>
      <c r="E20" s="432"/>
      <c r="F20" s="274"/>
      <c r="J20" s="381"/>
    </row>
    <row r="21" spans="2:11" ht="65.25" customHeight="1" x14ac:dyDescent="0.25">
      <c r="B21" s="1288" t="s">
        <v>799</v>
      </c>
      <c r="C21" s="1288"/>
      <c r="D21" s="1288"/>
      <c r="E21" s="1288"/>
      <c r="F21" s="1289"/>
      <c r="J21" s="381"/>
    </row>
    <row r="22" spans="2:11" ht="7.5" customHeight="1" x14ac:dyDescent="0.25">
      <c r="B22" s="380"/>
      <c r="C22" s="238"/>
      <c r="D22" s="238"/>
      <c r="E22" s="434"/>
      <c r="F22" s="275"/>
      <c r="J22" s="381"/>
    </row>
    <row r="23" spans="2:11" x14ac:dyDescent="0.25">
      <c r="B23" s="1274" t="s">
        <v>145</v>
      </c>
      <c r="C23" s="1274"/>
      <c r="D23" s="1274"/>
      <c r="F23" s="275"/>
      <c r="J23" s="381"/>
    </row>
    <row r="24" spans="2:11" x14ac:dyDescent="0.25">
      <c r="B24" s="1288" t="s">
        <v>150</v>
      </c>
      <c r="C24" s="1288"/>
      <c r="D24" s="1288"/>
      <c r="E24" s="1288"/>
      <c r="F24" s="1289"/>
      <c r="J24" s="381"/>
    </row>
    <row r="25" spans="2:11" ht="7.5" customHeight="1" x14ac:dyDescent="0.25">
      <c r="B25" s="310"/>
      <c r="C25" s="228"/>
      <c r="D25" s="228"/>
      <c r="E25" s="426"/>
      <c r="F25" s="275"/>
      <c r="J25" s="381"/>
    </row>
    <row r="26" spans="2:11" x14ac:dyDescent="0.25">
      <c r="B26" s="523" t="s">
        <v>72</v>
      </c>
      <c r="C26" s="524" t="s">
        <v>62</v>
      </c>
      <c r="D26" s="525" t="s">
        <v>63</v>
      </c>
      <c r="F26" s="526" t="s">
        <v>146</v>
      </c>
      <c r="J26" s="527" t="s">
        <v>1002</v>
      </c>
      <c r="K26" s="527" t="s">
        <v>363</v>
      </c>
    </row>
    <row r="27" spans="2:11" x14ac:dyDescent="0.25">
      <c r="B27" s="400" t="s">
        <v>73</v>
      </c>
      <c r="C27" s="697" t="s">
        <v>1033</v>
      </c>
      <c r="D27" s="703" t="s">
        <v>1033</v>
      </c>
      <c r="F27" s="413"/>
      <c r="G27" s="450" t="str">
        <f t="shared" ref="G27:G48" si="0">IF(OR(TRIM(D27)&lt;&gt;"",TRIM(F27)&lt;&gt;""),IF(AND(TRIM(D27)&lt;&gt;"",TRIM(F27)&lt;&gt;""),IF(OR(TRIM(C27)&lt;&gt;TRIM(D27),TRIM(C27)&lt;&gt;TRIM(F27)),"_",""),IF(TRIM(C27)&lt;&gt;TRIM(D27), "_", "")),"")</f>
        <v/>
      </c>
      <c r="J27" s="231"/>
      <c r="K27" s="231"/>
    </row>
    <row r="28" spans="2:11" ht="51" x14ac:dyDescent="0.25">
      <c r="B28" s="400" t="s">
        <v>74</v>
      </c>
      <c r="C28" s="697" t="s">
        <v>1034</v>
      </c>
      <c r="D28" s="703" t="s">
        <v>1034</v>
      </c>
      <c r="F28" s="413"/>
      <c r="G28" s="450" t="str">
        <f t="shared" si="0"/>
        <v/>
      </c>
      <c r="J28" s="231"/>
      <c r="K28" s="231"/>
    </row>
    <row r="29" spans="2:11" x14ac:dyDescent="0.25">
      <c r="B29" s="400" t="s">
        <v>151</v>
      </c>
      <c r="C29" s="697" t="s">
        <v>1035</v>
      </c>
      <c r="D29" s="703" t="s">
        <v>1035</v>
      </c>
      <c r="F29" s="413"/>
      <c r="G29" s="450" t="str">
        <f t="shared" si="0"/>
        <v/>
      </c>
      <c r="J29" s="231"/>
      <c r="K29" s="231"/>
    </row>
    <row r="30" spans="2:11" x14ac:dyDescent="0.25">
      <c r="B30" s="400" t="s">
        <v>152</v>
      </c>
      <c r="C30" s="698">
        <v>0</v>
      </c>
      <c r="D30" s="704">
        <v>0</v>
      </c>
      <c r="F30" s="413"/>
      <c r="G30" s="450" t="str">
        <f t="shared" si="0"/>
        <v/>
      </c>
      <c r="J30" s="231"/>
      <c r="K30" s="231"/>
    </row>
    <row r="31" spans="2:11" x14ac:dyDescent="0.25">
      <c r="B31" s="400" t="s">
        <v>77</v>
      </c>
      <c r="C31" s="697" t="s">
        <v>1036</v>
      </c>
      <c r="D31" s="703" t="s">
        <v>1036</v>
      </c>
      <c r="F31" s="413"/>
      <c r="G31" s="450" t="str">
        <f t="shared" si="0"/>
        <v/>
      </c>
      <c r="J31" s="231"/>
      <c r="K31" s="231"/>
    </row>
    <row r="32" spans="2:11" x14ac:dyDescent="0.25">
      <c r="B32" s="400" t="s">
        <v>251</v>
      </c>
      <c r="C32" s="699" t="s">
        <v>157</v>
      </c>
      <c r="D32" s="702" t="s">
        <v>157</v>
      </c>
      <c r="F32" s="413"/>
      <c r="G32" s="450" t="str">
        <f t="shared" si="0"/>
        <v/>
      </c>
      <c r="J32" s="231"/>
      <c r="K32" s="231"/>
    </row>
    <row r="33" spans="2:11" x14ac:dyDescent="0.25">
      <c r="B33" s="673" t="s">
        <v>1005</v>
      </c>
      <c r="C33" s="699" t="s">
        <v>157</v>
      </c>
      <c r="D33" s="702" t="s">
        <v>157</v>
      </c>
      <c r="F33" s="413"/>
      <c r="G33" s="450"/>
      <c r="J33" s="231"/>
      <c r="K33" s="231"/>
    </row>
    <row r="34" spans="2:11" ht="25.5" x14ac:dyDescent="0.25">
      <c r="B34" s="673" t="s">
        <v>1006</v>
      </c>
      <c r="C34" s="699" t="s">
        <v>157</v>
      </c>
      <c r="D34" s="702" t="s">
        <v>157</v>
      </c>
      <c r="F34" s="413"/>
      <c r="G34" s="450"/>
      <c r="J34" s="231"/>
      <c r="K34" s="231"/>
    </row>
    <row r="35" spans="2:11" ht="25.5" x14ac:dyDescent="0.25">
      <c r="B35" s="673" t="s">
        <v>1007</v>
      </c>
      <c r="C35" s="699" t="s">
        <v>157</v>
      </c>
      <c r="D35" s="702" t="s">
        <v>157</v>
      </c>
      <c r="F35" s="413"/>
      <c r="G35" s="450"/>
      <c r="J35" s="231"/>
      <c r="K35" s="231"/>
    </row>
    <row r="36" spans="2:11" ht="52.5" x14ac:dyDescent="0.25">
      <c r="B36" s="673" t="s">
        <v>1008</v>
      </c>
      <c r="C36" s="700" t="s">
        <v>1037</v>
      </c>
      <c r="D36" s="705" t="s">
        <v>1037</v>
      </c>
      <c r="F36" s="413"/>
      <c r="G36" s="450"/>
      <c r="J36" s="231"/>
      <c r="K36" s="231"/>
    </row>
    <row r="37" spans="2:11" x14ac:dyDescent="0.25">
      <c r="B37" s="673" t="s">
        <v>1004</v>
      </c>
      <c r="C37" s="701" t="s">
        <v>157</v>
      </c>
      <c r="D37" s="706" t="s">
        <v>157</v>
      </c>
      <c r="F37" s="413"/>
      <c r="G37" s="450"/>
      <c r="J37" s="231"/>
      <c r="K37" s="231"/>
    </row>
    <row r="38" spans="2:11" x14ac:dyDescent="0.25">
      <c r="B38" s="673" t="s">
        <v>187</v>
      </c>
      <c r="C38" s="701" t="s">
        <v>157</v>
      </c>
      <c r="D38" s="706" t="s">
        <v>157</v>
      </c>
      <c r="F38" s="413"/>
      <c r="G38" s="450"/>
      <c r="J38" s="231"/>
      <c r="K38" s="231"/>
    </row>
    <row r="39" spans="2:11" ht="45" customHeight="1" x14ac:dyDescent="0.25">
      <c r="B39" s="673" t="s">
        <v>1009</v>
      </c>
      <c r="C39" s="701" t="s">
        <v>1038</v>
      </c>
      <c r="D39" s="706" t="s">
        <v>1038</v>
      </c>
      <c r="F39" s="413"/>
      <c r="G39" s="450"/>
      <c r="J39" s="231"/>
      <c r="K39" s="231"/>
    </row>
    <row r="40" spans="2:11" ht="56.25" customHeight="1" x14ac:dyDescent="0.25">
      <c r="B40" s="673" t="s">
        <v>1010</v>
      </c>
      <c r="C40" s="699" t="s">
        <v>1039</v>
      </c>
      <c r="D40" s="702" t="s">
        <v>1039</v>
      </c>
      <c r="F40" s="413"/>
      <c r="G40" s="450"/>
      <c r="J40" s="231"/>
      <c r="K40" s="231"/>
    </row>
    <row r="41" spans="2:11" ht="25.5" x14ac:dyDescent="0.25">
      <c r="B41" s="673" t="s">
        <v>1011</v>
      </c>
      <c r="C41" s="701" t="s">
        <v>157</v>
      </c>
      <c r="D41" s="706" t="s">
        <v>157</v>
      </c>
      <c r="F41" s="413"/>
      <c r="G41" s="450"/>
      <c r="J41" s="231"/>
      <c r="K41" s="231"/>
    </row>
    <row r="42" spans="2:11" x14ac:dyDescent="0.25">
      <c r="B42" s="673" t="s">
        <v>1027</v>
      </c>
      <c r="C42" s="701" t="s">
        <v>157</v>
      </c>
      <c r="D42" s="706" t="s">
        <v>157</v>
      </c>
      <c r="F42" s="413"/>
      <c r="G42" s="450"/>
      <c r="J42" s="231"/>
      <c r="K42" s="231"/>
    </row>
    <row r="43" spans="2:11" ht="30" customHeight="1" x14ac:dyDescent="0.25">
      <c r="B43" s="673" t="s">
        <v>1028</v>
      </c>
      <c r="C43" s="701" t="s">
        <v>1040</v>
      </c>
      <c r="D43" s="706" t="s">
        <v>1040</v>
      </c>
      <c r="F43" s="413"/>
      <c r="G43" s="450"/>
      <c r="J43" s="231"/>
      <c r="K43" s="231"/>
    </row>
    <row r="44" spans="2:11" x14ac:dyDescent="0.25">
      <c r="B44" s="673" t="s">
        <v>1029</v>
      </c>
      <c r="C44" s="701" t="s">
        <v>157</v>
      </c>
      <c r="D44" s="706" t="s">
        <v>157</v>
      </c>
      <c r="F44" s="413"/>
      <c r="G44" s="450"/>
      <c r="J44" s="231"/>
      <c r="K44" s="231"/>
    </row>
    <row r="45" spans="2:11" x14ac:dyDescent="0.25">
      <c r="B45" s="673" t="s">
        <v>1030</v>
      </c>
      <c r="C45" s="701" t="s">
        <v>157</v>
      </c>
      <c r="D45" s="706" t="s">
        <v>157</v>
      </c>
      <c r="F45" s="413"/>
      <c r="G45" s="450" t="str">
        <f t="shared" si="0"/>
        <v/>
      </c>
      <c r="J45" s="231"/>
      <c r="K45" s="231"/>
    </row>
    <row r="46" spans="2:11" x14ac:dyDescent="0.25">
      <c r="B46" s="673" t="s">
        <v>1031</v>
      </c>
      <c r="C46" s="701" t="s">
        <v>157</v>
      </c>
      <c r="D46" s="706" t="s">
        <v>157</v>
      </c>
      <c r="F46" s="413"/>
      <c r="G46" s="450" t="str">
        <f t="shared" si="0"/>
        <v/>
      </c>
      <c r="J46" s="231"/>
      <c r="K46" s="231"/>
    </row>
    <row r="47" spans="2:11" ht="25.5" x14ac:dyDescent="0.25">
      <c r="B47" s="673" t="s">
        <v>1032</v>
      </c>
      <c r="C47" s="699" t="s">
        <v>157</v>
      </c>
      <c r="D47" s="702" t="s">
        <v>157</v>
      </c>
      <c r="F47" s="413"/>
      <c r="G47" s="450" t="str">
        <f t="shared" si="0"/>
        <v/>
      </c>
      <c r="J47" s="231"/>
      <c r="K47" s="231"/>
    </row>
    <row r="48" spans="2:11" ht="7.5" customHeight="1" x14ac:dyDescent="0.25">
      <c r="B48" s="211"/>
      <c r="C48" s="228"/>
      <c r="D48" s="228"/>
      <c r="F48" s="275"/>
      <c r="G48" s="450" t="str">
        <f t="shared" si="0"/>
        <v/>
      </c>
      <c r="J48" s="381"/>
    </row>
    <row r="49" spans="2:11" x14ac:dyDescent="0.25">
      <c r="B49" s="523" t="s">
        <v>103</v>
      </c>
      <c r="C49" s="524" t="s">
        <v>62</v>
      </c>
      <c r="D49" s="525" t="s">
        <v>63</v>
      </c>
      <c r="F49" s="526" t="s">
        <v>146</v>
      </c>
      <c r="G49" s="450"/>
      <c r="J49" s="527" t="s">
        <v>1002</v>
      </c>
      <c r="K49" s="527" t="s">
        <v>363</v>
      </c>
    </row>
    <row r="50" spans="2:11" x14ac:dyDescent="0.25">
      <c r="B50" s="400" t="s">
        <v>1041</v>
      </c>
      <c r="C50" s="707" t="s">
        <v>1052</v>
      </c>
      <c r="D50" s="708" t="s">
        <v>1052</v>
      </c>
      <c r="F50" s="413"/>
      <c r="G50" s="450" t="str">
        <f t="shared" ref="G50:G63" si="1">IF(OR(TRIM(D50)&lt;&gt;"",TRIM(F50)&lt;&gt;""),IF(AND(TRIM(D50)&lt;&gt;"",TRIM(F50)&lt;&gt;""),IF(OR(TRIM(C50)&lt;&gt;TRIM(D50),TRIM(C50)&lt;&gt;TRIM(F50)),"_",""),IF(TRIM(C50)&lt;&gt;TRIM(D50), "_", "")),"")</f>
        <v/>
      </c>
      <c r="J50" s="231"/>
      <c r="K50" s="231"/>
    </row>
    <row r="51" spans="2:11" x14ac:dyDescent="0.25">
      <c r="B51" s="400" t="s">
        <v>1042</v>
      </c>
      <c r="C51" s="707" t="s">
        <v>1052</v>
      </c>
      <c r="D51" s="708" t="s">
        <v>1052</v>
      </c>
      <c r="F51" s="413"/>
      <c r="G51" s="450" t="str">
        <f t="shared" si="1"/>
        <v/>
      </c>
      <c r="J51" s="231"/>
      <c r="K51" s="231"/>
    </row>
    <row r="52" spans="2:11" x14ac:dyDescent="0.25">
      <c r="B52" s="400" t="s">
        <v>252</v>
      </c>
      <c r="C52" s="709" t="s">
        <v>1053</v>
      </c>
      <c r="D52" s="710" t="s">
        <v>1053</v>
      </c>
      <c r="F52" s="413"/>
      <c r="G52" s="450"/>
      <c r="J52" s="231"/>
      <c r="K52" s="231"/>
    </row>
    <row r="53" spans="2:11" x14ac:dyDescent="0.25">
      <c r="B53" s="400" t="s">
        <v>653</v>
      </c>
      <c r="C53" s="709" t="s">
        <v>1053</v>
      </c>
      <c r="D53" s="710" t="s">
        <v>1053</v>
      </c>
      <c r="F53" s="413"/>
      <c r="G53" s="450"/>
      <c r="J53" s="231"/>
      <c r="K53" s="231"/>
    </row>
    <row r="54" spans="2:11" x14ac:dyDescent="0.25">
      <c r="B54" s="400" t="s">
        <v>1043</v>
      </c>
      <c r="C54" s="709" t="s">
        <v>1053</v>
      </c>
      <c r="D54" s="710" t="s">
        <v>1053</v>
      </c>
      <c r="F54" s="413"/>
      <c r="G54" s="450"/>
      <c r="J54" s="231"/>
      <c r="K54" s="231"/>
    </row>
    <row r="55" spans="2:11" x14ac:dyDescent="0.25">
      <c r="B55" s="400" t="s">
        <v>312</v>
      </c>
      <c r="C55" s="709" t="s">
        <v>1053</v>
      </c>
      <c r="D55" s="710" t="s">
        <v>1053</v>
      </c>
      <c r="F55" s="413"/>
      <c r="G55" s="450"/>
      <c r="J55" s="231"/>
      <c r="K55" s="231"/>
    </row>
    <row r="56" spans="2:11" ht="56.25" customHeight="1" x14ac:dyDescent="0.25">
      <c r="B56" s="400" t="s">
        <v>1044</v>
      </c>
      <c r="C56" s="709" t="s">
        <v>1053</v>
      </c>
      <c r="D56" s="710" t="s">
        <v>1053</v>
      </c>
      <c r="F56" s="413"/>
      <c r="G56" s="450"/>
      <c r="J56" s="231"/>
      <c r="K56" s="231"/>
    </row>
    <row r="57" spans="2:11" x14ac:dyDescent="0.25">
      <c r="B57" s="400" t="s">
        <v>1045</v>
      </c>
      <c r="C57" s="709" t="s">
        <v>1053</v>
      </c>
      <c r="D57" s="710" t="s">
        <v>1053</v>
      </c>
      <c r="F57" s="413"/>
      <c r="G57" s="450"/>
      <c r="J57" s="231"/>
      <c r="K57" s="231"/>
    </row>
    <row r="58" spans="2:11" x14ac:dyDescent="0.25">
      <c r="B58" s="400" t="s">
        <v>1046</v>
      </c>
      <c r="C58" s="709" t="s">
        <v>1053</v>
      </c>
      <c r="D58" s="710" t="s">
        <v>1053</v>
      </c>
      <c r="F58" s="413"/>
      <c r="G58" s="450"/>
      <c r="J58" s="231"/>
      <c r="K58" s="231"/>
    </row>
    <row r="59" spans="2:11" x14ac:dyDescent="0.25">
      <c r="B59" s="400" t="s">
        <v>1047</v>
      </c>
      <c r="C59" s="709" t="s">
        <v>1053</v>
      </c>
      <c r="D59" s="710" t="s">
        <v>1053</v>
      </c>
      <c r="F59" s="413"/>
      <c r="G59" s="450" t="str">
        <f t="shared" si="1"/>
        <v/>
      </c>
      <c r="J59" s="231"/>
      <c r="K59" s="231"/>
    </row>
    <row r="60" spans="2:11" ht="25.5" x14ac:dyDescent="0.25">
      <c r="B60" s="400" t="s">
        <v>1048</v>
      </c>
      <c r="C60" s="709" t="s">
        <v>1053</v>
      </c>
      <c r="D60" s="710" t="s">
        <v>1053</v>
      </c>
      <c r="F60" s="413"/>
      <c r="G60" s="450" t="str">
        <f t="shared" si="1"/>
        <v/>
      </c>
      <c r="J60" s="231"/>
      <c r="K60" s="231"/>
    </row>
    <row r="61" spans="2:11" ht="30" customHeight="1" x14ac:dyDescent="0.25">
      <c r="B61" s="400" t="s">
        <v>1049</v>
      </c>
      <c r="C61" s="711" t="s">
        <v>1054</v>
      </c>
      <c r="D61" s="712" t="s">
        <v>1054</v>
      </c>
      <c r="F61" s="413"/>
      <c r="G61" s="450" t="str">
        <f t="shared" si="1"/>
        <v/>
      </c>
      <c r="J61" s="231"/>
      <c r="K61" s="231"/>
    </row>
    <row r="62" spans="2:11" ht="30" customHeight="1" x14ac:dyDescent="0.25">
      <c r="B62" s="400" t="s">
        <v>1050</v>
      </c>
      <c r="C62" s="711" t="s">
        <v>1054</v>
      </c>
      <c r="D62" s="712" t="s">
        <v>1054</v>
      </c>
      <c r="F62" s="413"/>
      <c r="G62" s="450" t="str">
        <f t="shared" si="1"/>
        <v/>
      </c>
      <c r="J62" s="231"/>
      <c r="K62" s="231"/>
    </row>
    <row r="63" spans="2:11" ht="41.25" customHeight="1" x14ac:dyDescent="0.25">
      <c r="B63" s="400" t="s">
        <v>1051</v>
      </c>
      <c r="C63" s="711" t="s">
        <v>1055</v>
      </c>
      <c r="D63" s="712" t="s">
        <v>1055</v>
      </c>
      <c r="F63" s="413"/>
      <c r="G63" s="450" t="str">
        <f t="shared" si="1"/>
        <v/>
      </c>
      <c r="J63" s="231"/>
      <c r="K63" s="231"/>
    </row>
    <row r="64" spans="2:11" ht="7.5" customHeight="1" x14ac:dyDescent="0.25">
      <c r="J64" s="381"/>
    </row>
    <row r="65" spans="2:15" x14ac:dyDescent="0.25">
      <c r="B65" s="528" t="s">
        <v>359</v>
      </c>
      <c r="C65" s="524" t="s">
        <v>62</v>
      </c>
      <c r="D65" s="525" t="s">
        <v>63</v>
      </c>
      <c r="F65" s="526" t="s">
        <v>146</v>
      </c>
      <c r="G65" s="228"/>
      <c r="H65" s="211"/>
      <c r="I65" s="211"/>
      <c r="J65" s="527" t="s">
        <v>1002</v>
      </c>
      <c r="K65" s="527" t="s">
        <v>363</v>
      </c>
    </row>
    <row r="66" spans="2:15" ht="25.5" x14ac:dyDescent="0.25">
      <c r="B66" s="673" t="s">
        <v>1012</v>
      </c>
      <c r="C66" s="699" t="s">
        <v>157</v>
      </c>
      <c r="D66" s="702" t="s">
        <v>157</v>
      </c>
      <c r="F66" s="413"/>
      <c r="G66" s="228" t="str">
        <f t="shared" ref="G66:G80" si="2">IF(OR(TRIM(D66)&lt;&gt;"",TRIM(F66)&lt;&gt;""),IF(AND(TRIM(D66)&lt;&gt;"",TRIM(F66)&lt;&gt;""),IF(OR(TRIM(C66)&lt;&gt;TRIM(D66),TRIM(C66)&lt;&gt;TRIM(F66)),"_",""),IF(TRIM(C66)&lt;&gt;TRIM(D66), "_", "")),"")</f>
        <v/>
      </c>
      <c r="H66" s="211"/>
      <c r="I66" s="211"/>
      <c r="J66" s="231"/>
      <c r="K66" s="231"/>
      <c r="M66" s="1139" t="s">
        <v>1057</v>
      </c>
      <c r="N66" s="1139"/>
      <c r="O66" s="1139"/>
    </row>
    <row r="67" spans="2:15" x14ac:dyDescent="0.25">
      <c r="B67" s="368" t="s">
        <v>1013</v>
      </c>
      <c r="C67" s="699" t="s">
        <v>157</v>
      </c>
      <c r="D67" s="702" t="s">
        <v>157</v>
      </c>
      <c r="F67" s="413"/>
      <c r="G67" s="228" t="str">
        <f t="shared" si="2"/>
        <v/>
      </c>
      <c r="H67" s="211"/>
      <c r="I67" s="211"/>
      <c r="J67" s="231"/>
      <c r="K67" s="231"/>
      <c r="M67" s="1139"/>
      <c r="N67" s="1139"/>
      <c r="O67" s="1139"/>
    </row>
    <row r="68" spans="2:15" x14ac:dyDescent="0.25">
      <c r="B68" s="368" t="s">
        <v>1014</v>
      </c>
      <c r="C68" s="699" t="s">
        <v>157</v>
      </c>
      <c r="D68" s="702" t="s">
        <v>157</v>
      </c>
      <c r="F68" s="413"/>
      <c r="G68" s="228" t="str">
        <f t="shared" si="2"/>
        <v/>
      </c>
      <c r="H68" s="211"/>
      <c r="I68" s="211"/>
      <c r="J68" s="231"/>
      <c r="K68" s="231"/>
      <c r="M68" s="1139"/>
      <c r="N68" s="1139"/>
      <c r="O68" s="1139"/>
    </row>
    <row r="69" spans="2:15" ht="30.75" customHeight="1" x14ac:dyDescent="0.25">
      <c r="B69" s="368" t="s">
        <v>1015</v>
      </c>
      <c r="C69" s="699" t="s">
        <v>157</v>
      </c>
      <c r="D69" s="702" t="s">
        <v>157</v>
      </c>
      <c r="F69" s="413"/>
      <c r="G69" s="228" t="str">
        <f t="shared" si="2"/>
        <v/>
      </c>
      <c r="H69" s="211"/>
      <c r="I69" s="211"/>
      <c r="J69" s="231"/>
      <c r="K69" s="231"/>
      <c r="M69" s="1139"/>
      <c r="N69" s="1139"/>
      <c r="O69" s="1139"/>
    </row>
    <row r="70" spans="2:15" ht="30.75" customHeight="1" x14ac:dyDescent="0.25">
      <c r="B70" s="382" t="s">
        <v>1016</v>
      </c>
      <c r="C70" s="699" t="s">
        <v>157</v>
      </c>
      <c r="D70" s="702" t="s">
        <v>157</v>
      </c>
      <c r="F70" s="413"/>
      <c r="G70" s="228" t="str">
        <f t="shared" si="2"/>
        <v/>
      </c>
      <c r="H70" s="211"/>
      <c r="I70" s="211"/>
      <c r="J70" s="231"/>
      <c r="K70" s="231"/>
      <c r="M70" s="1139"/>
      <c r="N70" s="1139"/>
      <c r="O70" s="1139"/>
    </row>
    <row r="71" spans="2:15" ht="30.75" customHeight="1" x14ac:dyDescent="0.25">
      <c r="B71" s="400" t="s">
        <v>1017</v>
      </c>
      <c r="C71" s="699" t="s">
        <v>157</v>
      </c>
      <c r="D71" s="702" t="s">
        <v>157</v>
      </c>
      <c r="F71" s="413"/>
      <c r="G71" s="228" t="str">
        <f t="shared" si="2"/>
        <v/>
      </c>
      <c r="H71" s="211"/>
      <c r="I71" s="211"/>
      <c r="J71" s="231"/>
      <c r="K71" s="231"/>
      <c r="M71" s="1139"/>
      <c r="N71" s="1139"/>
      <c r="O71" s="1139"/>
    </row>
    <row r="72" spans="2:15" ht="30.75" customHeight="1" x14ac:dyDescent="0.25">
      <c r="B72" s="400" t="s">
        <v>1018</v>
      </c>
      <c r="C72" s="699" t="s">
        <v>157</v>
      </c>
      <c r="D72" s="702" t="s">
        <v>157</v>
      </c>
      <c r="F72" s="413"/>
      <c r="G72" s="228" t="str">
        <f t="shared" si="2"/>
        <v/>
      </c>
      <c r="H72" s="211"/>
      <c r="I72" s="211"/>
      <c r="J72" s="231"/>
      <c r="K72" s="231"/>
      <c r="M72" s="1139"/>
      <c r="N72" s="1139"/>
      <c r="O72" s="1139"/>
    </row>
    <row r="73" spans="2:15" ht="28.5" customHeight="1" x14ac:dyDescent="0.25">
      <c r="B73" s="368" t="s">
        <v>1019</v>
      </c>
      <c r="C73" s="699" t="s">
        <v>157</v>
      </c>
      <c r="D73" s="702" t="s">
        <v>157</v>
      </c>
      <c r="F73" s="413"/>
      <c r="G73" s="228" t="str">
        <f t="shared" si="2"/>
        <v/>
      </c>
      <c r="H73" s="211"/>
      <c r="I73" s="211"/>
      <c r="J73" s="231"/>
      <c r="K73" s="231"/>
      <c r="M73" s="1139"/>
      <c r="N73" s="1139"/>
      <c r="O73" s="1139"/>
    </row>
    <row r="74" spans="2:15" ht="30.75" customHeight="1" x14ac:dyDescent="0.25">
      <c r="B74" s="696" t="s">
        <v>1024</v>
      </c>
      <c r="C74" s="699" t="s">
        <v>157</v>
      </c>
      <c r="D74" s="702" t="s">
        <v>157</v>
      </c>
      <c r="F74" s="413"/>
      <c r="G74" s="228" t="str">
        <f t="shared" si="2"/>
        <v/>
      </c>
      <c r="H74" s="211"/>
      <c r="I74" s="211"/>
      <c r="J74" s="231"/>
      <c r="K74" s="231"/>
      <c r="M74" s="1139"/>
      <c r="N74" s="1139"/>
      <c r="O74" s="1139"/>
    </row>
    <row r="75" spans="2:15" x14ac:dyDescent="0.25">
      <c r="B75" s="400" t="s">
        <v>1020</v>
      </c>
      <c r="C75" s="699" t="s">
        <v>157</v>
      </c>
      <c r="D75" s="702" t="s">
        <v>157</v>
      </c>
      <c r="F75" s="413"/>
      <c r="G75" s="228" t="str">
        <f t="shared" si="2"/>
        <v/>
      </c>
      <c r="H75" s="211"/>
      <c r="I75" s="211"/>
      <c r="J75" s="231"/>
      <c r="K75" s="231"/>
      <c r="M75" s="1139"/>
      <c r="N75" s="1139"/>
      <c r="O75" s="1139"/>
    </row>
    <row r="76" spans="2:15" x14ac:dyDescent="0.25">
      <c r="B76" s="673" t="s">
        <v>1025</v>
      </c>
      <c r="C76" s="699" t="s">
        <v>157</v>
      </c>
      <c r="D76" s="702" t="s">
        <v>157</v>
      </c>
      <c r="F76" s="413"/>
      <c r="G76" s="228" t="str">
        <f t="shared" si="2"/>
        <v/>
      </c>
      <c r="H76" s="211"/>
      <c r="I76" s="211"/>
      <c r="J76" s="231"/>
      <c r="K76" s="231"/>
      <c r="M76" s="1139"/>
      <c r="N76" s="1139"/>
      <c r="O76" s="1139"/>
    </row>
    <row r="77" spans="2:15" x14ac:dyDescent="0.25">
      <c r="B77" s="368" t="s">
        <v>1021</v>
      </c>
      <c r="C77" s="699" t="s">
        <v>157</v>
      </c>
      <c r="D77" s="702" t="s">
        <v>157</v>
      </c>
      <c r="F77" s="413"/>
      <c r="G77" s="228" t="str">
        <f t="shared" si="2"/>
        <v/>
      </c>
      <c r="H77" s="211"/>
      <c r="I77" s="211"/>
      <c r="J77" s="231"/>
      <c r="K77" s="231"/>
      <c r="M77" s="1139"/>
      <c r="N77" s="1139"/>
      <c r="O77" s="1139"/>
    </row>
    <row r="78" spans="2:15" x14ac:dyDescent="0.25">
      <c r="B78" s="368" t="s">
        <v>1022</v>
      </c>
      <c r="C78" s="699" t="s">
        <v>157</v>
      </c>
      <c r="D78" s="702" t="s">
        <v>157</v>
      </c>
      <c r="F78" s="413"/>
      <c r="G78" s="228" t="str">
        <f t="shared" si="2"/>
        <v/>
      </c>
      <c r="H78" s="211"/>
      <c r="I78" s="211"/>
      <c r="J78" s="231"/>
      <c r="K78" s="231"/>
      <c r="M78" s="1139"/>
      <c r="N78" s="1139"/>
      <c r="O78" s="1139"/>
    </row>
    <row r="79" spans="2:15" ht="30.75" customHeight="1" x14ac:dyDescent="0.25">
      <c r="B79" s="696" t="s">
        <v>1026</v>
      </c>
      <c r="C79" s="699" t="s">
        <v>157</v>
      </c>
      <c r="D79" s="702" t="s">
        <v>157</v>
      </c>
      <c r="F79" s="413"/>
      <c r="G79" s="228" t="str">
        <f t="shared" si="2"/>
        <v/>
      </c>
      <c r="H79" s="211"/>
      <c r="I79" s="211"/>
      <c r="J79" s="231"/>
      <c r="K79" s="231"/>
      <c r="M79" s="1139"/>
      <c r="N79" s="1139"/>
      <c r="O79" s="1139"/>
    </row>
    <row r="80" spans="2:15" x14ac:dyDescent="0.25">
      <c r="B80" s="400" t="s">
        <v>1023</v>
      </c>
      <c r="C80" s="699" t="s">
        <v>157</v>
      </c>
      <c r="D80" s="702" t="s">
        <v>157</v>
      </c>
      <c r="F80" s="413"/>
      <c r="G80" s="228" t="str">
        <f t="shared" si="2"/>
        <v/>
      </c>
      <c r="H80" s="211"/>
      <c r="I80" s="211"/>
      <c r="J80" s="231"/>
      <c r="K80" s="231"/>
      <c r="M80" s="1139"/>
      <c r="N80" s="1139"/>
      <c r="O80" s="1139"/>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1" spans="5:5" x14ac:dyDescent="0.25">
      <c r="E101" s="16"/>
    </row>
    <row r="102" spans="5:5" x14ac:dyDescent="0.25">
      <c r="E102" s="16"/>
    </row>
    <row r="103" spans="5:5" x14ac:dyDescent="0.25">
      <c r="E103" s="16"/>
    </row>
    <row r="104" spans="5:5" x14ac:dyDescent="0.25">
      <c r="E104" s="16"/>
    </row>
    <row r="105" spans="5:5" x14ac:dyDescent="0.25">
      <c r="E105" s="16"/>
    </row>
    <row r="106" spans="5:5" x14ac:dyDescent="0.25">
      <c r="E106" s="16"/>
    </row>
    <row r="107" spans="5:5" x14ac:dyDescent="0.25">
      <c r="E107" s="16"/>
    </row>
    <row r="108" spans="5:5" x14ac:dyDescent="0.25">
      <c r="E108" s="16"/>
    </row>
    <row r="109" spans="5:5" x14ac:dyDescent="0.25">
      <c r="E109" s="16"/>
    </row>
    <row r="110" spans="5:5" x14ac:dyDescent="0.25">
      <c r="E110" s="16"/>
    </row>
    <row r="111" spans="5:5" x14ac:dyDescent="0.25">
      <c r="E111" s="16"/>
    </row>
    <row r="112" spans="5:5" x14ac:dyDescent="0.25">
      <c r="E112" s="16"/>
    </row>
    <row r="113" spans="5:5" x14ac:dyDescent="0.25">
      <c r="E113" s="16"/>
    </row>
    <row r="114" spans="5:5" x14ac:dyDescent="0.25">
      <c r="E114" s="16"/>
    </row>
    <row r="115" spans="5:5" x14ac:dyDescent="0.25">
      <c r="E115" s="16"/>
    </row>
    <row r="116" spans="5:5" x14ac:dyDescent="0.25">
      <c r="E116" s="16"/>
    </row>
    <row r="117" spans="5:5" x14ac:dyDescent="0.25">
      <c r="E117" s="16"/>
    </row>
    <row r="118" spans="5:5" x14ac:dyDescent="0.25">
      <c r="E118" s="16"/>
    </row>
    <row r="119" spans="5:5" x14ac:dyDescent="0.25">
      <c r="E119" s="16"/>
    </row>
    <row r="120" spans="5:5" x14ac:dyDescent="0.25">
      <c r="E120" s="16"/>
    </row>
    <row r="121" spans="5:5" x14ac:dyDescent="0.25">
      <c r="E121" s="16"/>
    </row>
    <row r="122" spans="5:5" x14ac:dyDescent="0.25">
      <c r="E122" s="16"/>
    </row>
  </sheetData>
  <mergeCells count="5">
    <mergeCell ref="B20:D20"/>
    <mergeCell ref="B23:D23"/>
    <mergeCell ref="B21:F21"/>
    <mergeCell ref="B24:F24"/>
    <mergeCell ref="M66:O80"/>
  </mergeCells>
  <conditionalFormatting sqref="G81:G1048576 G1:G8 G13:G14 G10:G11 G16:G64">
    <cfRule type="cellIs" dxfId="7" priority="8" operator="equal">
      <formula>"_"</formula>
    </cfRule>
  </conditionalFormatting>
  <conditionalFormatting sqref="G27">
    <cfRule type="cellIs" dxfId="6" priority="7" operator="equal">
      <formula>"_"</formula>
    </cfRule>
  </conditionalFormatting>
  <conditionalFormatting sqref="G81:G1048576">
    <cfRule type="cellIs" dxfId="5" priority="5" operator="equal">
      <formula>"_"</formula>
    </cfRule>
  </conditionalFormatting>
  <conditionalFormatting sqref="G65:G80">
    <cfRule type="cellIs" dxfId="4" priority="4" operator="equal">
      <formula>"_"</formula>
    </cfRule>
  </conditionalFormatting>
  <conditionalFormatting sqref="G15">
    <cfRule type="cellIs" dxfId="3" priority="3" operator="equal">
      <formula>"_"</formula>
    </cfRule>
  </conditionalFormatting>
  <conditionalFormatting sqref="G9">
    <cfRule type="cellIs" dxfId="2" priority="2" operator="equal">
      <formula>"_"</formula>
    </cfRule>
  </conditionalFormatting>
  <conditionalFormatting sqref="G12">
    <cfRule type="cellIs" dxfId="1"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Aircraft (Drone) Liability</oddHeader>
    <oddFooter>&amp;L&amp;G&amp;CPage &amp;P of &amp;N</oddFooter>
  </headerFooter>
  <drawing r:id="rId2"/>
  <legacyDrawingHF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06B87-9B06-403C-A2F3-E4C9882C77CA}">
  <sheetPr codeName="Sheet42">
    <pageSetUpPr fitToPage="1"/>
  </sheetPr>
  <dimension ref="B1:N104"/>
  <sheetViews>
    <sheetView showGridLines="0" view="pageBreakPreview" topLeftCell="A17" zoomScale="115" zoomScaleNormal="100" zoomScaleSheetLayoutView="115" workbookViewId="0">
      <selection activeCell="D32" sqref="D32"/>
    </sheetView>
  </sheetViews>
  <sheetFormatPr defaultColWidth="9.140625" defaultRowHeight="15" x14ac:dyDescent="0.25"/>
  <cols>
    <col min="1" max="1" width="2.28515625" style="16" customWidth="1"/>
    <col min="2" max="2" width="46.42578125" style="16" customWidth="1"/>
    <col min="3" max="4" width="16.42578125" style="450" customWidth="1"/>
    <col min="5" max="5" width="5.7109375" style="926" customWidth="1"/>
    <col min="6" max="6" width="16.42578125" style="451" customWidth="1"/>
    <col min="7" max="7" width="9.140625" style="452" customWidth="1"/>
    <col min="8" max="9" width="3.5703125" style="452" customWidth="1"/>
    <col min="10" max="10" width="28.5703125" style="721" customWidth="1"/>
    <col min="11" max="11" width="9.140625" style="16" customWidth="1"/>
    <col min="12" max="12" width="25.5703125" style="16" customWidth="1"/>
    <col min="13" max="52" width="9.140625" style="16" customWidth="1"/>
    <col min="53" max="16384" width="9.140625" style="16"/>
  </cols>
  <sheetData>
    <row r="1" spans="2:12" ht="7.5" customHeight="1" x14ac:dyDescent="0.25">
      <c r="E1" s="450"/>
    </row>
    <row r="2" spans="2:12" ht="15.75" x14ac:dyDescent="0.25">
      <c r="B2" s="453" t="str">
        <f>[1]Input!B934</f>
        <v>Employed Lawyers Liability</v>
      </c>
      <c r="E2" s="450"/>
      <c r="H2" s="454"/>
      <c r="I2" s="455"/>
      <c r="K2" s="456" t="s">
        <v>391</v>
      </c>
      <c r="L2" s="721" t="s">
        <v>361</v>
      </c>
    </row>
    <row r="3" spans="2:12" x14ac:dyDescent="0.25">
      <c r="D3" s="455" t="str">
        <f xml:space="preserve"> IF([1]Input!D938=[1]Input!G938,CHAR(254), "")</f>
        <v/>
      </c>
      <c r="E3" s="457"/>
      <c r="F3" s="458" t="str">
        <f xml:space="preserve"> IF([1]Input!E938=[1]Input!G938,CHAR(254), "")</f>
        <v/>
      </c>
      <c r="K3" s="459" t="s">
        <v>157</v>
      </c>
      <c r="L3" s="757" t="s">
        <v>362</v>
      </c>
    </row>
    <row r="4" spans="2:12" x14ac:dyDescent="0.25">
      <c r="B4" s="523" t="s">
        <v>66</v>
      </c>
      <c r="C4" s="524" t="s">
        <v>62</v>
      </c>
      <c r="D4" s="525" t="s">
        <v>63</v>
      </c>
      <c r="E4" s="426"/>
      <c r="F4" s="526" t="s">
        <v>146</v>
      </c>
      <c r="J4" s="527" t="s">
        <v>363</v>
      </c>
      <c r="K4" s="460"/>
      <c r="L4" s="757"/>
    </row>
    <row r="5" spans="2:12" ht="31.5" customHeight="1" x14ac:dyDescent="0.25">
      <c r="B5" s="789" t="s">
        <v>60</v>
      </c>
      <c r="C5" s="711" t="str">
        <f>[1]Input!B939</f>
        <v>Federal Insurance Company (Chubb)</v>
      </c>
      <c r="D5" s="712" t="str">
        <f>[1]Input!D939</f>
        <v>Federal Insurance Company (Chubb)</v>
      </c>
      <c r="F5" s="713">
        <f>[1]Input!E939</f>
        <v>0</v>
      </c>
      <c r="J5" s="740"/>
    </row>
    <row r="6" spans="2:12" x14ac:dyDescent="0.25">
      <c r="B6" s="789" t="s">
        <v>69</v>
      </c>
      <c r="C6" s="711" t="str">
        <f>[1]Input!B941</f>
        <v>A++: XV</v>
      </c>
      <c r="D6" s="712" t="str">
        <f>[1]Input!D941</f>
        <v>A++: XV</v>
      </c>
      <c r="F6" s="713">
        <f>[1]Input!E941</f>
        <v>0</v>
      </c>
      <c r="J6" s="740"/>
    </row>
    <row r="7" spans="2:12" x14ac:dyDescent="0.25">
      <c r="B7" s="789" t="str">
        <f>[1]Input!B937</f>
        <v>Renewal Policy Number</v>
      </c>
      <c r="C7" s="711" t="str">
        <f>[1]Input!C936</f>
        <v>8260-3535</v>
      </c>
      <c r="D7" s="712" t="str">
        <f>[1]Input!C937</f>
        <v>TBD</v>
      </c>
      <c r="F7" s="713" t="str">
        <f>[1]Input!C937</f>
        <v>TBD</v>
      </c>
      <c r="J7" s="740"/>
    </row>
    <row r="8" spans="2:12" ht="15" customHeight="1" x14ac:dyDescent="0.25">
      <c r="B8" s="789" t="str">
        <f>[1]Input!B6</f>
        <v>Renewal Policy Period</v>
      </c>
      <c r="C8" s="711" t="str">
        <f>[1]Input!C5</f>
        <v>8/1/2021 - 8/1/2022</v>
      </c>
      <c r="D8" s="712" t="str">
        <f>[1]Input!C6</f>
        <v>8/1/2022 - 8/1/2023</v>
      </c>
      <c r="F8" s="713" t="str">
        <f>[1]Input!C6</f>
        <v>8/1/2022 - 8/1/2023</v>
      </c>
      <c r="J8" s="740"/>
    </row>
    <row r="9" spans="2:12" x14ac:dyDescent="0.25">
      <c r="B9" s="789" t="s">
        <v>18</v>
      </c>
      <c r="C9" s="972">
        <f>[1]Input!G955</f>
        <v>2000000</v>
      </c>
      <c r="D9" s="1085">
        <f>[1]Input!G956</f>
        <v>2000000</v>
      </c>
      <c r="E9" s="920"/>
      <c r="F9" s="921">
        <f>[1]Input!G957</f>
        <v>0</v>
      </c>
      <c r="J9" s="740"/>
    </row>
    <row r="10" spans="2:12" x14ac:dyDescent="0.25">
      <c r="B10" s="789" t="s">
        <v>199</v>
      </c>
      <c r="C10" s="972">
        <f>[1]Input!H955</f>
        <v>2000000</v>
      </c>
      <c r="D10" s="1085">
        <f>[1]Input!H956</f>
        <v>2000000</v>
      </c>
      <c r="E10" s="920"/>
      <c r="F10" s="921">
        <f>[1]Input!H957</f>
        <v>0</v>
      </c>
      <c r="J10" s="740"/>
    </row>
    <row r="11" spans="2:12" ht="30" customHeight="1" x14ac:dyDescent="0.25">
      <c r="B11" s="875" t="s">
        <v>23</v>
      </c>
      <c r="C11" s="1086" t="str">
        <f>[1]Input!I955</f>
        <v>Clause A - $0;
Clause B - $10,000</v>
      </c>
      <c r="D11" s="1087" t="str">
        <f>[1]Input!I956</f>
        <v>Clause A - $0;
Clause B - $10,000</v>
      </c>
      <c r="E11" s="920"/>
      <c r="F11" s="1088">
        <f>[1]Input!I957</f>
        <v>0</v>
      </c>
      <c r="J11" s="740"/>
    </row>
    <row r="12" spans="2:12" x14ac:dyDescent="0.25">
      <c r="B12" s="875" t="s">
        <v>343</v>
      </c>
      <c r="C12" s="1089">
        <f>[1]Input!B943</f>
        <v>2999</v>
      </c>
      <c r="D12" s="1085">
        <f>[1]Input!D943</f>
        <v>2999</v>
      </c>
      <c r="E12" s="920"/>
      <c r="F12" s="921">
        <f>[1]Input!E943</f>
        <v>0</v>
      </c>
      <c r="J12" s="740"/>
    </row>
    <row r="13" spans="2:12" x14ac:dyDescent="0.25">
      <c r="B13" s="875" t="s">
        <v>374</v>
      </c>
      <c r="C13" s="1090">
        <f>C14-C12</f>
        <v>0</v>
      </c>
      <c r="D13" s="1085">
        <f>D14-D12</f>
        <v>0</v>
      </c>
      <c r="E13" s="920"/>
      <c r="F13" s="1088">
        <f>F14-F12</f>
        <v>0</v>
      </c>
      <c r="J13" s="740"/>
    </row>
    <row r="14" spans="2:12" x14ac:dyDescent="0.25">
      <c r="B14" s="875" t="s">
        <v>369</v>
      </c>
      <c r="C14" s="1090">
        <f>[1]Input!B951</f>
        <v>2999</v>
      </c>
      <c r="D14" s="1087">
        <f>[1]Input!D951</f>
        <v>2999</v>
      </c>
      <c r="E14" s="920"/>
      <c r="F14" s="921">
        <f>[1]Input!E951</f>
        <v>0</v>
      </c>
      <c r="J14" s="740"/>
    </row>
    <row r="15" spans="2:12" ht="7.5" customHeight="1" x14ac:dyDescent="0.25">
      <c r="B15" s="1091"/>
      <c r="C15" s="926"/>
      <c r="D15" s="926"/>
      <c r="F15" s="1092"/>
    </row>
    <row r="16" spans="2:12" x14ac:dyDescent="0.25">
      <c r="B16" s="1274" t="s">
        <v>144</v>
      </c>
      <c r="C16" s="1274"/>
      <c r="D16" s="1274"/>
      <c r="E16" s="238"/>
      <c r="F16" s="274"/>
      <c r="L16" s="1093">
        <v>43756</v>
      </c>
    </row>
    <row r="17" spans="2:14" ht="15" customHeight="1" x14ac:dyDescent="0.25">
      <c r="B17" s="1287" t="s">
        <v>1172</v>
      </c>
      <c r="C17" s="1287"/>
      <c r="D17" s="1287"/>
      <c r="E17" s="432"/>
      <c r="F17" s="1092"/>
      <c r="L17" s="1093">
        <v>44409</v>
      </c>
      <c r="M17" s="16">
        <f>5351/L19</f>
        <v>8.1944869831546701</v>
      </c>
      <c r="N17" s="16">
        <f>M17*365</f>
        <v>2990.9877488514544</v>
      </c>
    </row>
    <row r="18" spans="2:14" ht="7.5" customHeight="1" x14ac:dyDescent="0.25">
      <c r="B18" s="380"/>
      <c r="C18" s="238"/>
      <c r="D18" s="238"/>
      <c r="E18" s="433"/>
      <c r="F18" s="1092"/>
    </row>
    <row r="19" spans="2:14" x14ac:dyDescent="0.25">
      <c r="B19" s="1274" t="s">
        <v>145</v>
      </c>
      <c r="C19" s="1274"/>
      <c r="D19" s="1274"/>
      <c r="E19" s="1094"/>
      <c r="F19" s="1092"/>
      <c r="L19" s="16">
        <f>L17-L16</f>
        <v>653</v>
      </c>
    </row>
    <row r="20" spans="2:14" x14ac:dyDescent="0.25">
      <c r="B20" s="1095" t="s">
        <v>1172</v>
      </c>
      <c r="C20" s="1096"/>
      <c r="D20" s="1096"/>
      <c r="F20" s="1092"/>
    </row>
    <row r="21" spans="2:14" ht="7.5" customHeight="1" x14ac:dyDescent="0.25">
      <c r="B21" s="1091"/>
      <c r="C21" s="926"/>
      <c r="D21" s="926"/>
      <c r="F21" s="1092"/>
    </row>
    <row r="22" spans="2:14" x14ac:dyDescent="0.25">
      <c r="B22" s="1097" t="s">
        <v>72</v>
      </c>
      <c r="C22" s="626" t="s">
        <v>62</v>
      </c>
      <c r="D22" s="1098" t="s">
        <v>63</v>
      </c>
      <c r="E22" s="426"/>
      <c r="F22" s="526" t="s">
        <v>146</v>
      </c>
      <c r="J22" s="527" t="s">
        <v>363</v>
      </c>
    </row>
    <row r="23" spans="2:14" x14ac:dyDescent="0.25">
      <c r="B23" s="789" t="s">
        <v>2031</v>
      </c>
      <c r="C23" s="692" t="s">
        <v>157</v>
      </c>
      <c r="D23" s="692" t="s">
        <v>157</v>
      </c>
      <c r="E23" s="426"/>
      <c r="F23" s="526"/>
      <c r="G23" s="452" t="str">
        <f t="shared" ref="G23:G59" si="0">IF(OR(TRIM(D23)&lt;&gt;"",TRIM(F23)&lt;&gt;""),IF(AND(TRIM(D23)&lt;&gt;"",TRIM(F23)&lt;&gt;""),IF(OR(TRIM(C23)&lt;&gt;TRIM(D23),TRIM(C23)&lt;&gt;TRIM(F23)),"_",""),IF(TRIM(C23)&lt;&gt;TRIM(D23), "_", "")),"")</f>
        <v/>
      </c>
      <c r="J23" s="527"/>
    </row>
    <row r="24" spans="2:14" x14ac:dyDescent="0.25">
      <c r="B24" s="789" t="s">
        <v>2032</v>
      </c>
      <c r="C24" s="692" t="s">
        <v>157</v>
      </c>
      <c r="D24" s="692" t="s">
        <v>157</v>
      </c>
      <c r="E24" s="426"/>
      <c r="F24" s="526"/>
      <c r="G24" s="452" t="str">
        <f t="shared" si="0"/>
        <v/>
      </c>
      <c r="J24" s="527"/>
    </row>
    <row r="25" spans="2:14" x14ac:dyDescent="0.25">
      <c r="B25" s="789" t="s">
        <v>2033</v>
      </c>
      <c r="C25" s="692" t="s">
        <v>157</v>
      </c>
      <c r="D25" s="692" t="s">
        <v>157</v>
      </c>
      <c r="E25" s="426"/>
      <c r="F25" s="526"/>
      <c r="G25" s="452" t="str">
        <f t="shared" si="0"/>
        <v/>
      </c>
      <c r="J25" s="527"/>
    </row>
    <row r="26" spans="2:14" x14ac:dyDescent="0.25">
      <c r="B26" s="789" t="s">
        <v>2034</v>
      </c>
      <c r="C26" s="692" t="s">
        <v>157</v>
      </c>
      <c r="D26" s="692" t="s">
        <v>157</v>
      </c>
      <c r="E26" s="426"/>
      <c r="F26" s="526"/>
      <c r="G26" s="452" t="str">
        <f t="shared" si="0"/>
        <v/>
      </c>
      <c r="J26" s="527"/>
    </row>
    <row r="27" spans="2:14" x14ac:dyDescent="0.25">
      <c r="B27" s="789" t="s">
        <v>2035</v>
      </c>
      <c r="C27" s="692" t="s">
        <v>157</v>
      </c>
      <c r="D27" s="692" t="s">
        <v>157</v>
      </c>
      <c r="E27" s="426"/>
      <c r="F27" s="526"/>
      <c r="G27" s="452" t="str">
        <f t="shared" si="0"/>
        <v/>
      </c>
      <c r="J27" s="527"/>
    </row>
    <row r="28" spans="2:14" x14ac:dyDescent="0.25">
      <c r="B28" s="789" t="s">
        <v>2036</v>
      </c>
      <c r="C28" s="797" t="s">
        <v>391</v>
      </c>
      <c r="D28" s="797" t="s">
        <v>391</v>
      </c>
      <c r="E28" s="426"/>
      <c r="F28" s="526"/>
      <c r="G28" s="452" t="str">
        <f t="shared" si="0"/>
        <v/>
      </c>
      <c r="J28" s="527"/>
    </row>
    <row r="29" spans="2:14" x14ac:dyDescent="0.25">
      <c r="B29" s="875" t="s">
        <v>2037</v>
      </c>
      <c r="C29" s="862" t="s">
        <v>157</v>
      </c>
      <c r="D29" s="862" t="s">
        <v>157</v>
      </c>
      <c r="E29" s="426"/>
      <c r="F29" s="526"/>
      <c r="G29" s="452" t="str">
        <f t="shared" si="0"/>
        <v/>
      </c>
      <c r="J29" s="527"/>
    </row>
    <row r="30" spans="2:14" ht="7.5" customHeight="1" x14ac:dyDescent="0.25">
      <c r="B30" s="757"/>
      <c r="C30" s="926"/>
      <c r="D30" s="926"/>
      <c r="F30" s="1092"/>
      <c r="G30" s="452" t="str">
        <f t="shared" si="0"/>
        <v/>
      </c>
    </row>
    <row r="31" spans="2:14" x14ac:dyDescent="0.25">
      <c r="B31" s="1097" t="s">
        <v>103</v>
      </c>
      <c r="C31" s="626" t="s">
        <v>62</v>
      </c>
      <c r="D31" s="1098" t="s">
        <v>63</v>
      </c>
      <c r="F31" s="526" t="s">
        <v>146</v>
      </c>
      <c r="J31" s="527" t="s">
        <v>363</v>
      </c>
    </row>
    <row r="32" spans="2:14" x14ac:dyDescent="0.25">
      <c r="B32" s="673" t="s">
        <v>2038</v>
      </c>
      <c r="C32" s="710" t="s">
        <v>1053</v>
      </c>
      <c r="D32" s="710" t="s">
        <v>1053</v>
      </c>
      <c r="F32" s="713"/>
      <c r="G32" s="452" t="str">
        <f t="shared" si="0"/>
        <v/>
      </c>
      <c r="H32" s="757"/>
      <c r="I32" s="757"/>
      <c r="J32" s="740"/>
    </row>
    <row r="33" spans="2:10" x14ac:dyDescent="0.25">
      <c r="B33" s="673" t="s">
        <v>253</v>
      </c>
      <c r="C33" s="710" t="s">
        <v>1053</v>
      </c>
      <c r="D33" s="710" t="s">
        <v>1053</v>
      </c>
      <c r="F33" s="713"/>
      <c r="G33" s="452" t="str">
        <f t="shared" si="0"/>
        <v/>
      </c>
      <c r="H33" s="757"/>
      <c r="I33" s="757"/>
      <c r="J33" s="740"/>
    </row>
    <row r="34" spans="2:10" x14ac:dyDescent="0.25">
      <c r="B34" s="673" t="s">
        <v>1735</v>
      </c>
      <c r="C34" s="710" t="s">
        <v>1053</v>
      </c>
      <c r="D34" s="710" t="s">
        <v>1053</v>
      </c>
      <c r="F34" s="713"/>
      <c r="G34" s="452" t="str">
        <f t="shared" si="0"/>
        <v/>
      </c>
      <c r="H34" s="757"/>
      <c r="I34" s="757"/>
      <c r="J34" s="740"/>
    </row>
    <row r="35" spans="2:10" x14ac:dyDescent="0.25">
      <c r="B35" s="673" t="s">
        <v>2039</v>
      </c>
      <c r="C35" s="710" t="s">
        <v>1053</v>
      </c>
      <c r="D35" s="710" t="s">
        <v>1053</v>
      </c>
      <c r="F35" s="713"/>
      <c r="G35" s="452" t="str">
        <f t="shared" si="0"/>
        <v/>
      </c>
      <c r="H35" s="757"/>
      <c r="I35" s="757"/>
      <c r="J35" s="740"/>
    </row>
    <row r="36" spans="2:10" x14ac:dyDescent="0.25">
      <c r="B36" s="673" t="s">
        <v>2040</v>
      </c>
      <c r="C36" s="710" t="s">
        <v>1053</v>
      </c>
      <c r="D36" s="710" t="s">
        <v>1053</v>
      </c>
      <c r="F36" s="713"/>
      <c r="G36" s="452" t="str">
        <f t="shared" si="0"/>
        <v/>
      </c>
      <c r="H36" s="757"/>
      <c r="I36" s="757"/>
      <c r="J36" s="740"/>
    </row>
    <row r="37" spans="2:10" x14ac:dyDescent="0.25">
      <c r="B37" s="673" t="s">
        <v>2041</v>
      </c>
      <c r="C37" s="710" t="s">
        <v>1053</v>
      </c>
      <c r="D37" s="710" t="s">
        <v>1053</v>
      </c>
      <c r="F37" s="713"/>
      <c r="G37" s="452" t="str">
        <f t="shared" si="0"/>
        <v/>
      </c>
      <c r="H37" s="757"/>
      <c r="I37" s="757"/>
      <c r="J37" s="740"/>
    </row>
    <row r="38" spans="2:10" x14ac:dyDescent="0.25">
      <c r="B38" s="722" t="s">
        <v>2042</v>
      </c>
      <c r="C38" s="779" t="s">
        <v>1053</v>
      </c>
      <c r="D38" s="779" t="s">
        <v>1053</v>
      </c>
      <c r="F38" s="713"/>
      <c r="G38" s="452" t="str">
        <f t="shared" si="0"/>
        <v/>
      </c>
      <c r="H38" s="757"/>
      <c r="I38" s="757"/>
      <c r="J38" s="740"/>
    </row>
    <row r="39" spans="2:10" ht="7.5" customHeight="1" x14ac:dyDescent="0.25">
      <c r="B39" s="757"/>
      <c r="C39" s="926"/>
      <c r="D39" s="926"/>
      <c r="F39" s="926"/>
      <c r="G39" s="452" t="str">
        <f t="shared" si="0"/>
        <v/>
      </c>
      <c r="H39" s="757"/>
      <c r="I39" s="757"/>
    </row>
    <row r="40" spans="2:10" x14ac:dyDescent="0.25">
      <c r="B40" s="1099" t="s">
        <v>359</v>
      </c>
      <c r="C40" s="626" t="s">
        <v>62</v>
      </c>
      <c r="D40" s="1098" t="s">
        <v>63</v>
      </c>
      <c r="F40" s="526" t="s">
        <v>146</v>
      </c>
      <c r="H40" s="757"/>
      <c r="I40" s="757"/>
      <c r="J40" s="527" t="s">
        <v>363</v>
      </c>
    </row>
    <row r="41" spans="2:10" ht="15" customHeight="1" x14ac:dyDescent="0.25">
      <c r="B41" s="674" t="s">
        <v>2043</v>
      </c>
      <c r="C41" s="711" t="s">
        <v>2044</v>
      </c>
      <c r="D41" s="712" t="s">
        <v>2044</v>
      </c>
      <c r="F41" s="713"/>
      <c r="G41" s="452" t="str">
        <f t="shared" si="0"/>
        <v/>
      </c>
      <c r="H41" s="757"/>
      <c r="I41" s="757"/>
      <c r="J41" s="740"/>
    </row>
    <row r="42" spans="2:10" ht="15" customHeight="1" x14ac:dyDescent="0.25">
      <c r="B42" s="722" t="s">
        <v>2045</v>
      </c>
      <c r="C42" s="711" t="s">
        <v>2046</v>
      </c>
      <c r="D42" s="712" t="s">
        <v>2046</v>
      </c>
      <c r="F42" s="713"/>
      <c r="G42" s="452" t="str">
        <f t="shared" si="0"/>
        <v/>
      </c>
      <c r="H42" s="757"/>
      <c r="I42" s="757"/>
      <c r="J42" s="740"/>
    </row>
    <row r="43" spans="2:10" ht="15" customHeight="1" x14ac:dyDescent="0.25">
      <c r="B43" s="771" t="s">
        <v>1573</v>
      </c>
      <c r="C43" s="711" t="s">
        <v>1441</v>
      </c>
      <c r="D43" s="712" t="s">
        <v>1441</v>
      </c>
      <c r="F43" s="713"/>
      <c r="G43" s="452" t="str">
        <f t="shared" si="0"/>
        <v/>
      </c>
      <c r="H43" s="757"/>
      <c r="I43" s="757"/>
      <c r="J43" s="740"/>
    </row>
    <row r="44" spans="2:10" ht="15" customHeight="1" x14ac:dyDescent="0.25">
      <c r="B44" s="722" t="s">
        <v>2047</v>
      </c>
      <c r="C44" s="711" t="s">
        <v>2048</v>
      </c>
      <c r="D44" s="712" t="s">
        <v>2048</v>
      </c>
      <c r="F44" s="713"/>
      <c r="G44" s="452" t="str">
        <f t="shared" si="0"/>
        <v/>
      </c>
      <c r="H44" s="757"/>
      <c r="I44" s="757"/>
      <c r="J44" s="740"/>
    </row>
    <row r="45" spans="2:10" ht="30" customHeight="1" x14ac:dyDescent="0.25">
      <c r="B45" s="771" t="s">
        <v>2049</v>
      </c>
      <c r="C45" s="711" t="s">
        <v>2050</v>
      </c>
      <c r="D45" s="712" t="s">
        <v>2050</v>
      </c>
      <c r="F45" s="713"/>
      <c r="G45" s="452" t="str">
        <f t="shared" si="0"/>
        <v/>
      </c>
      <c r="H45" s="757"/>
      <c r="I45" s="757"/>
      <c r="J45" s="740"/>
    </row>
    <row r="46" spans="2:10" ht="30" customHeight="1" x14ac:dyDescent="0.25">
      <c r="B46" s="722" t="s">
        <v>2051</v>
      </c>
      <c r="C46" s="711" t="s">
        <v>2052</v>
      </c>
      <c r="D46" s="712" t="s">
        <v>2052</v>
      </c>
      <c r="F46" s="713"/>
      <c r="G46" s="452" t="str">
        <f t="shared" si="0"/>
        <v/>
      </c>
      <c r="H46" s="757"/>
      <c r="I46" s="757"/>
      <c r="J46" s="740"/>
    </row>
    <row r="47" spans="2:10" ht="15" customHeight="1" x14ac:dyDescent="0.25">
      <c r="B47" s="722" t="s">
        <v>2053</v>
      </c>
      <c r="C47" s="802" t="s">
        <v>2054</v>
      </c>
      <c r="D47" s="746" t="s">
        <v>2054</v>
      </c>
      <c r="F47" s="713"/>
      <c r="G47" s="452" t="str">
        <f t="shared" si="0"/>
        <v/>
      </c>
      <c r="H47" s="757"/>
      <c r="I47" s="757"/>
      <c r="J47" s="740"/>
    </row>
    <row r="48" spans="2:10" x14ac:dyDescent="0.25">
      <c r="B48" s="1100"/>
      <c r="C48" s="824"/>
      <c r="D48" s="745"/>
      <c r="F48" s="713"/>
      <c r="G48" s="452" t="str">
        <f t="shared" si="0"/>
        <v/>
      </c>
      <c r="H48" s="757"/>
      <c r="I48" s="757"/>
      <c r="J48" s="740"/>
    </row>
    <row r="49" spans="2:10" x14ac:dyDescent="0.25">
      <c r="B49" s="673"/>
      <c r="C49" s="711"/>
      <c r="D49" s="712"/>
      <c r="F49" s="713"/>
      <c r="G49" s="452" t="str">
        <f t="shared" si="0"/>
        <v/>
      </c>
      <c r="H49" s="757"/>
      <c r="I49" s="757"/>
      <c r="J49" s="740"/>
    </row>
    <row r="50" spans="2:10" x14ac:dyDescent="0.25">
      <c r="B50" s="673"/>
      <c r="C50" s="711"/>
      <c r="D50" s="712"/>
      <c r="F50" s="713"/>
      <c r="G50" s="452" t="str">
        <f t="shared" si="0"/>
        <v/>
      </c>
      <c r="H50" s="757"/>
      <c r="I50" s="757"/>
      <c r="J50" s="740"/>
    </row>
    <row r="51" spans="2:10" x14ac:dyDescent="0.25">
      <c r="B51" s="673"/>
      <c r="C51" s="711"/>
      <c r="D51" s="712"/>
      <c r="F51" s="713"/>
      <c r="G51" s="452" t="str">
        <f t="shared" si="0"/>
        <v/>
      </c>
      <c r="H51" s="757"/>
      <c r="I51" s="757"/>
      <c r="J51" s="740"/>
    </row>
    <row r="52" spans="2:10" x14ac:dyDescent="0.25">
      <c r="B52" s="722"/>
      <c r="C52" s="711"/>
      <c r="D52" s="712"/>
      <c r="F52" s="713"/>
      <c r="G52" s="452" t="str">
        <f t="shared" si="0"/>
        <v/>
      </c>
      <c r="H52" s="757"/>
      <c r="I52" s="757"/>
      <c r="J52" s="740"/>
    </row>
    <row r="53" spans="2:10" x14ac:dyDescent="0.25">
      <c r="B53" s="722"/>
      <c r="C53" s="711"/>
      <c r="D53" s="712"/>
      <c r="F53" s="713"/>
      <c r="G53" s="452" t="str">
        <f t="shared" si="0"/>
        <v/>
      </c>
      <c r="H53" s="757"/>
      <c r="I53" s="757"/>
      <c r="J53" s="740"/>
    </row>
    <row r="54" spans="2:10" x14ac:dyDescent="0.25">
      <c r="B54" s="673"/>
      <c r="C54" s="711"/>
      <c r="D54" s="712"/>
      <c r="F54" s="713"/>
      <c r="G54" s="452" t="str">
        <f t="shared" si="0"/>
        <v/>
      </c>
      <c r="H54" s="757"/>
      <c r="I54" s="757"/>
      <c r="J54" s="740"/>
    </row>
    <row r="55" spans="2:10" x14ac:dyDescent="0.25">
      <c r="B55" s="722"/>
      <c r="C55" s="711"/>
      <c r="D55" s="712"/>
      <c r="F55" s="713"/>
      <c r="G55" s="452" t="str">
        <f t="shared" si="0"/>
        <v/>
      </c>
      <c r="H55" s="757"/>
      <c r="I55" s="757"/>
      <c r="J55" s="740"/>
    </row>
    <row r="56" spans="2:10" x14ac:dyDescent="0.25">
      <c r="B56" s="722"/>
      <c r="C56" s="711"/>
      <c r="D56" s="712"/>
      <c r="F56" s="713"/>
      <c r="G56" s="452" t="str">
        <f t="shared" si="0"/>
        <v/>
      </c>
      <c r="H56" s="757"/>
      <c r="I56" s="757"/>
      <c r="J56" s="740"/>
    </row>
    <row r="57" spans="2:10" x14ac:dyDescent="0.25">
      <c r="B57" s="722"/>
      <c r="C57" s="711"/>
      <c r="D57" s="712"/>
      <c r="F57" s="713"/>
      <c r="G57" s="452" t="str">
        <f t="shared" si="0"/>
        <v/>
      </c>
      <c r="H57" s="757"/>
      <c r="I57" s="757"/>
      <c r="J57" s="740"/>
    </row>
    <row r="58" spans="2:10" x14ac:dyDescent="0.25">
      <c r="B58" s="673"/>
      <c r="C58" s="711"/>
      <c r="D58" s="712"/>
      <c r="F58" s="713"/>
      <c r="G58" s="452" t="str">
        <f t="shared" si="0"/>
        <v/>
      </c>
      <c r="H58" s="757"/>
      <c r="I58" s="757"/>
      <c r="J58" s="740"/>
    </row>
    <row r="59" spans="2:10" x14ac:dyDescent="0.25">
      <c r="G59" s="452" t="str">
        <f t="shared" si="0"/>
        <v/>
      </c>
    </row>
    <row r="65" spans="5:5" x14ac:dyDescent="0.25">
      <c r="E65" s="16"/>
    </row>
    <row r="66" spans="5:5" x14ac:dyDescent="0.25">
      <c r="E66" s="16"/>
    </row>
    <row r="67" spans="5:5" x14ac:dyDescent="0.25">
      <c r="E67" s="16"/>
    </row>
    <row r="68" spans="5:5" x14ac:dyDescent="0.25">
      <c r="E68" s="16"/>
    </row>
    <row r="69" spans="5:5" x14ac:dyDescent="0.25">
      <c r="E69" s="16"/>
    </row>
    <row r="70" spans="5:5" x14ac:dyDescent="0.25">
      <c r="E70" s="16"/>
    </row>
    <row r="71" spans="5:5" x14ac:dyDescent="0.25">
      <c r="E71" s="16"/>
    </row>
    <row r="72" spans="5:5" x14ac:dyDescent="0.25">
      <c r="E72" s="16"/>
    </row>
    <row r="73" spans="5:5" x14ac:dyDescent="0.25">
      <c r="E73" s="16"/>
    </row>
    <row r="74" spans="5:5" x14ac:dyDescent="0.25">
      <c r="E74" s="16"/>
    </row>
    <row r="75" spans="5:5" x14ac:dyDescent="0.25">
      <c r="E75" s="16"/>
    </row>
    <row r="76" spans="5:5" x14ac:dyDescent="0.25">
      <c r="E76" s="16"/>
    </row>
    <row r="77" spans="5:5" x14ac:dyDescent="0.25">
      <c r="E77" s="16"/>
    </row>
    <row r="78" spans="5:5" x14ac:dyDescent="0.25">
      <c r="E78" s="16"/>
    </row>
    <row r="79" spans="5:5" x14ac:dyDescent="0.25">
      <c r="E79" s="16"/>
    </row>
    <row r="80" spans="5:5" x14ac:dyDescent="0.25">
      <c r="E80" s="16"/>
    </row>
    <row r="81" spans="5:5" x14ac:dyDescent="0.25">
      <c r="E81" s="16"/>
    </row>
    <row r="83" spans="5:5" x14ac:dyDescent="0.25">
      <c r="E83" s="16"/>
    </row>
    <row r="84" spans="5:5" x14ac:dyDescent="0.25">
      <c r="E84" s="16"/>
    </row>
    <row r="85" spans="5:5" x14ac:dyDescent="0.25">
      <c r="E85" s="16"/>
    </row>
    <row r="86" spans="5:5" x14ac:dyDescent="0.25">
      <c r="E86" s="16"/>
    </row>
    <row r="87" spans="5:5" x14ac:dyDescent="0.25">
      <c r="E87" s="16"/>
    </row>
    <row r="88" spans="5:5" x14ac:dyDescent="0.25">
      <c r="E88" s="16"/>
    </row>
    <row r="89" spans="5:5" x14ac:dyDescent="0.25">
      <c r="E89" s="16"/>
    </row>
    <row r="90" spans="5:5" x14ac:dyDescent="0.25">
      <c r="E90" s="16"/>
    </row>
    <row r="91" spans="5:5" x14ac:dyDescent="0.25">
      <c r="E91" s="16"/>
    </row>
    <row r="92" spans="5:5" x14ac:dyDescent="0.25">
      <c r="E92" s="16"/>
    </row>
    <row r="93" spans="5:5" x14ac:dyDescent="0.25">
      <c r="E93" s="16"/>
    </row>
    <row r="94" spans="5:5" x14ac:dyDescent="0.25">
      <c r="E94" s="16"/>
    </row>
    <row r="95" spans="5:5" x14ac:dyDescent="0.25">
      <c r="E95" s="16"/>
    </row>
    <row r="96" spans="5:5" x14ac:dyDescent="0.25">
      <c r="E96" s="16"/>
    </row>
    <row r="97" spans="5:5" x14ac:dyDescent="0.25">
      <c r="E97" s="16"/>
    </row>
    <row r="98" spans="5:5" x14ac:dyDescent="0.25">
      <c r="E98" s="16"/>
    </row>
    <row r="99" spans="5:5" x14ac:dyDescent="0.25">
      <c r="E99" s="16"/>
    </row>
    <row r="100" spans="5:5" x14ac:dyDescent="0.25">
      <c r="E100" s="16"/>
    </row>
    <row r="101" spans="5:5" x14ac:dyDescent="0.25">
      <c r="E101" s="16"/>
    </row>
    <row r="102" spans="5:5" x14ac:dyDescent="0.25">
      <c r="E102" s="16"/>
    </row>
    <row r="103" spans="5:5" x14ac:dyDescent="0.25">
      <c r="E103" s="16"/>
    </row>
    <row r="104" spans="5:5" x14ac:dyDescent="0.25">
      <c r="E104" s="16"/>
    </row>
  </sheetData>
  <mergeCells count="3">
    <mergeCell ref="B16:D16"/>
    <mergeCell ref="B17:D17"/>
    <mergeCell ref="B19:D19"/>
  </mergeCells>
  <conditionalFormatting sqref="G1:G1048576">
    <cfRule type="cellIs" dxfId="0"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Employed Lawyers Liability</oddHeader>
    <oddFooter>&amp;L&amp;G&amp;CPage &amp;P of &amp;N</oddFooter>
  </headerFooter>
  <rowBreaks count="1" manualBreakCount="1">
    <brk id="39" min="1" max="3" man="1"/>
  </rowBreaks>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pageSetUpPr fitToPage="1"/>
  </sheetPr>
  <dimension ref="B1:G38"/>
  <sheetViews>
    <sheetView showGridLines="0" view="pageBreakPreview" topLeftCell="A10" zoomScaleNormal="100" zoomScaleSheetLayoutView="100" workbookViewId="0">
      <selection activeCell="G21" sqref="G21"/>
    </sheetView>
  </sheetViews>
  <sheetFormatPr defaultColWidth="9.140625" defaultRowHeight="15" x14ac:dyDescent="0.25"/>
  <cols>
    <col min="1" max="1" width="2.28515625" style="16" customWidth="1"/>
    <col min="2" max="2" width="43" style="16" customWidth="1"/>
    <col min="3" max="3" width="75.85546875" style="452" customWidth="1"/>
    <col min="4" max="4" width="16.5703125" style="501" customWidth="1"/>
    <col min="5" max="16384" width="9.140625" style="16"/>
  </cols>
  <sheetData>
    <row r="1" spans="2:6" ht="7.5" customHeight="1" x14ac:dyDescent="0.25"/>
    <row r="2" spans="2:6" ht="15.75" x14ac:dyDescent="0.25">
      <c r="B2" s="502" t="s">
        <v>145</v>
      </c>
    </row>
    <row r="3" spans="2:6" x14ac:dyDescent="0.25">
      <c r="D3" s="503"/>
      <c r="E3" s="504"/>
      <c r="F3" s="504"/>
    </row>
    <row r="4" spans="2:6" x14ac:dyDescent="0.25">
      <c r="B4" s="523" t="s">
        <v>147</v>
      </c>
      <c r="C4" s="527" t="s">
        <v>148</v>
      </c>
      <c r="D4" s="537" t="s">
        <v>149</v>
      </c>
    </row>
    <row r="5" spans="2:6" x14ac:dyDescent="0.25">
      <c r="B5" s="383" t="str">
        <f>'Professional Liability'!B2</f>
        <v>Contractor's Professional &amp; Pollution Liability</v>
      </c>
      <c r="C5" s="1063" t="str">
        <f>'Professional Liability'!B26</f>
        <v>- None</v>
      </c>
      <c r="D5" s="960"/>
    </row>
    <row r="6" spans="2:6" hidden="1" x14ac:dyDescent="0.25">
      <c r="C6" s="1064"/>
      <c r="D6" s="960"/>
    </row>
    <row r="7" spans="2:6" ht="127.5" hidden="1" x14ac:dyDescent="0.25">
      <c r="B7" s="383" t="str">
        <f>'T5CS 2nd Excess Liab'!B2</f>
        <v>T5CS 2nd Excess Liability</v>
      </c>
      <c r="C7" s="1065" t="str">
        <f>'T5CS 2nd Excess Liab'!B40</f>
        <v>- Please answer the following questions:
          1. Are employees whow ork in proximity to large levels of dust accumulation given protective breathing masks?
          2. Does the Insurd's ventilation system have spark-detection technology?
          3. What types of security measures does the insured have on its premises (e.g., motion detectors, closed-circuit television cameras)
          4. Does the insured have multiple production areas or backup process equipment that can be used in the event of a business interruption?
          5. Does the insured contract witha  reputable maintenance company whose responsibility is to inspect and service the insured's specialized equipment and boilders?</v>
      </c>
      <c r="D7" s="960"/>
    </row>
    <row r="8" spans="2:6" hidden="1" x14ac:dyDescent="0.25">
      <c r="C8" s="1064"/>
      <c r="D8" s="960"/>
    </row>
    <row r="9" spans="2:6" x14ac:dyDescent="0.25">
      <c r="B9" s="383" t="str">
        <f>'Workers Comp'!B2</f>
        <v>Workers Compensation</v>
      </c>
      <c r="C9" s="1065" t="str">
        <f>'Workers Comp'!B39</f>
        <v>- None</v>
      </c>
      <c r="D9" s="960"/>
    </row>
    <row r="10" spans="2:6" x14ac:dyDescent="0.25">
      <c r="B10" s="383" t="str">
        <f>'Workers Comp (2)'!B2</f>
        <v>Workers Compensation - CA Only</v>
      </c>
      <c r="C10" s="1066" t="str">
        <f>'Workers Comp (2)'!B39</f>
        <v>- None</v>
      </c>
      <c r="D10" s="960"/>
    </row>
    <row r="11" spans="2:6" x14ac:dyDescent="0.25">
      <c r="B11" s="383" t="str">
        <f>'T5CS General Liab.'!B2</f>
        <v>T5CS Commercial General Liability</v>
      </c>
      <c r="C11" s="1065" t="str">
        <f>'T5CS General Liab.'!B31</f>
        <v xml:space="preserve">- If rejecting TRIA, please complete and sign the TRIA rejection form. </v>
      </c>
      <c r="D11" s="960"/>
    </row>
    <row r="12" spans="2:6" x14ac:dyDescent="0.25">
      <c r="B12" s="383" t="str">
        <f>'T5CS Umbrella Liability'!B2</f>
        <v>T5CS Umbrella</v>
      </c>
      <c r="C12" s="1065" t="str">
        <f>'T5CS Umbrella Liability'!B79</f>
        <v xml:space="preserve">- If rejecting TRIA, please complete and sign the TRIA rejection form. </v>
      </c>
      <c r="D12" s="960"/>
    </row>
    <row r="13" spans="2:6" x14ac:dyDescent="0.25">
      <c r="B13" s="383" t="str">
        <f>'T5CS 1st Excess Liab'!B2</f>
        <v>T5CS 1st Excess Liability</v>
      </c>
      <c r="C13" s="1066" t="str">
        <f>'T5CS 1st Excess Liab'!B32</f>
        <v>- None</v>
      </c>
      <c r="D13" s="960"/>
    </row>
    <row r="14" spans="2:6" ht="127.5" x14ac:dyDescent="0.25">
      <c r="B14" s="895" t="s">
        <v>1662</v>
      </c>
      <c r="C14" s="1067" t="str">
        <f>'T5CS 2nd Excess Liab'!B40</f>
        <v>- Please answer the following questions:
          1. Are employees whow ork in proximity to large levels of dust accumulation given protective breathing masks?
          2. Does the Insurd's ventilation system have spark-detection technology?
          3. What types of security measures does the insured have on its premises (e.g., motion detectors, closed-circuit television cameras)
          4. Does the insured have multiple production areas or backup process equipment that can be used in the event of a business interruption?
          5. Does the insured contract witha  reputable maintenance company whose responsibility is to inspect and service the insured's specialized equipment and boilders?</v>
      </c>
      <c r="D14" s="960"/>
    </row>
    <row r="15" spans="2:6" x14ac:dyDescent="0.25">
      <c r="B15" s="383" t="str">
        <f>'T5CS 3rd Excess Liab'!B2</f>
        <v>T5CS 3rd Excess Liability</v>
      </c>
      <c r="C15" s="1065" t="str">
        <f>'T5CS 3rd Excess Liab'!B45</f>
        <v>- None.</v>
      </c>
      <c r="D15" s="960"/>
    </row>
    <row r="16" spans="2:6" x14ac:dyDescent="0.25">
      <c r="B16" s="895" t="str">
        <f>Input!B608</f>
        <v>T5CS 4th Excess Liability</v>
      </c>
      <c r="C16" s="1067" t="str">
        <f>'T5CS 4th Excess Liab'!B32</f>
        <v>- None.</v>
      </c>
      <c r="D16" s="960"/>
    </row>
    <row r="17" spans="2:7" x14ac:dyDescent="0.25">
      <c r="B17" s="383" t="str">
        <f>'T5CS Business Auto'!B2</f>
        <v>T5CS Business Auto</v>
      </c>
      <c r="C17" s="1065" t="str">
        <f>'T5CS Business Auto'!B96</f>
        <v>- Acceptable Motor Vehicle Records for all drivers.</v>
      </c>
      <c r="D17" s="960"/>
    </row>
    <row r="18" spans="2:7" hidden="1" x14ac:dyDescent="0.25">
      <c r="B18" s="383" t="str">
        <f>Property!B2</f>
        <v>Property</v>
      </c>
      <c r="C18" s="1065" t="str">
        <f>Property!B51</f>
        <v>- Zzz</v>
      </c>
      <c r="D18" s="960"/>
    </row>
    <row r="19" spans="2:7" x14ac:dyDescent="0.25">
      <c r="B19" s="383" t="str">
        <f>'T5CS Inland Marine'!B2</f>
        <v>T5CS Inland Marine</v>
      </c>
      <c r="C19" s="1065" t="str">
        <f>'T5CS Inland Marine'!B39</f>
        <v xml:space="preserve">- If rejecting TRIA, please complete and sign the TRIA rejection form. </v>
      </c>
      <c r="D19" s="960"/>
    </row>
    <row r="20" spans="2:7" x14ac:dyDescent="0.25">
      <c r="B20" s="383" t="str">
        <f>'T5DC Package - General Liab'!B2</f>
        <v>T5DC Package - General Liability</v>
      </c>
      <c r="C20" s="1065" t="str">
        <f>'T5DC Package - General Liab'!B31</f>
        <v xml:space="preserve">- If rejecting TRIA, please complete and sign the TRIA rejection form. </v>
      </c>
      <c r="D20" s="960"/>
      <c r="G20" s="1062"/>
    </row>
    <row r="21" spans="2:7" x14ac:dyDescent="0.25">
      <c r="B21" s="294" t="str">
        <f>'T5DC Package - Property'!B2</f>
        <v>T5DC Package - Property</v>
      </c>
      <c r="C21" s="1063" t="str">
        <f>'T5DC Package - Property'!B52</f>
        <v xml:space="preserve">- If rejecting TRIA, please complete and sign the TRIA rejection form. </v>
      </c>
      <c r="D21" s="960"/>
    </row>
    <row r="22" spans="2:7" x14ac:dyDescent="0.25">
      <c r="B22" s="383" t="str">
        <f>'T5DC Business Auto'!B2</f>
        <v>T5DC Business Auto</v>
      </c>
      <c r="C22" s="1065" t="str">
        <f>'T5DC Business Auto'!B60</f>
        <v>- None</v>
      </c>
      <c r="D22" s="960"/>
    </row>
    <row r="23" spans="2:7" x14ac:dyDescent="0.25">
      <c r="B23" s="383" t="str">
        <f>'T5DC Umbrella'!B2</f>
        <v>T5DC Umbrella</v>
      </c>
      <c r="C23" s="1065" t="str">
        <f>'T5DC Umbrella'!B74</f>
        <v xml:space="preserve">- If rejecting TRIA, please complete and sign the TRIA rejection form. </v>
      </c>
      <c r="D23" s="886"/>
    </row>
    <row r="24" spans="2:7" hidden="1" x14ac:dyDescent="0.25">
      <c r="B24" s="294" t="str">
        <f>'Package - Inland Marine'!B2</f>
        <v>Package - Inland Marine</v>
      </c>
      <c r="C24" s="1068" t="s">
        <v>1599</v>
      </c>
      <c r="D24" s="886"/>
    </row>
    <row r="25" spans="2:7" ht="15.75" hidden="1" customHeight="1" x14ac:dyDescent="0.25">
      <c r="B25" s="294" t="str">
        <f>Watercraft!B2</f>
        <v>Real Estate Errors &amp; Omissions</v>
      </c>
      <c r="C25" s="1063" t="str">
        <f>Watercraft!B24</f>
        <v>- None</v>
      </c>
      <c r="D25" s="886"/>
    </row>
    <row r="26" spans="2:7" ht="15.75" customHeight="1" x14ac:dyDescent="0.25">
      <c r="B26" s="294" t="str">
        <f>'T5DC Excess Umbrella'!B2</f>
        <v>T5DC Excess Liability</v>
      </c>
      <c r="C26" s="1071" t="s">
        <v>1172</v>
      </c>
      <c r="D26" s="886"/>
    </row>
    <row r="27" spans="2:7" x14ac:dyDescent="0.25">
      <c r="B27" s="294" t="str">
        <f>BTA!B2</f>
        <v>Business Travel Accident</v>
      </c>
      <c r="C27" s="1063" t="str">
        <f>BTA!B25</f>
        <v>- None</v>
      </c>
      <c r="D27" s="886"/>
    </row>
    <row r="28" spans="2:7" hidden="1" x14ac:dyDescent="0.25">
      <c r="B28" s="382" t="str">
        <f>'T5CS Foreign Package'!B2</f>
        <v>Foreign Package - T5CS</v>
      </c>
      <c r="C28" s="1069" t="str">
        <f>'T5CS Foreign Package'!B44</f>
        <v>- None</v>
      </c>
      <c r="D28" s="961"/>
    </row>
    <row r="29" spans="2:7" ht="31.5" customHeight="1" x14ac:dyDescent="0.25">
      <c r="B29" s="382" t="str">
        <f>'Executive Liability'!B2</f>
        <v>Executive Liability (Directors &amp; Officers, Employment Practices, Fiduciary Liability)</v>
      </c>
      <c r="C29" s="1069" t="str">
        <f>'Executive Liability'!B61</f>
        <v>- None.</v>
      </c>
      <c r="D29" s="961"/>
      <c r="G29" s="1070"/>
    </row>
    <row r="30" spans="2:7" x14ac:dyDescent="0.25">
      <c r="B30" s="382" t="str">
        <f>Crime!B2</f>
        <v>Commercial Crime</v>
      </c>
      <c r="C30" s="1069" t="str">
        <f>Crime!B40</f>
        <v>- None</v>
      </c>
      <c r="D30" s="961"/>
    </row>
    <row r="31" spans="2:7" ht="18" customHeight="1" x14ac:dyDescent="0.25">
      <c r="B31" s="294" t="str">
        <f>'Excess Crime'!B2</f>
        <v>Excess Crime</v>
      </c>
      <c r="C31" s="1063" t="str">
        <f>'Excess Crime'!B35</f>
        <v>- None</v>
      </c>
      <c r="D31" s="886"/>
    </row>
    <row r="32" spans="2:7" x14ac:dyDescent="0.25">
      <c r="B32" s="382" t="str">
        <f>'Tech E&amp;O'!B2</f>
        <v>Technology Errors &amp; Omissions</v>
      </c>
      <c r="C32" s="1069" t="str">
        <f>'Tech E&amp;O'!B44</f>
        <v>- Please re-sign and date the application within 30 days of the effective date.</v>
      </c>
      <c r="D32" s="961"/>
    </row>
    <row r="33" spans="2:4" hidden="1" x14ac:dyDescent="0.25">
      <c r="B33" s="382" t="str">
        <f>'T5DC Foreign Package'!B2</f>
        <v>Foreign Package - T5DC</v>
      </c>
      <c r="C33" s="1069" t="str">
        <f>'T5DC Foreign Package'!B35</f>
        <v>- None</v>
      </c>
      <c r="D33" s="961"/>
    </row>
    <row r="34" spans="2:4" x14ac:dyDescent="0.25">
      <c r="B34" s="294" t="str">
        <f>'1st Excess Tech E&amp;O'!B2</f>
        <v>1st Excess Technology Errors &amp; Omissions</v>
      </c>
      <c r="C34" s="1063" t="str">
        <f>'1st Excess Tech E&amp;O'!B21</f>
        <v>- None</v>
      </c>
      <c r="D34" s="886"/>
    </row>
    <row r="35" spans="2:4" hidden="1" x14ac:dyDescent="0.25">
      <c r="B35" s="294" t="str">
        <f>OCP!B2</f>
        <v>2nd Excess Technology Errors &amp; Omissions</v>
      </c>
      <c r="C35" s="231" t="str">
        <f>OCP!B21</f>
        <v>- None</v>
      </c>
      <c r="D35" s="886"/>
    </row>
    <row r="36" spans="2:4" hidden="1" x14ac:dyDescent="0.25"/>
    <row r="37" spans="2:4" ht="12.75" hidden="1" customHeight="1" x14ac:dyDescent="0.25">
      <c r="B37" s="400" t="str">
        <f>'3rd Excess Tech E&amp;O'!B2</f>
        <v>3rd Excess Technology Errors &amp; Omissions</v>
      </c>
      <c r="C37" s="389" t="str">
        <f>'3rd Excess Tech E&amp;O'!B24</f>
        <v xml:space="preserve">- Please provide a copy a currently signed and dated application. </v>
      </c>
      <c r="D37" s="962"/>
    </row>
    <row r="38" spans="2:4" ht="15" hidden="1" customHeight="1" x14ac:dyDescent="0.25">
      <c r="B38" s="400" t="str">
        <f>Drone!B2</f>
        <v>Aircraft (Drone) Liability</v>
      </c>
      <c r="C38" s="535" t="str">
        <f>Drone!B24</f>
        <v>- Zzz</v>
      </c>
      <c r="D38" s="536"/>
    </row>
  </sheetData>
  <printOptions horizontalCentered="1"/>
  <pageMargins left="0.19685039370078741" right="0.19685039370078741" top="1.1811023622047245" bottom="1.2598425196850394" header="0.31496062992125984" footer="0.31496062992125984"/>
  <pageSetup fitToHeight="0" orientation="landscape" r:id="rId1"/>
  <headerFooter scaleWithDoc="0">
    <oddHeader>&amp;L&amp;"Calibri,Bold"&amp;14 Subjectivities</oddHeader>
    <oddFooter>&amp;L&amp;G&amp;CPage &amp;P of &amp;N</oddFooter>
  </headerFooter>
  <rowBreaks count="1" manualBreakCount="1">
    <brk id="16" min="1" max="2" man="1"/>
  </rowBreaks>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pageSetUpPr fitToPage="1"/>
  </sheetPr>
  <dimension ref="A1:F33"/>
  <sheetViews>
    <sheetView showGridLines="0" view="pageBreakPreview" zoomScaleNormal="100" zoomScaleSheetLayoutView="100" workbookViewId="0"/>
  </sheetViews>
  <sheetFormatPr defaultColWidth="9.140625" defaultRowHeight="15" x14ac:dyDescent="0.25"/>
  <cols>
    <col min="1" max="1" width="82.28515625" customWidth="1"/>
  </cols>
  <sheetData>
    <row r="1" spans="1:6" x14ac:dyDescent="0.25">
      <c r="A1" s="225" t="s">
        <v>561</v>
      </c>
    </row>
    <row r="2" spans="1:6" x14ac:dyDescent="0.25">
      <c r="A2" s="568" t="str">
        <f xml:space="preserve"> "- "&amp;Input!B184</f>
        <v>- T5CS Commercial General Liability</v>
      </c>
    </row>
    <row r="3" spans="1:6" x14ac:dyDescent="0.25">
      <c r="A3" s="568" t="str">
        <f xml:space="preserve"> "- "&amp;Input!B649</f>
        <v>- T5DC Package</v>
      </c>
    </row>
    <row r="4" spans="1:6" x14ac:dyDescent="0.25">
      <c r="A4" s="568" t="str">
        <f xml:space="preserve"> "- "&amp;Input!B227</f>
        <v>- Workers Compensation</v>
      </c>
      <c r="D4" s="217"/>
      <c r="E4" s="217"/>
      <c r="F4" s="217"/>
    </row>
    <row r="5" spans="1:6" x14ac:dyDescent="0.25">
      <c r="A5" s="568" t="str">
        <f xml:space="preserve"> "- "&amp;Input!B269</f>
        <v>- Workers Compensation - CA Only</v>
      </c>
    </row>
    <row r="6" spans="1:6" x14ac:dyDescent="0.25">
      <c r="A6" s="877" t="s">
        <v>1616</v>
      </c>
    </row>
    <row r="7" spans="1:6" hidden="1" x14ac:dyDescent="0.25">
      <c r="A7" s="568" t="str">
        <f xml:space="preserve"> "- "&amp;Input!B1000</f>
        <v>- Foreign Package - T5DC</v>
      </c>
    </row>
    <row r="8" spans="1:6" x14ac:dyDescent="0.25">
      <c r="A8" s="349"/>
    </row>
    <row r="9" spans="1:6" x14ac:dyDescent="0.25">
      <c r="A9" s="225" t="s">
        <v>562</v>
      </c>
    </row>
    <row r="10" spans="1:6" x14ac:dyDescent="0.25">
      <c r="A10" s="568" t="str">
        <f xml:space="preserve"> "- "&amp;Input!B8</f>
        <v>- Contractor's Professional &amp; Pollution Liability</v>
      </c>
    </row>
    <row r="11" spans="1:6" hidden="1" x14ac:dyDescent="0.25">
      <c r="A11" s="568" t="str">
        <f xml:space="preserve"> "- "&amp;Input!B43</f>
        <v>- T5CS 3rd Excess Liability</v>
      </c>
    </row>
    <row r="12" spans="1:6" x14ac:dyDescent="0.25">
      <c r="A12" s="568" t="str">
        <f xml:space="preserve"> "- "&amp;Input!B94</f>
        <v>- T5DC Umbrella</v>
      </c>
    </row>
    <row r="13" spans="1:6" x14ac:dyDescent="0.25">
      <c r="A13" s="568" t="str">
        <f xml:space="preserve"> "- "&amp;Input!B142</f>
        <v>- T5CS 2nd Excess Liability</v>
      </c>
    </row>
    <row r="14" spans="1:6" x14ac:dyDescent="0.25">
      <c r="A14" s="568" t="str">
        <f xml:space="preserve"> "- "&amp;Input!B359</f>
        <v>- T5CS Umbrella</v>
      </c>
    </row>
    <row r="15" spans="1:6" x14ac:dyDescent="0.25">
      <c r="A15" s="568" t="str">
        <f xml:space="preserve"> "- "&amp;Input!B403</f>
        <v>- T5CS 1st Excess Liability</v>
      </c>
    </row>
    <row r="16" spans="1:6" x14ac:dyDescent="0.25">
      <c r="A16" s="568" t="str">
        <f xml:space="preserve"> "- "&amp;Input!B444</f>
        <v>- T5CS Business Auto</v>
      </c>
    </row>
    <row r="17" spans="1:1" hidden="1" x14ac:dyDescent="0.25"/>
    <row r="18" spans="1:1" x14ac:dyDescent="0.25">
      <c r="A18" s="568" t="str">
        <f xml:space="preserve"> "- "&amp;Input!B608</f>
        <v>- T5CS 4th Excess Liability</v>
      </c>
    </row>
    <row r="19" spans="1:1" x14ac:dyDescent="0.25">
      <c r="A19" s="568" t="str">
        <f xml:space="preserve"> "- "&amp;Input!B311</f>
        <v>- T5DC Business Auto</v>
      </c>
    </row>
    <row r="20" spans="1:1" hidden="1" x14ac:dyDescent="0.25"/>
    <row r="21" spans="1:1" hidden="1" x14ac:dyDescent="0.25">
      <c r="A21" s="568" t="str">
        <f xml:space="preserve"> "- "&amp;Input!B745</f>
        <v>- Real Estate Errors &amp; Omissions</v>
      </c>
    </row>
    <row r="22" spans="1:1" x14ac:dyDescent="0.25">
      <c r="A22" s="568" t="str">
        <f xml:space="preserve"> "- "&amp;Input!B778</f>
        <v>- Business Travel Accident</v>
      </c>
    </row>
    <row r="23" spans="1:1" hidden="1" x14ac:dyDescent="0.25">
      <c r="A23" s="568" t="str">
        <f xml:space="preserve"> "- "&amp;Input!B816</f>
        <v>- Foreign Package - T5CS</v>
      </c>
    </row>
    <row r="24" spans="1:1" x14ac:dyDescent="0.25">
      <c r="A24" s="568" t="str">
        <f xml:space="preserve"> "- "&amp;Input!B853</f>
        <v>- Executive Liability (Directors &amp; Officers, Employment Practices, Fiduciary Liability)</v>
      </c>
    </row>
    <row r="25" spans="1:1" x14ac:dyDescent="0.25">
      <c r="A25" s="569" t="str">
        <f xml:space="preserve"> "- "&amp;Input!B913</f>
        <v>- Commercial Crime</v>
      </c>
    </row>
    <row r="26" spans="1:1" x14ac:dyDescent="0.25">
      <c r="A26" s="569" t="str">
        <f xml:space="preserve"> "- "&amp;Input!B955</f>
        <v>- Technology Errors &amp; Omissions</v>
      </c>
    </row>
    <row r="27" spans="1:1" x14ac:dyDescent="0.25">
      <c r="A27" s="569" t="str">
        <f xml:space="preserve"> "- "&amp;Input!B1043</f>
        <v>- 1st Excess Technology Errors &amp; Omissions</v>
      </c>
    </row>
    <row r="28" spans="1:1" hidden="1" x14ac:dyDescent="0.25">
      <c r="A28" s="569" t="str">
        <f xml:space="preserve"> "- "&amp;Input!B1074</f>
        <v>- 2nd Excess Technology Errors &amp; Omissions</v>
      </c>
    </row>
    <row r="29" spans="1:1" hidden="1" x14ac:dyDescent="0.25">
      <c r="A29" s="569" t="str">
        <f xml:space="preserve"> "- "&amp;Input!B1102</f>
        <v>- Excess Crime</v>
      </c>
    </row>
    <row r="30" spans="1:1" hidden="1" x14ac:dyDescent="0.25">
      <c r="A30" s="569" t="str">
        <f xml:space="preserve"> "- "&amp;Input!B1145</f>
        <v>- 3rd Excess Technology Errors &amp; Omissions</v>
      </c>
    </row>
    <row r="31" spans="1:1" hidden="1" x14ac:dyDescent="0.25">
      <c r="A31" s="569" t="str">
        <f xml:space="preserve"> "- "&amp;Input!B1174</f>
        <v>- Aircraft (Drone) Liability</v>
      </c>
    </row>
    <row r="32" spans="1:1" x14ac:dyDescent="0.25">
      <c r="A32" s="908" t="s">
        <v>1674</v>
      </c>
    </row>
    <row r="33" spans="1:1" x14ac:dyDescent="0.25">
      <c r="A33" s="908" t="s">
        <v>1675</v>
      </c>
    </row>
  </sheetData>
  <printOptions horizontalCentered="1"/>
  <pageMargins left="0.19685039370078741" right="0.19685039370078741" top="0.74803149606299213" bottom="1.2598425196850394" header="0.31496062992125984" footer="0.31496062992125984"/>
  <pageSetup fitToHeight="0" orientation="portrait" r:id="rId1"/>
  <headerFooter scaleWithDoc="0">
    <oddHeader>&amp;L&amp;"Calibri,Bold"&amp;14 Policies Subject to Audit</oddHeader>
    <oddFooter>&amp;L&amp;G&amp;CPage &amp;P of &amp;N</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2">
    <pageSetUpPr fitToPage="1"/>
  </sheetPr>
  <dimension ref="A1:C54"/>
  <sheetViews>
    <sheetView showGridLines="0" zoomScaleNormal="100" workbookViewId="0"/>
  </sheetViews>
  <sheetFormatPr defaultColWidth="9.140625" defaultRowHeight="12.75" x14ac:dyDescent="0.2"/>
  <cols>
    <col min="1" max="1" width="98.85546875" style="201" customWidth="1"/>
    <col min="2" max="3" width="32.7109375" style="200" customWidth="1"/>
    <col min="4" max="16384" width="9.140625" style="200"/>
  </cols>
  <sheetData>
    <row r="1" spans="1:3" ht="41.25" customHeight="1" x14ac:dyDescent="0.2">
      <c r="A1" s="213" t="s">
        <v>567</v>
      </c>
      <c r="B1" s="201"/>
      <c r="C1" s="201"/>
    </row>
    <row r="2" spans="1:3" ht="38.25" x14ac:dyDescent="0.2">
      <c r="A2" s="213" t="s">
        <v>568</v>
      </c>
    </row>
    <row r="3" spans="1:3" ht="7.5" customHeight="1" x14ac:dyDescent="0.2">
      <c r="A3" s="361"/>
    </row>
    <row r="4" spans="1:3" ht="63.75" x14ac:dyDescent="0.2">
      <c r="A4" s="201" t="s">
        <v>569</v>
      </c>
    </row>
    <row r="5" spans="1:3" ht="7.5" customHeight="1" x14ac:dyDescent="0.2">
      <c r="A5" s="361"/>
    </row>
    <row r="6" spans="1:3" x14ac:dyDescent="0.2">
      <c r="A6" s="361" t="s">
        <v>619</v>
      </c>
    </row>
    <row r="7" spans="1:3" ht="7.5" customHeight="1" x14ac:dyDescent="0.2">
      <c r="A7" s="361"/>
    </row>
    <row r="8" spans="1:3" ht="76.5" x14ac:dyDescent="0.2">
      <c r="A8" s="363" t="s">
        <v>570</v>
      </c>
    </row>
    <row r="10" spans="1:3" x14ac:dyDescent="0.2">
      <c r="A10" s="361" t="s">
        <v>620</v>
      </c>
    </row>
    <row r="11" spans="1:3" ht="7.5" customHeight="1" x14ac:dyDescent="0.2">
      <c r="A11" s="361"/>
    </row>
    <row r="12" spans="1:3" ht="89.25" x14ac:dyDescent="0.2">
      <c r="A12" s="363" t="s">
        <v>571</v>
      </c>
    </row>
    <row r="13" spans="1:3" ht="7.5" customHeight="1" x14ac:dyDescent="0.2">
      <c r="A13" s="361"/>
    </row>
    <row r="14" spans="1:3" x14ac:dyDescent="0.2">
      <c r="A14" s="362" t="s">
        <v>572</v>
      </c>
    </row>
    <row r="15" spans="1:3" ht="7.5" customHeight="1" x14ac:dyDescent="0.2">
      <c r="A15" s="361"/>
    </row>
    <row r="16" spans="1:3" x14ac:dyDescent="0.2">
      <c r="A16" s="361" t="s">
        <v>621</v>
      </c>
    </row>
    <row r="17" spans="1:1" ht="7.5" customHeight="1" x14ac:dyDescent="0.2">
      <c r="A17" s="361"/>
    </row>
    <row r="18" spans="1:1" x14ac:dyDescent="0.2">
      <c r="A18" s="362" t="s">
        <v>573</v>
      </c>
    </row>
    <row r="19" spans="1:1" ht="7.5" customHeight="1" x14ac:dyDescent="0.2">
      <c r="A19" s="361"/>
    </row>
    <row r="20" spans="1:1" ht="127.5" x14ac:dyDescent="0.2">
      <c r="A20" s="363" t="s">
        <v>574</v>
      </c>
    </row>
    <row r="21" spans="1:1" ht="7.5" customHeight="1" x14ac:dyDescent="0.2">
      <c r="A21" s="361"/>
    </row>
    <row r="22" spans="1:1" ht="25.5" x14ac:dyDescent="0.2">
      <c r="A22" s="362" t="s">
        <v>575</v>
      </c>
    </row>
    <row r="23" spans="1:1" ht="7.5" customHeight="1" x14ac:dyDescent="0.2">
      <c r="A23" s="361"/>
    </row>
    <row r="24" spans="1:1" ht="63.75" x14ac:dyDescent="0.2">
      <c r="A24" s="201" t="s">
        <v>576</v>
      </c>
    </row>
    <row r="25" spans="1:1" ht="7.5" customHeight="1" x14ac:dyDescent="0.2">
      <c r="A25" s="361"/>
    </row>
    <row r="26" spans="1:1" ht="25.5" x14ac:dyDescent="0.2">
      <c r="A26" s="201" t="s">
        <v>577</v>
      </c>
    </row>
    <row r="27" spans="1:1" ht="7.5" customHeight="1" x14ac:dyDescent="0.2">
      <c r="A27" s="361"/>
    </row>
    <row r="28" spans="1:1" x14ac:dyDescent="0.2">
      <c r="A28" s="201" t="s">
        <v>578</v>
      </c>
    </row>
    <row r="29" spans="1:1" ht="7.5" customHeight="1" x14ac:dyDescent="0.2">
      <c r="A29" s="361"/>
    </row>
    <row r="30" spans="1:1" ht="101.25" customHeight="1" x14ac:dyDescent="0.2">
      <c r="A30" s="570" t="s">
        <v>622</v>
      </c>
    </row>
    <row r="31" spans="1:1" ht="7.5" customHeight="1" x14ac:dyDescent="0.2">
      <c r="A31" s="361"/>
    </row>
    <row r="32" spans="1:1" ht="38.25" x14ac:dyDescent="0.2">
      <c r="A32" s="201" t="s">
        <v>579</v>
      </c>
    </row>
    <row r="33" spans="1:1" ht="7.5" customHeight="1" x14ac:dyDescent="0.2">
      <c r="A33" s="361"/>
    </row>
    <row r="34" spans="1:1" ht="38.25" x14ac:dyDescent="0.2">
      <c r="A34" s="201" t="s">
        <v>580</v>
      </c>
    </row>
    <row r="35" spans="1:1" ht="7.5" customHeight="1" x14ac:dyDescent="0.2">
      <c r="A35" s="361"/>
    </row>
    <row r="36" spans="1:1" ht="114.75" x14ac:dyDescent="0.2">
      <c r="A36" s="201" t="s">
        <v>623</v>
      </c>
    </row>
    <row r="37" spans="1:1" ht="7.5" customHeight="1" x14ac:dyDescent="0.2">
      <c r="A37" s="361"/>
    </row>
    <row r="38" spans="1:1" x14ac:dyDescent="0.2">
      <c r="A38" s="350" t="s">
        <v>581</v>
      </c>
    </row>
    <row r="39" spans="1:1" ht="7.5" customHeight="1" x14ac:dyDescent="0.2">
      <c r="A39" s="361"/>
    </row>
    <row r="40" spans="1:1" ht="102" x14ac:dyDescent="0.2">
      <c r="A40" s="201" t="s">
        <v>582</v>
      </c>
    </row>
    <row r="41" spans="1:1" ht="7.5" customHeight="1" x14ac:dyDescent="0.2">
      <c r="A41" s="361"/>
    </row>
    <row r="42" spans="1:1" x14ac:dyDescent="0.2">
      <c r="A42" s="350" t="s">
        <v>583</v>
      </c>
    </row>
    <row r="43" spans="1:1" ht="7.5" customHeight="1" x14ac:dyDescent="0.2">
      <c r="A43" s="361"/>
    </row>
    <row r="44" spans="1:1" ht="63.75" x14ac:dyDescent="0.2">
      <c r="A44" s="201" t="s">
        <v>624</v>
      </c>
    </row>
    <row r="45" spans="1:1" ht="7.5" customHeight="1" x14ac:dyDescent="0.2">
      <c r="A45" s="361"/>
    </row>
    <row r="46" spans="1:1" x14ac:dyDescent="0.2">
      <c r="A46" s="350" t="s">
        <v>584</v>
      </c>
    </row>
    <row r="47" spans="1:1" ht="7.5" customHeight="1" x14ac:dyDescent="0.2">
      <c r="A47" s="361"/>
    </row>
    <row r="48" spans="1:1" ht="25.5" x14ac:dyDescent="0.2">
      <c r="A48" s="201" t="s">
        <v>585</v>
      </c>
    </row>
    <row r="49" spans="1:1" ht="7.5" customHeight="1" x14ac:dyDescent="0.2">
      <c r="A49" s="361"/>
    </row>
    <row r="50" spans="1:1" x14ac:dyDescent="0.2">
      <c r="A50" s="350" t="s">
        <v>586</v>
      </c>
    </row>
    <row r="51" spans="1:1" ht="7.5" customHeight="1" x14ac:dyDescent="0.2">
      <c r="A51" s="361"/>
    </row>
    <row r="52" spans="1:1" ht="25.5" x14ac:dyDescent="0.2">
      <c r="A52" s="201" t="s">
        <v>587</v>
      </c>
    </row>
    <row r="54" spans="1:1" ht="34.5" x14ac:dyDescent="0.2">
      <c r="A54" s="364" t="s">
        <v>625</v>
      </c>
    </row>
  </sheetData>
  <printOptions horizontalCentered="1"/>
  <pageMargins left="0.23622047244094491" right="0.23622047244094491" top="0.74803149606299213" bottom="1.2598425196850394" header="0.31496062992125984" footer="0.31496062992125984"/>
  <pageSetup fitToHeight="0" orientation="portrait" r:id="rId1"/>
  <headerFooter>
    <oddHeader>&amp;L&amp;"Calibri,Bold"&amp;14 Premium Audit</oddHeader>
    <oddFooter>&amp;L&amp;G&amp;CPage &amp;P of &amp;N</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pageSetUpPr fitToPage="1"/>
  </sheetPr>
  <dimension ref="B1:G32"/>
  <sheetViews>
    <sheetView showGridLines="0" view="pageBreakPreview" zoomScaleNormal="100" zoomScaleSheetLayoutView="100" workbookViewId="0">
      <selection activeCell="C6" sqref="C6"/>
    </sheetView>
  </sheetViews>
  <sheetFormatPr defaultColWidth="9.140625" defaultRowHeight="15" x14ac:dyDescent="0.25"/>
  <cols>
    <col min="1" max="1" width="2.28515625" customWidth="1"/>
    <col min="2" max="2" width="31.5703125" style="174" customWidth="1"/>
    <col min="3" max="3" width="21" style="174" customWidth="1"/>
    <col min="4" max="4" width="19.42578125" style="174" customWidth="1"/>
    <col min="5" max="5" width="13.7109375" style="174" customWidth="1"/>
    <col min="6" max="6" width="16.85546875" style="279" customWidth="1"/>
  </cols>
  <sheetData>
    <row r="1" spans="2:7" ht="45" customHeight="1" x14ac:dyDescent="0.25">
      <c r="B1" s="1311" t="s">
        <v>1672</v>
      </c>
      <c r="C1" s="1312"/>
      <c r="D1" s="1312"/>
      <c r="E1" s="1312"/>
      <c r="F1" s="1313"/>
      <c r="G1" s="217"/>
    </row>
    <row r="2" spans="2:7" x14ac:dyDescent="0.25">
      <c r="B2" s="538" t="s">
        <v>59</v>
      </c>
      <c r="C2" s="538" t="s">
        <v>60</v>
      </c>
      <c r="D2" s="538" t="s">
        <v>415</v>
      </c>
      <c r="E2" s="538" t="s">
        <v>328</v>
      </c>
      <c r="F2" s="539" t="s">
        <v>416</v>
      </c>
    </row>
    <row r="3" spans="2:7" ht="30" customHeight="1" x14ac:dyDescent="0.25">
      <c r="B3" s="294" t="str">
        <f>CoC!A6</f>
        <v>Contractor's Professional &amp; Pollution Liability</v>
      </c>
      <c r="C3" s="295" t="str">
        <f>CoC!C6</f>
        <v/>
      </c>
      <c r="D3" s="295" t="str">
        <f>CoC!D6</f>
        <v>TBD</v>
      </c>
      <c r="E3" s="296" t="str">
        <f>CoC!E6</f>
        <v>7/1/2023 - 7/1/2024</v>
      </c>
      <c r="F3" s="277" t="s">
        <v>417</v>
      </c>
    </row>
    <row r="4" spans="2:7" ht="30" customHeight="1" x14ac:dyDescent="0.25">
      <c r="B4" s="294" t="str">
        <f>CoC!A19</f>
        <v>T5CS Commercial General Liability</v>
      </c>
      <c r="C4" s="295" t="str">
        <f>CoC!C19</f>
        <v/>
      </c>
      <c r="D4" s="295">
        <f>CoC!D19</f>
        <v>6080912085</v>
      </c>
      <c r="E4" s="296" t="str">
        <f>CoC!E19</f>
        <v>7/1/2023 - 7/1/2024</v>
      </c>
      <c r="F4" s="277" t="s">
        <v>417</v>
      </c>
    </row>
    <row r="5" spans="2:7" ht="30" customHeight="1" x14ac:dyDescent="0.25">
      <c r="B5" s="294" t="str">
        <f>CoC!A27</f>
        <v>T5CS Business Auto</v>
      </c>
      <c r="C5" s="295" t="str">
        <f>CoC!C27</f>
        <v/>
      </c>
      <c r="D5" s="295">
        <f>CoC!D27</f>
        <v>6080917903</v>
      </c>
      <c r="E5" s="296" t="str">
        <f>CoC!E27</f>
        <v>7/1/2023 - 7/1/2024</v>
      </c>
      <c r="F5" s="896" t="s">
        <v>1666</v>
      </c>
    </row>
    <row r="6" spans="2:7" ht="30" customHeight="1" x14ac:dyDescent="0.25">
      <c r="B6" s="294" t="str">
        <f>CoC!A30</f>
        <v>T5CS Umbrella</v>
      </c>
      <c r="C6" s="295" t="str">
        <f>CoC!C30</f>
        <v/>
      </c>
      <c r="D6" s="295">
        <f>CoC!D30</f>
        <v>6080930229</v>
      </c>
      <c r="E6" s="296" t="str">
        <f>CoC!E30</f>
        <v>7/1/2023 - 7/1/2024</v>
      </c>
      <c r="F6" s="277" t="s">
        <v>417</v>
      </c>
    </row>
    <row r="7" spans="2:7" ht="30" customHeight="1" x14ac:dyDescent="0.25">
      <c r="B7" s="294" t="str">
        <f>CoC!A32</f>
        <v>T5CS 1st Excess Liability</v>
      </c>
      <c r="C7" s="295" t="str">
        <f>CoC!C32</f>
        <v/>
      </c>
      <c r="D7" s="295" t="str">
        <f>CoC!D32</f>
        <v>TBD</v>
      </c>
      <c r="E7" s="296" t="str">
        <f>CoC!E32</f>
        <v>7/1/2023 - 7/1/2024</v>
      </c>
      <c r="F7" s="277" t="s">
        <v>417</v>
      </c>
    </row>
    <row r="8" spans="2:7" ht="30" customHeight="1" x14ac:dyDescent="0.25">
      <c r="B8" s="294" t="str">
        <f>CoC!A36</f>
        <v>T5CS 3rd Excess Liability</v>
      </c>
      <c r="C8" s="295" t="str">
        <f>CoC!C36</f>
        <v/>
      </c>
      <c r="D8" s="295" t="str">
        <f>CoC!D36</f>
        <v>TBD</v>
      </c>
      <c r="E8" s="296" t="str">
        <f>CoC!E36</f>
        <v>7/1/2023 - 7/1/2024</v>
      </c>
      <c r="F8" s="277" t="s">
        <v>417</v>
      </c>
    </row>
    <row r="9" spans="2:7" ht="47.25" customHeight="1" x14ac:dyDescent="0.25">
      <c r="B9" s="294" t="str">
        <f>CoC!A34</f>
        <v>T5CS 2nd Excess Liability</v>
      </c>
      <c r="C9" s="295" t="str">
        <f>CoC!C34</f>
        <v/>
      </c>
      <c r="D9" s="295" t="str">
        <f>CoC!D34</f>
        <v>TBD</v>
      </c>
      <c r="E9" s="296" t="str">
        <f>CoC!E34</f>
        <v>7/1/2023 - 7/1/2024</v>
      </c>
      <c r="F9" s="277" t="s">
        <v>417</v>
      </c>
    </row>
    <row r="10" spans="2:7" ht="30" customHeight="1" x14ac:dyDescent="0.25">
      <c r="B10" s="294" t="str">
        <f>CoC!A38</f>
        <v>T5CS 4th Excess Liability</v>
      </c>
      <c r="C10" s="295" t="str">
        <f>CoC!C38</f>
        <v/>
      </c>
      <c r="D10" s="295" t="str">
        <f>CoC!D38</f>
        <v>TBD</v>
      </c>
      <c r="E10" s="296" t="str">
        <f>CoC!E38</f>
        <v>7/1/2023 - 7/1/2024</v>
      </c>
      <c r="F10" s="277" t="s">
        <v>417</v>
      </c>
    </row>
    <row r="11" spans="2:7" ht="30" customHeight="1" x14ac:dyDescent="0.25">
      <c r="B11" s="294" t="str">
        <f>CoC!A40</f>
        <v>Inland Marine (T5CS)</v>
      </c>
      <c r="C11" s="295" t="str">
        <f>CoC!C40</f>
        <v/>
      </c>
      <c r="D11" s="295">
        <f>CoC!D40</f>
        <v>6080912085</v>
      </c>
      <c r="E11" s="296" t="str">
        <f>CoC!E40</f>
        <v>7/1/2023 - 7/1/2024</v>
      </c>
      <c r="F11" s="277" t="s">
        <v>417</v>
      </c>
    </row>
    <row r="12" spans="2:7" ht="30" customHeight="1" x14ac:dyDescent="0.25">
      <c r="B12" s="294" t="str">
        <f>CoC!A142</f>
        <v>Foreign Package - T5CS</v>
      </c>
      <c r="C12" s="295" t="str">
        <f>CoC!C142</f>
        <v/>
      </c>
      <c r="D12" s="295" t="str">
        <f>CoC!D142</f>
        <v>PST 73 488 5104</v>
      </c>
      <c r="E12" s="296" t="str">
        <f>CoC!E142</f>
        <v>10/16/2021 - 10/16/2022</v>
      </c>
      <c r="F12" s="277" t="s">
        <v>417</v>
      </c>
    </row>
    <row r="13" spans="2:7" ht="30" customHeight="1" x14ac:dyDescent="0.25">
      <c r="B13" s="294" t="str">
        <f>CoC!A53</f>
        <v>T5DC Package</v>
      </c>
      <c r="C13" s="295" t="str">
        <f>CoC!C53</f>
        <v/>
      </c>
      <c r="D13" s="295">
        <f>CoC!D53</f>
        <v>6080911471</v>
      </c>
      <c r="E13" s="296" t="str">
        <f>CoC!E53</f>
        <v>7/1/2023 - 7/1/2024</v>
      </c>
      <c r="F13" s="277" t="s">
        <v>417</v>
      </c>
    </row>
    <row r="14" spans="2:7" ht="30" customHeight="1" x14ac:dyDescent="0.25">
      <c r="B14" s="294" t="str">
        <f>CoC!A69</f>
        <v>T5DC Business Auto</v>
      </c>
      <c r="C14" s="295" t="str">
        <f>CoC!C69</f>
        <v/>
      </c>
      <c r="D14" s="295">
        <f>CoC!D69</f>
        <v>6081081573</v>
      </c>
      <c r="E14" s="296" t="str">
        <f>CoC!E69</f>
        <v>7/1/2023 - 7/1/2024</v>
      </c>
      <c r="F14" s="277" t="s">
        <v>417</v>
      </c>
    </row>
    <row r="15" spans="2:7" ht="30" customHeight="1" x14ac:dyDescent="0.25">
      <c r="B15" s="294" t="str">
        <f>CoC!A80</f>
        <v>T5DC Umbrella</v>
      </c>
      <c r="C15" s="295" t="str">
        <f>CoC!C80</f>
        <v/>
      </c>
      <c r="D15" s="295">
        <f>CoC!D80</f>
        <v>6080920557</v>
      </c>
      <c r="E15" s="296" t="str">
        <f>CoC!E80</f>
        <v>7/1/2023 - 7/1/2024</v>
      </c>
      <c r="F15" s="277" t="s">
        <v>417</v>
      </c>
    </row>
    <row r="16" spans="2:7" ht="30" customHeight="1" x14ac:dyDescent="0.25">
      <c r="B16" s="294" t="str">
        <f>CoC!A152</f>
        <v>Foreign Package - T5 DCMC</v>
      </c>
      <c r="C16" s="295" t="str">
        <f>CoC!C195</f>
        <v/>
      </c>
      <c r="D16" s="295" t="str">
        <f>CoC!D195</f>
        <v>TBD</v>
      </c>
      <c r="E16" s="296" t="str">
        <f>CoC!E195</f>
        <v>7/1/2023 - 7/1/2024</v>
      </c>
      <c r="F16" s="277" t="s">
        <v>417</v>
      </c>
    </row>
    <row r="17" spans="2:6" ht="30" customHeight="1" x14ac:dyDescent="0.25">
      <c r="B17" s="294" t="str">
        <f>CoC!A82</f>
        <v>Workers Compensation</v>
      </c>
      <c r="C17" s="295" t="str">
        <f>CoC!C82</f>
        <v/>
      </c>
      <c r="D17" s="295">
        <f>CoC!D82</f>
        <v>6080910403</v>
      </c>
      <c r="E17" s="296" t="str">
        <f>CoC!E82</f>
        <v>7/1/2023 - 7/1/2024</v>
      </c>
      <c r="F17" s="896" t="s">
        <v>1666</v>
      </c>
    </row>
    <row r="18" spans="2:6" ht="30" customHeight="1" x14ac:dyDescent="0.25">
      <c r="B18" s="294" t="str">
        <f>CoC!A86</f>
        <v>Workers Compensation - CA Only</v>
      </c>
      <c r="C18" s="295" t="str">
        <f>CoC!C86</f>
        <v/>
      </c>
      <c r="D18" s="295">
        <f>CoC!D86</f>
        <v>6080910868</v>
      </c>
      <c r="E18" s="296" t="str">
        <f>CoC!E86</f>
        <v>7/1/2023 - 7/1/2024</v>
      </c>
      <c r="F18" s="896" t="s">
        <v>1666</v>
      </c>
    </row>
    <row r="19" spans="2:6" ht="30" hidden="1" customHeight="1" x14ac:dyDescent="0.25">
      <c r="B19" s="294" t="str">
        <f>CoC!A137</f>
        <v>Real Estate Errors &amp; Omissions</v>
      </c>
      <c r="C19" s="295" t="str">
        <f>CoC!C137</f>
        <v/>
      </c>
      <c r="D19" s="295" t="str">
        <f>CoC!D137</f>
        <v>TBD</v>
      </c>
      <c r="E19" s="296" t="str">
        <f>CoC!E137</f>
        <v>7/1/2023 - 7/1/2024</v>
      </c>
      <c r="F19" s="277" t="s">
        <v>417</v>
      </c>
    </row>
    <row r="20" spans="2:6" ht="30" customHeight="1" x14ac:dyDescent="0.25">
      <c r="B20" s="294" t="str">
        <f>CoC!A139</f>
        <v>Business Travel Accident</v>
      </c>
      <c r="C20" s="295" t="str">
        <f>CoC!C139</f>
        <v/>
      </c>
      <c r="D20" s="295" t="str">
        <f>CoC!D139</f>
        <v>TBD</v>
      </c>
      <c r="E20" s="296" t="str">
        <f>CoC!E139</f>
        <v>7/1/2023 - 7/1/2024</v>
      </c>
      <c r="F20" s="277" t="s">
        <v>417</v>
      </c>
    </row>
    <row r="21" spans="2:6" hidden="1" x14ac:dyDescent="0.25"/>
    <row r="22" spans="2:6" ht="44.25" customHeight="1" x14ac:dyDescent="0.25">
      <c r="B22" s="294" t="str">
        <f>CoC!A165</f>
        <v>Executive Liability (Directors &amp; Officers, Employment Practices, Fiduciary Liability)</v>
      </c>
      <c r="C22" s="295" t="str">
        <f>CoC!C165</f>
        <v/>
      </c>
      <c r="D22" s="295" t="str">
        <f>CoC!D165</f>
        <v>TBD</v>
      </c>
      <c r="E22" s="296" t="str">
        <f>CoC!E165</f>
        <v>7/1/2023 - 7/1/2024</v>
      </c>
      <c r="F22" s="277" t="s">
        <v>417</v>
      </c>
    </row>
    <row r="23" spans="2:6" ht="30" customHeight="1" x14ac:dyDescent="0.25">
      <c r="B23" s="294" t="str">
        <f>CoC!A177</f>
        <v>Commercial Crime</v>
      </c>
      <c r="C23" s="295" t="str">
        <f>CoC!C177</f>
        <v/>
      </c>
      <c r="D23" s="295" t="str">
        <f>CoC!D177</f>
        <v>TBD</v>
      </c>
      <c r="E23" s="296" t="str">
        <f>CoC!E177</f>
        <v>7/1/2023 - 7/1/2024</v>
      </c>
      <c r="F23" s="277" t="s">
        <v>417</v>
      </c>
    </row>
    <row r="24" spans="2:6" ht="30" customHeight="1" x14ac:dyDescent="0.25">
      <c r="B24" s="294" t="str">
        <f>CoC!A185</f>
        <v>Excess Crime</v>
      </c>
      <c r="C24" s="295" t="str">
        <f>CoC!C185</f>
        <v>Great American Insurance Company</v>
      </c>
      <c r="D24" s="295" t="str">
        <f>CoC!D185</f>
        <v>TBD</v>
      </c>
      <c r="E24" s="296" t="str">
        <f>CoC!E185</f>
        <v>7/1/2023 - 7/1/2024</v>
      </c>
      <c r="F24" s="277" t="s">
        <v>417</v>
      </c>
    </row>
    <row r="25" spans="2:6" ht="27.75" customHeight="1" x14ac:dyDescent="0.25">
      <c r="B25" s="383" t="str">
        <f>CoC!A187</f>
        <v>Technology Errors &amp; Omissions</v>
      </c>
      <c r="C25" s="744" t="str">
        <f>CoC!C187</f>
        <v/>
      </c>
      <c r="D25" s="744" t="str">
        <f>CoC!D187</f>
        <v>TBD</v>
      </c>
      <c r="E25" s="887" t="str">
        <f>CoC!E187</f>
        <v>7/1/2023 - 7/1/2024</v>
      </c>
      <c r="F25" s="897" t="s">
        <v>417</v>
      </c>
    </row>
    <row r="26" spans="2:6" ht="30" customHeight="1" x14ac:dyDescent="0.25">
      <c r="B26" s="294" t="str">
        <f>CoC!A200</f>
        <v>1st Excess Technology Errors &amp; Omissions</v>
      </c>
      <c r="C26" s="295" t="str">
        <f>CoC!C200</f>
        <v/>
      </c>
      <c r="D26" s="295" t="str">
        <f>CoC!D200</f>
        <v>TBD</v>
      </c>
      <c r="E26" s="296" t="str">
        <f>CoC!E200</f>
        <v>7/1/2023 - 7/1/2024</v>
      </c>
      <c r="F26" s="277" t="s">
        <v>417</v>
      </c>
    </row>
    <row r="27" spans="2:6" ht="30" hidden="1" customHeight="1" x14ac:dyDescent="0.25">
      <c r="B27" s="294" t="str">
        <f>CoC!A202</f>
        <v>2nd Excess Technology Errors &amp; Omissions</v>
      </c>
      <c r="C27" s="295" t="str">
        <f>CoC!C202</f>
        <v/>
      </c>
      <c r="D27" s="295" t="str">
        <f>CoC!D202</f>
        <v>TBD</v>
      </c>
      <c r="E27" s="296" t="str">
        <f>CoC!E202</f>
        <v>7/1/2023 - 7/1/2024</v>
      </c>
      <c r="F27" s="277" t="s">
        <v>417</v>
      </c>
    </row>
    <row r="28" spans="2:6" hidden="1" x14ac:dyDescent="0.25"/>
    <row r="29" spans="2:6" ht="30" hidden="1" customHeight="1" x14ac:dyDescent="0.25">
      <c r="B29" s="294" t="str">
        <f>CoC!A210</f>
        <v>3rd Excess Technology Errors &amp; Omissions</v>
      </c>
      <c r="C29" s="295" t="str">
        <f>CoC!C210</f>
        <v/>
      </c>
      <c r="D29" s="295" t="str">
        <f>CoC!D210</f>
        <v>TBD</v>
      </c>
      <c r="E29" s="296" t="str">
        <f>CoC!E210</f>
        <v>7/1/2023 - 7/1/2024</v>
      </c>
      <c r="F29" s="277" t="s">
        <v>417</v>
      </c>
    </row>
    <row r="30" spans="2:6" ht="25.5" hidden="1" x14ac:dyDescent="0.25">
      <c r="B30" s="294" t="str">
        <f>CoC!A212</f>
        <v>Aircraft (Drone) Liability</v>
      </c>
      <c r="C30" s="295" t="str">
        <f>CoC!C212</f>
        <v/>
      </c>
      <c r="D30" s="295" t="str">
        <f>CoC!D212</f>
        <v>TBD</v>
      </c>
      <c r="E30" s="296" t="str">
        <f>CoC!E212</f>
        <v>7/1/2023 - 7/1/2024</v>
      </c>
      <c r="F30" s="277" t="s">
        <v>417</v>
      </c>
    </row>
    <row r="31" spans="2:6" ht="9" customHeight="1" x14ac:dyDescent="0.25">
      <c r="E31" s="297"/>
      <c r="F31" s="278"/>
    </row>
    <row r="32" spans="2:6" ht="41.25" customHeight="1" x14ac:dyDescent="0.25">
      <c r="B32" s="1314" t="s">
        <v>666</v>
      </c>
      <c r="C32" s="1314"/>
      <c r="D32" s="1314"/>
      <c r="E32" s="1314"/>
      <c r="F32" s="1315"/>
    </row>
  </sheetData>
  <mergeCells count="2">
    <mergeCell ref="B1:F1"/>
    <mergeCell ref="B32:F32"/>
  </mergeCells>
  <printOptions horizontalCentered="1"/>
  <pageMargins left="0.19685039370078741" right="0.19685039370078741" top="1.1811023622047245" bottom="1.2598425196850394" header="0.31496062992125984" footer="0.31496062992125984"/>
  <pageSetup scale="77" orientation="portrait" r:id="rId1"/>
  <headerFooter scaleWithDoc="0">
    <oddHeader>&amp;L&amp;"Calibri,Bold"&amp;14 Coverage</oddHeader>
    <oddFooter>&amp;L&amp;G&amp;CPage &amp;P of &amp;N</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pageSetUpPr fitToPage="1"/>
  </sheetPr>
  <dimension ref="A1:O229"/>
  <sheetViews>
    <sheetView showGridLines="0" view="pageBreakPreview" topLeftCell="A189" zoomScale="85" zoomScaleNormal="100" zoomScaleSheetLayoutView="85" workbookViewId="0">
      <selection activeCell="A162" sqref="A162:J164"/>
    </sheetView>
  </sheetViews>
  <sheetFormatPr defaultColWidth="9.140625" defaultRowHeight="15" x14ac:dyDescent="0.25"/>
  <cols>
    <col min="1" max="1" width="22.7109375" customWidth="1"/>
    <col min="2" max="2" width="24.85546875" customWidth="1"/>
    <col min="3" max="3" width="24.42578125" customWidth="1"/>
    <col min="4" max="4" width="15.42578125" customWidth="1"/>
    <col min="5" max="5" width="13.140625" style="156" customWidth="1"/>
    <col min="6" max="6" width="18.140625" style="156" customWidth="1"/>
    <col min="7" max="7" width="37.28515625" customWidth="1"/>
    <col min="8" max="8" width="13.42578125" style="298" customWidth="1"/>
    <col min="9" max="9" width="19.85546875" style="212" customWidth="1"/>
    <col min="10" max="10" width="16.7109375" style="269" customWidth="1"/>
    <col min="12" max="12" width="10" bestFit="1" customWidth="1"/>
    <col min="13" max="13" width="11.85546875" bestFit="1" customWidth="1"/>
    <col min="15" max="15" width="11.85546875" bestFit="1" customWidth="1"/>
  </cols>
  <sheetData>
    <row r="1" spans="1:10" ht="30" customHeight="1" x14ac:dyDescent="0.25">
      <c r="A1" s="1350" t="s">
        <v>126</v>
      </c>
      <c r="B1" s="1351"/>
      <c r="C1" s="1351"/>
      <c r="D1" s="1351"/>
      <c r="E1" s="1351"/>
      <c r="F1" s="1351"/>
      <c r="G1" s="1351"/>
      <c r="H1" s="1351"/>
      <c r="I1" s="1351"/>
      <c r="J1" s="1351"/>
    </row>
    <row r="2" spans="1:10" x14ac:dyDescent="0.25">
      <c r="A2" s="906" t="str">
        <f>Input!B2</f>
        <v>Named Insured</v>
      </c>
      <c r="B2" t="s">
        <v>1669</v>
      </c>
    </row>
    <row r="3" spans="1:10" x14ac:dyDescent="0.25">
      <c r="A3" s="906" t="str">
        <f>Input!B3</f>
        <v>Address</v>
      </c>
      <c r="B3" s="17" t="str">
        <f>Input!C3</f>
        <v>3344 Peachtree Rd NE, Atlanta GA 30326</v>
      </c>
      <c r="C3" s="17"/>
      <c r="D3" s="217"/>
      <c r="E3" s="218"/>
      <c r="F3" s="218"/>
    </row>
    <row r="5" spans="1:10" s="221" customFormat="1" ht="29.25" customHeight="1" x14ac:dyDescent="0.25">
      <c r="A5" s="505" t="s">
        <v>59</v>
      </c>
      <c r="B5" s="506" t="s">
        <v>0</v>
      </c>
      <c r="C5" s="506" t="s">
        <v>130</v>
      </c>
      <c r="D5" s="506" t="s">
        <v>1</v>
      </c>
      <c r="E5" s="506" t="s">
        <v>328</v>
      </c>
      <c r="F5" s="1352" t="s">
        <v>9</v>
      </c>
      <c r="G5" s="1353"/>
      <c r="H5" s="1352" t="s">
        <v>57</v>
      </c>
      <c r="I5" s="1352"/>
      <c r="J5" s="507" t="s">
        <v>423</v>
      </c>
    </row>
    <row r="6" spans="1:10" ht="44.25" customHeight="1" x14ac:dyDescent="0.25">
      <c r="A6" s="1333" t="str">
        <f>Input!B8</f>
        <v>Contractor's Professional &amp; Pollution Liability</v>
      </c>
      <c r="B6" s="1319" t="str">
        <f>Input!C9</f>
        <v>PL: Third-party liability arising from the rendering or failure to render covered professional services. 
CPL: Pollution liability arising from contracting activities.</v>
      </c>
      <c r="C6" s="1319" t="str">
        <f>IF(Input!G12=Input!D12,Input!D13,IF(Input!G12=Input!E12,Input!E13,""))</f>
        <v/>
      </c>
      <c r="D6" s="1319" t="str">
        <f>Input!C11</f>
        <v>TBD</v>
      </c>
      <c r="E6" s="1321" t="str">
        <f>Input!C6</f>
        <v>7/1/2023 - 7/1/2024</v>
      </c>
      <c r="F6" s="508" t="str">
        <f>IF(Input!G12=Input!D12,Input!G37,IF(Input!G12=Input!E12,Input!G38,""))</f>
        <v/>
      </c>
      <c r="G6" s="509" t="str">
        <f>Input!G35</f>
        <v>Each Claim</v>
      </c>
      <c r="H6" s="1320" t="str">
        <f>IF(Input!G12=Input!D12,Input!I37,IF(Input!G12=Input!E12,Input!I38,""))</f>
        <v/>
      </c>
      <c r="I6" s="1343" t="s">
        <v>11</v>
      </c>
      <c r="J6" s="1341" t="str">
        <f>IF(Input!G12=Input!D12,Input!D29,IF(Input!G12=Input!E12,Input!E29,""))</f>
        <v/>
      </c>
    </row>
    <row r="7" spans="1:10" ht="44.25" customHeight="1" x14ac:dyDescent="0.25">
      <c r="A7" s="1333"/>
      <c r="B7" s="1319"/>
      <c r="C7" s="1319"/>
      <c r="D7" s="1319"/>
      <c r="E7" s="1323"/>
      <c r="F7" s="508" t="str">
        <f>IF(Input!G12=Input!D12,Input!H37,IF(Input!G12=Input!E12,Input!H38,""))</f>
        <v/>
      </c>
      <c r="G7" s="509" t="str">
        <f>Input!H35</f>
        <v>Aggregate</v>
      </c>
      <c r="H7" s="1320"/>
      <c r="I7" s="1343"/>
      <c r="J7" s="1341"/>
    </row>
    <row r="8" spans="1:10" ht="15" hidden="1" customHeight="1" x14ac:dyDescent="0.25">
      <c r="E8"/>
      <c r="F8"/>
      <c r="H8"/>
      <c r="I8"/>
      <c r="J8"/>
    </row>
    <row r="9" spans="1:10" ht="15" hidden="1" customHeight="1" x14ac:dyDescent="0.25">
      <c r="E9"/>
      <c r="F9"/>
      <c r="H9"/>
      <c r="I9"/>
      <c r="J9"/>
    </row>
    <row r="10" spans="1:10" ht="15" hidden="1" customHeight="1" x14ac:dyDescent="0.25">
      <c r="A10" s="580"/>
      <c r="B10" s="894"/>
      <c r="C10" s="894"/>
      <c r="D10" s="894"/>
      <c r="E10" s="978"/>
      <c r="F10" s="1316" t="e">
        <f>Input!#REF!</f>
        <v>#REF!</v>
      </c>
      <c r="G10" s="1317"/>
      <c r="H10" s="1317"/>
      <c r="I10" s="1318"/>
      <c r="J10" s="901"/>
    </row>
    <row r="11" spans="1:10" ht="15" hidden="1" customHeight="1" x14ac:dyDescent="0.25">
      <c r="A11" s="580"/>
      <c r="B11" s="894"/>
      <c r="C11" s="894"/>
      <c r="D11" s="894"/>
      <c r="E11" s="978"/>
      <c r="F11" s="386" t="str">
        <f>IF(Input!G47=Input!D47,Input!E79,IF(Input!G47=Input!E47,Input!G79,""))</f>
        <v/>
      </c>
      <c r="G11" s="514">
        <f>Input!B79</f>
        <v>0</v>
      </c>
      <c r="H11" s="1328" t="str">
        <f>IF(Input!G47=Input!D47,Input!F91,IF(Input!G47=Input!E47,Input!H91,""))</f>
        <v/>
      </c>
      <c r="I11" s="1324" t="s">
        <v>129</v>
      </c>
      <c r="J11" s="901"/>
    </row>
    <row r="12" spans="1:10" hidden="1" x14ac:dyDescent="0.25">
      <c r="A12" s="580"/>
      <c r="B12" s="894"/>
      <c r="C12" s="894"/>
      <c r="D12" s="894"/>
      <c r="E12" s="978"/>
      <c r="F12" s="508" t="str">
        <f>IF(Input!G47=Input!D47,Input!E80,IF(Input!G47=Input!E47,Input!G80,""))</f>
        <v/>
      </c>
      <c r="G12" s="509">
        <f>Input!B80</f>
        <v>0</v>
      </c>
      <c r="H12" s="1328"/>
      <c r="I12" s="1325"/>
      <c r="J12" s="901"/>
    </row>
    <row r="13" spans="1:10" hidden="1" x14ac:dyDescent="0.25">
      <c r="A13" s="580"/>
      <c r="B13" s="894"/>
      <c r="C13" s="894"/>
      <c r="D13" s="894"/>
      <c r="E13" s="978"/>
      <c r="F13" s="508" t="str">
        <f>IF(Input!G47=Input!D47,Input!E81,IF(Input!G47=Input!E47,Input!G81,""))</f>
        <v/>
      </c>
      <c r="G13" s="509">
        <f>Input!B81</f>
        <v>0</v>
      </c>
      <c r="H13" s="1328"/>
      <c r="I13" s="1325"/>
      <c r="J13" s="901"/>
    </row>
    <row r="14" spans="1:10" ht="15" hidden="1" customHeight="1" x14ac:dyDescent="0.25">
      <c r="A14" s="580"/>
      <c r="B14" s="894"/>
      <c r="C14" s="894"/>
      <c r="D14" s="894"/>
      <c r="E14" s="978"/>
      <c r="F14" s="508" t="str">
        <f>IF(Input!G47=Input!D47,Input!E86,IF(Input!G47=Input!E47,Input!G86,""))</f>
        <v/>
      </c>
      <c r="G14" s="509" t="str">
        <f>Input!B86</f>
        <v>Coverage</v>
      </c>
      <c r="H14" s="1328"/>
      <c r="I14" s="1325"/>
      <c r="J14" s="901"/>
    </row>
    <row r="15" spans="1:10" ht="15" hidden="1" customHeight="1" x14ac:dyDescent="0.25">
      <c r="A15" s="580"/>
      <c r="B15" s="894"/>
      <c r="C15" s="894"/>
      <c r="D15" s="894"/>
      <c r="E15" s="978"/>
      <c r="F15" s="508" t="str">
        <f>IF(Input!G47=Input!D47,Input!E87,IF(Input!G47=Input!E47,Input!G87,""))</f>
        <v/>
      </c>
      <c r="G15" s="509" t="str">
        <f>Input!B87</f>
        <v>T5CS 2nd Excess Umbrella</v>
      </c>
      <c r="H15" s="546"/>
      <c r="I15" s="555"/>
      <c r="J15" s="901"/>
    </row>
    <row r="16" spans="1:10" ht="15" hidden="1" customHeight="1" x14ac:dyDescent="0.25">
      <c r="A16" s="580"/>
      <c r="B16" s="894"/>
      <c r="C16" s="894"/>
      <c r="D16" s="894"/>
      <c r="E16" s="978"/>
      <c r="F16" s="508" t="str">
        <f>IF(Input!G47=Input!D47,Input!E88,IF(Input!G47=Input!E47,Input!G88,""))</f>
        <v/>
      </c>
      <c r="G16" s="509">
        <f>Input!B88</f>
        <v>0</v>
      </c>
      <c r="H16" s="546"/>
      <c r="I16" s="555"/>
      <c r="J16" s="901"/>
    </row>
    <row r="17" spans="1:10" hidden="1" x14ac:dyDescent="0.25">
      <c r="A17" s="580"/>
      <c r="B17" s="894"/>
      <c r="C17" s="894"/>
      <c r="D17" s="894"/>
      <c r="E17" s="978"/>
      <c r="F17" s="508" t="str">
        <f>IF(Input!G47=Input!D47,Input!E89,IF(Input!G47=Input!E47,Input!G89,""))</f>
        <v/>
      </c>
      <c r="G17" s="509" t="str">
        <f>Input!B89</f>
        <v>Renewal</v>
      </c>
      <c r="H17" s="545" t="str">
        <f>IF(Input!G47=Input!D47,Input!F92,IF(Input!G47=Input!E47,Input!H92,""))</f>
        <v/>
      </c>
      <c r="I17" s="554" t="str">
        <f>IF(ISERROR(FIND("Each Ocurrency",Input!B92)), "Each Claim", "Each Ocurrency" )</f>
        <v>Each Claim</v>
      </c>
      <c r="J17" s="901"/>
    </row>
    <row r="18" spans="1:10" hidden="1" x14ac:dyDescent="0.25">
      <c r="A18" s="446"/>
      <c r="B18" s="900"/>
      <c r="C18" s="900"/>
      <c r="D18" s="900"/>
      <c r="E18" s="979"/>
      <c r="F18" s="508" t="str">
        <f>IF(Input!G47=Input!D47,Input!E90,IF(Input!G47=Input!E47,Input!G90,""))</f>
        <v/>
      </c>
      <c r="G18" s="509">
        <f>Input!B90</f>
        <v>0</v>
      </c>
      <c r="H18" s="547"/>
      <c r="I18" s="556"/>
      <c r="J18" s="902"/>
    </row>
    <row r="19" spans="1:10" x14ac:dyDescent="0.25">
      <c r="A19" s="1334" t="str">
        <f>Input!B184</f>
        <v>T5CS Commercial General Liability</v>
      </c>
      <c r="B19" s="1342" t="s">
        <v>17</v>
      </c>
      <c r="C19" s="1330" t="str">
        <f>IF(Input!G188=Input!D188,Input!D189,IF(Input!G188=Input!E188,Input!E189,""))</f>
        <v/>
      </c>
      <c r="D19" s="1330">
        <f>Input!C187</f>
        <v>6080912085</v>
      </c>
      <c r="E19" s="1321" t="str">
        <f>E6</f>
        <v>7/1/2023 - 7/1/2024</v>
      </c>
      <c r="F19" s="508" t="str">
        <f>IF(Input!G188=Input!D188,Input!D214,IF(Input!G188=Input!E188,Input!E214,""))</f>
        <v/>
      </c>
      <c r="G19" s="509" t="str">
        <f>Input!B214</f>
        <v>Each Occurrence</v>
      </c>
      <c r="H19" s="388" t="str">
        <f>IF(Input!G188=Input!D188,Input!D224,IF(Input!G188=Input!E188,Input!E224,""))</f>
        <v/>
      </c>
      <c r="I19" s="511" t="s">
        <v>129</v>
      </c>
      <c r="J19" s="1338" t="str">
        <f>IF(Input!G188=Input!D188,Input!D203,IF(Input!G188=Input!E188,Input!E203,""))</f>
        <v/>
      </c>
    </row>
    <row r="20" spans="1:10" x14ac:dyDescent="0.25">
      <c r="A20" s="1335"/>
      <c r="B20" s="1322"/>
      <c r="C20" s="1322"/>
      <c r="D20" s="1322"/>
      <c r="E20" s="1331"/>
      <c r="F20" s="508" t="str">
        <f>IF(Input!G188=Input!D188,Input!D215,IF(Input!G188=Input!E188,Input!E215,""))</f>
        <v/>
      </c>
      <c r="G20" s="509" t="str">
        <f>Input!B215</f>
        <v>Products / Completed Operations Aggregate</v>
      </c>
      <c r="H20" s="546"/>
      <c r="I20" s="548"/>
      <c r="J20" s="1339"/>
    </row>
    <row r="21" spans="1:10" x14ac:dyDescent="0.25">
      <c r="A21" s="1335"/>
      <c r="B21" s="1322"/>
      <c r="C21" s="1322"/>
      <c r="D21" s="1322"/>
      <c r="E21" s="1331"/>
      <c r="F21" s="508" t="str">
        <f>IF(Input!G188=Input!D188,Input!D216,IF(Input!G188=Input!E188,Input!E216,""))</f>
        <v/>
      </c>
      <c r="G21" s="509" t="str">
        <f>Input!B216</f>
        <v>Personal and Advertising Injury</v>
      </c>
      <c r="H21" s="546"/>
      <c r="I21" s="548"/>
      <c r="J21" s="1339"/>
    </row>
    <row r="22" spans="1:10" x14ac:dyDescent="0.25">
      <c r="A22" s="1335"/>
      <c r="B22" s="1322"/>
      <c r="C22" s="1322"/>
      <c r="D22" s="1322"/>
      <c r="E22" s="1331"/>
      <c r="F22" s="508" t="str">
        <f>IF(Input!G188=Input!D188,Input!D217,IF(Input!G188=Input!E188,Input!E217,""))</f>
        <v/>
      </c>
      <c r="G22" s="509" t="str">
        <f>Input!B217</f>
        <v>General Aggregate</v>
      </c>
      <c r="H22" s="546"/>
      <c r="I22" s="548"/>
      <c r="J22" s="1339"/>
    </row>
    <row r="23" spans="1:10" x14ac:dyDescent="0.25">
      <c r="A23" s="1335"/>
      <c r="B23" s="1322"/>
      <c r="C23" s="1322"/>
      <c r="D23" s="1322"/>
      <c r="E23" s="1331"/>
      <c r="F23" s="508" t="str">
        <f>IF(Input!G188=Input!D188,Input!D218,IF(Input!G188=Input!E188,Input!E218,""))</f>
        <v/>
      </c>
      <c r="G23" s="509" t="str">
        <f>Input!B218</f>
        <v>Damage to Premises Rented to You</v>
      </c>
      <c r="H23" s="546"/>
      <c r="I23" s="555"/>
      <c r="J23" s="1339"/>
    </row>
    <row r="24" spans="1:10" x14ac:dyDescent="0.25">
      <c r="A24" s="1335"/>
      <c r="B24" s="1322"/>
      <c r="C24" s="1322"/>
      <c r="D24" s="1322"/>
      <c r="E24" s="1331"/>
      <c r="F24" s="508" t="str">
        <f>IF(Input!G188=Input!D188,Input!D219,IF(Input!G188=Input!E188,Input!E219,""))</f>
        <v/>
      </c>
      <c r="G24" s="509" t="str">
        <f>Input!B219</f>
        <v>Medical Payments</v>
      </c>
      <c r="H24" s="546"/>
      <c r="I24" s="555"/>
      <c r="J24" s="1339"/>
    </row>
    <row r="25" spans="1:10" hidden="1" x14ac:dyDescent="0.25">
      <c r="A25" s="1335"/>
      <c r="B25" s="1322"/>
      <c r="C25" s="1322"/>
      <c r="D25" s="1322"/>
      <c r="E25" s="1331"/>
      <c r="F25" s="508" t="str">
        <f>IF(Input!G188=Input!D188,Input!D220,IF(Input!G188=Input!E188,Input!E220,""))</f>
        <v/>
      </c>
      <c r="G25" s="509" t="str">
        <f>Input!B220</f>
        <v>Employee Benefits Liability - Each Claim</v>
      </c>
      <c r="H25" s="388" t="str">
        <f>IF(Input!G188=Input!D188,Input!D225,IF(Input!G188=Input!E188,Input!E225,""))</f>
        <v/>
      </c>
      <c r="I25" s="554" t="str">
        <f>IF(ISERROR(FIND("Each Ocurrency",Input!B225)), "Each Claim", "Each Ocurrency" )</f>
        <v>Each Claim</v>
      </c>
      <c r="J25" s="1339"/>
    </row>
    <row r="26" spans="1:10" hidden="1" x14ac:dyDescent="0.25">
      <c r="A26" s="1336"/>
      <c r="B26" s="1323"/>
      <c r="C26" s="1323"/>
      <c r="D26" s="1323"/>
      <c r="E26" s="1332"/>
      <c r="F26" s="508" t="str">
        <f>IF(Input!G188=Input!D188,Input!D221,IF(Input!G188=Input!E188,Input!E221,""))</f>
        <v/>
      </c>
      <c r="G26" s="509" t="str">
        <f>Input!B221</f>
        <v>Employee Benefits Liability - Aggregate</v>
      </c>
      <c r="H26" s="547"/>
      <c r="I26" s="556"/>
      <c r="J26" s="1340"/>
    </row>
    <row r="27" spans="1:10" x14ac:dyDescent="0.25">
      <c r="A27" s="368" t="str">
        <f>Input!B444</f>
        <v>T5CS Business Auto</v>
      </c>
      <c r="B27" s="1330" t="s">
        <v>32</v>
      </c>
      <c r="C27" s="1330" t="str">
        <f>IF(Input!G448=Input!D448,Input!D449,IF(Input!G448=Input!E448,Input!E449,""))</f>
        <v/>
      </c>
      <c r="D27" s="891">
        <f>Input!C447</f>
        <v>6080917903</v>
      </c>
      <c r="E27" s="1321" t="str">
        <f>E6</f>
        <v>7/1/2023 - 7/1/2024</v>
      </c>
      <c r="F27" s="1316" t="str">
        <f>Input!B493</f>
        <v>Business Auto</v>
      </c>
      <c r="G27" s="1317"/>
      <c r="H27" s="1317"/>
      <c r="I27" s="1318"/>
      <c r="J27" s="889" t="str">
        <f>IF(Input!G448=Input!D448,Input!D463,IF(Input!G448=Input!E448,Input!E463,""))</f>
        <v/>
      </c>
    </row>
    <row r="28" spans="1:10" x14ac:dyDescent="0.25">
      <c r="A28" s="580"/>
      <c r="B28" s="1322"/>
      <c r="C28" s="1322"/>
      <c r="D28" s="894"/>
      <c r="E28" s="1331"/>
      <c r="F28" s="508" t="str">
        <f>IF(Input!G448=Input!D448,Input!D495,IF(Input!G448=Input!E448,Input!E495,""))</f>
        <v/>
      </c>
      <c r="G28" s="509" t="str">
        <f>Input!B495</f>
        <v>Hired and Non-Owned Auto Liability Limit</v>
      </c>
      <c r="H28" s="557" t="str">
        <f>IF(Input!G448=Input!D448,Input!D496,IF(Input!G448=Input!E448,Input!E496,""))</f>
        <v/>
      </c>
      <c r="I28" s="512" t="s">
        <v>270</v>
      </c>
      <c r="J28" s="901"/>
    </row>
    <row r="29" spans="1:10" ht="29.25" customHeight="1" x14ac:dyDescent="0.25">
      <c r="A29" s="446"/>
      <c r="B29" s="1323"/>
      <c r="C29" s="1323"/>
      <c r="D29" s="900"/>
      <c r="E29" s="1332"/>
      <c r="F29" s="508" t="str">
        <f>IF(Input!G448=Input!D448,Input!D497,IF(Input!G448=Input!E448,Input!E497,""))</f>
        <v/>
      </c>
      <c r="G29" s="509" t="str">
        <f>Input!B497</f>
        <v>Hired Auto Physical Damage Limit</v>
      </c>
      <c r="H29" s="557" t="str">
        <f>IF(Input!G448=Input!D448,Input!D498,IF(Input!G448=Input!E448,Input!E498,""))</f>
        <v/>
      </c>
      <c r="I29" s="553"/>
      <c r="J29" s="902"/>
    </row>
    <row r="30" spans="1:10" ht="24" customHeight="1" x14ac:dyDescent="0.25">
      <c r="A30" s="1333" t="str">
        <f>Input!B359</f>
        <v>T5CS Umbrella</v>
      </c>
      <c r="B30" s="1319" t="str">
        <f>Input!C360</f>
        <v>Coverage applies to claims in excess of the limits of underlying primary policies.</v>
      </c>
      <c r="C30" s="1319" t="str">
        <f>IF(Input!G363=Input!D363,Input!D364,IF(Input!G363=Input!E363,Input!E364,""))</f>
        <v/>
      </c>
      <c r="D30" s="1319">
        <f>Input!C362</f>
        <v>6080930229</v>
      </c>
      <c r="E30" s="1321" t="str">
        <f>E6</f>
        <v>7/1/2023 - 7/1/2024</v>
      </c>
      <c r="F30" s="508" t="str">
        <f>IF(Input!G363=Input!D363,Input!I386,IF(Input!G363=Input!E363,Input!I387,""))</f>
        <v/>
      </c>
      <c r="G30" s="509" t="str">
        <f>Input!I384</f>
        <v>Each Occurrence</v>
      </c>
      <c r="H30" s="1320" t="str">
        <f>IF(Input!G363=Input!D363,Input!K386,IF(Input!G363=Input!E363,Input!K387,""))</f>
        <v/>
      </c>
      <c r="I30" s="1343" t="str">
        <f>Input!K384</f>
        <v>Each Occurrence</v>
      </c>
      <c r="J30" s="1341" t="str">
        <f>IF(Input!G363=Input!D363,Input!D378,IF(Input!G363=Input!E363,Input!E378,""))</f>
        <v/>
      </c>
    </row>
    <row r="31" spans="1:10" ht="24" customHeight="1" x14ac:dyDescent="0.25">
      <c r="A31" s="1333"/>
      <c r="B31" s="1319"/>
      <c r="C31" s="1319"/>
      <c r="D31" s="1319"/>
      <c r="E31" s="1323"/>
      <c r="F31" s="508" t="str">
        <f>IF(Input!G363=Input!D363,Input!J386,IF(Input!G363=Input!E363,Input!J387,""))</f>
        <v/>
      </c>
      <c r="G31" s="509" t="str">
        <f>Input!J384</f>
        <v>Aggregate</v>
      </c>
      <c r="H31" s="1320"/>
      <c r="I31" s="1343"/>
      <c r="J31" s="1341"/>
    </row>
    <row r="32" spans="1:10" ht="24" customHeight="1" x14ac:dyDescent="0.25">
      <c r="A32" s="1334" t="str">
        <f>Input!B403</f>
        <v>T5CS 1st Excess Liability</v>
      </c>
      <c r="B32" s="1330" t="str">
        <f>Input!C404</f>
        <v>Coverage applies to claims in excess of the limits of underlying primary policies.</v>
      </c>
      <c r="C32" s="1330" t="str">
        <f>IF(Input!G407=Input!D407,Input!D408,IF(Input!G407=Input!E407,Input!E408,""))</f>
        <v/>
      </c>
      <c r="D32" s="1330" t="str">
        <f>Input!C406</f>
        <v>TBD</v>
      </c>
      <c r="E32" s="1321" t="str">
        <f>E6</f>
        <v>7/1/2023 - 7/1/2024</v>
      </c>
      <c r="F32" s="508" t="str">
        <f>IF(Input!G407=Input!D407,Input!G430,IF(Input!G407=Input!E407,Input!G431,""))</f>
        <v/>
      </c>
      <c r="G32" s="509" t="str">
        <f>Input!G428</f>
        <v>Each Occurrence</v>
      </c>
      <c r="H32" s="1327" t="str">
        <f>IF(Input!G407=Input!D407,Input!I430,IF(Input!G407=Input!E407,Input!I431,""))</f>
        <v/>
      </c>
      <c r="I32" s="1324" t="str">
        <f>Input!I428</f>
        <v>Each Occurrence</v>
      </c>
      <c r="J32" s="1338" t="str">
        <f>IF(Input!G407=Input!D407,Input!D422,IF(Input!G407=Input!E407,Input!E422,""))</f>
        <v/>
      </c>
    </row>
    <row r="33" spans="1:10" ht="24" customHeight="1" x14ac:dyDescent="0.25">
      <c r="A33" s="1336"/>
      <c r="B33" s="1323"/>
      <c r="C33" s="1323"/>
      <c r="D33" s="1323"/>
      <c r="E33" s="1323"/>
      <c r="F33" s="508" t="str">
        <f>IF(Input!G407=Input!D407,Input!H430,IF(Input!G407=Input!E407,Input!H431,""))</f>
        <v/>
      </c>
      <c r="G33" s="509" t="str">
        <f>Input!H428</f>
        <v>Aggregate</v>
      </c>
      <c r="H33" s="1329"/>
      <c r="I33" s="1326"/>
      <c r="J33" s="1340"/>
    </row>
    <row r="34" spans="1:10" ht="24" customHeight="1" x14ac:dyDescent="0.25">
      <c r="A34" s="1334" t="str">
        <f>Input!B142</f>
        <v>T5CS 2nd Excess Liability</v>
      </c>
      <c r="B34" s="1330" t="str">
        <f>Input!C143</f>
        <v>Coverage applies to claims in excess of the limits of underlying primary policies.</v>
      </c>
      <c r="C34" s="1330" t="str">
        <f>IF(Input!G146=Input!D146,Input!D147,IF(Input!G146=Input!E146,Input!E147,""))</f>
        <v/>
      </c>
      <c r="D34" s="1330" t="str">
        <f>Input!C145</f>
        <v>TBD</v>
      </c>
      <c r="E34" s="1321" t="str">
        <f>E6</f>
        <v>7/1/2023 - 7/1/2024</v>
      </c>
      <c r="F34" s="508" t="str">
        <f>IF(Input!G146=Input!D146,Input!I171,IF(Input!G146=Input!E146,Input!I172,""))</f>
        <v/>
      </c>
      <c r="G34" s="509" t="str">
        <f>Input!I169</f>
        <v>Each Occurrence</v>
      </c>
      <c r="H34" s="1327" t="str">
        <f>IF(Input!G146=Input!D146,Input!K171,IF(Input!G146=Input!E146,Input!K172,""))</f>
        <v/>
      </c>
      <c r="I34" s="1324" t="s">
        <v>129</v>
      </c>
      <c r="J34" s="1344" t="str">
        <f>IF(Input!G146=Input!D146,Input!D163,IF(Input!G146=Input!E146,Input!E163,""))</f>
        <v/>
      </c>
    </row>
    <row r="35" spans="1:10" ht="24" customHeight="1" x14ac:dyDescent="0.25">
      <c r="A35" s="1336"/>
      <c r="B35" s="1323"/>
      <c r="C35" s="1323"/>
      <c r="D35" s="1323"/>
      <c r="E35" s="1323"/>
      <c r="F35" s="508" t="str">
        <f>IF(Input!G146=Input!D146,Input!J171,IF(Input!G146=Input!E146,Input!J172,""))</f>
        <v/>
      </c>
      <c r="G35" s="509" t="str">
        <f>Input!J169</f>
        <v>Aggregate</v>
      </c>
      <c r="H35" s="1329"/>
      <c r="I35" s="1326"/>
      <c r="J35" s="1345"/>
    </row>
    <row r="36" spans="1:10" ht="24" customHeight="1" x14ac:dyDescent="0.25">
      <c r="A36" s="1334" t="str">
        <f>Input!B43</f>
        <v>T5CS 3rd Excess Liability</v>
      </c>
      <c r="B36" s="1334" t="str">
        <f>Input!C44</f>
        <v>Coverage applies to claims in excess of the limits of underlying primary policies.</v>
      </c>
      <c r="C36" s="1334" t="str">
        <f>IF(Input!G47=Input!D47,Input!D48,IF(Input!G47=Input!E47,Input!E48,""))</f>
        <v/>
      </c>
      <c r="D36" s="1334" t="str">
        <f>Input!C46</f>
        <v>TBD</v>
      </c>
      <c r="E36" s="1321" t="str">
        <f>E6</f>
        <v>7/1/2023 - 7/1/2024</v>
      </c>
      <c r="F36" s="508" t="str">
        <f>IF(Input!G47=Input!D47,Input!E73,IF(Input!G47=Input!E47,Input!G73,""))</f>
        <v/>
      </c>
      <c r="G36" s="509" t="str">
        <f>Input!B73</f>
        <v>Each Occurrence Limit</v>
      </c>
      <c r="H36" s="508" t="str">
        <f>IF(Input!G47=Input!D47,Input!F73,IF(Input!G47=Input!E47,Input!H73,""))</f>
        <v/>
      </c>
      <c r="I36" s="907" t="s">
        <v>129</v>
      </c>
      <c r="J36" s="889" t="str">
        <f>IF(Input!G47=Input!D47,Input!D62,IF(Input!G47=Input!E47,Input!E62,""))</f>
        <v/>
      </c>
    </row>
    <row r="37" spans="1:10" ht="24" customHeight="1" x14ac:dyDescent="0.25">
      <c r="A37" s="1336"/>
      <c r="B37" s="1336"/>
      <c r="C37" s="1336"/>
      <c r="D37" s="1336"/>
      <c r="E37" s="1332"/>
      <c r="F37" s="388" t="str">
        <f>IF(Input!G47=Input!D47,Input!E74,IF(Input!G47=Input!E47,Input!G74,""))</f>
        <v/>
      </c>
      <c r="G37" s="510" t="str">
        <f>Input!B74</f>
        <v>Aggregate Limit</v>
      </c>
      <c r="H37" s="385" t="str">
        <f>IF(Input!G47=Input!D47,Input!F74,IF(Input!G47=Input!E47,Input!H74,""))</f>
        <v/>
      </c>
      <c r="I37" s="907" t="s">
        <v>129</v>
      </c>
      <c r="J37" s="901"/>
    </row>
    <row r="38" spans="1:10" ht="24" customHeight="1" x14ac:dyDescent="0.25">
      <c r="A38" s="1334" t="str">
        <f>Input!B608</f>
        <v>T5CS 4th Excess Liability</v>
      </c>
      <c r="B38" s="1330" t="str">
        <f>Input!C609</f>
        <v>Coverage applies to claims in excess of the limits of underlying primary policies.</v>
      </c>
      <c r="C38" s="1330" t="str">
        <f>IF(Input!G612=Input!D612,Input!D613,IF(Input!G612=Input!E612,Input!E613,""))</f>
        <v/>
      </c>
      <c r="D38" s="1330" t="str">
        <f>Input!C611</f>
        <v>TBD</v>
      </c>
      <c r="E38" s="1321" t="str">
        <f>E6</f>
        <v>7/1/2023 - 7/1/2024</v>
      </c>
      <c r="F38" s="508" t="str">
        <f>IF(Input!G612=Input!D612,Input!G635,IF(Input!G612=Input!E612,Input!G636,""))</f>
        <v/>
      </c>
      <c r="G38" s="509" t="str">
        <f>Input!G633</f>
        <v>Each Occurrence</v>
      </c>
      <c r="H38" s="1327" t="str">
        <f>IF(Input!G612=Input!D612,Input!I635,IF(Input!G612=Input!E612,Input!I636,""))</f>
        <v/>
      </c>
      <c r="I38" s="1324" t="str">
        <f>Input!G633</f>
        <v>Each Occurrence</v>
      </c>
      <c r="J38" s="1338" t="str">
        <f>IF(Input!G612=Input!D612,Input!D627,IF(Input!G612=Input!E612,Input!E627,""))</f>
        <v/>
      </c>
    </row>
    <row r="39" spans="1:10" ht="24" customHeight="1" x14ac:dyDescent="0.25">
      <c r="A39" s="1336"/>
      <c r="B39" s="1323"/>
      <c r="C39" s="1323"/>
      <c r="D39" s="1323"/>
      <c r="E39" s="1323"/>
      <c r="F39" s="508" t="str">
        <f>IF(Input!G612=Input!D612,Input!H635,IF(Input!G612=Input!E612,Input!H636,""))</f>
        <v/>
      </c>
      <c r="G39" s="509" t="str">
        <f>Input!E641</f>
        <v>Aggregate</v>
      </c>
      <c r="H39" s="1329"/>
      <c r="I39" s="1326"/>
      <c r="J39" s="1340"/>
    </row>
    <row r="40" spans="1:10" ht="15" customHeight="1" x14ac:dyDescent="0.25">
      <c r="A40" s="1334" t="str">
        <f>Input!B541</f>
        <v>Inland Marine (T5CS)</v>
      </c>
      <c r="B40" s="1334" t="s">
        <v>1668</v>
      </c>
      <c r="C40" s="1334" t="str">
        <f>IF(Input!G545=Input!D545,Input!D546,IF(Input!G545=Input!E545,Input!E546,""))</f>
        <v/>
      </c>
      <c r="D40" s="1330">
        <f>Input!C544</f>
        <v>6080912085</v>
      </c>
      <c r="E40" s="1321" t="str">
        <f>E6</f>
        <v>7/1/2023 - 7/1/2024</v>
      </c>
      <c r="F40" s="508">
        <f>Input!H579</f>
        <v>100000</v>
      </c>
      <c r="G40" s="509" t="str">
        <f>Input!F579</f>
        <v>Leased or Rented Equipment - Max Per Occurrence</v>
      </c>
      <c r="H40" s="1327">
        <v>2500</v>
      </c>
      <c r="I40" s="1337" t="s">
        <v>129</v>
      </c>
      <c r="J40" s="1338" t="str">
        <f>IF(Input!G545=Input!D545,Input!D560,IF(Input!G545=Input!E545,Input!E560,""))</f>
        <v/>
      </c>
    </row>
    <row r="41" spans="1:10" x14ac:dyDescent="0.25">
      <c r="A41" s="1335"/>
      <c r="B41" s="1335"/>
      <c r="C41" s="1335"/>
      <c r="D41" s="1322"/>
      <c r="E41" s="1331"/>
      <c r="F41" s="508">
        <f>Input!H580</f>
        <v>50000</v>
      </c>
      <c r="G41" s="509" t="str">
        <f>Input!F580</f>
        <v>Leased or Rented Equipment - Max Per Item</v>
      </c>
      <c r="H41" s="1328"/>
      <c r="I41" s="1325"/>
      <c r="J41" s="1339"/>
    </row>
    <row r="42" spans="1:10" x14ac:dyDescent="0.25">
      <c r="A42" s="1336"/>
      <c r="B42" s="1336"/>
      <c r="C42" s="1336"/>
      <c r="D42" s="1323"/>
      <c r="E42" s="1332"/>
      <c r="F42" s="508">
        <f>Input!H581</f>
        <v>50000</v>
      </c>
      <c r="G42" s="509" t="str">
        <f>Input!F581</f>
        <v>Installation Floater</v>
      </c>
      <c r="H42" s="1329"/>
      <c r="I42" s="1326"/>
      <c r="J42" s="1340"/>
    </row>
    <row r="43" spans="1:10" ht="15" hidden="1" customHeight="1" x14ac:dyDescent="0.25">
      <c r="A43" s="400"/>
      <c r="B43" s="535"/>
      <c r="C43" s="535"/>
      <c r="D43" s="535"/>
      <c r="E43" s="894"/>
      <c r="F43" s="508" t="str">
        <f>IF(Input!G545=Input!D545,Input!H576,IF(Input!G545=Input!E545,Input!I576,""))</f>
        <v/>
      </c>
      <c r="G43" s="509" t="str">
        <f>Input!F576</f>
        <v>Scheduled Equipment</v>
      </c>
      <c r="H43" s="508" t="str">
        <f>IF(Input!G545=Input!D545,Input!D597,IF(Input!G545=Input!E545,Input!E597,""))</f>
        <v/>
      </c>
      <c r="I43" s="509" t="str">
        <f>Input!B597</f>
        <v>Windstorm</v>
      </c>
      <c r="J43" s="903"/>
    </row>
    <row r="44" spans="1:10" ht="15" hidden="1" customHeight="1" x14ac:dyDescent="0.25">
      <c r="A44" s="400"/>
      <c r="B44" s="535"/>
      <c r="C44" s="535"/>
      <c r="D44" s="535"/>
      <c r="E44" s="894"/>
      <c r="F44" s="1320">
        <f>SUM(F40:F43)</f>
        <v>200000</v>
      </c>
      <c r="G44" s="1343" t="s">
        <v>128</v>
      </c>
      <c r="H44" s="508" t="str">
        <f>IF(Input!G545=Input!D545,Input!D598,IF(Input!G545=Input!E545,Input!E598,""))</f>
        <v/>
      </c>
      <c r="I44" s="509" t="str">
        <f>Input!B598</f>
        <v>Named Storm</v>
      </c>
      <c r="J44" s="903"/>
    </row>
    <row r="45" spans="1:10" ht="25.5" hidden="1" customHeight="1" x14ac:dyDescent="0.25">
      <c r="A45" s="400"/>
      <c r="B45" s="535"/>
      <c r="C45" s="535"/>
      <c r="D45" s="535"/>
      <c r="E45" s="900"/>
      <c r="F45" s="1320"/>
      <c r="G45" s="1343"/>
      <c r="H45" s="386" t="str">
        <f>IF(Input!G545=Input!D545,Input!D600,IF(Input!G545=Input!E545,Input!E600,""))</f>
        <v/>
      </c>
      <c r="I45" s="514" t="str">
        <f>Input!B600&amp;" Waiting Period"</f>
        <v>All Other Waiting Period</v>
      </c>
      <c r="J45" s="903"/>
    </row>
    <row r="46" spans="1:10" hidden="1" x14ac:dyDescent="0.25">
      <c r="A46" s="384"/>
      <c r="B46" s="892"/>
      <c r="C46" s="892"/>
      <c r="D46" s="892"/>
      <c r="E46" s="893"/>
      <c r="F46" s="508"/>
      <c r="G46" s="509"/>
      <c r="H46" s="546"/>
      <c r="I46" s="555"/>
      <c r="J46" s="890"/>
    </row>
    <row r="47" spans="1:10" hidden="1" x14ac:dyDescent="0.25">
      <c r="A47" s="384"/>
      <c r="B47" s="892"/>
      <c r="C47" s="892"/>
      <c r="D47" s="892"/>
      <c r="E47" s="893"/>
      <c r="F47" s="508"/>
      <c r="G47" s="509"/>
      <c r="H47" s="546"/>
      <c r="I47" s="555"/>
      <c r="J47" s="890"/>
    </row>
    <row r="48" spans="1:10" hidden="1" x14ac:dyDescent="0.25">
      <c r="A48" s="384"/>
      <c r="B48" s="892"/>
      <c r="C48" s="892"/>
      <c r="D48" s="892"/>
      <c r="E48" s="893"/>
      <c r="F48" s="508"/>
      <c r="G48" s="509"/>
      <c r="H48" s="546"/>
      <c r="I48" s="555"/>
      <c r="J48" s="890"/>
    </row>
    <row r="49" spans="1:10" hidden="1" x14ac:dyDescent="0.25">
      <c r="A49" s="384"/>
      <c r="B49" s="892"/>
      <c r="C49" s="892"/>
      <c r="D49" s="892"/>
      <c r="E49" s="893"/>
      <c r="F49" s="508"/>
      <c r="G49" s="509"/>
      <c r="H49" s="546"/>
      <c r="I49" s="555"/>
      <c r="J49" s="890"/>
    </row>
    <row r="50" spans="1:10" hidden="1" x14ac:dyDescent="0.25">
      <c r="A50" s="384"/>
      <c r="B50" s="892"/>
      <c r="C50" s="892"/>
      <c r="D50" s="892"/>
      <c r="E50" s="893"/>
      <c r="F50" s="508"/>
      <c r="G50" s="509"/>
      <c r="H50" s="546"/>
      <c r="I50" s="555"/>
      <c r="J50" s="890"/>
    </row>
    <row r="51" spans="1:10" hidden="1" x14ac:dyDescent="0.25">
      <c r="A51" s="384"/>
      <c r="B51" s="892"/>
      <c r="C51" s="892"/>
      <c r="D51" s="892"/>
      <c r="E51" s="893"/>
      <c r="F51" s="508"/>
      <c r="G51" s="509"/>
      <c r="H51" s="546"/>
      <c r="I51" s="555"/>
      <c r="J51" s="890"/>
    </row>
    <row r="52" spans="1:10" hidden="1" x14ac:dyDescent="0.25">
      <c r="A52" s="384"/>
      <c r="B52" s="892"/>
      <c r="C52" s="892"/>
      <c r="D52" s="892"/>
      <c r="E52" s="893"/>
      <c r="F52" s="508"/>
      <c r="G52" s="509"/>
      <c r="H52" s="546"/>
      <c r="I52" s="555"/>
      <c r="J52" s="890"/>
    </row>
    <row r="53" spans="1:10" x14ac:dyDescent="0.25">
      <c r="A53" s="1365" t="str">
        <f>Input!B649</f>
        <v>T5DC Package</v>
      </c>
      <c r="B53" s="1321" t="str">
        <f>Input!C650</f>
        <v>General Liability: Coverage applies to third party bodily injury or property damage losses arising from non-professional activities.
Property: First-party insurance that indemnifies the owner or user of property for its loss, or the loss of its income-producing ability, when the loss or damage is caused by a covered peril
Inland Marine: Physical damage to contractor's equipment</v>
      </c>
      <c r="C53" s="1321" t="str">
        <f>IF(Input!G653=Input!D653,Input!D654,IF(Input!G653=Input!E653,Input!E654,""))</f>
        <v/>
      </c>
      <c r="D53" s="1330">
        <f>Input!C652</f>
        <v>6080911471</v>
      </c>
      <c r="E53" s="1321" t="str">
        <f>E6</f>
        <v>7/1/2023 - 7/1/2024</v>
      </c>
      <c r="F53" s="1316" t="s">
        <v>269</v>
      </c>
      <c r="G53" s="1317"/>
      <c r="H53" s="1317"/>
      <c r="I53" s="1318"/>
      <c r="J53" s="1338" t="str">
        <f>IF(Input!G653=Input!D653,Input!D678,IF(Input!G653=Input!E653,Input!E678,""))</f>
        <v/>
      </c>
    </row>
    <row r="54" spans="1:10" x14ac:dyDescent="0.25">
      <c r="A54" s="1366"/>
      <c r="B54" s="1331"/>
      <c r="C54" s="1331"/>
      <c r="D54" s="1322"/>
      <c r="E54" s="1331"/>
      <c r="F54" s="508" t="str">
        <f>IF(Input!G653=Input!D653,Input!D688,IF(Input!G653=Input!E653,Input!E688,""))</f>
        <v/>
      </c>
      <c r="G54" s="509" t="str">
        <f>Input!B688</f>
        <v>Each Occurrence</v>
      </c>
      <c r="H54" s="388" t="str">
        <f>IF(Input!G653=Input!D653,Input!D698,IF(Input!G653=Input!E653,Input!E698,""))</f>
        <v/>
      </c>
      <c r="I54" s="511" t="s">
        <v>129</v>
      </c>
      <c r="J54" s="1339"/>
    </row>
    <row r="55" spans="1:10" x14ac:dyDescent="0.25">
      <c r="A55" s="1366"/>
      <c r="B55" s="1331"/>
      <c r="C55" s="1331"/>
      <c r="D55" s="1322"/>
      <c r="E55" s="1331"/>
      <c r="F55" s="508" t="str">
        <f>IF(Input!G653=Input!D653,Input!D689,IF(Input!G653=Input!E653,Input!E689,""))</f>
        <v/>
      </c>
      <c r="G55" s="509" t="str">
        <f>Input!B689</f>
        <v>Products / Completed Operations Aggregate</v>
      </c>
      <c r="H55" s="546"/>
      <c r="I55" s="548"/>
      <c r="J55" s="1339"/>
    </row>
    <row r="56" spans="1:10" x14ac:dyDescent="0.25">
      <c r="A56" s="1366"/>
      <c r="B56" s="1331"/>
      <c r="C56" s="1331"/>
      <c r="D56" s="1322"/>
      <c r="E56" s="1331"/>
      <c r="F56" s="508" t="str">
        <f>IF(Input!G653=Input!D653,Input!D690,IF(Input!G653=Input!E653,Input!E690,""))</f>
        <v/>
      </c>
      <c r="G56" s="509" t="str">
        <f>Input!B690</f>
        <v>Personal and Advertising Injury</v>
      </c>
      <c r="H56" s="546"/>
      <c r="I56" s="548"/>
      <c r="J56" s="1339"/>
    </row>
    <row r="57" spans="1:10" x14ac:dyDescent="0.25">
      <c r="A57" s="1366"/>
      <c r="B57" s="1331"/>
      <c r="C57" s="1331"/>
      <c r="D57" s="1322"/>
      <c r="E57" s="1331"/>
      <c r="F57" s="508" t="str">
        <f>IF(Input!G653=Input!D653,Input!D691,IF(Input!G653=Input!E653,Input!E691,""))</f>
        <v/>
      </c>
      <c r="G57" s="509" t="str">
        <f>Input!B691</f>
        <v>General Aggregate</v>
      </c>
      <c r="H57" s="904"/>
      <c r="I57" s="905"/>
      <c r="J57" s="1339"/>
    </row>
    <row r="58" spans="1:10" x14ac:dyDescent="0.25">
      <c r="A58" s="1366"/>
      <c r="B58" s="1331"/>
      <c r="C58" s="1331"/>
      <c r="D58" s="1322"/>
      <c r="E58" s="1331"/>
      <c r="F58" s="508" t="str">
        <f>IF(Input!G653=Input!D653,Input!D692,IF(Input!G653=Input!E653,Input!E692,""))</f>
        <v/>
      </c>
      <c r="G58" s="509" t="str">
        <f>Input!B692</f>
        <v>Damage to Premises Rented to You</v>
      </c>
      <c r="H58" s="546"/>
      <c r="I58" s="548"/>
      <c r="J58" s="1339"/>
    </row>
    <row r="59" spans="1:10" x14ac:dyDescent="0.25">
      <c r="A59" s="1366"/>
      <c r="B59" s="1331"/>
      <c r="C59" s="1331"/>
      <c r="D59" s="1322"/>
      <c r="E59" s="1331"/>
      <c r="F59" s="508" t="str">
        <f>IF(Input!G653=Input!D653,Input!D693,IF(Input!G653=Input!E653,Input!E693,""))</f>
        <v/>
      </c>
      <c r="G59" s="509" t="str">
        <f>Input!B693</f>
        <v>Medical Payments</v>
      </c>
      <c r="H59" s="546"/>
      <c r="I59" s="548"/>
      <c r="J59" s="1339"/>
    </row>
    <row r="60" spans="1:10" x14ac:dyDescent="0.25">
      <c r="A60" s="1366"/>
      <c r="B60" s="1331"/>
      <c r="C60" s="1331"/>
      <c r="D60" s="1322"/>
      <c r="E60" s="1331"/>
      <c r="F60" s="508" t="str">
        <f>IF(Input!G653=Input!D653,Input!D694,IF(Input!G653=Input!E653,Input!E694,""))</f>
        <v/>
      </c>
      <c r="G60" s="509" t="str">
        <f>Input!B694</f>
        <v>Employee Benefits Liability - Each Employee</v>
      </c>
      <c r="H60" s="388" t="str">
        <f>IF(Input!G653=Input!D653,Input!D699,IF(Input!G653=Input!E653,Input!E699,""))</f>
        <v/>
      </c>
      <c r="I60" s="907" t="s">
        <v>129</v>
      </c>
      <c r="J60" s="1339"/>
    </row>
    <row r="61" spans="1:10" x14ac:dyDescent="0.25">
      <c r="A61" s="1366"/>
      <c r="B61" s="1331"/>
      <c r="C61" s="1331"/>
      <c r="D61" s="1322"/>
      <c r="E61" s="1331"/>
      <c r="F61" s="508">
        <v>1000000</v>
      </c>
      <c r="G61" s="509" t="str">
        <f>Input!B695</f>
        <v>Employee Benefits Liability - Aggregate</v>
      </c>
      <c r="H61" s="549"/>
      <c r="I61" s="515"/>
      <c r="J61" s="1339"/>
    </row>
    <row r="62" spans="1:10" x14ac:dyDescent="0.25">
      <c r="A62" s="1366"/>
      <c r="B62" s="1331"/>
      <c r="C62" s="1331"/>
      <c r="D62" s="1322"/>
      <c r="E62" s="1331"/>
      <c r="F62" s="1316" t="s">
        <v>260</v>
      </c>
      <c r="G62" s="1317"/>
      <c r="H62" s="1317"/>
      <c r="I62" s="1318"/>
      <c r="J62" s="1339"/>
    </row>
    <row r="63" spans="1:10" x14ac:dyDescent="0.25">
      <c r="A63" s="1366"/>
      <c r="B63" s="1331"/>
      <c r="C63" s="1331"/>
      <c r="D63" s="1322"/>
      <c r="E63" s="1331"/>
      <c r="F63" s="508" t="str">
        <f>IF(Input!G653=Input!D653,Input!D713,IF(Input!G653=Input!E653,Input!E713,""))</f>
        <v/>
      </c>
      <c r="G63" s="509" t="str">
        <f>Input!B713</f>
        <v>Building</v>
      </c>
      <c r="H63" s="508" t="str">
        <f>IF(Input!G653=Input!D653,Input!D731,IF(Input!G653=Input!E653,Input!E731,""))</f>
        <v/>
      </c>
      <c r="I63" s="509" t="str">
        <f>Input!B731</f>
        <v>All Other</v>
      </c>
      <c r="J63" s="1339"/>
    </row>
    <row r="64" spans="1:10" x14ac:dyDescent="0.25">
      <c r="A64" s="1366"/>
      <c r="B64" s="1331"/>
      <c r="C64" s="1331"/>
      <c r="D64" s="1322"/>
      <c r="E64" s="1331"/>
      <c r="F64" s="508" t="str">
        <f>IF(Input!G653=Input!D653,Input!D714,IF(Input!G653=Input!E653,Input!E714,""))</f>
        <v/>
      </c>
      <c r="G64" s="509" t="str">
        <f>Input!B714</f>
        <v>Business Personal Property</v>
      </c>
      <c r="H64" s="508" t="str">
        <f>IF(Input!G653=Input!D653,Input!D732,IF(Input!G653=Input!E653,Input!E732,""))</f>
        <v/>
      </c>
      <c r="I64" s="509" t="str">
        <f>Input!B732</f>
        <v>Flood</v>
      </c>
      <c r="J64" s="1339"/>
    </row>
    <row r="65" spans="1:10" ht="29.25" customHeight="1" x14ac:dyDescent="0.25">
      <c r="A65" s="1366"/>
      <c r="B65" s="1331"/>
      <c r="C65" s="1331"/>
      <c r="D65" s="1322"/>
      <c r="E65" s="1331"/>
      <c r="F65" s="508" t="str">
        <f>IF(Input!G653=Input!D653,Input!D715,IF(Input!G653=Input!E653,Input!E715,""))</f>
        <v/>
      </c>
      <c r="G65" s="509" t="str">
        <f>Input!B715</f>
        <v>Business Income &amp; Extra Expense</v>
      </c>
      <c r="H65" s="508" t="str">
        <f>IF(Input!G653=Input!D653,Input!D733,IF(Input!G653=Input!E653,Input!E733,""))</f>
        <v/>
      </c>
      <c r="I65" s="509" t="str">
        <f>Input!B733</f>
        <v>Earthquake</v>
      </c>
      <c r="J65" s="1339"/>
    </row>
    <row r="66" spans="1:10" x14ac:dyDescent="0.25">
      <c r="A66" s="1366"/>
      <c r="B66" s="1331"/>
      <c r="C66" s="1331"/>
      <c r="D66" s="1322"/>
      <c r="E66" s="1331"/>
      <c r="F66" s="508" t="str">
        <f>IF(Input!G653=Input!D653,Input!D716,IF(Input!G653=Input!E653,Input!E716,""))</f>
        <v/>
      </c>
      <c r="G66" s="509" t="str">
        <f>Input!B716</f>
        <v>Valuable Papers</v>
      </c>
      <c r="H66" s="508" t="str">
        <f>IF(Input!G653=Input!D653,Input!D734,IF(Input!G653=Input!E653,Input!E734,""))</f>
        <v/>
      </c>
      <c r="I66" s="509" t="str">
        <f>Input!B734</f>
        <v>Windstorm</v>
      </c>
      <c r="J66" s="1339"/>
    </row>
    <row r="67" spans="1:10" ht="15" customHeight="1" x14ac:dyDescent="0.25">
      <c r="A67" s="1366"/>
      <c r="B67" s="1331"/>
      <c r="C67" s="1331"/>
      <c r="D67" s="1322"/>
      <c r="E67" s="1331"/>
      <c r="F67" s="508" t="str">
        <f>IF(Input!G653=Input!D653,Input!D717,IF(Input!G653=Input!E653,Input!E717,""))</f>
        <v/>
      </c>
      <c r="G67" s="509" t="str">
        <f>Input!B717</f>
        <v>Accounts Receivable</v>
      </c>
      <c r="H67" s="508" t="str">
        <f>IF(Input!G653=Input!D653,Input!D735,IF(Input!G653=Input!E653,Input!E735,""))</f>
        <v/>
      </c>
      <c r="I67" s="509" t="str">
        <f>Input!B735</f>
        <v>Named Storm</v>
      </c>
      <c r="J67" s="1339"/>
    </row>
    <row r="68" spans="1:10" ht="15" customHeight="1" x14ac:dyDescent="0.25">
      <c r="A68" s="1366"/>
      <c r="B68" s="1331"/>
      <c r="C68" s="1331"/>
      <c r="D68" s="1322"/>
      <c r="E68" s="1331"/>
      <c r="F68" s="508">
        <f>Input!E709</f>
        <v>2337669</v>
      </c>
      <c r="G68" s="509" t="s">
        <v>128</v>
      </c>
      <c r="H68" s="508" t="str">
        <f>IF(Input!G653=Input!D653,Input!D731,IF(Input!G653=Input!E653,Input!E731,""))</f>
        <v/>
      </c>
      <c r="I68" s="509" t="str">
        <f>Input!B737&amp;" Waiting Period"</f>
        <v>All Other Waiting Period</v>
      </c>
      <c r="J68" s="1339"/>
    </row>
    <row r="69" spans="1:10" ht="21.75" customHeight="1" x14ac:dyDescent="0.25">
      <c r="A69" s="1334" t="str">
        <f>Input!B311</f>
        <v>T5DC Business Auto</v>
      </c>
      <c r="B69" s="1330" t="str">
        <f>Input!C312</f>
        <v>Coverage applies to third-party liability and physical damage arising from operating autos.</v>
      </c>
      <c r="C69" s="1330" t="str">
        <f>IF(Input!G315=Input!D315,Input!D316,IF(Input!G315=Input!E315,Input!E316,""))</f>
        <v/>
      </c>
      <c r="D69" s="1330">
        <f>Input!C314</f>
        <v>6081081573</v>
      </c>
      <c r="E69" s="1321" t="str">
        <f>E6</f>
        <v>7/1/2023 - 7/1/2024</v>
      </c>
      <c r="F69" s="508" t="str">
        <f>IF(Input!G315=Input!D315,Input!G343,IF(Input!G315=Input!E315,Input!J343,""))</f>
        <v/>
      </c>
      <c r="G69" s="509" t="str">
        <f>Input!B343</f>
        <v xml:space="preserve">Liability </v>
      </c>
      <c r="H69" s="508" t="str">
        <f>IF(Input!G315=Input!D315,Input!H343,IF(Input!G315=Input!E315,Input!K343,""))</f>
        <v/>
      </c>
      <c r="I69" s="1354" t="s">
        <v>270</v>
      </c>
      <c r="J69" s="1338" t="str">
        <f>IF(Input!G315=Input!D315,Input!D330,IF(Input!G315=Input!E315,Input!E330,""))</f>
        <v/>
      </c>
    </row>
    <row r="70" spans="1:10" ht="15" hidden="1" customHeight="1" x14ac:dyDescent="0.25">
      <c r="A70" s="1335"/>
      <c r="B70" s="1322"/>
      <c r="C70" s="1322"/>
      <c r="D70" s="1322"/>
      <c r="E70" s="1331"/>
      <c r="F70" s="508" t="str">
        <f>IF(Input!G315=Input!D315,Input!G344,IF(Input!G315=Input!E315,Input!J344,""))</f>
        <v/>
      </c>
      <c r="G70" s="509" t="str">
        <f>Input!B344</f>
        <v>Medical Payments</v>
      </c>
      <c r="H70" s="508" t="str">
        <f>IF(Input!G315=Input!D315,Input!H344,IF(Input!G315=Input!E315,Input!K344,""))</f>
        <v/>
      </c>
      <c r="I70" s="1355"/>
      <c r="J70" s="1339"/>
    </row>
    <row r="71" spans="1:10" ht="15" hidden="1" customHeight="1" x14ac:dyDescent="0.25">
      <c r="A71" s="1335"/>
      <c r="B71" s="1322"/>
      <c r="C71" s="1322"/>
      <c r="D71" s="1322"/>
      <c r="E71" s="1331"/>
      <c r="F71" s="508" t="str">
        <f>IF(Input!G315=Input!D315,Input!G345,IF(Input!G315=Input!E315,Input!J345,""))</f>
        <v/>
      </c>
      <c r="G71" s="509" t="str">
        <f>Input!B345</f>
        <v>Personal Injury Protection</v>
      </c>
      <c r="H71" s="508" t="str">
        <f>IF(Input!G315=Input!D315,Input!H345,IF(Input!G315=Input!E315,Input!K345,""))</f>
        <v/>
      </c>
      <c r="I71" s="1355"/>
      <c r="J71" s="1339"/>
    </row>
    <row r="72" spans="1:10" ht="15" hidden="1" customHeight="1" x14ac:dyDescent="0.25">
      <c r="A72" s="1335"/>
      <c r="B72" s="1322"/>
      <c r="C72" s="1322"/>
      <c r="D72" s="1322"/>
      <c r="E72" s="1331"/>
      <c r="F72" s="508" t="str">
        <f>IF(Input!G315=Input!D315,Input!G346,IF(Input!G315=Input!E315,Input!J346,""))</f>
        <v/>
      </c>
      <c r="G72" s="509" t="str">
        <f>Input!B346</f>
        <v>Uninsured Motorist</v>
      </c>
      <c r="H72" s="508" t="str">
        <f>IF(Input!G315=Input!D315,Input!H346,IF(Input!G315=Input!E315,Input!K346,""))</f>
        <v/>
      </c>
      <c r="I72" s="1355"/>
      <c r="J72" s="1339"/>
    </row>
    <row r="73" spans="1:10" ht="15" hidden="1" customHeight="1" x14ac:dyDescent="0.25">
      <c r="A73" s="1335"/>
      <c r="B73" s="1322"/>
      <c r="C73" s="1322"/>
      <c r="D73" s="1322"/>
      <c r="E73" s="1331"/>
      <c r="F73" s="508" t="str">
        <f>IF(Input!G315=Input!D315,Input!G347,IF(Input!G315=Input!E315,Input!J347,""))</f>
        <v/>
      </c>
      <c r="G73" s="509" t="str">
        <f>Input!B347</f>
        <v>Underinsured Motorist</v>
      </c>
      <c r="H73" s="508" t="str">
        <f>IF(Input!G315=Input!D315,Input!H347,IF(Input!G315=Input!E315,Input!K347,""))</f>
        <v/>
      </c>
      <c r="I73" s="1355"/>
      <c r="J73" s="1339"/>
    </row>
    <row r="74" spans="1:10" ht="15" hidden="1" customHeight="1" x14ac:dyDescent="0.25">
      <c r="A74" s="1335"/>
      <c r="B74" s="1322"/>
      <c r="C74" s="1322"/>
      <c r="D74" s="1322"/>
      <c r="E74" s="1331"/>
      <c r="F74" s="508" t="str">
        <f>IF(Input!G315=Input!D315,Input!G352,IF(Input!G315=Input!E315,Input!J352,""))</f>
        <v/>
      </c>
      <c r="G74" s="509" t="str">
        <f>Input!B352</f>
        <v>Owned Autos: Comprehensive</v>
      </c>
      <c r="H74" s="508" t="str">
        <f>IF(Input!G315=Input!D315,Input!H352,IF(Input!G315=Input!E315,Input!K352,""))</f>
        <v/>
      </c>
      <c r="I74" s="1355"/>
      <c r="J74" s="1339"/>
    </row>
    <row r="75" spans="1:10" ht="15" hidden="1" customHeight="1" x14ac:dyDescent="0.25">
      <c r="A75" s="1335"/>
      <c r="B75" s="1322"/>
      <c r="C75" s="1322"/>
      <c r="D75" s="1322"/>
      <c r="E75" s="1331"/>
      <c r="F75" s="508" t="str">
        <f>IF(Input!G315=Input!D315,Input!G353,IF(Input!G315=Input!E315,Input!J353,""))</f>
        <v/>
      </c>
      <c r="G75" s="509" t="str">
        <f>Input!B353</f>
        <v>Owned Autos: Collision</v>
      </c>
      <c r="H75" s="508" t="str">
        <f>IF(Input!G315=Input!D315,Input!H353,IF(Input!G315=Input!E315,Input!K353,""))</f>
        <v/>
      </c>
      <c r="I75" s="1355"/>
      <c r="J75" s="1339"/>
    </row>
    <row r="76" spans="1:10" ht="30" customHeight="1" x14ac:dyDescent="0.25">
      <c r="A76" s="1335"/>
      <c r="B76" s="1322"/>
      <c r="C76" s="1322"/>
      <c r="D76" s="1322"/>
      <c r="E76" s="1331"/>
      <c r="F76" s="508" t="str">
        <f>IF(Input!G315=Input!D315,Input!G354,IF(Input!G315=Input!E315,Input!J354,""))</f>
        <v/>
      </c>
      <c r="G76" s="509" t="str">
        <f>Input!B354</f>
        <v>Hired Auto: Comprehensive</v>
      </c>
      <c r="H76" s="508" t="str">
        <f>IF(Input!G315=Input!D315,Input!H354,IF(Input!G315=Input!E315,Input!K354,""))</f>
        <v/>
      </c>
      <c r="I76" s="1355"/>
      <c r="J76" s="1339"/>
    </row>
    <row r="77" spans="1:10" ht="30" customHeight="1" x14ac:dyDescent="0.25">
      <c r="A77" s="1336"/>
      <c r="B77" s="1323"/>
      <c r="C77" s="1323"/>
      <c r="D77" s="1323"/>
      <c r="E77" s="1332"/>
      <c r="F77" s="508" t="str">
        <f>IF(Input!G315=Input!D315,Input!G355,IF(Input!G315=Input!E315,Input!J355,""))</f>
        <v/>
      </c>
      <c r="G77" s="509" t="str">
        <f>Input!B355</f>
        <v>Hired Auto: Collision</v>
      </c>
      <c r="H77" s="508" t="str">
        <f>IF(Input!G315=Input!D315,Input!H355,IF(Input!G315=Input!E315,Input!K355,""))</f>
        <v/>
      </c>
      <c r="I77" s="1356"/>
      <c r="J77" s="1340"/>
    </row>
    <row r="78" spans="1:10" ht="15" hidden="1" customHeight="1" x14ac:dyDescent="0.25">
      <c r="A78" s="446"/>
      <c r="B78" s="900"/>
      <c r="C78" s="900"/>
      <c r="D78" s="900"/>
      <c r="E78" s="894"/>
      <c r="F78" s="386" t="str">
        <f>IF(Input!G315=Input!D315,Input!G356,IF(Input!G315=Input!E315,Input!J356,""))</f>
        <v/>
      </c>
      <c r="G78" s="514" t="str">
        <f>Input!B356</f>
        <v>Towing</v>
      </c>
      <c r="H78" s="386" t="str">
        <f>IF(Input!G315=Input!D315,Input!H356,IF(Input!G315=Input!E315,Input!K356,""))</f>
        <v/>
      </c>
      <c r="I78" s="909"/>
      <c r="J78" s="902"/>
    </row>
    <row r="79" spans="1:10" ht="15" hidden="1" customHeight="1" x14ac:dyDescent="0.25">
      <c r="A79" s="400"/>
      <c r="B79" s="535"/>
      <c r="C79" s="535"/>
      <c r="D79" s="535"/>
      <c r="E79" s="900"/>
      <c r="F79" s="508" t="str">
        <f>IF(Input!G315=Input!D315,Input!G357,IF(Input!G315=Input!E315,Input!J357,""))</f>
        <v/>
      </c>
      <c r="G79" s="509" t="str">
        <f>Input!B357</f>
        <v>Rental Reimbursement</v>
      </c>
      <c r="H79" s="508" t="str">
        <f>IF(Input!G315=Input!D315,Input!H357,IF(Input!G315=Input!E315,Input!K357,""))</f>
        <v/>
      </c>
      <c r="I79" s="910"/>
      <c r="J79" s="903"/>
    </row>
    <row r="80" spans="1:10" ht="36.75" customHeight="1" x14ac:dyDescent="0.25">
      <c r="A80" s="1334" t="str">
        <f>Input!B94</f>
        <v>T5DC Umbrella</v>
      </c>
      <c r="B80" s="1330" t="str">
        <f>Input!C95</f>
        <v>Coverage applies to claims in excess of the limits of underlying primary policies.</v>
      </c>
      <c r="C80" s="1330" t="str">
        <f>IF(Input!G98=Input!D98,Input!D99,IF(Input!G98=Input!E98,Input!E99,""))</f>
        <v/>
      </c>
      <c r="D80" s="1330">
        <f>Input!C97</f>
        <v>6080920557</v>
      </c>
      <c r="E80" s="1321" t="str">
        <f>E6</f>
        <v>7/1/2023 - 7/1/2024</v>
      </c>
      <c r="F80" s="508" t="str">
        <f>IF(Input!G98=Input!D98,Input!I123,IF(Input!G98=Input!E98,Input!I124,""))</f>
        <v/>
      </c>
      <c r="G80" s="509" t="str">
        <f>Input!I121</f>
        <v>Each Claim</v>
      </c>
      <c r="H80" s="1327" t="str">
        <f>IF(Input!G98=Input!D98,Input!K123,IF(Input!G98=Input!E98,Input!K124,""))</f>
        <v/>
      </c>
      <c r="I80" s="1337" t="s">
        <v>129</v>
      </c>
      <c r="J80" s="1344" t="str">
        <f>IF(Input!G98=Input!D98,Input!D115,IF(Input!G98=Input!E98,Input!E115,""))</f>
        <v/>
      </c>
    </row>
    <row r="81" spans="1:10" ht="36.75" customHeight="1" x14ac:dyDescent="0.25">
      <c r="A81" s="1336"/>
      <c r="B81" s="1323"/>
      <c r="C81" s="1323"/>
      <c r="D81" s="1323"/>
      <c r="E81" s="1323"/>
      <c r="F81" s="508" t="str">
        <f>IF(Input!G98=Input!D98,Input!J123,IF(Input!G98=Input!E98,Input!J124,""))</f>
        <v/>
      </c>
      <c r="G81" s="509" t="str">
        <f>Input!J121</f>
        <v>Aggregate</v>
      </c>
      <c r="H81" s="1329"/>
      <c r="I81" s="1326"/>
      <c r="J81" s="1345"/>
    </row>
    <row r="82" spans="1:10" ht="15" customHeight="1" x14ac:dyDescent="0.25">
      <c r="A82" s="1333" t="str">
        <f>Input!B227</f>
        <v>Workers Compensation</v>
      </c>
      <c r="B82" s="1319" t="str">
        <f>Input!C228</f>
        <v>Liability arising from employee injury during the scope of employment.</v>
      </c>
      <c r="C82" s="1319" t="str">
        <f>IF(Input!G231=Input!D231,Input!D232,IF(Input!G231=Input!E231,Input!E232,""))</f>
        <v/>
      </c>
      <c r="D82" s="1319">
        <f>Input!C230</f>
        <v>6080910403</v>
      </c>
      <c r="E82" s="1321" t="str">
        <f>E6</f>
        <v>7/1/2023 - 7/1/2024</v>
      </c>
      <c r="F82" s="508" t="str">
        <f>IF(Input!G231=Input!D231,Input!D256,IF(Input!G231=Input!E231,Input!E256,""))</f>
        <v/>
      </c>
      <c r="G82" s="509" t="str">
        <f>Input!B256</f>
        <v>Workers Compensation</v>
      </c>
      <c r="H82" s="1320" t="str">
        <f>IF(Input!G231=Input!D231,Input!D262,IF(Input!G231=Input!E231,Input!E262,""))</f>
        <v/>
      </c>
      <c r="I82" s="1343" t="s">
        <v>129</v>
      </c>
      <c r="J82" s="1341" t="str">
        <f>IF(Input!G231=Input!D231,Input!D246,IF(Input!G231=Input!E231,Input!E246,""))</f>
        <v/>
      </c>
    </row>
    <row r="83" spans="1:10" ht="30" customHeight="1" x14ac:dyDescent="0.25">
      <c r="A83" s="1333"/>
      <c r="B83" s="1319"/>
      <c r="C83" s="1319"/>
      <c r="D83" s="1319"/>
      <c r="E83" s="1322"/>
      <c r="F83" s="508" t="str">
        <f>IF(Input!G231=Input!D231,Input!D258,IF(Input!G231=Input!E231,Input!E258,""))</f>
        <v/>
      </c>
      <c r="G83" s="509" t="str">
        <f>Input!B258</f>
        <v>Part Two - Employer's Liability - Bodily Injury By Accident - Each Accident</v>
      </c>
      <c r="H83" s="1320"/>
      <c r="I83" s="1343"/>
      <c r="J83" s="1341"/>
    </row>
    <row r="84" spans="1:10" ht="30" customHeight="1" x14ac:dyDescent="0.25">
      <c r="A84" s="1333"/>
      <c r="B84" s="1319"/>
      <c r="C84" s="1319"/>
      <c r="D84" s="1319"/>
      <c r="E84" s="1322"/>
      <c r="F84" s="508" t="str">
        <f>IF(Input!G231=Input!D231,Input!D259,IF(Input!G231=Input!E231,Input!E259,""))</f>
        <v/>
      </c>
      <c r="G84" s="509" t="str">
        <f>Input!B259</f>
        <v>Part Two - Employer's Liability - Bodily Injury By Disease - Each Employee</v>
      </c>
      <c r="H84" s="1320"/>
      <c r="I84" s="1343"/>
      <c r="J84" s="1341"/>
    </row>
    <row r="85" spans="1:10" ht="30" customHeight="1" x14ac:dyDescent="0.25">
      <c r="A85" s="1333"/>
      <c r="B85" s="1319"/>
      <c r="C85" s="1319"/>
      <c r="D85" s="1319"/>
      <c r="E85" s="1323"/>
      <c r="F85" s="508" t="str">
        <f>IF(Input!G231=Input!D231,Input!D260,IF(Input!G231=Input!E231,Input!E260,""))</f>
        <v/>
      </c>
      <c r="G85" s="509" t="str">
        <f>Input!B260</f>
        <v>Part Two - Employer's Liability - Bodily Injury By Disease - Policy Limit</v>
      </c>
      <c r="H85" s="1320"/>
      <c r="I85" s="1343"/>
      <c r="J85" s="1341"/>
    </row>
    <row r="86" spans="1:10" ht="15" customHeight="1" x14ac:dyDescent="0.25">
      <c r="A86" s="1333" t="str">
        <f>Input!B269</f>
        <v>Workers Compensation - CA Only</v>
      </c>
      <c r="B86" s="1319" t="str">
        <f>Input!C270</f>
        <v>Liability arising from employee injury during the scope of employment.</v>
      </c>
      <c r="C86" s="1319" t="str">
        <f>IF(Input!G273=Input!D273,Input!D274,IF(Input!G273=Input!E273,Input!E274,""))</f>
        <v/>
      </c>
      <c r="D86" s="1319">
        <f>Input!C272</f>
        <v>6080910868</v>
      </c>
      <c r="E86" s="1321" t="str">
        <f>E6</f>
        <v>7/1/2023 - 7/1/2024</v>
      </c>
      <c r="F86" s="508" t="str">
        <f>IF(Input!G273=Input!D273,Input!D298,IF(Input!G273=Input!E273,Input!E298,""))</f>
        <v/>
      </c>
      <c r="G86" s="509" t="str">
        <f>Input!B298</f>
        <v>Workers Compensation</v>
      </c>
      <c r="H86" s="1320" t="str">
        <f>IF(Input!G273=Input!D273,Input!D304,IF(Input!G273=Input!E273,Input!E304,""))</f>
        <v/>
      </c>
      <c r="I86" s="1343" t="s">
        <v>129</v>
      </c>
      <c r="J86" s="1341" t="str">
        <f>IF(Input!G273=Input!D273,Input!D288,IF(Input!G273=Input!E273,Input!E288,""))</f>
        <v/>
      </c>
    </row>
    <row r="87" spans="1:10" ht="30" customHeight="1" x14ac:dyDescent="0.25">
      <c r="A87" s="1333"/>
      <c r="B87" s="1319"/>
      <c r="C87" s="1319"/>
      <c r="D87" s="1319"/>
      <c r="E87" s="1322"/>
      <c r="F87" s="508" t="str">
        <f>IF(Input!G273=Input!D273,Input!D300,IF(Input!G273=Input!E273,Input!E300,""))</f>
        <v/>
      </c>
      <c r="G87" s="509" t="str">
        <f>Input!B300</f>
        <v>Part Two - Employer's Liability - Bodily Injury By Accident - Each Accident</v>
      </c>
      <c r="H87" s="1320"/>
      <c r="I87" s="1343"/>
      <c r="J87" s="1341"/>
    </row>
    <row r="88" spans="1:10" ht="30" customHeight="1" x14ac:dyDescent="0.25">
      <c r="A88" s="1333"/>
      <c r="B88" s="1319"/>
      <c r="C88" s="1319"/>
      <c r="D88" s="1319"/>
      <c r="E88" s="1322"/>
      <c r="F88" s="508" t="str">
        <f>IF(Input!G273=Input!D273,Input!D301,IF(Input!G273=Input!E273,Input!E301,""))</f>
        <v/>
      </c>
      <c r="G88" s="509" t="str">
        <f>Input!B301</f>
        <v>Part Two - Employer's Liability - Bodily Injury By Disease - Each Employee</v>
      </c>
      <c r="H88" s="1320"/>
      <c r="I88" s="1343"/>
      <c r="J88" s="1341"/>
    </row>
    <row r="89" spans="1:10" ht="30" customHeight="1" x14ac:dyDescent="0.25">
      <c r="A89" s="1333"/>
      <c r="B89" s="1319"/>
      <c r="C89" s="1319"/>
      <c r="D89" s="1319"/>
      <c r="E89" s="1323"/>
      <c r="F89" s="508" t="str">
        <f>IF(Input!G273=Input!D273,Input!D302,IF(Input!G273=Input!E273,Input!E302,""))</f>
        <v/>
      </c>
      <c r="G89" s="509" t="str">
        <f>Input!B302</f>
        <v>Part Two - Employer's Liability - Bodily Injury By Disease - Policy Limit</v>
      </c>
      <c r="H89" s="1320"/>
      <c r="I89" s="1343"/>
      <c r="J89" s="1341"/>
    </row>
    <row r="90" spans="1:10" ht="15" hidden="1" customHeight="1" x14ac:dyDescent="0.25">
      <c r="E90"/>
      <c r="F90" s="1316" t="str">
        <f>Input!B477</f>
        <v>General Liability Policy Limits</v>
      </c>
      <c r="G90" s="1317"/>
      <c r="H90" s="1317"/>
      <c r="I90" s="1318"/>
      <c r="J90"/>
    </row>
    <row r="91" spans="1:10" ht="15" hidden="1" customHeight="1" x14ac:dyDescent="0.25">
      <c r="A91" s="580"/>
      <c r="B91" s="894"/>
      <c r="C91" s="894"/>
      <c r="D91" s="894"/>
      <c r="E91" s="894"/>
      <c r="F91" s="508" t="str">
        <f>IF(Input!G448=Input!D448,Input!D479,IF(Input!G448=Input!E448,Input!E479,""))</f>
        <v/>
      </c>
      <c r="G91" s="509" t="str">
        <f>Input!B479</f>
        <v>Each Occurrence Limit</v>
      </c>
      <c r="H91" s="1327" t="str">
        <f>IF(Input!G448=Input!D448,Input!D485,IF(Input!G448=Input!E448,Input!E485,""))</f>
        <v/>
      </c>
      <c r="I91" s="1324" t="s">
        <v>129</v>
      </c>
      <c r="J91" s="901"/>
    </row>
    <row r="92" spans="1:10" ht="15" hidden="1" customHeight="1" x14ac:dyDescent="0.25">
      <c r="A92" s="580"/>
      <c r="B92" s="894"/>
      <c r="C92" s="894"/>
      <c r="D92" s="894"/>
      <c r="E92" s="894"/>
      <c r="F92" s="508" t="str">
        <f>IF(Input!G448=Input!D448,Input!D480,IF(Input!G448=Input!E448,Input!E480,""))</f>
        <v/>
      </c>
      <c r="G92" s="509" t="str">
        <f>Input!B480</f>
        <v>Products / Completed Operations Aggregate Limit</v>
      </c>
      <c r="H92" s="1328"/>
      <c r="I92" s="1325"/>
      <c r="J92" s="901"/>
    </row>
    <row r="93" spans="1:10" ht="15" hidden="1" customHeight="1" x14ac:dyDescent="0.25">
      <c r="A93" s="580"/>
      <c r="B93" s="894"/>
      <c r="C93" s="894"/>
      <c r="D93" s="894"/>
      <c r="E93" s="894"/>
      <c r="F93" s="508" t="str">
        <f>IF(Input!G448=Input!D448,Input!D481,IF(Input!G448=Input!E448,Input!E481,""))</f>
        <v/>
      </c>
      <c r="G93" s="509" t="str">
        <f>Input!B481</f>
        <v>Personal and Advertising Injury Limit</v>
      </c>
      <c r="H93" s="1328"/>
      <c r="I93" s="1325"/>
      <c r="J93" s="901"/>
    </row>
    <row r="94" spans="1:10" ht="15" hidden="1" customHeight="1" x14ac:dyDescent="0.25">
      <c r="A94" s="580"/>
      <c r="B94" s="894"/>
      <c r="C94" s="894"/>
      <c r="D94" s="894"/>
      <c r="E94" s="894"/>
      <c r="F94" s="508" t="str">
        <f>IF(Input!G448=Input!D448,Input!D482,IF(Input!G448=Input!E448,Input!E482,""))</f>
        <v/>
      </c>
      <c r="G94" s="509" t="str">
        <f>Input!B482</f>
        <v>General Aggregate Limit</v>
      </c>
      <c r="H94" s="1328"/>
      <c r="I94" s="1325"/>
      <c r="J94" s="901"/>
    </row>
    <row r="95" spans="1:10" ht="15" hidden="1" customHeight="1" x14ac:dyDescent="0.25">
      <c r="A95" s="580"/>
      <c r="B95" s="894"/>
      <c r="C95" s="894"/>
      <c r="D95" s="894"/>
      <c r="E95" s="894"/>
      <c r="F95" s="508" t="str">
        <f>IF(Input!G448=Input!D448,Input!D483,IF(Input!G448=Input!E448,Input!E483,""))</f>
        <v/>
      </c>
      <c r="G95" s="509" t="str">
        <f>Input!B483</f>
        <v>Damage to Premises Rented to You Limit</v>
      </c>
      <c r="H95" s="1328"/>
      <c r="I95" s="1325"/>
      <c r="J95" s="901"/>
    </row>
    <row r="96" spans="1:10" ht="15" hidden="1" customHeight="1" x14ac:dyDescent="0.25">
      <c r="A96" s="580"/>
      <c r="B96" s="894"/>
      <c r="C96" s="894"/>
      <c r="D96" s="894"/>
      <c r="E96" s="894"/>
      <c r="F96" s="508" t="str">
        <f>IF(Input!G448=Input!D448,Input!D484,IF(Input!G448=Input!E448,Input!E484,""))</f>
        <v/>
      </c>
      <c r="G96" s="509" t="str">
        <f>Input!B484</f>
        <v>Medical Payments Limit</v>
      </c>
      <c r="H96" s="1329"/>
      <c r="I96" s="1326"/>
      <c r="J96" s="901"/>
    </row>
    <row r="97" spans="1:10" ht="15" hidden="1" customHeight="1" x14ac:dyDescent="0.25">
      <c r="A97" s="580"/>
      <c r="B97" s="894"/>
      <c r="C97" s="894"/>
      <c r="D97" s="894"/>
      <c r="E97" s="894"/>
      <c r="F97" s="1316" t="str">
        <f>Input!B487</f>
        <v>Employee Benefits Liability</v>
      </c>
      <c r="G97" s="1317"/>
      <c r="H97" s="1317"/>
      <c r="I97" s="1318"/>
      <c r="J97" s="901"/>
    </row>
    <row r="98" spans="1:10" ht="15" hidden="1" customHeight="1" x14ac:dyDescent="0.25">
      <c r="A98" s="580"/>
      <c r="B98" s="894"/>
      <c r="C98" s="894"/>
      <c r="D98" s="894"/>
      <c r="E98" s="894"/>
      <c r="F98" s="508" t="str">
        <f>IF(Input!G448=Input!D448,Input!D489,IF(Input!G448=Input!E448,Input!E489,""))</f>
        <v/>
      </c>
      <c r="G98" s="509" t="str">
        <f>Input!B489</f>
        <v>Each Employee Limit</v>
      </c>
      <c r="H98" s="1327" t="str">
        <f>IF(Input!G448=Input!D448,Input!D491,IF(Input!G448=Input!E448,Input!E491,""))</f>
        <v/>
      </c>
      <c r="I98" s="1324" t="str">
        <f>MID(Input!B491, FIND("(",Input!B491)+1,FIND(")",Input!B491) - FIND("(",Input!B491)-1)</f>
        <v>Each Employee</v>
      </c>
      <c r="J98" s="901"/>
    </row>
    <row r="99" spans="1:10" ht="15" hidden="1" customHeight="1" x14ac:dyDescent="0.25">
      <c r="A99" s="580"/>
      <c r="B99" s="894"/>
      <c r="C99" s="894"/>
      <c r="D99" s="894"/>
      <c r="E99" s="894"/>
      <c r="F99" s="508" t="str">
        <f>IF(Input!G448=Input!D448,Input!D490,IF(Input!G448=Input!E448,Input!E490,""))</f>
        <v/>
      </c>
      <c r="G99" s="509" t="str">
        <f>Input!B490</f>
        <v>Aggregate Limit</v>
      </c>
      <c r="H99" s="1329"/>
      <c r="I99" s="1326"/>
      <c r="J99" s="901"/>
    </row>
    <row r="100" spans="1:10" ht="15" hidden="1" customHeight="1" x14ac:dyDescent="0.25">
      <c r="A100" s="580"/>
      <c r="B100" s="894"/>
      <c r="C100" s="894"/>
      <c r="D100" s="894"/>
      <c r="E100" s="894"/>
      <c r="F100" s="1347" t="str">
        <f>Input!B500</f>
        <v>Umbrella/Excess Liability</v>
      </c>
      <c r="G100" s="1348"/>
      <c r="H100" s="1348"/>
      <c r="I100" s="1349"/>
      <c r="J100" s="901"/>
    </row>
    <row r="101" spans="1:10" ht="15" hidden="1" customHeight="1" x14ac:dyDescent="0.25">
      <c r="A101" s="580"/>
      <c r="B101" s="894"/>
      <c r="C101" s="894"/>
      <c r="D101" s="894"/>
      <c r="E101" s="894"/>
      <c r="F101" s="508" t="str">
        <f>IF(Input!G448=Input!D448,Input!D502,IF(Input!G448=Input!E448,Input!E502,""))</f>
        <v/>
      </c>
      <c r="G101" s="509" t="str">
        <f>Input!B502</f>
        <v>Each Occurrence Limit</v>
      </c>
      <c r="H101" s="1327" t="str">
        <f>IF(Input!G448=Input!D448,Input!D505,IF(Input!G448=Input!E448,Input!E505,""))</f>
        <v/>
      </c>
      <c r="I101" s="1324" t="s">
        <v>129</v>
      </c>
      <c r="J101" s="901"/>
    </row>
    <row r="102" spans="1:10" ht="15" hidden="1" customHeight="1" x14ac:dyDescent="0.25">
      <c r="A102" s="580"/>
      <c r="B102" s="894"/>
      <c r="C102" s="894"/>
      <c r="D102" s="894"/>
      <c r="E102" s="894"/>
      <c r="F102" s="508" t="str">
        <f>IF(Input!G448=Input!D448,Input!D503,IF(Input!G448=Input!E448,Input!E503,""))</f>
        <v/>
      </c>
      <c r="G102" s="509" t="str">
        <f>Input!B503</f>
        <v>General Aggregate Limit</v>
      </c>
      <c r="H102" s="1328"/>
      <c r="I102" s="1325"/>
      <c r="J102" s="901"/>
    </row>
    <row r="103" spans="1:10" ht="15" hidden="1" customHeight="1" x14ac:dyDescent="0.25">
      <c r="A103" s="580"/>
      <c r="B103" s="894"/>
      <c r="C103" s="894"/>
      <c r="D103" s="894"/>
      <c r="E103" s="894"/>
      <c r="F103" s="508" t="str">
        <f>IF(Input!G448=Input!D448,Input!D504,IF(Input!G448=Input!E448,Input!E504,""))</f>
        <v/>
      </c>
      <c r="G103" s="509" t="str">
        <f>Input!B504</f>
        <v>Products / Completed Operations Aggregate Limit</v>
      </c>
      <c r="H103" s="1329"/>
      <c r="I103" s="1326"/>
      <c r="J103" s="901"/>
    </row>
    <row r="104" spans="1:10" ht="15" hidden="1" customHeight="1" x14ac:dyDescent="0.25">
      <c r="A104" s="580"/>
      <c r="B104" s="894"/>
      <c r="C104" s="894"/>
      <c r="D104" s="894"/>
      <c r="E104" s="894"/>
      <c r="F104" s="1316" t="str">
        <f>Input!B507</f>
        <v>Property Policy Limits</v>
      </c>
      <c r="G104" s="1317"/>
      <c r="H104" s="1317"/>
      <c r="I104" s="1318"/>
      <c r="J104" s="901"/>
    </row>
    <row r="105" spans="1:10" ht="15" hidden="1" customHeight="1" x14ac:dyDescent="0.25">
      <c r="A105" s="580"/>
      <c r="B105" s="894"/>
      <c r="C105" s="894"/>
      <c r="D105" s="894"/>
      <c r="E105" s="894"/>
      <c r="F105" s="508" t="str">
        <f>IF(Input!G448=Input!D448,Input!D509,IF(Input!G448=Input!E448,Input!E509,""))</f>
        <v/>
      </c>
      <c r="G105" s="509" t="str">
        <f>Input!B509</f>
        <v>Building</v>
      </c>
      <c r="H105" s="385" t="str">
        <f>IF(Input!G448=Input!D448,Input!D527,IF(Input!G448=Input!E448,Input!E527,""))</f>
        <v/>
      </c>
      <c r="I105" s="512" t="str">
        <f>Input!B527</f>
        <v>All Other</v>
      </c>
      <c r="J105" s="901"/>
    </row>
    <row r="106" spans="1:10" ht="15" hidden="1" customHeight="1" x14ac:dyDescent="0.25">
      <c r="A106" s="580"/>
      <c r="B106" s="894"/>
      <c r="C106" s="894"/>
      <c r="D106" s="894"/>
      <c r="E106" s="894"/>
      <c r="F106" s="508" t="str">
        <f>IF(Input!G448=Input!D448,Input!D510,IF(Input!G448=Input!E448,Input!E510,""))</f>
        <v/>
      </c>
      <c r="G106" s="509" t="str">
        <f>Input!B510</f>
        <v>Business Personal Property</v>
      </c>
      <c r="H106" s="385"/>
      <c r="I106" s="512"/>
      <c r="J106" s="901"/>
    </row>
    <row r="107" spans="1:10" ht="25.5" hidden="1" x14ac:dyDescent="0.25">
      <c r="A107" s="580"/>
      <c r="B107" s="894"/>
      <c r="C107" s="894"/>
      <c r="D107" s="894"/>
      <c r="E107" s="894"/>
      <c r="F107" s="508" t="str">
        <f>IF(Input!G448=Input!D448,Input!D511,IF(Input!G448=Input!E448,Input!E511,""))</f>
        <v/>
      </c>
      <c r="G107" s="509" t="str">
        <f>Input!B511</f>
        <v>Business Income &amp; Extra Expense</v>
      </c>
      <c r="H107" s="385" t="str">
        <f>IF(Input!G448=Input!D448,Input!D533,IF(Input!G448=Input!E448,Input!E533,""))</f>
        <v/>
      </c>
      <c r="I107" s="512" t="str">
        <f>Input!B533&amp;" Waiting Period"</f>
        <v>All Other Waiting Period</v>
      </c>
      <c r="J107" s="901"/>
    </row>
    <row r="108" spans="1:10" ht="15" hidden="1" customHeight="1" x14ac:dyDescent="0.25">
      <c r="A108" s="580"/>
      <c r="B108" s="894"/>
      <c r="C108" s="894"/>
      <c r="D108" s="894"/>
      <c r="E108" s="894"/>
      <c r="F108" s="508" t="str">
        <f>IF(Input!G448=Input!D448,Input!D512,IF(Input!G448=Input!E448,Input!E512,""))</f>
        <v/>
      </c>
      <c r="G108" s="509" t="str">
        <f>Input!B512</f>
        <v>Valuable Papers</v>
      </c>
      <c r="H108" s="546"/>
      <c r="I108" s="548"/>
      <c r="J108" s="901"/>
    </row>
    <row r="109" spans="1:10" ht="15" hidden="1" customHeight="1" x14ac:dyDescent="0.25">
      <c r="A109" s="580"/>
      <c r="B109" s="894"/>
      <c r="C109" s="894"/>
      <c r="D109" s="894"/>
      <c r="E109" s="894"/>
      <c r="F109" s="508" t="str">
        <f>IF(Input!G448=Input!D448,Input!D513,IF(Input!G448=Input!E448,Input!E513,""))</f>
        <v/>
      </c>
      <c r="G109" s="509" t="str">
        <f>Input!B513</f>
        <v>Accounts Receivable</v>
      </c>
      <c r="H109" s="546"/>
      <c r="I109" s="548"/>
      <c r="J109" s="901"/>
    </row>
    <row r="110" spans="1:10" hidden="1" x14ac:dyDescent="0.25">
      <c r="A110" s="580"/>
      <c r="B110" s="894"/>
      <c r="C110" s="894"/>
      <c r="D110" s="894"/>
      <c r="E110" s="894"/>
      <c r="F110" s="508" t="str">
        <f>IF(Input!G448=Input!D448,Input!D514,IF(Input!G448=Input!E448,Input!E514,""))</f>
        <v/>
      </c>
      <c r="G110" s="509" t="str">
        <f>Input!B514</f>
        <v>Utility Service - Direct Damage</v>
      </c>
      <c r="H110" s="546"/>
      <c r="I110" s="548"/>
      <c r="J110" s="901"/>
    </row>
    <row r="111" spans="1:10" hidden="1" x14ac:dyDescent="0.25">
      <c r="A111" s="580"/>
      <c r="B111" s="894"/>
      <c r="C111" s="894"/>
      <c r="D111" s="894"/>
      <c r="E111" s="894"/>
      <c r="F111" s="508" t="str">
        <f>IF(Input!G448=Input!D448,Input!D515,IF(Input!G448=Input!E448,Input!E515,""))</f>
        <v/>
      </c>
      <c r="G111" s="509" t="str">
        <f>Input!B515</f>
        <v>Utility Service - Time Element</v>
      </c>
      <c r="H111" s="546"/>
      <c r="I111" s="548"/>
      <c r="J111" s="901"/>
    </row>
    <row r="112" spans="1:10" hidden="1" x14ac:dyDescent="0.25">
      <c r="A112" s="580"/>
      <c r="B112" s="894"/>
      <c r="C112" s="894"/>
      <c r="D112" s="894"/>
      <c r="E112" s="894"/>
      <c r="F112" s="508" t="str">
        <f>IF(Input!G448=Input!D448,Input!D516,IF(Input!G448=Input!E448,Input!E516,""))</f>
        <v/>
      </c>
      <c r="G112" s="509" t="str">
        <f>Input!B516</f>
        <v>Overhead Transmission Lines</v>
      </c>
      <c r="H112" s="546"/>
      <c r="I112" s="548"/>
      <c r="J112" s="901"/>
    </row>
    <row r="113" spans="1:10" hidden="1" x14ac:dyDescent="0.25">
      <c r="A113" s="580"/>
      <c r="B113" s="894"/>
      <c r="C113" s="894"/>
      <c r="D113" s="894"/>
      <c r="E113" s="894"/>
      <c r="F113" s="508" t="str">
        <f>IF(Input!G448=Input!D448,Input!D517,IF(Input!G448=Input!E448,Input!E517,""))</f>
        <v/>
      </c>
      <c r="G113" s="509" t="str">
        <f>Input!B517</f>
        <v xml:space="preserve">Civil Authority </v>
      </c>
      <c r="H113" s="546"/>
      <c r="I113" s="548"/>
      <c r="J113" s="901"/>
    </row>
    <row r="114" spans="1:10" hidden="1" x14ac:dyDescent="0.25">
      <c r="A114" s="580"/>
      <c r="B114" s="894"/>
      <c r="C114" s="894"/>
      <c r="D114" s="894"/>
      <c r="E114" s="894"/>
      <c r="F114" s="508" t="str">
        <f>IF(Input!G448=Input!D448,Input!D518,IF(Input!G448=Input!E448,Input!E518,""))</f>
        <v/>
      </c>
      <c r="G114" s="509" t="str">
        <f>Input!B518</f>
        <v>Ingress / Egress</v>
      </c>
      <c r="H114" s="546"/>
      <c r="I114" s="548"/>
      <c r="J114" s="901"/>
    </row>
    <row r="115" spans="1:10" hidden="1" x14ac:dyDescent="0.25">
      <c r="A115" s="580"/>
      <c r="B115" s="894"/>
      <c r="C115" s="894"/>
      <c r="D115" s="894"/>
      <c r="E115" s="894"/>
      <c r="F115" s="508" t="str">
        <f>IF(Input!G448=Input!D448,Input!D519,IF(Input!G448=Input!E448,Input!E519,""))</f>
        <v/>
      </c>
      <c r="G115" s="509" t="str">
        <f>Input!B519</f>
        <v>Ordinance or Law</v>
      </c>
      <c r="H115" s="546"/>
      <c r="I115" s="548"/>
      <c r="J115" s="901"/>
    </row>
    <row r="116" spans="1:10" hidden="1" x14ac:dyDescent="0.25">
      <c r="A116" s="580"/>
      <c r="B116" s="894"/>
      <c r="C116" s="894"/>
      <c r="D116" s="894"/>
      <c r="E116" s="894"/>
      <c r="F116" s="508" t="str">
        <f>IF(Input!G448=Input!D448,Input!D520,IF(Input!G448=Input!E448,Input!E520,""))</f>
        <v/>
      </c>
      <c r="G116" s="509" t="str">
        <f>Input!B520</f>
        <v>Newly Acquired Building</v>
      </c>
      <c r="H116" s="546"/>
      <c r="I116" s="548"/>
      <c r="J116" s="901"/>
    </row>
    <row r="117" spans="1:10" hidden="1" x14ac:dyDescent="0.25">
      <c r="A117" s="580"/>
      <c r="B117" s="894"/>
      <c r="C117" s="894"/>
      <c r="D117" s="894"/>
      <c r="E117" s="894"/>
      <c r="F117" s="508" t="str">
        <f>IF(Input!G448=Input!D448,Input!D521,IF(Input!G448=Input!E448,Input!E521,""))</f>
        <v/>
      </c>
      <c r="G117" s="509" t="str">
        <f>Input!B521</f>
        <v>Newly Acquired Business Personal Property</v>
      </c>
      <c r="H117" s="547"/>
      <c r="I117" s="515"/>
      <c r="J117" s="901"/>
    </row>
    <row r="118" spans="1:10" hidden="1" x14ac:dyDescent="0.25">
      <c r="A118" s="580"/>
      <c r="B118" s="894"/>
      <c r="C118" s="894"/>
      <c r="D118" s="894"/>
      <c r="E118" s="894"/>
      <c r="F118" s="508" t="str">
        <f>IF(Input!G448=Input!D448,Input!D522,IF(Input!G448=Input!E448,Input!E522,""))</f>
        <v/>
      </c>
      <c r="G118" s="509" t="str">
        <f>Input!B522</f>
        <v>Flood</v>
      </c>
      <c r="H118" s="550" t="str">
        <f>IF(Input!G448=Input!D448,Input!D528,IF(Input!G448=Input!E448,Input!E528,""))</f>
        <v/>
      </c>
      <c r="I118" s="513" t="str">
        <f>Input!B528</f>
        <v>Flood</v>
      </c>
      <c r="J118" s="901"/>
    </row>
    <row r="119" spans="1:10" hidden="1" x14ac:dyDescent="0.25">
      <c r="A119" s="580"/>
      <c r="B119" s="894"/>
      <c r="C119" s="894"/>
      <c r="D119" s="894"/>
      <c r="E119" s="894"/>
      <c r="F119" s="508" t="str">
        <f>IF(Input!G448=Input!D448,Input!D523,IF(Input!G448=Input!E448,Input!E523,""))</f>
        <v/>
      </c>
      <c r="G119" s="509" t="str">
        <f>Input!B523</f>
        <v>Earthquake</v>
      </c>
      <c r="H119" s="550" t="str">
        <f>IF(Input!G448=Input!D448,Input!D529,IF(Input!G448=Input!E448,Input!E529,""))</f>
        <v/>
      </c>
      <c r="I119" s="513" t="str">
        <f>Input!B529</f>
        <v>Earthquake</v>
      </c>
      <c r="J119" s="901"/>
    </row>
    <row r="120" spans="1:10" hidden="1" x14ac:dyDescent="0.25">
      <c r="A120" s="580"/>
      <c r="B120" s="894"/>
      <c r="C120" s="894"/>
      <c r="D120" s="894"/>
      <c r="E120" s="894"/>
      <c r="F120" s="508" t="str">
        <f>IF(Input!G448=Input!D448,Input!D524,IF(Input!G448=Input!E448,Input!E524,""))</f>
        <v/>
      </c>
      <c r="G120" s="509" t="str">
        <f>Input!B524</f>
        <v>Windstorm</v>
      </c>
      <c r="H120" s="550" t="str">
        <f>IF(Input!G448=Input!D448,Input!D530,IF(Input!G448=Input!E448,Input!E530,""))</f>
        <v/>
      </c>
      <c r="I120" s="513" t="str">
        <f>Input!B530</f>
        <v>Windstorm</v>
      </c>
      <c r="J120" s="901"/>
    </row>
    <row r="121" spans="1:10" hidden="1" x14ac:dyDescent="0.25">
      <c r="A121" s="580"/>
      <c r="B121" s="894"/>
      <c r="C121" s="894"/>
      <c r="D121" s="894"/>
      <c r="E121" s="894"/>
      <c r="F121" s="508" t="str">
        <f>IF(Input!G448=Input!D448,Input!D525,IF(Input!G448=Input!E448,Input!E525,""))</f>
        <v/>
      </c>
      <c r="G121" s="509" t="str">
        <f>Input!B525</f>
        <v>Named Storm</v>
      </c>
      <c r="H121" s="550" t="str">
        <f>IF(Input!G448=Input!D448,Input!D531,IF(Input!G448=Input!E448,Input!E531,""))</f>
        <v/>
      </c>
      <c r="I121" s="513" t="str">
        <f>Input!B531</f>
        <v>Named Storm</v>
      </c>
      <c r="J121" s="901"/>
    </row>
    <row r="122" spans="1:10" ht="15" hidden="1" customHeight="1" x14ac:dyDescent="0.25">
      <c r="A122" s="580"/>
      <c r="B122" s="894"/>
      <c r="C122" s="894"/>
      <c r="D122" s="894"/>
      <c r="E122" s="894"/>
      <c r="F122" s="1316" t="str">
        <f>Input!F507</f>
        <v>Inland Marine Policy Limits</v>
      </c>
      <c r="G122" s="1317"/>
      <c r="H122" s="1317"/>
      <c r="I122" s="1318"/>
      <c r="J122" s="901"/>
    </row>
    <row r="123" spans="1:10" ht="15" hidden="1" customHeight="1" x14ac:dyDescent="0.25">
      <c r="A123" s="580"/>
      <c r="B123" s="894"/>
      <c r="C123" s="894"/>
      <c r="D123" s="894"/>
      <c r="E123" s="894"/>
      <c r="F123" s="508" t="str">
        <f>IF(Input!G448=Input!D448,Input!H509,IF(Input!G448=Input!E448,Input!I509,""))</f>
        <v/>
      </c>
      <c r="G123" s="509" t="str">
        <f>Input!F509</f>
        <v>Scheduled Equipment</v>
      </c>
      <c r="H123" s="388" t="str">
        <f>IF(Input!G448=Input!D448,Input!H527,IF(Input!G448=Input!E448,Input!I527,""))</f>
        <v/>
      </c>
      <c r="I123" s="510" t="str">
        <f>Input!F527</f>
        <v>All Other</v>
      </c>
      <c r="J123" s="901"/>
    </row>
    <row r="124" spans="1:10" ht="15" hidden="1" customHeight="1" x14ac:dyDescent="0.25">
      <c r="A124" s="580"/>
      <c r="B124" s="894"/>
      <c r="C124" s="894"/>
      <c r="D124" s="894"/>
      <c r="E124" s="894"/>
      <c r="F124" s="508" t="str">
        <f>IF(Input!G448=Input!D448,Input!H510,IF(Input!G448=Input!E448,Input!I510,""))</f>
        <v/>
      </c>
      <c r="G124" s="509" t="str">
        <f>Input!F510</f>
        <v>Unscheduled Equipment - Max Per Occurrence</v>
      </c>
      <c r="H124" s="385" t="str">
        <f>IF(Input!G448=Input!D448,Input!H528,IF(Input!G448=Input!E448,Input!I528,""))</f>
        <v/>
      </c>
      <c r="I124" s="512" t="str">
        <f>Input!F528</f>
        <v>Flood</v>
      </c>
      <c r="J124" s="901"/>
    </row>
    <row r="125" spans="1:10" hidden="1" x14ac:dyDescent="0.25">
      <c r="A125" s="580"/>
      <c r="B125" s="894"/>
      <c r="C125" s="894"/>
      <c r="D125" s="894"/>
      <c r="E125" s="894"/>
      <c r="F125" s="508" t="str">
        <f>IF(Input!G448=Input!D448,Input!H511,IF(Input!G448=Input!E448,Input!I511,""))</f>
        <v/>
      </c>
      <c r="G125" s="509" t="str">
        <f>Input!F511</f>
        <v>Unscheduled Equipment - Max Per Item</v>
      </c>
      <c r="H125" s="385" t="str">
        <f>IF(Input!G448=Input!D448,Input!H529,IF(Input!G448=Input!E448,Input!I529,""))</f>
        <v/>
      </c>
      <c r="I125" s="512" t="str">
        <f>Input!F529</f>
        <v>Earthquake</v>
      </c>
      <c r="J125" s="901"/>
    </row>
    <row r="126" spans="1:10" ht="15" hidden="1" customHeight="1" x14ac:dyDescent="0.25">
      <c r="A126" s="580"/>
      <c r="B126" s="894"/>
      <c r="C126" s="894"/>
      <c r="D126" s="894"/>
      <c r="E126" s="894"/>
      <c r="F126" s="508" t="str">
        <f>IF(Input!G448=Input!D448,Input!H512,IF(Input!G448=Input!E448,Input!I512,""))</f>
        <v/>
      </c>
      <c r="G126" s="509" t="str">
        <f>Input!F512</f>
        <v>Leased or Rented Equipment - Max Per Occurrence</v>
      </c>
      <c r="H126" s="385" t="str">
        <f>IF(Input!G448=Input!D448,Input!H530,IF(Input!G448=Input!E448,Input!I530,""))</f>
        <v/>
      </c>
      <c r="I126" s="512" t="str">
        <f>Input!F530</f>
        <v>Windstorm</v>
      </c>
      <c r="J126" s="901"/>
    </row>
    <row r="127" spans="1:10" ht="15" hidden="1" customHeight="1" x14ac:dyDescent="0.25">
      <c r="A127" s="446"/>
      <c r="B127" s="900"/>
      <c r="C127" s="900"/>
      <c r="D127" s="900"/>
      <c r="E127" s="900"/>
      <c r="F127" s="508" t="str">
        <f>IF(Input!G448=Input!D448,Input!H513,IF(Input!G448=Input!E448,Input!I513,""))</f>
        <v/>
      </c>
      <c r="G127" s="509" t="str">
        <f>Input!F513</f>
        <v>Leased or Rented Equipment - Max Per Item</v>
      </c>
      <c r="H127" s="386" t="str">
        <f>IF(Input!G448=Input!D448,Input!H531,IF(Input!G448=Input!E448,Input!I531,""))</f>
        <v/>
      </c>
      <c r="I127" s="514" t="str">
        <f>Input!F531</f>
        <v>Named Storm</v>
      </c>
      <c r="J127" s="902"/>
    </row>
    <row r="128" spans="1:10" hidden="1" x14ac:dyDescent="0.25">
      <c r="E128"/>
      <c r="F128"/>
      <c r="H128"/>
      <c r="I128"/>
      <c r="J128"/>
    </row>
    <row r="129" spans="1:10" hidden="1" x14ac:dyDescent="0.25">
      <c r="E129"/>
      <c r="F129"/>
      <c r="H129"/>
      <c r="I129"/>
      <c r="J129"/>
    </row>
    <row r="130" spans="1:10" hidden="1" x14ac:dyDescent="0.25"/>
    <row r="131" spans="1:10" hidden="1" x14ac:dyDescent="0.25">
      <c r="A131" s="580"/>
      <c r="B131" s="894"/>
      <c r="C131" s="894"/>
      <c r="D131" s="894"/>
      <c r="E131" s="894"/>
      <c r="F131" s="1316" t="s">
        <v>171</v>
      </c>
      <c r="G131" s="1317"/>
      <c r="H131" s="1317"/>
      <c r="I131" s="1318"/>
      <c r="J131" s="901"/>
    </row>
    <row r="132" spans="1:10" hidden="1" x14ac:dyDescent="0.25">
      <c r="A132" s="580"/>
      <c r="B132" s="894"/>
      <c r="C132" s="894"/>
      <c r="D132" s="894"/>
      <c r="E132" s="894"/>
      <c r="F132" s="508" t="str">
        <f>IF(Input!G653=Input!D653,Input!H713,IF(Input!G653=Input!E653,Input!I713,""))</f>
        <v/>
      </c>
      <c r="G132" s="509" t="str">
        <f>Input!F713</f>
        <v>Scheduled Equipment</v>
      </c>
      <c r="H132" s="508" t="str">
        <f>IF(Input!G653=Input!D653,Input!H731,IF(Input!G653=Input!E653,Input!I731,""))</f>
        <v/>
      </c>
      <c r="I132" s="509" t="str">
        <f>Input!F731</f>
        <v>All Other</v>
      </c>
      <c r="J132" s="901"/>
    </row>
    <row r="133" spans="1:10" hidden="1" x14ac:dyDescent="0.25">
      <c r="A133" s="580"/>
      <c r="B133" s="894"/>
      <c r="C133" s="894"/>
      <c r="D133" s="894"/>
      <c r="E133" s="894"/>
      <c r="F133" s="1327"/>
      <c r="G133" s="1324"/>
      <c r="H133" s="508" t="str">
        <f>IF(Input!G653=Input!D653,Input!H732,IF(Input!G653=Input!E653,Input!I732,""))</f>
        <v/>
      </c>
      <c r="I133" s="509" t="str">
        <f>Input!F732</f>
        <v>Flood</v>
      </c>
      <c r="J133" s="901"/>
    </row>
    <row r="134" spans="1:10" hidden="1" x14ac:dyDescent="0.25">
      <c r="A134" s="580"/>
      <c r="B134" s="894"/>
      <c r="C134" s="894"/>
      <c r="D134" s="894"/>
      <c r="E134" s="894"/>
      <c r="F134" s="1328"/>
      <c r="G134" s="1325"/>
      <c r="H134" s="508" t="str">
        <f>IF(Input!G653=Input!D653,Input!H733,IF(Input!G653=Input!E653,Input!I733,""))</f>
        <v/>
      </c>
      <c r="I134" s="509" t="str">
        <f>Input!F733</f>
        <v>Earthquake</v>
      </c>
      <c r="J134" s="901"/>
    </row>
    <row r="135" spans="1:10" hidden="1" x14ac:dyDescent="0.25">
      <c r="A135" s="580"/>
      <c r="B135" s="894"/>
      <c r="C135" s="894"/>
      <c r="D135" s="894"/>
      <c r="E135" s="894"/>
      <c r="F135" s="1328"/>
      <c r="G135" s="1325"/>
      <c r="H135" s="508" t="str">
        <f>IF(Input!G653=Input!D653,Input!H734,IF(Input!G653=Input!E653,Input!I734,""))</f>
        <v/>
      </c>
      <c r="I135" s="509" t="str">
        <f>Input!F734</f>
        <v>Windstorm</v>
      </c>
      <c r="J135" s="901"/>
    </row>
    <row r="136" spans="1:10" hidden="1" x14ac:dyDescent="0.25">
      <c r="A136" s="446"/>
      <c r="B136" s="900"/>
      <c r="C136" s="900"/>
      <c r="D136" s="900"/>
      <c r="E136" s="900"/>
      <c r="F136" s="1329"/>
      <c r="G136" s="1326"/>
      <c r="H136" s="508" t="str">
        <f>IF(Input!G653=Input!D653,Input!H735,IF(Input!G653=Input!E653,Input!I735,""))</f>
        <v/>
      </c>
      <c r="I136" s="509" t="str">
        <f>Input!F735</f>
        <v>Named Storm</v>
      </c>
      <c r="J136" s="902"/>
    </row>
    <row r="137" spans="1:10" ht="20.100000000000001" hidden="1" customHeight="1" x14ac:dyDescent="0.25">
      <c r="A137" s="1334" t="str">
        <f>Input!B745</f>
        <v>Real Estate Errors &amp; Omissions</v>
      </c>
      <c r="B137" s="1330" t="str">
        <f>Input!C746</f>
        <v>Covers physical damage to vessels and liability arising from the use of vessels.</v>
      </c>
      <c r="C137" s="1330" t="str">
        <f>IF(Input!G748=Input!D748,Input!D749,IF(Input!G748=Input!E748,Input!E749,""))</f>
        <v/>
      </c>
      <c r="D137" s="1330" t="str">
        <f>Input!C747</f>
        <v>TBD</v>
      </c>
      <c r="E137" s="1321" t="str">
        <f>E6</f>
        <v>7/1/2023 - 7/1/2024</v>
      </c>
      <c r="F137" s="508" t="str">
        <f>IF(Input!G748=Input!D748,Input!E774,IF(Input!G748=Input!E748,Input!G774,""))</f>
        <v/>
      </c>
      <c r="G137" s="509" t="str">
        <f>Input!B774</f>
        <v>Miscellaneous Professional Services</v>
      </c>
      <c r="H137" s="508" t="str">
        <f>IF(Input!G748=Input!D748,Input!F774,IF(Input!G748=Input!E748,Input!H774,""))</f>
        <v/>
      </c>
      <c r="I137" s="509" t="s">
        <v>270</v>
      </c>
      <c r="J137" s="1338" t="str">
        <f>IF(Input!G748=Input!D748,Input!D763,IF(Input!G748=Input!E748,Input!E763,""))</f>
        <v/>
      </c>
    </row>
    <row r="138" spans="1:10" ht="20.100000000000001" hidden="1" customHeight="1" x14ac:dyDescent="0.25">
      <c r="A138" s="1336"/>
      <c r="B138" s="1323"/>
      <c r="C138" s="1323"/>
      <c r="D138" s="1323"/>
      <c r="E138" s="1323"/>
      <c r="F138" s="508" t="str">
        <f>IF(Input!G748=Input!D748,Input!E776,IF(Input!G748=Input!E748,Input!G776,""))</f>
        <v/>
      </c>
      <c r="G138" s="509" t="str">
        <f>Input!B776</f>
        <v>Aggregate</v>
      </c>
      <c r="H138" s="508" t="str">
        <f>IF(Input!G748=Input!D748,Input!F776,IF(Input!G748=Input!E748,Input!H776,""))</f>
        <v/>
      </c>
      <c r="I138" s="509" t="s">
        <v>129</v>
      </c>
      <c r="J138" s="1340"/>
    </row>
    <row r="139" spans="1:10" ht="30.75" customHeight="1" x14ac:dyDescent="0.25">
      <c r="A139" s="1334" t="str">
        <f>Input!B778</f>
        <v>Business Travel Accident</v>
      </c>
      <c r="B139" s="1330" t="str">
        <f>Input!C779</f>
        <v>Coverage provides accidental death and dismemberment benefits for employees while traveling on company business.</v>
      </c>
      <c r="C139" s="1330" t="str">
        <f>IF(Input!G782=Input!D782,Input!D783,IF(Input!G782=Input!E782,Input!E783,""))</f>
        <v/>
      </c>
      <c r="D139" s="1330" t="str">
        <f>Input!C781</f>
        <v>TBD</v>
      </c>
      <c r="E139" s="1321" t="str">
        <f>E6</f>
        <v>7/1/2023 - 7/1/2024</v>
      </c>
      <c r="F139" s="508" t="str">
        <f>IF(Input!G782=Input!D782,Input!D808,IF(Input!G782=Input!E782,Input!E808,""))</f>
        <v/>
      </c>
      <c r="G139" s="509" t="str">
        <f>Input!B808</f>
        <v xml:space="preserve">Principal Sum </v>
      </c>
      <c r="H139" s="1327">
        <v>0</v>
      </c>
      <c r="I139" s="1324" t="s">
        <v>129</v>
      </c>
      <c r="J139" s="1338" t="str">
        <f>IF(Input!G782=Input!D782,Input!D795,IF(Input!G782=Input!E782,Input!E795,""))</f>
        <v/>
      </c>
    </row>
    <row r="140" spans="1:10" ht="21.75" customHeight="1" x14ac:dyDescent="0.25">
      <c r="A140" s="1335"/>
      <c r="B140" s="1322"/>
      <c r="C140" s="1322"/>
      <c r="D140" s="1322"/>
      <c r="E140" s="1322"/>
      <c r="F140" s="508" t="str">
        <f>IF(Input!G782=Input!D782,Input!D809,IF(Input!G782=Input!E782,Input!E809,""))</f>
        <v/>
      </c>
      <c r="G140" s="509" t="str">
        <f>Input!B809</f>
        <v>Spouse/Partner</v>
      </c>
      <c r="H140" s="1328"/>
      <c r="I140" s="1325"/>
      <c r="J140" s="1339"/>
    </row>
    <row r="141" spans="1:10" ht="22.5" customHeight="1" x14ac:dyDescent="0.25">
      <c r="A141" s="1336"/>
      <c r="B141" s="1323"/>
      <c r="C141" s="1323"/>
      <c r="D141" s="1323"/>
      <c r="E141" s="1323"/>
      <c r="F141" s="508" t="str">
        <f>IF(Input!G782=Input!D782,Input!D813,IF(Input!G782=Input!E782,Input!E813,""))</f>
        <v/>
      </c>
      <c r="G141" s="509" t="str">
        <f>Input!B813</f>
        <v>Med Evac Benefit</v>
      </c>
      <c r="H141" s="1329"/>
      <c r="I141" s="1326"/>
      <c r="J141" s="1340"/>
    </row>
    <row r="142" spans="1:10" ht="15" customHeight="1" x14ac:dyDescent="0.25">
      <c r="A142" s="1334" t="str">
        <f>Input!B816</f>
        <v>Foreign Package - T5CS</v>
      </c>
      <c r="B142" s="1330" t="str">
        <f>Input!C817</f>
        <v>Coverage applies to overseas exposures associated with foreign operations.</v>
      </c>
      <c r="C142" s="1330" t="str">
        <f>IF(Input!G820=Input!D820,Input!D821,IF(Input!G820=Input!E820,Input!E821,""))</f>
        <v/>
      </c>
      <c r="D142" s="1330" t="str">
        <f>Input!C819</f>
        <v>PST 73 488 5104</v>
      </c>
      <c r="E142" s="1346" t="s">
        <v>1922</v>
      </c>
      <c r="F142" s="508" t="str">
        <f>IF(Input!G820=Input!D820,Input!E842,IF(Input!G820=Input!E820,Input!G842,""))</f>
        <v/>
      </c>
      <c r="G142" s="509" t="str">
        <f>Input!B842</f>
        <v>Property</v>
      </c>
      <c r="H142" s="508" t="str">
        <f>IF(Input!G820=Input!D820,Input!F842,IF(Input!G820=Input!E820,Input!H842,""))</f>
        <v/>
      </c>
      <c r="I142" s="509" t="s">
        <v>129</v>
      </c>
      <c r="J142" s="1338" t="str">
        <f>IF(Input!G820=Input!D820,Input!D825,IF(Input!G820=Input!E820,Input!E825,""))</f>
        <v/>
      </c>
    </row>
    <row r="143" spans="1:10" x14ac:dyDescent="0.25">
      <c r="A143" s="1335"/>
      <c r="B143" s="1322"/>
      <c r="C143" s="1322"/>
      <c r="D143" s="1322"/>
      <c r="E143" s="1331"/>
      <c r="F143" s="508" t="str">
        <f>IF(Input!G820=Input!D820,Input!E843,IF(Input!G820=Input!E820,Input!G843,""))</f>
        <v/>
      </c>
      <c r="G143" s="509" t="str">
        <f>Input!B843</f>
        <v>General Liability</v>
      </c>
      <c r="H143" s="508" t="str">
        <f>IF(Input!G820=Input!D820,Input!F843,IF(Input!G820=Input!E820,Input!H843,""))</f>
        <v/>
      </c>
      <c r="I143" s="509" t="s">
        <v>129</v>
      </c>
      <c r="J143" s="1339"/>
    </row>
    <row r="144" spans="1:10" x14ac:dyDescent="0.25">
      <c r="A144" s="1335"/>
      <c r="B144" s="1322"/>
      <c r="C144" s="1322"/>
      <c r="D144" s="1322"/>
      <c r="E144" s="1331"/>
      <c r="F144" s="508" t="str">
        <f>IF(Input!G820=Input!D820,Input!E844,IF(Input!G820=Input!E820,Input!G844,""))</f>
        <v/>
      </c>
      <c r="G144" s="509" t="str">
        <f>Input!B844</f>
        <v>Employee Benefits Liability</v>
      </c>
      <c r="H144" s="508" t="str">
        <f>IF(Input!G820=Input!D820,Input!F844,IF(Input!G820=Input!E820,Input!H844,""))</f>
        <v/>
      </c>
      <c r="I144" s="509" t="s">
        <v>11</v>
      </c>
      <c r="J144" s="1339"/>
    </row>
    <row r="145" spans="1:10" x14ac:dyDescent="0.25">
      <c r="A145" s="1335"/>
      <c r="B145" s="1322"/>
      <c r="C145" s="1322"/>
      <c r="D145" s="1322"/>
      <c r="E145" s="1331"/>
      <c r="F145" s="508" t="str">
        <f>IF(Input!G820=Input!D820,Input!E845,IF(Input!G820=Input!E820,Input!G845,""))</f>
        <v/>
      </c>
      <c r="G145" s="509" t="str">
        <f>Input!B845</f>
        <v>Automobile Liability</v>
      </c>
      <c r="H145" s="508" t="str">
        <f>IF(Input!G820=Input!D820,Input!F845,IF(Input!G820=Input!E820,Input!H845,""))</f>
        <v/>
      </c>
      <c r="I145" s="509" t="s">
        <v>270</v>
      </c>
      <c r="J145" s="1339"/>
    </row>
    <row r="146" spans="1:10" x14ac:dyDescent="0.25">
      <c r="A146" s="1335"/>
      <c r="B146" s="1322"/>
      <c r="C146" s="1322"/>
      <c r="D146" s="1322"/>
      <c r="E146" s="1331"/>
      <c r="F146" s="508" t="str">
        <f>IF(Input!G820=Input!D820,Input!E846,IF(Input!G820=Input!E820,Input!G846,""))</f>
        <v/>
      </c>
      <c r="G146" s="509" t="str">
        <f>Input!B846</f>
        <v>Hired Automobile Physical Damage</v>
      </c>
      <c r="H146" s="508" t="str">
        <f>IF(Input!G820=Input!D820,Input!F846,IF(Input!G820=Input!E820,Input!H846,""))</f>
        <v/>
      </c>
      <c r="I146" s="509" t="s">
        <v>270</v>
      </c>
      <c r="J146" s="1339"/>
    </row>
    <row r="147" spans="1:10" x14ac:dyDescent="0.25">
      <c r="A147" s="1335"/>
      <c r="B147" s="1322"/>
      <c r="C147" s="1322"/>
      <c r="D147" s="1322"/>
      <c r="E147" s="1331"/>
      <c r="F147" s="508" t="str">
        <f>IF(Input!G820=Input!D820,Input!E847,IF(Input!G820=Input!E820,Input!G847,""))</f>
        <v/>
      </c>
      <c r="G147" s="509" t="str">
        <f>Input!B847</f>
        <v>Voluntary Compensation</v>
      </c>
      <c r="H147" s="508" t="str">
        <f>IF(Input!G820=Input!D820,Input!F847,IF(Input!G820=Input!E820,Input!H847,""))</f>
        <v/>
      </c>
      <c r="I147" s="509" t="s">
        <v>129</v>
      </c>
      <c r="J147" s="1339"/>
    </row>
    <row r="148" spans="1:10" ht="15" customHeight="1" x14ac:dyDescent="0.25">
      <c r="A148" s="1335"/>
      <c r="B148" s="1322"/>
      <c r="C148" s="1322"/>
      <c r="D148" s="1322"/>
      <c r="E148" s="1331"/>
      <c r="F148" s="508" t="str">
        <f>IF(Input!G820=Input!D820,Input!E849,IF(Input!G820=Input!E820,Input!G849,""))</f>
        <v/>
      </c>
      <c r="G148" s="509" t="str">
        <f>Input!B849</f>
        <v>Repatriation</v>
      </c>
      <c r="H148" s="508" t="str">
        <f>IF(Input!G820=Input!D820,Input!F849,IF(Input!G820=Input!E820,Input!H849,""))</f>
        <v/>
      </c>
      <c r="I148" s="509" t="s">
        <v>129</v>
      </c>
      <c r="J148" s="1339"/>
    </row>
    <row r="149" spans="1:10" x14ac:dyDescent="0.25">
      <c r="A149" s="1335"/>
      <c r="B149" s="1322"/>
      <c r="C149" s="1322"/>
      <c r="D149" s="1322"/>
      <c r="E149" s="1331"/>
      <c r="F149" s="508" t="str">
        <f>IF(Input!G820=Input!D820,Input!E848,IF(Input!G820=Input!E820,Input!G848,""))</f>
        <v/>
      </c>
      <c r="G149" s="509" t="str">
        <f>Input!B848</f>
        <v>Employers Liability</v>
      </c>
      <c r="H149" s="508" t="str">
        <f>IF(Input!G820=Input!D820,Input!F848,IF(Input!G820=Input!E820,Input!H848,""))</f>
        <v/>
      </c>
      <c r="I149" s="509" t="s">
        <v>129</v>
      </c>
      <c r="J149" s="1339"/>
    </row>
    <row r="150" spans="1:10" ht="29.25" customHeight="1" x14ac:dyDescent="0.25">
      <c r="A150" s="1335"/>
      <c r="B150" s="1322"/>
      <c r="C150" s="1322"/>
      <c r="D150" s="1322"/>
      <c r="E150" s="1331"/>
      <c r="F150" s="508" t="str">
        <f>IF(Input!G820=Input!D820,Input!E850,IF(Input!G820=Input!E820,Input!G850,""))</f>
        <v/>
      </c>
      <c r="G150" s="509" t="str">
        <f>Input!B850</f>
        <v>Travel Accident - Accidental Death &amp; Dismemberment</v>
      </c>
      <c r="H150" s="508" t="str">
        <f>IF(Input!G820=Input!D820,Input!F850,IF(Input!G820=Input!E820,Input!H850,""))</f>
        <v/>
      </c>
      <c r="I150" s="509" t="s">
        <v>129</v>
      </c>
      <c r="J150" s="1339"/>
    </row>
    <row r="151" spans="1:10" x14ac:dyDescent="0.25">
      <c r="A151" s="1336"/>
      <c r="B151" s="1323"/>
      <c r="C151" s="1323"/>
      <c r="D151" s="1323"/>
      <c r="E151" s="1332"/>
      <c r="F151" s="508" t="str">
        <f>IF(Input!G820=Input!D820,Input!E851,IF(Input!G820=Input!E820,Input!G851,""))</f>
        <v/>
      </c>
      <c r="G151" s="509" t="str">
        <f>Input!B851</f>
        <v>Kidnap and Ransom</v>
      </c>
      <c r="H151" s="508" t="str">
        <f>IF(Input!G820=Input!D820,Input!F851,IF(Input!G820=Input!E820,Input!H851,""))</f>
        <v/>
      </c>
      <c r="I151" s="509" t="s">
        <v>129</v>
      </c>
      <c r="J151" s="1340"/>
    </row>
    <row r="152" spans="1:10" x14ac:dyDescent="0.25">
      <c r="A152" s="1369" t="s">
        <v>1923</v>
      </c>
      <c r="B152" s="1342" t="s">
        <v>244</v>
      </c>
      <c r="C152" s="1330" t="s">
        <v>1115</v>
      </c>
      <c r="D152" s="1342" t="str">
        <f>'T5DC Foreign Package'!D7</f>
        <v>TBD</v>
      </c>
      <c r="E152" s="1346" t="s">
        <v>1888</v>
      </c>
      <c r="F152" s="386">
        <v>0</v>
      </c>
      <c r="G152" s="514" t="s">
        <v>189</v>
      </c>
      <c r="H152" s="386">
        <v>0</v>
      </c>
      <c r="I152" s="514" t="s">
        <v>129</v>
      </c>
      <c r="J152" s="1338">
        <f>Input!D1009</f>
        <v>2500</v>
      </c>
    </row>
    <row r="153" spans="1:10" ht="15" customHeight="1" x14ac:dyDescent="0.25">
      <c r="A153" s="1335"/>
      <c r="B153" s="1322"/>
      <c r="C153" s="1322"/>
      <c r="D153" s="1322"/>
      <c r="E153" s="1331"/>
      <c r="F153" s="508">
        <v>1000000</v>
      </c>
      <c r="G153" s="509" t="s">
        <v>16</v>
      </c>
      <c r="H153" s="508">
        <v>0</v>
      </c>
      <c r="I153" s="509" t="s">
        <v>129</v>
      </c>
      <c r="J153" s="1339"/>
    </row>
    <row r="154" spans="1:10" x14ac:dyDescent="0.25">
      <c r="A154" s="1335"/>
      <c r="B154" s="1322"/>
      <c r="C154" s="1322"/>
      <c r="D154" s="1322"/>
      <c r="E154" s="1331"/>
      <c r="F154" s="508">
        <v>1000000</v>
      </c>
      <c r="G154" s="509" t="s">
        <v>257</v>
      </c>
      <c r="H154" s="508">
        <v>1000</v>
      </c>
      <c r="I154" s="509" t="s">
        <v>11</v>
      </c>
      <c r="J154" s="1339"/>
    </row>
    <row r="155" spans="1:10" x14ac:dyDescent="0.25">
      <c r="A155" s="1335"/>
      <c r="B155" s="1322"/>
      <c r="C155" s="1322"/>
      <c r="D155" s="1322"/>
      <c r="E155" s="1331"/>
      <c r="F155" s="508">
        <v>1000000</v>
      </c>
      <c r="G155" s="509" t="s">
        <v>237</v>
      </c>
      <c r="H155" s="508">
        <v>0</v>
      </c>
      <c r="I155" s="509" t="s">
        <v>270</v>
      </c>
      <c r="J155" s="1339"/>
    </row>
    <row r="156" spans="1:10" x14ac:dyDescent="0.25">
      <c r="A156" s="1335"/>
      <c r="B156" s="1322"/>
      <c r="C156" s="1322"/>
      <c r="D156" s="1322"/>
      <c r="E156" s="1331"/>
      <c r="F156" s="508">
        <v>25000</v>
      </c>
      <c r="G156" s="509" t="s">
        <v>511</v>
      </c>
      <c r="H156" s="508">
        <v>0</v>
      </c>
      <c r="I156" s="509" t="s">
        <v>270</v>
      </c>
      <c r="J156" s="1339"/>
    </row>
    <row r="157" spans="1:10" ht="15" customHeight="1" x14ac:dyDescent="0.25">
      <c r="A157" s="1335"/>
      <c r="B157" s="1322"/>
      <c r="C157" s="1322"/>
      <c r="D157" s="1322"/>
      <c r="E157" s="1331"/>
      <c r="F157" s="508" t="s">
        <v>796</v>
      </c>
      <c r="G157" s="509" t="s">
        <v>238</v>
      </c>
      <c r="H157" s="508">
        <v>0</v>
      </c>
      <c r="I157" s="509" t="s">
        <v>129</v>
      </c>
      <c r="J157" s="1339"/>
    </row>
    <row r="158" spans="1:10" ht="15" customHeight="1" x14ac:dyDescent="0.25">
      <c r="A158" s="1335"/>
      <c r="B158" s="1322"/>
      <c r="C158" s="1322"/>
      <c r="D158" s="1322"/>
      <c r="E158" s="1331"/>
      <c r="F158" s="508">
        <v>1000000</v>
      </c>
      <c r="G158" s="509" t="s">
        <v>241</v>
      </c>
      <c r="H158" s="508">
        <v>0</v>
      </c>
      <c r="I158" s="509" t="s">
        <v>129</v>
      </c>
      <c r="J158" s="1339"/>
    </row>
    <row r="159" spans="1:10" x14ac:dyDescent="0.25">
      <c r="A159" s="1335"/>
      <c r="B159" s="1322"/>
      <c r="C159" s="1322"/>
      <c r="D159" s="1322"/>
      <c r="E159" s="1331"/>
      <c r="F159" s="508">
        <v>1000000</v>
      </c>
      <c r="G159" s="509" t="s">
        <v>239</v>
      </c>
      <c r="H159" s="508">
        <v>0</v>
      </c>
      <c r="I159" s="509" t="s">
        <v>129</v>
      </c>
      <c r="J159" s="1339"/>
    </row>
    <row r="160" spans="1:10" ht="29.25" customHeight="1" x14ac:dyDescent="0.25">
      <c r="A160" s="1335"/>
      <c r="B160" s="1322"/>
      <c r="C160" s="1322"/>
      <c r="D160" s="1322"/>
      <c r="E160" s="1331"/>
      <c r="F160" s="508">
        <v>100000</v>
      </c>
      <c r="G160" s="509" t="s">
        <v>648</v>
      </c>
      <c r="H160" s="508">
        <v>0</v>
      </c>
      <c r="I160" s="509" t="s">
        <v>129</v>
      </c>
      <c r="J160" s="1339"/>
    </row>
    <row r="161" spans="1:10" ht="15" customHeight="1" x14ac:dyDescent="0.25">
      <c r="A161" s="1336"/>
      <c r="B161" s="1323"/>
      <c r="C161" s="1323"/>
      <c r="D161" s="1323"/>
      <c r="E161" s="1332"/>
      <c r="F161" s="508">
        <v>250000</v>
      </c>
      <c r="G161" s="509" t="s">
        <v>240</v>
      </c>
      <c r="H161" s="508">
        <v>0</v>
      </c>
      <c r="I161" s="509" t="s">
        <v>129</v>
      </c>
      <c r="J161" s="1340"/>
    </row>
    <row r="162" spans="1:10" ht="24" customHeight="1" x14ac:dyDescent="0.25">
      <c r="A162" s="1370" t="s">
        <v>1924</v>
      </c>
      <c r="B162" s="1373" t="s">
        <v>17</v>
      </c>
      <c r="C162" s="1373" t="s">
        <v>1925</v>
      </c>
      <c r="D162" s="1035">
        <v>10464323</v>
      </c>
      <c r="E162" s="1376" t="s">
        <v>1888</v>
      </c>
      <c r="F162" s="1036">
        <v>883700</v>
      </c>
      <c r="G162" s="1037" t="s">
        <v>1926</v>
      </c>
      <c r="H162" s="1036">
        <v>0</v>
      </c>
      <c r="I162" s="1038" t="s">
        <v>129</v>
      </c>
      <c r="J162" s="1379">
        <f>Input!D1013</f>
        <v>0</v>
      </c>
    </row>
    <row r="163" spans="1:10" ht="24" customHeight="1" x14ac:dyDescent="0.25">
      <c r="A163" s="1371"/>
      <c r="B163" s="1374"/>
      <c r="C163" s="1374"/>
      <c r="D163" s="1039"/>
      <c r="E163" s="1377"/>
      <c r="F163" s="1036">
        <v>883700</v>
      </c>
      <c r="G163" s="1037" t="s">
        <v>1927</v>
      </c>
      <c r="H163" s="1036">
        <v>0</v>
      </c>
      <c r="I163" s="1038" t="s">
        <v>129</v>
      </c>
      <c r="J163" s="1380"/>
    </row>
    <row r="164" spans="1:10" ht="24" customHeight="1" x14ac:dyDescent="0.25">
      <c r="A164" s="1372"/>
      <c r="B164" s="1375"/>
      <c r="C164" s="1375"/>
      <c r="D164" s="1040"/>
      <c r="E164" s="1378"/>
      <c r="F164" s="1036">
        <v>13500000</v>
      </c>
      <c r="G164" s="1037" t="s">
        <v>1928</v>
      </c>
      <c r="H164" s="1036">
        <v>0</v>
      </c>
      <c r="I164" s="1038" t="s">
        <v>129</v>
      </c>
      <c r="J164" s="1381"/>
    </row>
    <row r="165" spans="1:10" ht="92.25" customHeight="1" x14ac:dyDescent="0.25">
      <c r="A165" s="1334" t="str">
        <f>Input!B853</f>
        <v>Executive Liability (Directors &amp; Officers, Employment Practices, Fiduciary Liability)</v>
      </c>
      <c r="B165" s="1342" t="s">
        <v>1670</v>
      </c>
      <c r="C165" s="1330" t="str">
        <f>IF(Input!G857=Input!D857,Input!D858,IF(Input!G857=Input!E857,Input!E858,""))</f>
        <v/>
      </c>
      <c r="D165" s="1330" t="str">
        <f>Input!C856</f>
        <v>TBD</v>
      </c>
      <c r="E165" s="1321" t="str">
        <f>E6</f>
        <v>7/1/2023 - 7/1/2024</v>
      </c>
      <c r="F165" s="508" t="str">
        <f>IF(Input!G857=Input!D857,Input!E885,IF(Input!G857=Input!E857,Input!G885,""))</f>
        <v/>
      </c>
      <c r="G165" s="509" t="str">
        <f>Input!B885</f>
        <v>Directors &amp; Officers Liability</v>
      </c>
      <c r="H165" s="980" t="s">
        <v>1820</v>
      </c>
      <c r="I165" s="509" t="s">
        <v>11</v>
      </c>
      <c r="J165" s="1338" t="str">
        <f>IF(Input!G857=Input!D857,Input!D870,IF(Input!G857=Input!E857,Input!E870,""))</f>
        <v/>
      </c>
    </row>
    <row r="166" spans="1:10" ht="92.25" customHeight="1" x14ac:dyDescent="0.25">
      <c r="A166" s="1335"/>
      <c r="B166" s="1367"/>
      <c r="C166" s="1322"/>
      <c r="D166" s="1322"/>
      <c r="E166" s="1331"/>
      <c r="F166" s="508" t="str">
        <f>IF(Input!G857=Input!D857,Input!E891,IF(Input!G857=Input!E857,Input!G891,""))</f>
        <v/>
      </c>
      <c r="G166" s="509" t="str">
        <f>Input!B891</f>
        <v>Employment Practices Liability</v>
      </c>
      <c r="H166" s="508" t="str">
        <f>IF(Input!G857=Input!D857,Input!F891,IF(Input!G857=Input!E857,Input!H891,""))</f>
        <v/>
      </c>
      <c r="I166" s="509" t="s">
        <v>11</v>
      </c>
      <c r="J166" s="1339"/>
    </row>
    <row r="167" spans="1:10" ht="92.25" customHeight="1" x14ac:dyDescent="0.25">
      <c r="A167" s="1336"/>
      <c r="B167" s="1368"/>
      <c r="C167" s="1323"/>
      <c r="D167" s="1323"/>
      <c r="E167" s="1332"/>
      <c r="F167" s="508" t="str">
        <f>IF(Input!G857=Input!D857,Input!E894,IF(Input!G857=Input!E857,Input!G894,""))</f>
        <v/>
      </c>
      <c r="G167" s="509" t="str">
        <f>Input!B894</f>
        <v>Fiduciary Liability</v>
      </c>
      <c r="H167" s="508" t="str">
        <f>IF(Input!G857=Input!D857,Input!F894,IF(Input!G857=Input!E857,Input!H894,""))</f>
        <v/>
      </c>
      <c r="I167" s="509" t="s">
        <v>11</v>
      </c>
      <c r="J167" s="1340"/>
    </row>
    <row r="168" spans="1:10" hidden="1" x14ac:dyDescent="0.25">
      <c r="A168" s="580"/>
      <c r="B168" s="894"/>
      <c r="C168" s="894"/>
      <c r="D168" s="894"/>
      <c r="E168" s="894"/>
      <c r="F168" s="1347" t="str">
        <f>Input!B901</f>
        <v>Crime</v>
      </c>
      <c r="G168" s="1348"/>
      <c r="H168" s="1348"/>
      <c r="I168" s="1349"/>
      <c r="J168" s="901"/>
    </row>
    <row r="169" spans="1:10" ht="25.5" hidden="1" x14ac:dyDescent="0.25">
      <c r="A169" s="580"/>
      <c r="B169" s="894"/>
      <c r="C169" s="894"/>
      <c r="D169" s="894"/>
      <c r="E169" s="894"/>
      <c r="F169" s="508" t="str">
        <f>IF(Input!G857=Input!D857,Input!E902,IF(Input!G857=Input!E857,Input!G902,""))</f>
        <v/>
      </c>
      <c r="G169" s="509" t="str">
        <f>Input!B902</f>
        <v>Employee Dishonesty</v>
      </c>
      <c r="H169" s="557" t="str">
        <f>IF(Input!G857=Input!D857,Input!F902,IF(Input!G857=Input!E857,Input!H902,""))</f>
        <v/>
      </c>
      <c r="I169" s="510" t="str">
        <f>'Executive Liability'!D73</f>
        <v>Each Loss Sustained or Each Loss Discovered</v>
      </c>
      <c r="J169" s="901"/>
    </row>
    <row r="170" spans="1:10" hidden="1" x14ac:dyDescent="0.25">
      <c r="A170" s="580"/>
      <c r="B170" s="894"/>
      <c r="C170" s="894"/>
      <c r="D170" s="894"/>
      <c r="E170" s="894"/>
      <c r="F170" s="508" t="str">
        <f>IF(Input!G857=Input!D857,Input!E903,IF(Input!G857=Input!E857,Input!G903,""))</f>
        <v/>
      </c>
      <c r="G170" s="509" t="str">
        <f>Input!B903</f>
        <v>Forgery or Alteration</v>
      </c>
      <c r="H170" s="557" t="str">
        <f>IF(Input!G857=Input!D857,Input!F903,IF(Input!G857=Input!E857,Input!H903,""))</f>
        <v/>
      </c>
      <c r="I170" s="512"/>
      <c r="J170" s="901"/>
    </row>
    <row r="171" spans="1:10" hidden="1" x14ac:dyDescent="0.25">
      <c r="A171" s="580"/>
      <c r="B171" s="894"/>
      <c r="C171" s="894"/>
      <c r="D171" s="894"/>
      <c r="E171" s="894"/>
      <c r="F171" s="508" t="str">
        <f>IF(Input!G857=Input!D857,Input!E904,IF(Input!G857=Input!E857,Input!G904,""))</f>
        <v/>
      </c>
      <c r="G171" s="509" t="str">
        <f>Input!B904</f>
        <v>Inside the Premises</v>
      </c>
      <c r="H171" s="557" t="str">
        <f>IF(Input!G857=Input!D857,Input!F904,IF(Input!G857=Input!E857,Input!H904,""))</f>
        <v/>
      </c>
      <c r="I171" s="512"/>
      <c r="J171" s="901"/>
    </row>
    <row r="172" spans="1:10" hidden="1" x14ac:dyDescent="0.25">
      <c r="A172" s="580"/>
      <c r="B172" s="894"/>
      <c r="C172" s="894"/>
      <c r="D172" s="894"/>
      <c r="E172" s="894"/>
      <c r="F172" s="508" t="str">
        <f>IF(Input!G857=Input!D857,Input!E905,IF(Input!G857=Input!E857,Input!G905,""))</f>
        <v/>
      </c>
      <c r="G172" s="509" t="str">
        <f>Input!B905</f>
        <v>Outside the Premises (In Transit)</v>
      </c>
      <c r="H172" s="557" t="str">
        <f>IF(Input!G857=Input!D857,Input!F905,IF(Input!G857=Input!E857,Input!H905,""))</f>
        <v/>
      </c>
      <c r="I172" s="512"/>
      <c r="J172" s="901"/>
    </row>
    <row r="173" spans="1:10" hidden="1" x14ac:dyDescent="0.25">
      <c r="A173" s="580"/>
      <c r="B173" s="894"/>
      <c r="C173" s="894"/>
      <c r="D173" s="894"/>
      <c r="E173" s="894"/>
      <c r="F173" s="508" t="str">
        <f>IF(Input!G857=Input!D857,Input!E906,IF(Input!G857=Input!E857,Input!G906,""))</f>
        <v/>
      </c>
      <c r="G173" s="509" t="str">
        <f>Input!B906</f>
        <v>Computer Fraud</v>
      </c>
      <c r="H173" s="557" t="str">
        <f>IF(Input!G857=Input!D857,Input!F906,IF(Input!G857=Input!E857,Input!H906,""))</f>
        <v/>
      </c>
      <c r="I173" s="512"/>
      <c r="J173" s="901"/>
    </row>
    <row r="174" spans="1:10" ht="25.5" hidden="1" x14ac:dyDescent="0.25">
      <c r="A174" s="580"/>
      <c r="B174" s="894"/>
      <c r="C174" s="894"/>
      <c r="D174" s="894"/>
      <c r="E174" s="894"/>
      <c r="F174" s="508" t="str">
        <f>IF(Input!G857=Input!D857,Input!E907,IF(Input!G857=Input!E857,Input!G907,""))</f>
        <v/>
      </c>
      <c r="G174" s="509" t="str">
        <f>Input!B907</f>
        <v>Money Orders and Counterfeit Paper Currency</v>
      </c>
      <c r="H174" s="557" t="str">
        <f>IF(Input!G857=Input!D857,Input!F907,IF(Input!G857=Input!E857,Input!H907,""))</f>
        <v/>
      </c>
      <c r="I174" s="512"/>
      <c r="J174" s="901"/>
    </row>
    <row r="175" spans="1:10" hidden="1" x14ac:dyDescent="0.25">
      <c r="A175" s="580"/>
      <c r="B175" s="894"/>
      <c r="C175" s="894"/>
      <c r="D175" s="894"/>
      <c r="E175" s="894"/>
      <c r="F175" s="508" t="str">
        <f>IF(Input!G857=Input!D857,Input!E908,IF(Input!G857=Input!E857,Input!G908,""))</f>
        <v/>
      </c>
      <c r="G175" s="509" t="str">
        <f>Input!B908</f>
        <v>Client's Property (Third Party Liability)</v>
      </c>
      <c r="H175" s="557" t="str">
        <f>IF(Input!G857=Input!D857,Input!F908,IF(Input!G857=Input!E857,Input!H908,""))</f>
        <v/>
      </c>
      <c r="I175" s="512"/>
      <c r="J175" s="901"/>
    </row>
    <row r="176" spans="1:10" hidden="1" x14ac:dyDescent="0.25">
      <c r="A176" s="580"/>
      <c r="B176" s="894"/>
      <c r="C176" s="894"/>
      <c r="D176" s="894"/>
      <c r="E176" s="894"/>
      <c r="F176" s="508" t="str">
        <f>IF(Input!G857=Input!D857,Input!E909,IF(Input!G857=Input!E857,Input!G909,""))</f>
        <v/>
      </c>
      <c r="G176" s="509" t="str">
        <f>Input!B909</f>
        <v>Funds Transfer Fraud</v>
      </c>
      <c r="H176" s="557" t="str">
        <f>IF(Input!G857=Input!D857,Input!F909,IF(Input!G857=Input!E857,Input!H909,""))</f>
        <v/>
      </c>
      <c r="I176" s="512"/>
      <c r="J176" s="901"/>
    </row>
    <row r="177" spans="1:10" ht="15" customHeight="1" x14ac:dyDescent="0.25">
      <c r="A177" s="1334" t="str">
        <f>Input!B913</f>
        <v>Commercial Crime</v>
      </c>
      <c r="B177" s="1342" t="s">
        <v>797</v>
      </c>
      <c r="C177" s="1330" t="str">
        <f>IF(Input!G917=Input!D917,Input!D918,IF(Input!G917=Input!E917,Input!E918,""))</f>
        <v/>
      </c>
      <c r="D177" s="1330" t="str">
        <f>Input!C916</f>
        <v>TBD</v>
      </c>
      <c r="E177" s="1321" t="str">
        <f>E6</f>
        <v>7/1/2023 - 7/1/2024</v>
      </c>
      <c r="F177" s="508" t="str">
        <f>IF(Input!G917=Input!D917,Input!E944,IF(Input!G917=Input!E917,Input!G944,""))</f>
        <v/>
      </c>
      <c r="G177" s="509" t="str">
        <f>Input!B944</f>
        <v>Employee Dishonesty</v>
      </c>
      <c r="H177" s="557" t="str">
        <f>IF(Input!G917=Input!D917,Input!F944,IF(Input!G917=Input!E917,Input!H944,""))</f>
        <v/>
      </c>
      <c r="I177" s="510" t="str">
        <f>Crime!D45</f>
        <v>Each Loss Discovered</v>
      </c>
      <c r="J177" s="1338" t="str">
        <f>IF(Input!G917=Input!D917,Input!D930,IF(Input!G917=Input!E917,Input!E930,""))</f>
        <v/>
      </c>
    </row>
    <row r="178" spans="1:10" ht="15" customHeight="1" x14ac:dyDescent="0.25">
      <c r="A178" s="1335"/>
      <c r="B178" s="1322"/>
      <c r="C178" s="1322"/>
      <c r="D178" s="1322"/>
      <c r="E178" s="1322"/>
      <c r="F178" s="508" t="str">
        <f>IF(Input!G917=Input!D917,Input!E945,IF(Input!G917=Input!E917,Input!G945,""))</f>
        <v/>
      </c>
      <c r="G178" s="509" t="str">
        <f>Input!B945</f>
        <v>Forgery or Alteration</v>
      </c>
      <c r="H178" s="557" t="str">
        <f>IF(Input!G917=Input!D917,Input!F945,IF(Input!G917=Input!E917,Input!H945,""))</f>
        <v/>
      </c>
      <c r="I178" s="512"/>
      <c r="J178" s="1339"/>
    </row>
    <row r="179" spans="1:10" ht="15" customHeight="1" x14ac:dyDescent="0.25">
      <c r="A179" s="1335"/>
      <c r="B179" s="1322"/>
      <c r="C179" s="1322"/>
      <c r="D179" s="1322"/>
      <c r="E179" s="1322"/>
      <c r="F179" s="508" t="str">
        <f>IF(Input!G917=Input!D917,Input!E946,IF(Input!G917=Input!E917,Input!G946,""))</f>
        <v/>
      </c>
      <c r="G179" s="509" t="str">
        <f>Input!B946</f>
        <v>Inside the Premises</v>
      </c>
      <c r="H179" s="557" t="str">
        <f>IF(Input!G917=Input!D917,Input!F946,IF(Input!G917=Input!E917,Input!H946,""))</f>
        <v/>
      </c>
      <c r="I179" s="512"/>
      <c r="J179" s="1339"/>
    </row>
    <row r="180" spans="1:10" ht="15" customHeight="1" x14ac:dyDescent="0.25">
      <c r="A180" s="1335"/>
      <c r="B180" s="1322"/>
      <c r="C180" s="1322"/>
      <c r="D180" s="1322"/>
      <c r="E180" s="1322"/>
      <c r="F180" s="508" t="str">
        <f>IF(Input!G917=Input!D917,Input!E947,IF(Input!G917=Input!E917,Input!G947,""))</f>
        <v/>
      </c>
      <c r="G180" s="509" t="str">
        <f>Input!B947</f>
        <v>Outside the Premises (In Transit)</v>
      </c>
      <c r="H180" s="557" t="str">
        <f>IF(Input!G917=Input!D917,Input!F947,IF(Input!G917=Input!E917,Input!H947,""))</f>
        <v/>
      </c>
      <c r="I180" s="512"/>
      <c r="J180" s="1339"/>
    </row>
    <row r="181" spans="1:10" ht="15" customHeight="1" x14ac:dyDescent="0.25">
      <c r="A181" s="1335"/>
      <c r="B181" s="1322"/>
      <c r="C181" s="1322"/>
      <c r="D181" s="1322"/>
      <c r="E181" s="1322"/>
      <c r="F181" s="508" t="str">
        <f>IF(Input!G917=Input!D917,Input!E948,IF(Input!G917=Input!E917,Input!G948,""))</f>
        <v/>
      </c>
      <c r="G181" s="509" t="str">
        <f>Input!B948</f>
        <v>Computer System Fraud</v>
      </c>
      <c r="H181" s="557" t="str">
        <f>IF(Input!G917=Input!D917,Input!F948,IF(Input!G917=Input!E917,Input!H948,""))</f>
        <v/>
      </c>
      <c r="I181" s="512"/>
      <c r="J181" s="1339"/>
    </row>
    <row r="182" spans="1:10" ht="15" customHeight="1" x14ac:dyDescent="0.25">
      <c r="A182" s="1335"/>
      <c r="B182" s="1322"/>
      <c r="C182" s="1322"/>
      <c r="D182" s="1322"/>
      <c r="E182" s="1322"/>
      <c r="F182" s="508" t="str">
        <f>IF(Input!G917=Input!D917,Input!E949,IF(Input!G917=Input!E917,Input!G949,""))</f>
        <v/>
      </c>
      <c r="G182" s="509" t="str">
        <f>Input!B949</f>
        <v>Money Orders and Counterfeit Paper Currency</v>
      </c>
      <c r="H182" s="508" t="str">
        <f>IF(Input!G917=Input!D917,Input!F949,IF(Input!G917=Input!E917,Input!H949,""))</f>
        <v/>
      </c>
      <c r="I182" s="552"/>
      <c r="J182" s="1339"/>
    </row>
    <row r="183" spans="1:10" ht="15" customHeight="1" x14ac:dyDescent="0.25">
      <c r="A183" s="1335"/>
      <c r="B183" s="1322"/>
      <c r="C183" s="1322"/>
      <c r="D183" s="1322"/>
      <c r="E183" s="1322"/>
      <c r="F183" s="508" t="str">
        <f>IF(Input!G917=Input!D917,Input!E950,IF(Input!G917=Input!E917,Input!G950,""))</f>
        <v/>
      </c>
      <c r="G183" s="509" t="str">
        <f>Input!B950</f>
        <v>Client's Property (Third Party Liability)</v>
      </c>
      <c r="H183" s="508" t="str">
        <f>IF(Input!G917=Input!D917,Input!F950,IF(Input!G917=Input!E917,Input!H950,""))</f>
        <v/>
      </c>
      <c r="I183" s="552"/>
      <c r="J183" s="1339"/>
    </row>
    <row r="184" spans="1:10" ht="15" customHeight="1" x14ac:dyDescent="0.25">
      <c r="A184" s="1336"/>
      <c r="B184" s="1323"/>
      <c r="C184" s="1323"/>
      <c r="D184" s="1323"/>
      <c r="E184" s="1323"/>
      <c r="F184" s="508" t="str">
        <f>IF(Input!G917=Input!D917,Input!E951,IF(Input!G917=Input!E917,Input!G951,""))</f>
        <v/>
      </c>
      <c r="G184" s="509" t="str">
        <f>Input!B951</f>
        <v>Funds Transfer Fraud</v>
      </c>
      <c r="H184" s="508" t="str">
        <f>IF(Input!G917=Input!D917,Input!F951,IF(Input!G917=Input!E917,Input!H951,""))</f>
        <v/>
      </c>
      <c r="I184" s="553"/>
      <c r="J184" s="1340"/>
    </row>
    <row r="185" spans="1:10" ht="27.75" customHeight="1" x14ac:dyDescent="0.25">
      <c r="A185" s="1369" t="s">
        <v>1897</v>
      </c>
      <c r="B185" s="1342" t="s">
        <v>797</v>
      </c>
      <c r="C185" s="1023" t="str">
        <f>IF(Input!G1106=Input!D1106,Input!D1107,IF(Input!G1106=Input!E1106,Input!E1107,""))</f>
        <v>Great American Insurance Company</v>
      </c>
      <c r="D185" s="1023" t="str">
        <f>Input!C1105</f>
        <v>TBD</v>
      </c>
      <c r="E185" s="1024" t="str">
        <f>E6</f>
        <v>7/1/2023 - 7/1/2024</v>
      </c>
      <c r="F185" s="508">
        <f>IF(Input!G1106=Input!D1106,Input!F1134,IF(Input!G1106=Input!E1106,Input!I1134,""))</f>
        <v>5000000</v>
      </c>
      <c r="G185" s="509" t="str">
        <f>Input!B1134</f>
        <v>Each Loss</v>
      </c>
      <c r="H185" s="508">
        <f>IF(Input!G1106=Input!D1106,Input!G1134,IF(Input!G1106=Input!E1106,Input!J1134,""))</f>
        <v>0</v>
      </c>
      <c r="I185" s="551" t="s">
        <v>129</v>
      </c>
      <c r="J185" s="1338">
        <f>IF(Input!G1106=Input!D1106,Input!D1119,IF(Input!G1106=Input!E1106,Input!E1119,""))</f>
        <v>6500</v>
      </c>
    </row>
    <row r="186" spans="1:10" ht="27.75" customHeight="1" x14ac:dyDescent="0.25">
      <c r="A186" s="1382"/>
      <c r="B186" s="1368"/>
      <c r="C186" s="900"/>
      <c r="D186" s="900"/>
      <c r="E186" s="979"/>
      <c r="F186" s="508">
        <f>IF(Input!G1106=Input!D1106,Input!F1135,IF(Input!G1106=Input!E1106,Input!I1135,""))</f>
        <v>5000000</v>
      </c>
      <c r="G186" s="509" t="str">
        <f>Input!B1135</f>
        <v>Aggregate</v>
      </c>
      <c r="H186" s="508">
        <f>IF(Input!G1106=Input!D1106,Input!G1135,IF(Input!G1106=Input!E1106,Input!J1135,""))</f>
        <v>0</v>
      </c>
      <c r="I186" s="553"/>
      <c r="J186" s="1340"/>
    </row>
    <row r="187" spans="1:10" x14ac:dyDescent="0.25">
      <c r="A187" s="1334" t="str">
        <f>Input!B955</f>
        <v>Technology Errors &amp; Omissions</v>
      </c>
      <c r="B187" s="1330" t="str">
        <f>Input!C956</f>
        <v>First and third-party liability arising from network and privacy breach.</v>
      </c>
      <c r="C187" s="1330" t="str">
        <f>IF(Input!G959=Input!D959,Input!D960,IF(Input!G959=Input!E959,Input!E960,""))</f>
        <v/>
      </c>
      <c r="D187" s="1330" t="str">
        <f>Input!C958</f>
        <v>TBD</v>
      </c>
      <c r="E187" s="1321" t="str">
        <f>E6</f>
        <v>7/1/2023 - 7/1/2024</v>
      </c>
      <c r="F187" s="508" t="str">
        <f>IF(Input!G959=Input!D959,Input!E988,IF(Input!G959=Input!E959,Input!G988,""))</f>
        <v/>
      </c>
      <c r="G187" s="509" t="str">
        <f>Input!B988</f>
        <v>Data &amp; Network Liability</v>
      </c>
      <c r="H187" s="508" t="str">
        <f>IF(Input!G959=Input!D959,Input!F988,IF(Input!G959=Input!E959,Input!H988,""))</f>
        <v/>
      </c>
      <c r="I187" s="509" t="s">
        <v>11</v>
      </c>
      <c r="J187" s="1338" t="str">
        <f>IF(Input!G959=Input!D959,Input!D976,IF(Input!G959=Input!E959,Input!E976,""))</f>
        <v/>
      </c>
    </row>
    <row r="188" spans="1:10" x14ac:dyDescent="0.25">
      <c r="A188" s="1335"/>
      <c r="B188" s="1322"/>
      <c r="C188" s="1322"/>
      <c r="D188" s="1322"/>
      <c r="E188" s="1322"/>
      <c r="F188" s="508" t="str">
        <f>IF(Input!G959=Input!D959,Input!E989,IF(Input!G959=Input!E959,Input!G989,""))</f>
        <v/>
      </c>
      <c r="G188" s="509" t="str">
        <f>Input!B989</f>
        <v>Media Liability</v>
      </c>
      <c r="H188" s="508" t="str">
        <f>IF(Input!G959=Input!D959,Input!F989,IF(Input!G959=Input!E959,Input!H989,""))</f>
        <v/>
      </c>
      <c r="I188" s="509" t="s">
        <v>11</v>
      </c>
      <c r="J188" s="1339"/>
    </row>
    <row r="189" spans="1:10" x14ac:dyDescent="0.25">
      <c r="A189" s="1335"/>
      <c r="B189" s="1322"/>
      <c r="C189" s="1322"/>
      <c r="D189" s="1322"/>
      <c r="E189" s="1322"/>
      <c r="F189" s="508" t="str">
        <f>IF(Input!G959=Input!D959,Input!E990,IF(Input!G959=Input!E959,Input!G990,""))</f>
        <v/>
      </c>
      <c r="G189" s="509" t="str">
        <f>Input!B990</f>
        <v>Tech &amp; Professional Liability</v>
      </c>
      <c r="H189" s="508" t="str">
        <f>IF(Input!G959=Input!D959,Input!F990,IF(Input!G959=Input!E959,Input!H990,""))</f>
        <v/>
      </c>
      <c r="I189" s="509" t="s">
        <v>11</v>
      </c>
      <c r="J189" s="1339"/>
    </row>
    <row r="190" spans="1:10" x14ac:dyDescent="0.25">
      <c r="A190" s="1335"/>
      <c r="B190" s="1322"/>
      <c r="C190" s="1322"/>
      <c r="D190" s="1322"/>
      <c r="E190" s="1322"/>
      <c r="F190" s="508" t="str">
        <f>IF(Input!G959=Input!D959,Input!E991,IF(Input!G959=Input!E959,Input!G991,""))</f>
        <v/>
      </c>
      <c r="G190" s="509" t="str">
        <f>Input!B991</f>
        <v>Breach Response Expenses</v>
      </c>
      <c r="H190" s="508" t="str">
        <f>IF(Input!G959=Input!D959,Input!F991,IF(Input!G959=Input!E959,Input!H991,""))</f>
        <v/>
      </c>
      <c r="I190" s="509" t="s">
        <v>11</v>
      </c>
      <c r="J190" s="1339"/>
    </row>
    <row r="191" spans="1:10" ht="29.25" customHeight="1" x14ac:dyDescent="0.25">
      <c r="A191" s="1335"/>
      <c r="B191" s="1322"/>
      <c r="C191" s="1322"/>
      <c r="D191" s="1322"/>
      <c r="E191" s="1322"/>
      <c r="F191" s="508" t="str">
        <f>IF(Input!G959=Input!D959,Input!E993,IF(Input!G959=Input!E959,Input!G993,""))</f>
        <v/>
      </c>
      <c r="G191" s="509" t="str">
        <f>Input!B993</f>
        <v>Privacy Regulatory Proceedings, Fines and Penalties</v>
      </c>
      <c r="H191" s="508" t="str">
        <f>IF(Input!G959=Input!D959,Input!F993,IF(Input!G959=Input!E959,Input!H993,""))</f>
        <v/>
      </c>
      <c r="I191" s="509" t="s">
        <v>11</v>
      </c>
      <c r="J191" s="1339"/>
    </row>
    <row r="192" spans="1:10" x14ac:dyDescent="0.25">
      <c r="A192" s="1335"/>
      <c r="B192" s="1322"/>
      <c r="C192" s="1322"/>
      <c r="D192" s="1322"/>
      <c r="E192" s="1322"/>
      <c r="F192" s="508" t="str">
        <f>IF(Input!G959=Input!D959,Input!E995,IF(Input!G959=Input!E959,Input!G995,""))</f>
        <v/>
      </c>
      <c r="G192" s="509" t="str">
        <f>Input!B995</f>
        <v>Network Extortion</v>
      </c>
      <c r="H192" s="508" t="str">
        <f>IF(Input!G959=Input!D959,Input!F993,IF(Input!G959=Input!E959,Input!H993,""))</f>
        <v/>
      </c>
      <c r="I192" s="509" t="s">
        <v>11</v>
      </c>
      <c r="J192" s="1339"/>
    </row>
    <row r="193" spans="1:15" x14ac:dyDescent="0.25">
      <c r="A193" s="1335"/>
      <c r="B193" s="1322"/>
      <c r="C193" s="1322"/>
      <c r="D193" s="1322"/>
      <c r="E193" s="1322"/>
      <c r="F193" s="508" t="str">
        <f>IF(Input!G959=Input!D959,Input!E997,IF(Input!G959=Input!E959,Input!G997,""))</f>
        <v/>
      </c>
      <c r="G193" s="509" t="str">
        <f>Input!B996</f>
        <v>Network Business Interruption</v>
      </c>
      <c r="H193" s="508" t="str">
        <f>IF(Input!G959=Input!D959,Input!F995,IF(Input!G959=Input!E959,Input!H995,""))</f>
        <v/>
      </c>
      <c r="I193" s="509" t="s">
        <v>661</v>
      </c>
      <c r="J193" s="1339"/>
    </row>
    <row r="194" spans="1:15" x14ac:dyDescent="0.25">
      <c r="A194" s="1335"/>
      <c r="B194" s="1322"/>
      <c r="C194" s="1322"/>
      <c r="D194" s="1322"/>
      <c r="E194" s="1322"/>
      <c r="F194" s="508" t="str">
        <f>IF(Input!G959=Input!D959,Input!E998,IF(Input!G959=Input!E959,Input!G998,""))</f>
        <v/>
      </c>
      <c r="G194" s="509" t="str">
        <f>Input!B998</f>
        <v>Fraudulent Instruction</v>
      </c>
      <c r="H194" s="508" t="str">
        <f>IF(Input!G959=Input!D959,Input!F998,IF(Input!G959=Input!E959,Input!H998,""))</f>
        <v/>
      </c>
      <c r="I194" s="509" t="s">
        <v>11</v>
      </c>
      <c r="J194" s="1339"/>
    </row>
    <row r="195" spans="1:15" hidden="1" x14ac:dyDescent="0.25">
      <c r="A195" s="1334" t="str">
        <f>Input!B1000</f>
        <v>Foreign Package - T5DC</v>
      </c>
      <c r="B195" s="1330" t="str">
        <f>Input!C1001</f>
        <v>Liability arising from employee injury at foreign US bases.</v>
      </c>
      <c r="C195" s="1330" t="str">
        <f>IF(Input!G1004=Input!D1004,Input!D1005,IF(Input!G1004=Input!E1004,Input!E1005,""))</f>
        <v/>
      </c>
      <c r="D195" s="1330" t="str">
        <f>Input!C1003</f>
        <v>TBD</v>
      </c>
      <c r="E195" s="1321" t="str">
        <f>E6</f>
        <v>7/1/2023 - 7/1/2024</v>
      </c>
      <c r="F195" s="508" t="str">
        <f>IF(Input!G1004=Input!D1004,Input!E1032,IF(Input!G1004=Input!E1004,Input!G1032,""))</f>
        <v/>
      </c>
      <c r="G195" s="509" t="str">
        <f>Input!B1032</f>
        <v>Property</v>
      </c>
      <c r="H195" s="386" t="str">
        <f>IF(Input!G1004=Input!D1004,Input!F1032,IF(Input!G1004=Input!E1004,Input!H1032,""))</f>
        <v/>
      </c>
      <c r="I195" s="551" t="s">
        <v>129</v>
      </c>
      <c r="J195" s="1338" t="str">
        <f>IF(Input!G1004=Input!D1004,Input!D1017,IF(Input!G1004=Input!E1004,Input!E1017,""))</f>
        <v/>
      </c>
    </row>
    <row r="196" spans="1:15" ht="15" hidden="1" customHeight="1" x14ac:dyDescent="0.25">
      <c r="A196" s="1335"/>
      <c r="B196" s="1322"/>
      <c r="C196" s="1322"/>
      <c r="D196" s="1322"/>
      <c r="E196" s="1322"/>
      <c r="F196" s="508" t="str">
        <f>IF(Input!G1004=Input!D1004,Input!E1033,IF(Input!G1004=Input!E1004,Input!G1033,""))</f>
        <v/>
      </c>
      <c r="G196" s="509" t="str">
        <f>Input!B1033</f>
        <v>General Liability</v>
      </c>
      <c r="H196" s="386" t="str">
        <f>IF(Input!G1004=Input!D1004,Input!F1033,IF(Input!G1004=Input!E1004,Input!H1033,""))</f>
        <v/>
      </c>
      <c r="I196" s="552"/>
      <c r="J196" s="1339"/>
    </row>
    <row r="197" spans="1:15" hidden="1" x14ac:dyDescent="0.25">
      <c r="A197" s="1335"/>
      <c r="B197" s="1322"/>
      <c r="C197" s="1322"/>
      <c r="D197" s="1322"/>
      <c r="E197" s="1322"/>
      <c r="F197" s="508" t="str">
        <f>IF(Input!G1004=Input!D1004,Input!E1034,IF(Input!G1004=Input!E1004,Input!G1034,""))</f>
        <v/>
      </c>
      <c r="G197" s="509" t="str">
        <f>Input!B1034</f>
        <v>Employee Benefits Liability</v>
      </c>
      <c r="H197" s="386" t="str">
        <f>IF(Input!G1004=Input!D1004,Input!F1034,IF(Input!G1004=Input!E1004,Input!H1034,""))</f>
        <v/>
      </c>
      <c r="I197" s="552"/>
      <c r="J197" s="1339"/>
    </row>
    <row r="198" spans="1:15" hidden="1" x14ac:dyDescent="0.25">
      <c r="A198" s="1335"/>
      <c r="B198" s="1322"/>
      <c r="C198" s="1322"/>
      <c r="D198" s="1322"/>
      <c r="E198" s="1322"/>
      <c r="F198" s="508" t="str">
        <f>IF(Input!G1004=Input!D1004,Input!E1035,IF(Input!G1004=Input!E1004,Input!G1035,""))</f>
        <v/>
      </c>
      <c r="G198" s="509" t="str">
        <f>Input!B1035</f>
        <v>Automobile Liability</v>
      </c>
      <c r="H198" s="386" t="str">
        <f>IF(Input!G1004=Input!D1004,Input!F1035,IF(Input!G1004=Input!E1004,Input!H1035,""))</f>
        <v/>
      </c>
      <c r="I198" s="552"/>
      <c r="J198" s="1339"/>
    </row>
    <row r="199" spans="1:15" hidden="1" x14ac:dyDescent="0.25">
      <c r="A199" s="1336"/>
      <c r="B199" s="1323"/>
      <c r="C199" s="1323"/>
      <c r="D199" s="1323"/>
      <c r="E199" s="1323"/>
      <c r="F199" s="508" t="str">
        <f>IF(Input!G1004=Input!D1004,Input!E1041,IF(Input!G1004=Input!E1004,Input!G1041,""))</f>
        <v/>
      </c>
      <c r="G199" s="509" t="str">
        <f>Input!B1041</f>
        <v>Kidnap and Ransom</v>
      </c>
      <c r="H199" s="386" t="str">
        <f>IF(Input!G1004=Input!D1004,Input!F1041,IF(Input!G1004=Input!E1004,Input!H1041,""))</f>
        <v/>
      </c>
      <c r="I199" s="553"/>
      <c r="J199" s="1340"/>
    </row>
    <row r="200" spans="1:15" ht="36" customHeight="1" x14ac:dyDescent="0.25">
      <c r="A200" s="1334" t="str">
        <f>Input!B1043</f>
        <v>1st Excess Technology Errors &amp; Omissions</v>
      </c>
      <c r="B200" s="1330" t="str">
        <f>Input!C1044</f>
        <v>First and third-party liability arising from network and privacy breach.</v>
      </c>
      <c r="C200" s="1330" t="str">
        <f>IF(Input!G1047=Input!D1047,Input!D1048,IF(Input!G1047=Input!E1047,Input!E1048,""))</f>
        <v/>
      </c>
      <c r="D200" s="1330" t="str">
        <f>Input!C1046</f>
        <v>TBD</v>
      </c>
      <c r="E200" s="1321" t="str">
        <f>E6</f>
        <v>7/1/2023 - 7/1/2024</v>
      </c>
      <c r="F200" s="508" t="str">
        <f>IF(Input!G1047=Input!D1047,Input!G1071,IF(Input!G1047=Input!E1047,Input!G1072,""))</f>
        <v/>
      </c>
      <c r="G200" s="509" t="str">
        <f>Input!G1069</f>
        <v>Each Occurrence</v>
      </c>
      <c r="H200" s="1327" t="str">
        <f>IF(Input!G1047=Input!D1047,Input!I1071,IF(Input!G1047=Input!E1047,Input!I1072,""))</f>
        <v/>
      </c>
      <c r="I200" s="1337" t="s">
        <v>11</v>
      </c>
      <c r="J200" s="1338" t="str">
        <f>IF(Input!G1047=Input!D1047,Input!D1063,IF(Input!G1047=Input!E1047,Input!E1063,""))</f>
        <v/>
      </c>
      <c r="O200" s="981"/>
    </row>
    <row r="201" spans="1:15" ht="36" customHeight="1" x14ac:dyDescent="0.25">
      <c r="A201" s="1336"/>
      <c r="B201" s="1323"/>
      <c r="C201" s="1323"/>
      <c r="D201" s="1323"/>
      <c r="E201" s="1323"/>
      <c r="F201" s="508" t="str">
        <f>IF(Input!G1047=Input!D1047,Input!H1071,IF(Input!G1047=Input!E1047,Input!H1072,""))</f>
        <v/>
      </c>
      <c r="G201" s="509" t="str">
        <f>Input!H1069</f>
        <v>Aggregate</v>
      </c>
      <c r="H201" s="1329"/>
      <c r="I201" s="1326"/>
      <c r="J201" s="1340"/>
      <c r="M201" s="981"/>
    </row>
    <row r="202" spans="1:15" ht="36" hidden="1" customHeight="1" x14ac:dyDescent="0.25">
      <c r="A202" s="1334" t="str">
        <f>Input!B1074</f>
        <v>2nd Excess Technology Errors &amp; Omissions</v>
      </c>
      <c r="B202" s="1330" t="str">
        <f>Input!C1075</f>
        <v>Liability for bodily injury or property damage due to operations of designated contractor for named insured Owner.</v>
      </c>
      <c r="C202" s="1330" t="str">
        <f>IF(Input!G1078=Input!D1078,Input!D1079,IF(Input!G1078=Input!E1078,Input!E1079,""))</f>
        <v/>
      </c>
      <c r="D202" s="1330" t="str">
        <f>Input!C1077</f>
        <v>TBD</v>
      </c>
      <c r="E202" s="1321" t="str">
        <f>E6</f>
        <v>7/1/2023 - 7/1/2024</v>
      </c>
      <c r="F202" s="508" t="str">
        <f>IF(Input!G1078=Input!D1078,Input!G1099,IF(Input!G1078=Input!E1078,Input!G1100,""))</f>
        <v/>
      </c>
      <c r="G202" s="509" t="str">
        <f>Input!G1097</f>
        <v>Each Occurrence</v>
      </c>
      <c r="H202" s="1327" t="str">
        <f>IF(Input!G1078=Input!D1078,Input!I1099,IF(Input!G1078=Input!E1078,Input!I1100,""))</f>
        <v/>
      </c>
      <c r="I202" s="1337" t="s">
        <v>11</v>
      </c>
      <c r="J202" s="1338" t="str">
        <f>IF(Input!G1078=Input!D1078,Input!D1091,IF(Input!G1078=Input!E1078,Input!E1091,""))</f>
        <v/>
      </c>
    </row>
    <row r="203" spans="1:15" ht="36" hidden="1" customHeight="1" x14ac:dyDescent="0.25">
      <c r="A203" s="1336"/>
      <c r="B203" s="1323"/>
      <c r="C203" s="1323"/>
      <c r="D203" s="1323"/>
      <c r="E203" s="1323"/>
      <c r="F203" s="508" t="str">
        <f>IF(Input!G1078=Input!D1078,Input!H1099,IF(Input!G1078=Input!E1078,Input!H1100,""))</f>
        <v/>
      </c>
      <c r="G203" s="509" t="str">
        <f>Input!H1097</f>
        <v>Aggregate</v>
      </c>
      <c r="H203" s="1329"/>
      <c r="I203" s="1326"/>
      <c r="J203" s="1340"/>
    </row>
    <row r="204" spans="1:15" ht="15" hidden="1" customHeight="1" x14ac:dyDescent="0.25">
      <c r="E204"/>
      <c r="F204"/>
      <c r="H204"/>
      <c r="I204"/>
      <c r="J204"/>
    </row>
    <row r="205" spans="1:15" hidden="1" x14ac:dyDescent="0.25">
      <c r="E205"/>
      <c r="F205"/>
      <c r="H205"/>
      <c r="I205"/>
      <c r="J205"/>
    </row>
    <row r="206" spans="1:15" hidden="1" x14ac:dyDescent="0.25">
      <c r="A206" s="400"/>
      <c r="B206" s="894"/>
      <c r="C206" s="894"/>
      <c r="D206" s="894"/>
      <c r="E206" s="978"/>
      <c r="F206" s="508">
        <f>IF(Input!G1106=Input!D1106,Input!F1136,IF(Input!G1106=Input!E1106,Input!I1136,""))</f>
        <v>0</v>
      </c>
      <c r="G206" s="509" t="str">
        <f>Input!B1136</f>
        <v>Response Fees and Expenses</v>
      </c>
      <c r="H206" s="508">
        <f>IF(Input!G1106=Input!D1106,Input!G1136,IF(Input!G1106=Input!E1106,Input!J1136,""))</f>
        <v>0</v>
      </c>
      <c r="I206" s="552"/>
      <c r="J206" s="901"/>
    </row>
    <row r="207" spans="1:15" hidden="1" x14ac:dyDescent="0.25">
      <c r="A207" s="400"/>
      <c r="B207" s="894"/>
      <c r="C207" s="894"/>
      <c r="D207" s="894"/>
      <c r="E207" s="978"/>
      <c r="F207" s="508">
        <f>IF(Input!G1106=Input!D1106,Input!F1137,IF(Input!G1106=Input!E1106,Input!I1137,""))</f>
        <v>0</v>
      </c>
      <c r="G207" s="509" t="str">
        <f>Input!B1137</f>
        <v>Additional Expenses</v>
      </c>
      <c r="H207" s="508">
        <f>IF(Input!G1106=Input!D1106,Input!G1137,IF(Input!G1106=Input!E1106,Input!J1137,""))</f>
        <v>0</v>
      </c>
      <c r="I207" s="552"/>
      <c r="J207" s="901"/>
    </row>
    <row r="208" spans="1:15" hidden="1" x14ac:dyDescent="0.25">
      <c r="A208" s="400"/>
      <c r="B208" s="894"/>
      <c r="C208" s="894"/>
      <c r="D208" s="894"/>
      <c r="E208" s="978"/>
      <c r="F208" s="508">
        <f>IF(Input!G1106=Input!D1106,Input!F1138,IF(Input!G1106=Input!E1106,Input!I1138,""))</f>
        <v>0</v>
      </c>
      <c r="G208" s="509" t="str">
        <f>Input!B1138</f>
        <v>Legal Liability</v>
      </c>
      <c r="H208" s="508">
        <f>IF(Input!G1106=Input!D1106,Input!G1138,IF(Input!G1106=Input!E1106,Input!J1138,""))</f>
        <v>0</v>
      </c>
      <c r="I208" s="552"/>
      <c r="J208" s="901"/>
    </row>
    <row r="209" spans="1:15" hidden="1" x14ac:dyDescent="0.25">
      <c r="A209" s="400"/>
      <c r="B209" s="900"/>
      <c r="C209" s="900"/>
      <c r="D209" s="900"/>
      <c r="E209" s="900"/>
      <c r="F209" s="508">
        <f>IF(Input!G1106=Input!D1106,Input!F1141,IF(Input!G1106=Input!E1106,Input!I1141,""))</f>
        <v>0</v>
      </c>
      <c r="G209" s="509" t="str">
        <f>Input!B1141</f>
        <v>Per Insured Event</v>
      </c>
      <c r="H209" s="508">
        <f>IF(Input!G1106=Input!D1106,Input!G1141,IF(Input!G1106=Input!E1106,Input!J1141,""))</f>
        <v>0</v>
      </c>
      <c r="I209" s="553"/>
      <c r="J209" s="902"/>
    </row>
    <row r="210" spans="1:15" ht="60.75" hidden="1" customHeight="1" x14ac:dyDescent="0.25">
      <c r="A210" s="1334" t="str">
        <f>Input!B1145</f>
        <v>3rd Excess Technology Errors &amp; Omissions</v>
      </c>
      <c r="B210" s="1330" t="str">
        <f>Input!C1146</f>
        <v>The coverage provides protection for In-House Counsel in the event that their employer's Directors &amp; Officers Liability policy will not or cannot protect them for liability resulting from professional services.</v>
      </c>
      <c r="C210" s="1330" t="str">
        <f>IF(Input!G1149=Input!D1149,Input!D1150,IF(Input!G1149=Input!E1149,Input!E1150,""))</f>
        <v/>
      </c>
      <c r="D210" s="1330" t="str">
        <f>Input!C1148</f>
        <v>TBD</v>
      </c>
      <c r="E210" s="1321" t="str">
        <f>E6</f>
        <v>7/1/2023 - 7/1/2024</v>
      </c>
      <c r="F210" s="508" t="str">
        <f>IF(Input!G1149=Input!D1149,Input!G1171,IF(Input!G1149=Input!E1149,Input!G1172,""))</f>
        <v/>
      </c>
      <c r="G210" s="509" t="str">
        <f>Input!G1169</f>
        <v>Each Claim</v>
      </c>
      <c r="H210" s="1327" t="str">
        <f>IF(Input!G1149=Input!D1149,Input!I1171,IF(Input!G1149=Input!E1149,Input!I1172,""))</f>
        <v/>
      </c>
      <c r="I210" s="1324" t="str">
        <f>Input!I1169</f>
        <v>Each Claim</v>
      </c>
      <c r="J210" s="1338" t="str">
        <f>IF(Input!G1149=Input!D1149,Input!D1163,IF(Input!G1149=Input!E1149,Input!E1163,""))</f>
        <v/>
      </c>
    </row>
    <row r="211" spans="1:15" ht="49.5" hidden="1" customHeight="1" x14ac:dyDescent="0.25">
      <c r="A211" s="1336"/>
      <c r="B211" s="1323"/>
      <c r="C211" s="1323"/>
      <c r="D211" s="1323"/>
      <c r="E211" s="1323"/>
      <c r="F211" s="386" t="str">
        <f>IF(Input!G1149=Input!D1149,Input!H1171,IF(Input!G1149=Input!E1149,Input!H1172,""))</f>
        <v/>
      </c>
      <c r="G211" s="514" t="str">
        <f>Input!H1169</f>
        <v>Aggregate</v>
      </c>
      <c r="H211" s="1329"/>
      <c r="I211" s="1326"/>
      <c r="J211" s="1340"/>
    </row>
    <row r="212" spans="1:15" ht="36" hidden="1" customHeight="1" x14ac:dyDescent="0.25">
      <c r="A212" s="1334" t="str">
        <f>Input!B1174</f>
        <v>Aircraft (Drone) Liability</v>
      </c>
      <c r="B212" s="1330" t="str">
        <f>Input!C1175</f>
        <v xml:space="preserve">Coverage applies to third-party liability and physical damage arising from operating scheduled drones. </v>
      </c>
      <c r="C212" s="1330" t="str">
        <f>IF(Input!G1177=Input!D1177,Input!D1178,IF(Input!G1177=Input!E1177,Input!E1178,""))</f>
        <v/>
      </c>
      <c r="D212" s="1330" t="str">
        <f>Input!C1176</f>
        <v>TBD</v>
      </c>
      <c r="E212" s="1321" t="str">
        <f>E6</f>
        <v>7/1/2023 - 7/1/2024</v>
      </c>
      <c r="F212" s="508" t="str">
        <f>IF(Input!G1177=Input!D1177,Input!G1196,IF(Input!G1177=Input!E1177,Input!G1197,""))</f>
        <v/>
      </c>
      <c r="G212" s="509" t="str">
        <f>Input!G1194</f>
        <v>Liability</v>
      </c>
      <c r="H212" s="508" t="str">
        <f>IF(Input!G1177=Input!D1177,Input!I1196,IF(Input!G1177=Input!E1177,Input!I1197,""))</f>
        <v/>
      </c>
      <c r="I212" s="513" t="s">
        <v>129</v>
      </c>
      <c r="J212" s="1338" t="str">
        <f>IF(Input!G1177=Input!D1177,Input!D1188,IF(Input!G1177=Input!E1177,Input!E1188,""))</f>
        <v/>
      </c>
    </row>
    <row r="213" spans="1:15" ht="36" hidden="1" customHeight="1" x14ac:dyDescent="0.25">
      <c r="A213" s="1336"/>
      <c r="B213" s="1323"/>
      <c r="C213" s="1323"/>
      <c r="D213" s="1323"/>
      <c r="E213" s="1323"/>
      <c r="F213" s="508" t="str">
        <f>IF(Input!G1177=Input!D1177,Input!H1196,IF(Input!G1177=Input!E1177,Input!H1197,""))</f>
        <v/>
      </c>
      <c r="G213" s="509" t="str">
        <f>Input!H1194</f>
        <v>Physical Damage</v>
      </c>
      <c r="H213" s="386" t="str">
        <f>IF(Input!G1177=Input!D1177,Input!J1196,IF(Input!G1177=Input!E1177,Input!J1197,""))</f>
        <v/>
      </c>
      <c r="I213" s="515" t="s">
        <v>270</v>
      </c>
      <c r="J213" s="1340"/>
    </row>
    <row r="214" spans="1:15" ht="15.75" thickBot="1" x14ac:dyDescent="0.3">
      <c r="A214" s="211"/>
      <c r="B214" s="211"/>
      <c r="C214" s="211"/>
      <c r="D214" s="211"/>
      <c r="E214" s="381"/>
      <c r="F214" s="381"/>
      <c r="G214" s="211"/>
      <c r="H214" s="1361" t="s">
        <v>64</v>
      </c>
      <c r="I214" s="1361"/>
      <c r="J214" s="516" t="e">
        <f>J200+J187+J177+J165+J139+J86+J82+J80+J69+J53+J40+J38+J36+J34+J32+J30+J27+J19+J6+J152+J142+J162+J185</f>
        <v>#VALUE!</v>
      </c>
      <c r="O214" s="981"/>
    </row>
    <row r="215" spans="1:15" ht="15.75" thickTop="1" x14ac:dyDescent="0.25">
      <c r="A215" s="462" t="s">
        <v>127</v>
      </c>
      <c r="B215" s="310"/>
      <c r="C215" s="310"/>
      <c r="D215" s="310"/>
      <c r="E215" s="387"/>
      <c r="F215" s="387"/>
      <c r="G215" s="310"/>
      <c r="H215" s="387"/>
      <c r="I215" s="310"/>
      <c r="J215" s="405"/>
    </row>
    <row r="216" spans="1:15" ht="7.5" customHeight="1" x14ac:dyDescent="0.25">
      <c r="A216" s="1364"/>
      <c r="B216" s="1364"/>
      <c r="C216" s="1364"/>
      <c r="D216" s="1364"/>
      <c r="E216" s="1364"/>
      <c r="F216" s="1364"/>
      <c r="G216" s="1364"/>
      <c r="H216" s="1364"/>
      <c r="I216" s="1364"/>
      <c r="J216" s="1364"/>
    </row>
    <row r="217" spans="1:15" x14ac:dyDescent="0.25">
      <c r="A217" s="1362" t="s">
        <v>663</v>
      </c>
      <c r="B217" s="1362"/>
      <c r="C217" s="1362"/>
      <c r="D217" s="1362"/>
      <c r="E217" s="1362"/>
      <c r="F217" s="1362"/>
      <c r="G217" s="1362"/>
      <c r="H217" s="1362"/>
      <c r="I217" s="1362"/>
      <c r="J217" s="1363"/>
    </row>
    <row r="218" spans="1:15" ht="42" customHeight="1" x14ac:dyDescent="0.25">
      <c r="A218" s="1359" t="s">
        <v>664</v>
      </c>
      <c r="B218" s="1359"/>
      <c r="C218" s="1359"/>
      <c r="D218" s="1359"/>
      <c r="E218" s="1359"/>
      <c r="F218" s="1359"/>
      <c r="G218" s="1359"/>
      <c r="H218" s="1359"/>
      <c r="I218" s="1359"/>
      <c r="J218" s="1360"/>
    </row>
    <row r="219" spans="1:15" ht="15" customHeight="1" x14ac:dyDescent="0.25">
      <c r="A219" s="1359" t="s">
        <v>667</v>
      </c>
      <c r="B219" s="1359"/>
      <c r="C219" s="1359"/>
      <c r="D219" s="1359"/>
      <c r="E219" s="1359"/>
      <c r="F219" s="1359"/>
      <c r="G219" s="1359"/>
      <c r="H219" s="1359"/>
      <c r="I219" s="1359"/>
      <c r="J219" s="1360"/>
    </row>
    <row r="220" spans="1:15" x14ac:dyDescent="0.25">
      <c r="A220" s="1357" t="s">
        <v>662</v>
      </c>
      <c r="B220" s="1357"/>
      <c r="C220" s="1357"/>
      <c r="D220" s="1357"/>
      <c r="E220" s="1357"/>
      <c r="F220" s="1357"/>
      <c r="G220" s="1357"/>
      <c r="H220" s="1357"/>
      <c r="I220" s="1357"/>
      <c r="J220" s="1358"/>
    </row>
    <row r="229" spans="3:3" x14ac:dyDescent="0.25">
      <c r="C229" s="1027"/>
    </row>
  </sheetData>
  <mergeCells count="219">
    <mergeCell ref="A162:A164"/>
    <mergeCell ref="B162:B164"/>
    <mergeCell ref="C162:C164"/>
    <mergeCell ref="E162:E164"/>
    <mergeCell ref="J162:J164"/>
    <mergeCell ref="A185:A186"/>
    <mergeCell ref="B185:B186"/>
    <mergeCell ref="J185:J186"/>
    <mergeCell ref="B142:B151"/>
    <mergeCell ref="A142:A151"/>
    <mergeCell ref="B152:B161"/>
    <mergeCell ref="J212:J213"/>
    <mergeCell ref="J69:J77"/>
    <mergeCell ref="J53:J68"/>
    <mergeCell ref="E53:E68"/>
    <mergeCell ref="A53:A68"/>
    <mergeCell ref="B53:B68"/>
    <mergeCell ref="C53:C68"/>
    <mergeCell ref="D53:D68"/>
    <mergeCell ref="A187:A194"/>
    <mergeCell ref="B187:B194"/>
    <mergeCell ref="A212:A213"/>
    <mergeCell ref="E187:E194"/>
    <mergeCell ref="C202:C203"/>
    <mergeCell ref="C187:C194"/>
    <mergeCell ref="E200:E201"/>
    <mergeCell ref="B165:B167"/>
    <mergeCell ref="C165:C167"/>
    <mergeCell ref="D165:D167"/>
    <mergeCell ref="E165:E167"/>
    <mergeCell ref="C142:C151"/>
    <mergeCell ref="A152:A161"/>
    <mergeCell ref="C80:C81"/>
    <mergeCell ref="C137:C138"/>
    <mergeCell ref="D137:D138"/>
    <mergeCell ref="A220:J220"/>
    <mergeCell ref="A218:J218"/>
    <mergeCell ref="A219:J219"/>
    <mergeCell ref="H214:I214"/>
    <mergeCell ref="A210:A211"/>
    <mergeCell ref="A217:J217"/>
    <mergeCell ref="A200:A201"/>
    <mergeCell ref="B212:B213"/>
    <mergeCell ref="C212:C213"/>
    <mergeCell ref="D212:D213"/>
    <mergeCell ref="E212:E213"/>
    <mergeCell ref="B200:B201"/>
    <mergeCell ref="C200:C201"/>
    <mergeCell ref="A216:J216"/>
    <mergeCell ref="J200:J201"/>
    <mergeCell ref="E202:E203"/>
    <mergeCell ref="I210:I211"/>
    <mergeCell ref="J210:J211"/>
    <mergeCell ref="H210:H211"/>
    <mergeCell ref="B210:B211"/>
    <mergeCell ref="C210:C211"/>
    <mergeCell ref="D210:D211"/>
    <mergeCell ref="J202:J203"/>
    <mergeCell ref="E210:E211"/>
    <mergeCell ref="J187:J194"/>
    <mergeCell ref="J142:J151"/>
    <mergeCell ref="J137:J138"/>
    <mergeCell ref="F131:I131"/>
    <mergeCell ref="J177:J184"/>
    <mergeCell ref="F133:F136"/>
    <mergeCell ref="E152:E161"/>
    <mergeCell ref="J152:J161"/>
    <mergeCell ref="J139:J141"/>
    <mergeCell ref="I139:I141"/>
    <mergeCell ref="H139:H141"/>
    <mergeCell ref="J165:J167"/>
    <mergeCell ref="J195:J199"/>
    <mergeCell ref="A202:A203"/>
    <mergeCell ref="A137:A138"/>
    <mergeCell ref="A177:A184"/>
    <mergeCell ref="A195:A199"/>
    <mergeCell ref="B202:B203"/>
    <mergeCell ref="C152:C161"/>
    <mergeCell ref="D152:D161"/>
    <mergeCell ref="A36:A37"/>
    <mergeCell ref="H200:H201"/>
    <mergeCell ref="I200:I201"/>
    <mergeCell ref="I202:I203"/>
    <mergeCell ref="H202:H203"/>
    <mergeCell ref="I80:I81"/>
    <mergeCell ref="E80:E81"/>
    <mergeCell ref="G44:G45"/>
    <mergeCell ref="I69:I77"/>
    <mergeCell ref="J40:J42"/>
    <mergeCell ref="F100:I100"/>
    <mergeCell ref="H91:H96"/>
    <mergeCell ref="I101:I103"/>
    <mergeCell ref="F90:I90"/>
    <mergeCell ref="I82:I85"/>
    <mergeCell ref="E82:E85"/>
    <mergeCell ref="C19:C26"/>
    <mergeCell ref="D19:D26"/>
    <mergeCell ref="B34:B35"/>
    <mergeCell ref="C34:C35"/>
    <mergeCell ref="A165:A167"/>
    <mergeCell ref="D187:D194"/>
    <mergeCell ref="D202:D203"/>
    <mergeCell ref="D34:D35"/>
    <mergeCell ref="A80:A81"/>
    <mergeCell ref="B80:B81"/>
    <mergeCell ref="A86:A89"/>
    <mergeCell ref="B32:B33"/>
    <mergeCell ref="C30:C31"/>
    <mergeCell ref="A34:A35"/>
    <mergeCell ref="A139:A141"/>
    <mergeCell ref="C139:C141"/>
    <mergeCell ref="D200:D201"/>
    <mergeCell ref="A19:A26"/>
    <mergeCell ref="C82:C85"/>
    <mergeCell ref="A32:A33"/>
    <mergeCell ref="B139:B141"/>
    <mergeCell ref="B86:B89"/>
    <mergeCell ref="D142:D151"/>
    <mergeCell ref="A40:A42"/>
    <mergeCell ref="A1:J1"/>
    <mergeCell ref="F5:G5"/>
    <mergeCell ref="A6:A7"/>
    <mergeCell ref="B6:B7"/>
    <mergeCell ref="D6:D7"/>
    <mergeCell ref="H6:H7"/>
    <mergeCell ref="J6:J7"/>
    <mergeCell ref="H5:I5"/>
    <mergeCell ref="I6:I7"/>
    <mergeCell ref="C6:C7"/>
    <mergeCell ref="E6:E7"/>
    <mergeCell ref="J82:J85"/>
    <mergeCell ref="F104:I104"/>
    <mergeCell ref="F122:I122"/>
    <mergeCell ref="F168:I168"/>
    <mergeCell ref="J80:J81"/>
    <mergeCell ref="F62:I62"/>
    <mergeCell ref="F44:F45"/>
    <mergeCell ref="F53:I53"/>
    <mergeCell ref="J86:J89"/>
    <mergeCell ref="I86:I89"/>
    <mergeCell ref="H80:H81"/>
    <mergeCell ref="G133:G136"/>
    <mergeCell ref="C86:C89"/>
    <mergeCell ref="D86:D89"/>
    <mergeCell ref="E86:E89"/>
    <mergeCell ref="H86:H89"/>
    <mergeCell ref="E195:E199"/>
    <mergeCell ref="B177:B184"/>
    <mergeCell ref="C177:C184"/>
    <mergeCell ref="D177:D184"/>
    <mergeCell ref="B195:B199"/>
    <mergeCell ref="C195:C199"/>
    <mergeCell ref="D195:D199"/>
    <mergeCell ref="E142:E151"/>
    <mergeCell ref="E137:E138"/>
    <mergeCell ref="B137:B138"/>
    <mergeCell ref="J19:J26"/>
    <mergeCell ref="J30:J31"/>
    <mergeCell ref="J32:J33"/>
    <mergeCell ref="B19:B26"/>
    <mergeCell ref="B36:B37"/>
    <mergeCell ref="C36:C37"/>
    <mergeCell ref="D36:D37"/>
    <mergeCell ref="E36:E37"/>
    <mergeCell ref="J38:J39"/>
    <mergeCell ref="E27:E29"/>
    <mergeCell ref="I30:I31"/>
    <mergeCell ref="E19:E26"/>
    <mergeCell ref="C38:C39"/>
    <mergeCell ref="D38:D39"/>
    <mergeCell ref="E38:E39"/>
    <mergeCell ref="H38:H39"/>
    <mergeCell ref="H32:H33"/>
    <mergeCell ref="I32:I33"/>
    <mergeCell ref="C32:C33"/>
    <mergeCell ref="I38:I39"/>
    <mergeCell ref="I34:I35"/>
    <mergeCell ref="E34:E35"/>
    <mergeCell ref="H34:H35"/>
    <mergeCell ref="J34:J35"/>
    <mergeCell ref="B27:B29"/>
    <mergeCell ref="C27:C29"/>
    <mergeCell ref="A82:A85"/>
    <mergeCell ref="A69:A77"/>
    <mergeCell ref="H40:H42"/>
    <mergeCell ref="I40:I42"/>
    <mergeCell ref="D80:D81"/>
    <mergeCell ref="E30:E31"/>
    <mergeCell ref="E32:E33"/>
    <mergeCell ref="B82:B85"/>
    <mergeCell ref="B69:B77"/>
    <mergeCell ref="C69:C77"/>
    <mergeCell ref="D69:D77"/>
    <mergeCell ref="E69:E77"/>
    <mergeCell ref="A30:A31"/>
    <mergeCell ref="B30:B31"/>
    <mergeCell ref="D30:D31"/>
    <mergeCell ref="H30:H31"/>
    <mergeCell ref="D32:D33"/>
    <mergeCell ref="A38:A39"/>
    <mergeCell ref="B38:B39"/>
    <mergeCell ref="B40:B42"/>
    <mergeCell ref="C40:C42"/>
    <mergeCell ref="D40:D42"/>
    <mergeCell ref="F10:I10"/>
    <mergeCell ref="D82:D85"/>
    <mergeCell ref="H82:H85"/>
    <mergeCell ref="F97:I97"/>
    <mergeCell ref="E177:E184"/>
    <mergeCell ref="E139:E141"/>
    <mergeCell ref="I91:I96"/>
    <mergeCell ref="I98:I99"/>
    <mergeCell ref="H101:H103"/>
    <mergeCell ref="H98:H99"/>
    <mergeCell ref="D139:D141"/>
    <mergeCell ref="H11:H14"/>
    <mergeCell ref="I11:I14"/>
    <mergeCell ref="F27:I27"/>
    <mergeCell ref="E40:E42"/>
  </mergeCells>
  <printOptions horizontalCentered="1"/>
  <pageMargins left="0.15748031496062992" right="0.15748031496062992" top="1.1811023622047245" bottom="1.0629921259842521" header="0.31496062992125984" footer="0.31496062992125984"/>
  <pageSetup scale="65" fitToHeight="0" orientation="landscape" r:id="rId1"/>
  <headerFooter scaleWithDoc="0">
    <oddHeader>&amp;L&amp;"Calibri,Bold"&amp;14 Confirmation of Coverage</oddHeader>
    <oddFooter>&amp;L&amp;G&amp;CPage &amp;P of &amp;N</oddFooter>
  </headerFooter>
  <rowBreaks count="4" manualBreakCount="4">
    <brk id="52" max="16383" man="1"/>
    <brk id="138" max="16383" man="1"/>
    <brk id="164" max="16383" man="1"/>
    <brk id="186" max="16383" man="1"/>
  </rowBreaks>
  <ignoredErrors>
    <ignoredError sqref="G7 G201" formula="1"/>
  </ignoredErrors>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7">
    <pageSetUpPr fitToPage="1"/>
  </sheetPr>
  <dimension ref="A1:F33"/>
  <sheetViews>
    <sheetView showGridLines="0" topLeftCell="A25" zoomScaleNormal="100" workbookViewId="0">
      <selection sqref="A1:B1"/>
    </sheetView>
  </sheetViews>
  <sheetFormatPr defaultColWidth="9.140625" defaultRowHeight="12.75" x14ac:dyDescent="0.2"/>
  <cols>
    <col min="1" max="1" width="50" style="200" customWidth="1"/>
    <col min="2" max="2" width="49.5703125" style="345" customWidth="1"/>
    <col min="3" max="16384" width="9.140625" style="200"/>
  </cols>
  <sheetData>
    <row r="1" spans="1:6" ht="28.5" customHeight="1" x14ac:dyDescent="0.2">
      <c r="A1" s="1364" t="s">
        <v>656</v>
      </c>
      <c r="B1" s="1364"/>
    </row>
    <row r="2" spans="1:6" ht="13.5" thickBot="1" x14ac:dyDescent="0.25"/>
    <row r="3" spans="1:6" ht="21.95" customHeight="1" thickBot="1" x14ac:dyDescent="0.25">
      <c r="A3" s="1388" t="s">
        <v>563</v>
      </c>
      <c r="B3" s="1389"/>
      <c r="D3" s="367"/>
      <c r="E3" s="336"/>
      <c r="F3" s="336"/>
    </row>
    <row r="4" spans="1:6" ht="20.100000000000001" customHeight="1" x14ac:dyDescent="0.2">
      <c r="A4" s="369" t="s">
        <v>588</v>
      </c>
      <c r="B4" s="371" t="s">
        <v>589</v>
      </c>
    </row>
    <row r="5" spans="1:6" ht="20.100000000000001" customHeight="1" x14ac:dyDescent="0.2">
      <c r="A5" s="369" t="s">
        <v>590</v>
      </c>
      <c r="B5" s="371" t="s">
        <v>591</v>
      </c>
    </row>
    <row r="6" spans="1:6" ht="20.100000000000001" customHeight="1" x14ac:dyDescent="0.2">
      <c r="A6" s="369" t="s">
        <v>592</v>
      </c>
      <c r="B6" s="371" t="s">
        <v>593</v>
      </c>
    </row>
    <row r="7" spans="1:6" ht="20.100000000000001" customHeight="1" thickBot="1" x14ac:dyDescent="0.25">
      <c r="A7" s="370" t="s">
        <v>594</v>
      </c>
      <c r="B7" s="372" t="s">
        <v>595</v>
      </c>
    </row>
    <row r="8" spans="1:6" ht="21.95" customHeight="1" thickBot="1" x14ac:dyDescent="0.25">
      <c r="A8" s="1385" t="s">
        <v>406</v>
      </c>
      <c r="B8" s="1386"/>
    </row>
    <row r="9" spans="1:6" x14ac:dyDescent="0.2">
      <c r="A9" s="1390" t="s">
        <v>638</v>
      </c>
      <c r="B9" s="373" t="s">
        <v>596</v>
      </c>
    </row>
    <row r="10" spans="1:6" ht="39" thickBot="1" x14ac:dyDescent="0.25">
      <c r="A10" s="1391"/>
      <c r="B10" s="374" t="s">
        <v>639</v>
      </c>
    </row>
    <row r="11" spans="1:6" ht="21.95" customHeight="1" thickBot="1" x14ac:dyDescent="0.25">
      <c r="A11" s="1385" t="s">
        <v>286</v>
      </c>
      <c r="B11" s="1386"/>
    </row>
    <row r="12" spans="1:6" ht="25.5" x14ac:dyDescent="0.2">
      <c r="A12" s="369" t="s">
        <v>597</v>
      </c>
      <c r="B12" s="373" t="s">
        <v>640</v>
      </c>
    </row>
    <row r="13" spans="1:6" ht="20.100000000000001" customHeight="1" thickBot="1" x14ac:dyDescent="0.25">
      <c r="A13" s="370" t="s">
        <v>598</v>
      </c>
      <c r="B13" s="374" t="s">
        <v>599</v>
      </c>
    </row>
    <row r="14" spans="1:6" ht="21.95" customHeight="1" thickBot="1" x14ac:dyDescent="0.25">
      <c r="A14" s="1385" t="s">
        <v>189</v>
      </c>
      <c r="B14" s="1386"/>
    </row>
    <row r="15" spans="1:6" ht="38.25" x14ac:dyDescent="0.2">
      <c r="A15" s="369" t="s">
        <v>641</v>
      </c>
      <c r="B15" s="373" t="s">
        <v>642</v>
      </c>
    </row>
    <row r="16" spans="1:6" ht="20.100000000000001" customHeight="1" x14ac:dyDescent="0.2">
      <c r="A16" s="369" t="s">
        <v>600</v>
      </c>
      <c r="B16" s="373" t="s">
        <v>601</v>
      </c>
    </row>
    <row r="17" spans="1:2" ht="25.5" x14ac:dyDescent="0.2">
      <c r="A17" s="369" t="s">
        <v>602</v>
      </c>
      <c r="B17" s="373" t="s">
        <v>643</v>
      </c>
    </row>
    <row r="18" spans="1:2" ht="20.100000000000001" customHeight="1" thickBot="1" x14ac:dyDescent="0.25">
      <c r="A18" s="370" t="s">
        <v>603</v>
      </c>
      <c r="B18" s="356"/>
    </row>
    <row r="19" spans="1:2" ht="21.95" customHeight="1" thickBot="1" x14ac:dyDescent="0.25">
      <c r="A19" s="1385" t="s">
        <v>16</v>
      </c>
      <c r="B19" s="1386"/>
    </row>
    <row r="20" spans="1:2" ht="27" customHeight="1" thickBot="1" x14ac:dyDescent="0.25">
      <c r="A20" s="1383" t="s">
        <v>644</v>
      </c>
      <c r="B20" s="1384"/>
    </row>
    <row r="21" spans="1:2" ht="21.95" customHeight="1" thickBot="1" x14ac:dyDescent="0.25">
      <c r="A21" s="1385" t="s">
        <v>24</v>
      </c>
      <c r="B21" s="1386"/>
    </row>
    <row r="22" spans="1:2" ht="45.75" customHeight="1" thickBot="1" x14ac:dyDescent="0.25">
      <c r="A22" s="1387" t="s">
        <v>991</v>
      </c>
      <c r="B22" s="1384"/>
    </row>
    <row r="23" spans="1:2" ht="21.95" customHeight="1" thickBot="1" x14ac:dyDescent="0.25">
      <c r="A23" s="1385" t="str">
        <f>Input!B853</f>
        <v>Executive Liability (Directors &amp; Officers, Employment Practices, Fiduciary Liability)</v>
      </c>
      <c r="B23" s="1386"/>
    </row>
    <row r="24" spans="1:2" ht="20.100000000000001" customHeight="1" thickBot="1" x14ac:dyDescent="0.25">
      <c r="A24" s="1383" t="s">
        <v>604</v>
      </c>
      <c r="B24" s="1384"/>
    </row>
    <row r="25" spans="1:2" ht="21.95" customHeight="1" thickBot="1" x14ac:dyDescent="0.25">
      <c r="A25" s="1385" t="s">
        <v>564</v>
      </c>
      <c r="B25" s="1386"/>
    </row>
    <row r="26" spans="1:2" ht="20.100000000000001" customHeight="1" thickBot="1" x14ac:dyDescent="0.25">
      <c r="A26" s="1383" t="s">
        <v>646</v>
      </c>
      <c r="B26" s="1384"/>
    </row>
    <row r="27" spans="1:2" ht="21.95" customHeight="1" thickBot="1" x14ac:dyDescent="0.25">
      <c r="A27" s="1385" t="s">
        <v>565</v>
      </c>
      <c r="B27" s="1386"/>
    </row>
    <row r="28" spans="1:2" ht="20.100000000000001" customHeight="1" thickBot="1" x14ac:dyDescent="0.25">
      <c r="A28" s="1383" t="s">
        <v>605</v>
      </c>
      <c r="B28" s="1384"/>
    </row>
    <row r="29" spans="1:2" ht="21.95" customHeight="1" thickBot="1" x14ac:dyDescent="0.25">
      <c r="A29" s="1385" t="s">
        <v>566</v>
      </c>
      <c r="B29" s="1386"/>
    </row>
    <row r="30" spans="1:2" x14ac:dyDescent="0.2">
      <c r="A30" s="369" t="s">
        <v>606</v>
      </c>
      <c r="B30" s="373" t="s">
        <v>607</v>
      </c>
    </row>
    <row r="31" spans="1:2" ht="26.25" thickBot="1" x14ac:dyDescent="0.25">
      <c r="A31" s="369" t="s">
        <v>645</v>
      </c>
      <c r="B31" s="373" t="s">
        <v>608</v>
      </c>
    </row>
    <row r="32" spans="1:2" ht="23.25" customHeight="1" thickBot="1" x14ac:dyDescent="0.25">
      <c r="A32" s="1385" t="s">
        <v>996</v>
      </c>
      <c r="B32" s="1386"/>
    </row>
    <row r="33" spans="1:2" ht="30" customHeight="1" thickBot="1" x14ac:dyDescent="0.25">
      <c r="A33" s="1387" t="s">
        <v>997</v>
      </c>
      <c r="B33" s="1384"/>
    </row>
  </sheetData>
  <mergeCells count="19">
    <mergeCell ref="A19:B19"/>
    <mergeCell ref="A20:B20"/>
    <mergeCell ref="A23:B23"/>
    <mergeCell ref="A24:B24"/>
    <mergeCell ref="A25:B25"/>
    <mergeCell ref="A14:B14"/>
    <mergeCell ref="A1:B1"/>
    <mergeCell ref="A3:B3"/>
    <mergeCell ref="A8:B8"/>
    <mergeCell ref="A9:A10"/>
    <mergeCell ref="A11:B11"/>
    <mergeCell ref="A26:B26"/>
    <mergeCell ref="A21:B21"/>
    <mergeCell ref="A22:B22"/>
    <mergeCell ref="A32:B32"/>
    <mergeCell ref="A33:B33"/>
    <mergeCell ref="A27:B27"/>
    <mergeCell ref="A28:B28"/>
    <mergeCell ref="A29:B29"/>
  </mergeCells>
  <printOptions horizontalCentered="1"/>
  <pageMargins left="0.19685039370078741" right="0.19685039370078741" top="0.74803149606299213" bottom="1.2598425196850394" header="0.31496062992125984" footer="0.31496062992125984"/>
  <pageSetup fitToHeight="0" orientation="portrait" r:id="rId1"/>
  <headerFooter scaleWithDoc="0">
    <oddHeader>&amp;L&amp;"Calibri,Bold"&amp;14 Program Changes</oddHeader>
    <oddFooter>&amp;L&amp;G&amp;CPage &amp;P of &amp;N</oddFooter>
  </headerFooter>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6">
    <pageSetUpPr fitToPage="1"/>
  </sheetPr>
  <dimension ref="A1:I30"/>
  <sheetViews>
    <sheetView showGridLines="0" view="pageBreakPreview" zoomScaleNormal="100" zoomScaleSheetLayoutView="100" workbookViewId="0">
      <selection activeCell="E24" sqref="E24:I24"/>
    </sheetView>
  </sheetViews>
  <sheetFormatPr defaultColWidth="9.140625" defaultRowHeight="15" x14ac:dyDescent="0.25"/>
  <cols>
    <col min="4" max="4" width="4.42578125" customWidth="1"/>
    <col min="5" max="5" width="10.28515625" customWidth="1"/>
    <col min="8" max="8" width="12.140625" customWidth="1"/>
    <col min="9" max="9" width="22.5703125" customWidth="1"/>
  </cols>
  <sheetData>
    <row r="1" spans="1:9" ht="15" customHeight="1" x14ac:dyDescent="0.25">
      <c r="A1" s="1392" t="s">
        <v>442</v>
      </c>
      <c r="B1" s="1392"/>
      <c r="C1" s="1392"/>
      <c r="D1" s="1392"/>
      <c r="E1" s="1392"/>
      <c r="F1" s="1392"/>
      <c r="G1" s="1392"/>
      <c r="H1" s="1392"/>
      <c r="I1" s="1392"/>
    </row>
    <row r="2" spans="1:9" x14ac:dyDescent="0.25">
      <c r="A2" s="1392"/>
      <c r="B2" s="1392"/>
      <c r="C2" s="1392"/>
      <c r="D2" s="1392"/>
      <c r="E2" s="1392"/>
      <c r="F2" s="1392"/>
      <c r="G2" s="1392"/>
      <c r="H2" s="1392"/>
      <c r="I2" s="1392"/>
    </row>
    <row r="3" spans="1:9" x14ac:dyDescent="0.25">
      <c r="A3" s="1392"/>
      <c r="B3" s="1392"/>
      <c r="C3" s="1392"/>
      <c r="D3" s="1393"/>
      <c r="E3" s="1393"/>
      <c r="F3" s="1393"/>
      <c r="G3" s="1392"/>
      <c r="H3" s="1392"/>
      <c r="I3" s="1392"/>
    </row>
    <row r="5" spans="1:9" x14ac:dyDescent="0.25">
      <c r="A5" s="1394" t="s">
        <v>1764</v>
      </c>
      <c r="B5" s="1394"/>
      <c r="C5" s="1394"/>
      <c r="D5" s="1394"/>
      <c r="E5" s="1394"/>
      <c r="F5" s="1394"/>
      <c r="G5" s="1394"/>
      <c r="H5" s="1394"/>
      <c r="I5" s="1394"/>
    </row>
    <row r="6" spans="1:9" ht="9" customHeight="1" x14ac:dyDescent="0.25">
      <c r="A6" s="957"/>
      <c r="B6" s="957"/>
      <c r="C6" s="957"/>
      <c r="D6" s="957"/>
      <c r="E6" s="957"/>
      <c r="F6" s="957"/>
      <c r="G6" s="957"/>
      <c r="H6" s="957"/>
      <c r="I6" s="957"/>
    </row>
    <row r="7" spans="1:9" x14ac:dyDescent="0.25">
      <c r="A7" s="957"/>
      <c r="B7" s="1395" t="s">
        <v>1765</v>
      </c>
      <c r="C7" s="1394"/>
      <c r="D7" s="1394"/>
      <c r="E7" s="1394"/>
      <c r="F7" s="1394"/>
      <c r="G7" s="1394"/>
      <c r="H7" s="1394"/>
      <c r="I7" s="1394"/>
    </row>
    <row r="8" spans="1:9" hidden="1" x14ac:dyDescent="0.25">
      <c r="B8" s="1396" t="s">
        <v>1705</v>
      </c>
      <c r="C8" s="1397"/>
      <c r="D8" s="1397"/>
      <c r="E8" s="1397"/>
      <c r="F8" s="1397"/>
      <c r="G8" s="1397"/>
      <c r="H8" s="1397"/>
      <c r="I8" s="1397"/>
    </row>
    <row r="9" spans="1:9" hidden="1" x14ac:dyDescent="0.25">
      <c r="B9" s="1396" t="s">
        <v>1706</v>
      </c>
      <c r="C9" s="1397"/>
      <c r="D9" s="1397"/>
      <c r="E9" s="1397"/>
      <c r="F9" s="1397"/>
      <c r="G9" s="1397"/>
      <c r="H9" s="1397"/>
      <c r="I9" s="1397"/>
    </row>
    <row r="10" spans="1:9" x14ac:dyDescent="0.25">
      <c r="B10" s="1151" t="s">
        <v>970</v>
      </c>
      <c r="C10" s="1154"/>
      <c r="D10" s="1154"/>
      <c r="E10" s="1154"/>
      <c r="F10" s="1154"/>
      <c r="G10" s="1154"/>
      <c r="H10" s="1154"/>
      <c r="I10" s="1154"/>
    </row>
    <row r="11" spans="1:9" hidden="1" x14ac:dyDescent="0.25">
      <c r="B11" s="1151" t="s">
        <v>971</v>
      </c>
      <c r="C11" s="1154"/>
      <c r="D11" s="1154"/>
      <c r="E11" s="1154"/>
      <c r="F11" s="1154"/>
      <c r="G11" s="1154"/>
      <c r="H11" s="1154"/>
      <c r="I11" s="1154"/>
    </row>
    <row r="12" spans="1:9" x14ac:dyDescent="0.25">
      <c r="B12" s="1151" t="s">
        <v>972</v>
      </c>
      <c r="C12" s="1154"/>
      <c r="D12" s="1154"/>
      <c r="E12" s="1154"/>
      <c r="F12" s="1154"/>
      <c r="G12" s="1154"/>
      <c r="H12" s="1154"/>
      <c r="I12" s="1154"/>
    </row>
    <row r="13" spans="1:9" x14ac:dyDescent="0.25">
      <c r="B13" s="1151" t="s">
        <v>973</v>
      </c>
      <c r="C13" s="1154"/>
      <c r="D13" s="1154"/>
      <c r="E13" s="1154"/>
      <c r="F13" s="1154"/>
      <c r="G13" s="1154"/>
      <c r="H13" s="1154"/>
      <c r="I13" s="1154"/>
    </row>
    <row r="14" spans="1:9" x14ac:dyDescent="0.25">
      <c r="B14" s="1151" t="s">
        <v>974</v>
      </c>
      <c r="C14" s="1154"/>
      <c r="D14" s="1154"/>
      <c r="E14" s="1154"/>
      <c r="F14" s="1154"/>
      <c r="G14" s="1154"/>
      <c r="H14" s="1154"/>
      <c r="I14" s="1154"/>
    </row>
    <row r="15" spans="1:9" x14ac:dyDescent="0.25">
      <c r="B15" s="1395" t="s">
        <v>975</v>
      </c>
      <c r="C15" s="1394"/>
      <c r="D15" s="1394"/>
      <c r="E15" s="1394"/>
      <c r="F15" s="1394"/>
      <c r="G15" s="1394"/>
      <c r="H15" s="1394"/>
      <c r="I15" s="1394"/>
    </row>
    <row r="16" spans="1:9" x14ac:dyDescent="0.25">
      <c r="B16" s="1151" t="s">
        <v>1766</v>
      </c>
      <c r="C16" s="1154"/>
      <c r="D16" s="1154"/>
      <c r="E16" s="1154"/>
      <c r="F16" s="1154"/>
      <c r="G16" s="1154"/>
      <c r="H16" s="1154"/>
      <c r="I16" s="1154"/>
    </row>
    <row r="17" spans="1:9" ht="9" customHeight="1" x14ac:dyDescent="0.25"/>
    <row r="18" spans="1:9" ht="15" customHeight="1" x14ac:dyDescent="0.25">
      <c r="A18" s="1155" t="str">
        <f>"If you become aware that " &amp; Input!C2 &amp; " is facing a claim or circumstance (potential Claim) arising from or in any way related to the business risks covered under the above referenced policies, " &amp; Input!C2 &amp; " has an obligation to report the matter to the respective insurer(s) on a timely basis."</f>
        <v>If you become aware that T5 Construction Services, LLC
T5 Data Centers, LLC is facing a claim or circumstance (potential Claim) arising from or in any way related to the business risks covered under the above referenced policies, T5 Construction Services, LLC
T5 Data Centers, LLC has an obligation to report the matter to the respective insurer(s) on a timely basis.</v>
      </c>
      <c r="B18" s="1155"/>
      <c r="C18" s="1155"/>
      <c r="D18" s="1155"/>
      <c r="E18" s="1155"/>
      <c r="F18" s="1155"/>
      <c r="G18" s="1155"/>
      <c r="H18" s="1155"/>
      <c r="I18" s="1155"/>
    </row>
    <row r="19" spans="1:9" x14ac:dyDescent="0.25">
      <c r="A19" s="1155"/>
      <c r="B19" s="1155"/>
      <c r="C19" s="1155"/>
      <c r="D19" s="1155"/>
      <c r="E19" s="1155"/>
      <c r="F19" s="1155"/>
      <c r="G19" s="1155"/>
      <c r="H19" s="1155"/>
      <c r="I19" s="1155"/>
    </row>
    <row r="20" spans="1:9" x14ac:dyDescent="0.25">
      <c r="A20" s="1155"/>
      <c r="B20" s="1155"/>
      <c r="C20" s="1155"/>
      <c r="D20" s="1155"/>
      <c r="E20" s="1155"/>
      <c r="F20" s="1155"/>
      <c r="G20" s="1155"/>
      <c r="H20" s="1155"/>
      <c r="I20" s="1155"/>
    </row>
    <row r="21" spans="1:9" x14ac:dyDescent="0.25">
      <c r="A21" s="1155"/>
      <c r="B21" s="1155"/>
      <c r="C21" s="1155"/>
      <c r="D21" s="1155"/>
      <c r="E21" s="1155"/>
      <c r="F21" s="1155"/>
      <c r="G21" s="1155"/>
      <c r="H21" s="1155"/>
      <c r="I21" s="1155"/>
    </row>
    <row r="22" spans="1:9" ht="9" customHeight="1" x14ac:dyDescent="0.25"/>
    <row r="23" spans="1:9" ht="15" customHeight="1" x14ac:dyDescent="0.25">
      <c r="A23" s="1364" t="s">
        <v>659</v>
      </c>
      <c r="B23" s="1364"/>
      <c r="C23" s="1364"/>
      <c r="D23" s="1364"/>
      <c r="E23" s="1364"/>
      <c r="F23" s="1364"/>
      <c r="G23" s="1364"/>
      <c r="H23" s="1364"/>
      <c r="I23" s="1364"/>
    </row>
    <row r="24" spans="1:9" ht="15" customHeight="1" x14ac:dyDescent="0.25">
      <c r="A24" s="1155" t="s">
        <v>680</v>
      </c>
      <c r="B24" s="1155"/>
      <c r="C24" s="1155"/>
      <c r="D24" s="1155"/>
      <c r="E24" s="1398">
        <f>Input!C4</f>
        <v>45108</v>
      </c>
      <c r="F24" s="1398"/>
      <c r="G24" s="1398"/>
      <c r="H24" s="1398"/>
      <c r="I24" s="1398"/>
    </row>
    <row r="25" spans="1:9" ht="9" customHeight="1" x14ac:dyDescent="0.25">
      <c r="A25" s="567"/>
      <c r="B25" s="567"/>
      <c r="C25" s="567"/>
      <c r="D25" s="567"/>
      <c r="E25" s="564"/>
      <c r="F25" s="567"/>
      <c r="G25" s="567"/>
      <c r="H25" s="567"/>
      <c r="I25" s="567"/>
    </row>
    <row r="26" spans="1:9" x14ac:dyDescent="0.25">
      <c r="A26" s="1155" t="s">
        <v>675</v>
      </c>
      <c r="B26" s="1155"/>
      <c r="C26" s="1155"/>
      <c r="D26" s="1155"/>
      <c r="E26" s="1155"/>
      <c r="F26" s="1155"/>
      <c r="G26" s="1155"/>
      <c r="H26" s="1155"/>
      <c r="I26" s="1155"/>
    </row>
    <row r="27" spans="1:9" ht="9" customHeight="1" x14ac:dyDescent="0.25"/>
    <row r="28" spans="1:9" x14ac:dyDescent="0.25">
      <c r="A28" s="1154" t="s">
        <v>443</v>
      </c>
      <c r="B28" s="1154"/>
      <c r="C28" s="1154"/>
      <c r="D28" s="1154"/>
      <c r="E28" s="1154"/>
      <c r="F28" s="1154"/>
      <c r="G28" s="1154"/>
      <c r="H28" s="1154"/>
      <c r="I28" s="1154"/>
    </row>
    <row r="29" spans="1:9" ht="9" customHeight="1" x14ac:dyDescent="0.25"/>
    <row r="30" spans="1:9" x14ac:dyDescent="0.25">
      <c r="A30" s="1154" t="s">
        <v>444</v>
      </c>
      <c r="B30" s="1154"/>
      <c r="C30" s="1154"/>
      <c r="D30" s="1154"/>
      <c r="E30" s="1154"/>
      <c r="F30" s="1154"/>
      <c r="G30" s="1154"/>
      <c r="H30" s="1154"/>
      <c r="I30" s="1154"/>
    </row>
  </sheetData>
  <mergeCells count="19">
    <mergeCell ref="A18:I21"/>
    <mergeCell ref="E24:I24"/>
    <mergeCell ref="A26:I26"/>
    <mergeCell ref="A28:I28"/>
    <mergeCell ref="A30:I30"/>
    <mergeCell ref="A23:I23"/>
    <mergeCell ref="A24:D24"/>
    <mergeCell ref="B16:I16"/>
    <mergeCell ref="B10:I10"/>
    <mergeCell ref="B11:I11"/>
    <mergeCell ref="A1:I3"/>
    <mergeCell ref="A5:I5"/>
    <mergeCell ref="B7:I7"/>
    <mergeCell ref="B13:I13"/>
    <mergeCell ref="B14:I14"/>
    <mergeCell ref="B12:I12"/>
    <mergeCell ref="B15:I15"/>
    <mergeCell ref="B8:I8"/>
    <mergeCell ref="B9:I9"/>
  </mergeCells>
  <printOptions horizontalCentered="1"/>
  <pageMargins left="0.23622047244094491" right="0.23622047244094491" top="0.74803149606299213" bottom="1.2598425196850394" header="0.31496062992125984" footer="0.31496062992125984"/>
  <pageSetup fitToHeight="0" orientation="portrait" r:id="rId1"/>
  <headerFooter>
    <oddHeader>&amp;L&amp;"-,Bold"&amp;14Claims-Made and Reported Policies</oddHeader>
    <oddFooter>&amp;L&amp;G&amp;CPage &amp;P of &amp;N</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7">
    <pageSetUpPr fitToPage="1"/>
  </sheetPr>
  <dimension ref="A1:I129"/>
  <sheetViews>
    <sheetView showGridLines="0" view="pageBreakPreview" topLeftCell="A26" zoomScale="130" zoomScaleNormal="100" zoomScaleSheetLayoutView="130" workbookViewId="0">
      <selection activeCell="O114" sqref="O114"/>
    </sheetView>
  </sheetViews>
  <sheetFormatPr defaultColWidth="9.140625" defaultRowHeight="15" x14ac:dyDescent="0.25"/>
  <cols>
    <col min="1" max="1" width="9.140625" style="16"/>
    <col min="2" max="2" width="5.7109375" style="16" customWidth="1"/>
    <col min="3" max="3" width="9.140625" style="16"/>
    <col min="4" max="4" width="10.42578125" style="16" customWidth="1"/>
    <col min="5" max="7" width="9.140625" style="16"/>
    <col min="8" max="8" width="15.140625" style="16" customWidth="1"/>
    <col min="9" max="9" width="28.7109375" style="16" customWidth="1"/>
    <col min="10" max="16384" width="9.140625" style="16"/>
  </cols>
  <sheetData>
    <row r="1" spans="1:9" hidden="1" x14ac:dyDescent="0.25">
      <c r="A1" s="1364" t="str">
        <f>"Last year, "&amp;Input!C2&amp; " elected the following payment plan:"</f>
        <v>Last year, T5 Construction Services, LLC
T5 Data Centers, LLC elected the following payment plan:</v>
      </c>
      <c r="B1" s="1364"/>
      <c r="C1" s="1364"/>
      <c r="D1" s="1364"/>
      <c r="E1" s="1364"/>
      <c r="F1" s="1364"/>
      <c r="G1" s="1364"/>
      <c r="H1" s="1364"/>
      <c r="I1" s="1364"/>
    </row>
    <row r="2" spans="1:9" hidden="1" x14ac:dyDescent="0.25">
      <c r="A2" s="1403" t="s">
        <v>976</v>
      </c>
      <c r="B2" s="1404"/>
      <c r="C2" s="1404"/>
      <c r="D2" s="1404"/>
      <c r="E2" s="1404"/>
      <c r="F2" s="1404"/>
      <c r="G2" s="1404"/>
      <c r="H2" s="1404"/>
      <c r="I2" s="1404"/>
    </row>
    <row r="3" spans="1:9" ht="4.5" customHeight="1" x14ac:dyDescent="0.25"/>
    <row r="4" spans="1:9" x14ac:dyDescent="0.25">
      <c r="A4" s="1399" t="s">
        <v>445</v>
      </c>
      <c r="B4" s="1399"/>
      <c r="C4" s="1399"/>
      <c r="D4" s="1400"/>
      <c r="E4" s="1400"/>
      <c r="F4" s="1400"/>
      <c r="G4" s="1399"/>
      <c r="H4" s="1399"/>
      <c r="I4" s="1399"/>
    </row>
    <row r="5" spans="1:9" hidden="1" x14ac:dyDescent="0.25">
      <c r="A5" s="1411" t="s">
        <v>1707</v>
      </c>
      <c r="B5" s="1412"/>
      <c r="C5" s="1412"/>
      <c r="D5" s="1412"/>
      <c r="E5" s="1412"/>
      <c r="F5" s="1412"/>
      <c r="G5" s="1412"/>
      <c r="H5" s="1412"/>
      <c r="I5" s="1412"/>
    </row>
    <row r="6" spans="1:9" ht="6" hidden="1" customHeight="1" x14ac:dyDescent="0.25">
      <c r="A6" s="944"/>
      <c r="B6" s="944"/>
      <c r="C6" s="944"/>
      <c r="D6" s="944"/>
      <c r="E6" s="944"/>
      <c r="F6" s="944"/>
      <c r="G6" s="944"/>
      <c r="H6" s="944"/>
      <c r="I6" s="944"/>
    </row>
    <row r="7" spans="1:9" ht="36" hidden="1" customHeight="1" x14ac:dyDescent="0.25">
      <c r="A7" s="1413" t="s">
        <v>1708</v>
      </c>
      <c r="B7" s="1414"/>
      <c r="C7" s="1414"/>
      <c r="D7" s="1414"/>
      <c r="E7" s="1414"/>
      <c r="F7" s="1414"/>
      <c r="G7" s="1414"/>
      <c r="H7" s="1414"/>
      <c r="I7" s="1414"/>
    </row>
    <row r="8" spans="1:9" ht="1.5" hidden="1" customHeight="1" x14ac:dyDescent="0.25">
      <c r="A8" s="945"/>
      <c r="B8" s="946"/>
      <c r="C8" s="946"/>
      <c r="D8" s="946"/>
      <c r="E8" s="946"/>
      <c r="F8" s="946"/>
      <c r="G8" s="946"/>
      <c r="H8" s="946"/>
      <c r="I8" s="946"/>
    </row>
    <row r="9" spans="1:9" ht="73.5" hidden="1" customHeight="1" x14ac:dyDescent="0.25">
      <c r="A9" s="1413" t="s">
        <v>1709</v>
      </c>
      <c r="B9" s="1414"/>
      <c r="C9" s="1414"/>
      <c r="D9" s="1414"/>
      <c r="E9" s="1414"/>
      <c r="F9" s="1414"/>
      <c r="G9" s="1414"/>
      <c r="H9" s="1414"/>
      <c r="I9" s="1414"/>
    </row>
    <row r="10" spans="1:9" ht="6.75" customHeight="1" x14ac:dyDescent="0.25"/>
    <row r="11" spans="1:9" ht="15" customHeight="1" x14ac:dyDescent="0.25">
      <c r="A11" s="1403" t="s">
        <v>918</v>
      </c>
      <c r="B11" s="1404"/>
      <c r="C11" s="1404"/>
      <c r="D11" s="1404"/>
      <c r="E11" s="1404"/>
      <c r="F11" s="1404"/>
      <c r="G11" s="1404"/>
      <c r="H11" s="1404"/>
      <c r="I11" s="1404"/>
    </row>
    <row r="12" spans="1:9" ht="4.5" customHeight="1" x14ac:dyDescent="0.25"/>
    <row r="13" spans="1:9" x14ac:dyDescent="0.25">
      <c r="A13" s="1405" t="s">
        <v>1645</v>
      </c>
      <c r="B13" s="1406"/>
      <c r="C13" s="1406"/>
      <c r="D13" s="1406"/>
      <c r="E13" s="1406"/>
      <c r="F13" s="1406"/>
      <c r="G13" s="1406"/>
      <c r="H13" s="1406"/>
      <c r="I13" s="1406"/>
    </row>
    <row r="14" spans="1:9" ht="4.5" customHeight="1" x14ac:dyDescent="0.25"/>
    <row r="15" spans="1:9" ht="15" customHeight="1" x14ac:dyDescent="0.25">
      <c r="A15" s="1403" t="s">
        <v>1646</v>
      </c>
      <c r="B15" s="1404"/>
      <c r="C15" s="1404"/>
      <c r="D15" s="1404"/>
      <c r="E15" s="1404"/>
      <c r="F15" s="1404"/>
      <c r="G15" s="1404"/>
      <c r="H15" s="1404"/>
      <c r="I15" s="1404"/>
    </row>
    <row r="16" spans="1:9" ht="4.5" customHeight="1" x14ac:dyDescent="0.25"/>
    <row r="17" spans="2:9" hidden="1" x14ac:dyDescent="0.25">
      <c r="B17" s="1401" t="s">
        <v>919</v>
      </c>
      <c r="C17" s="1402"/>
      <c r="D17" s="1402"/>
      <c r="E17" s="1402"/>
      <c r="F17" s="1402"/>
      <c r="G17" s="1402"/>
      <c r="H17" s="1402"/>
      <c r="I17" s="1402"/>
    </row>
    <row r="18" spans="2:9" ht="4.5" hidden="1" customHeight="1" x14ac:dyDescent="0.25"/>
    <row r="19" spans="2:9" hidden="1" x14ac:dyDescent="0.25">
      <c r="C19" s="1407" t="s">
        <v>933</v>
      </c>
      <c r="D19" s="1407"/>
      <c r="E19" s="1407"/>
      <c r="F19" s="1407"/>
      <c r="G19" s="1407"/>
      <c r="H19" s="1407"/>
      <c r="I19" s="1407"/>
    </row>
    <row r="20" spans="2:9" ht="15" hidden="1" customHeight="1" x14ac:dyDescent="0.25">
      <c r="C20" s="1164" t="s">
        <v>938</v>
      </c>
      <c r="D20" s="1164"/>
      <c r="E20" s="1164"/>
      <c r="F20" s="1164"/>
      <c r="G20" s="1164"/>
      <c r="H20" s="1164"/>
      <c r="I20" s="1164"/>
    </row>
    <row r="21" spans="2:9" ht="15" hidden="1" customHeight="1" x14ac:dyDescent="0.25">
      <c r="C21" s="1408" t="s">
        <v>934</v>
      </c>
      <c r="D21" s="1408"/>
      <c r="E21" s="1408"/>
      <c r="F21" s="1408"/>
      <c r="G21" s="1408"/>
      <c r="H21" s="1408"/>
      <c r="I21" s="1408"/>
    </row>
    <row r="22" spans="2:9" ht="15" hidden="1" customHeight="1" x14ac:dyDescent="0.25">
      <c r="C22" s="1408" t="s">
        <v>936</v>
      </c>
      <c r="D22" s="1408"/>
      <c r="E22" s="1408"/>
      <c r="F22" s="1408"/>
      <c r="G22" s="1408"/>
      <c r="H22" s="1408"/>
      <c r="I22" s="1408"/>
    </row>
    <row r="23" spans="2:9" ht="15" hidden="1" customHeight="1" x14ac:dyDescent="0.25">
      <c r="C23" s="1408" t="s">
        <v>935</v>
      </c>
      <c r="D23" s="1408"/>
      <c r="E23" s="1408"/>
      <c r="F23" s="1408"/>
      <c r="G23" s="1408"/>
      <c r="H23" s="1408"/>
      <c r="I23" s="1408"/>
    </row>
    <row r="24" spans="2:9" ht="15" hidden="1" customHeight="1" x14ac:dyDescent="0.25">
      <c r="C24" s="1409" t="s">
        <v>937</v>
      </c>
      <c r="D24" s="1410"/>
      <c r="E24" s="1410"/>
      <c r="F24" s="1410"/>
      <c r="G24" s="1410"/>
      <c r="H24" s="1410"/>
      <c r="I24" s="1410"/>
    </row>
    <row r="25" spans="2:9" ht="4.5" customHeight="1" x14ac:dyDescent="0.25"/>
    <row r="26" spans="2:9" x14ac:dyDescent="0.25">
      <c r="C26" s="1407" t="s">
        <v>1639</v>
      </c>
      <c r="D26" s="1407"/>
      <c r="E26" s="1407"/>
      <c r="F26" s="1407"/>
      <c r="G26" s="1407"/>
      <c r="H26" s="1407"/>
      <c r="I26" s="1407"/>
    </row>
    <row r="27" spans="2:9" ht="15" hidden="1" customHeight="1" x14ac:dyDescent="0.25">
      <c r="C27" s="1164" t="s">
        <v>940</v>
      </c>
      <c r="D27" s="1164"/>
      <c r="E27" s="1164"/>
      <c r="F27" s="1164"/>
      <c r="G27" s="1164"/>
      <c r="H27" s="1164"/>
      <c r="I27" s="1164"/>
    </row>
    <row r="28" spans="2:9" ht="15" hidden="1" customHeight="1" x14ac:dyDescent="0.25">
      <c r="C28" s="1408" t="s">
        <v>934</v>
      </c>
      <c r="D28" s="1408"/>
      <c r="E28" s="1408"/>
      <c r="F28" s="1408"/>
      <c r="G28" s="1408"/>
      <c r="H28" s="1408"/>
      <c r="I28" s="1408"/>
    </row>
    <row r="29" spans="2:9" ht="15" hidden="1" customHeight="1" x14ac:dyDescent="0.25">
      <c r="C29" s="1408" t="s">
        <v>947</v>
      </c>
      <c r="D29" s="1408"/>
      <c r="E29" s="1408"/>
      <c r="F29" s="1408"/>
      <c r="G29" s="1408"/>
      <c r="H29" s="1408"/>
      <c r="I29" s="1408"/>
    </row>
    <row r="30" spans="2:9" ht="15" hidden="1" customHeight="1" x14ac:dyDescent="0.25">
      <c r="C30" s="1408" t="s">
        <v>948</v>
      </c>
      <c r="D30" s="1408"/>
      <c r="E30" s="1408"/>
      <c r="F30" s="1408"/>
      <c r="G30" s="1408"/>
      <c r="H30" s="1408"/>
      <c r="I30" s="1408"/>
    </row>
    <row r="31" spans="2:9" ht="15" hidden="1" customHeight="1" x14ac:dyDescent="0.25">
      <c r="C31" s="1408" t="s">
        <v>949</v>
      </c>
      <c r="D31" s="1408"/>
      <c r="E31" s="1408"/>
      <c r="F31" s="1408"/>
      <c r="G31" s="1408"/>
      <c r="H31" s="1408"/>
      <c r="I31" s="1408"/>
    </row>
    <row r="32" spans="2:9" ht="15" hidden="1" customHeight="1" x14ac:dyDescent="0.25">
      <c r="C32" s="1409" t="s">
        <v>941</v>
      </c>
      <c r="D32" s="1410"/>
      <c r="E32" s="1410"/>
      <c r="F32" s="1410"/>
      <c r="G32" s="1410"/>
      <c r="H32" s="1410"/>
      <c r="I32" s="1410"/>
    </row>
    <row r="33" spans="3:9" ht="15" customHeight="1" x14ac:dyDescent="0.25">
      <c r="C33" s="1164" t="s">
        <v>938</v>
      </c>
      <c r="D33" s="1164"/>
      <c r="E33" s="1164"/>
      <c r="F33" s="1164"/>
      <c r="G33" s="1164"/>
      <c r="H33" s="1164"/>
      <c r="I33" s="1164"/>
    </row>
    <row r="34" spans="3:9" ht="15" customHeight="1" x14ac:dyDescent="0.25">
      <c r="C34" s="1408" t="s">
        <v>934</v>
      </c>
      <c r="D34" s="1408"/>
      <c r="E34" s="1408"/>
      <c r="F34" s="1408"/>
      <c r="G34" s="1408"/>
      <c r="H34" s="1408"/>
      <c r="I34" s="1408"/>
    </row>
    <row r="35" spans="3:9" ht="15" customHeight="1" x14ac:dyDescent="0.25">
      <c r="C35" s="1408" t="s">
        <v>942</v>
      </c>
      <c r="D35" s="1408"/>
      <c r="E35" s="1408"/>
      <c r="F35" s="1408"/>
      <c r="G35" s="1408"/>
      <c r="H35" s="1408"/>
      <c r="I35" s="1408"/>
    </row>
    <row r="36" spans="3:9" ht="15" customHeight="1" x14ac:dyDescent="0.25">
      <c r="C36" s="1408" t="s">
        <v>943</v>
      </c>
      <c r="D36" s="1408"/>
      <c r="E36" s="1408"/>
      <c r="F36" s="1408"/>
      <c r="G36" s="1408"/>
      <c r="H36" s="1408"/>
      <c r="I36" s="1408"/>
    </row>
    <row r="37" spans="3:9" ht="15" customHeight="1" x14ac:dyDescent="0.25">
      <c r="C37" s="1408" t="s">
        <v>944</v>
      </c>
      <c r="D37" s="1408"/>
      <c r="E37" s="1408"/>
      <c r="F37" s="1408"/>
      <c r="G37" s="1408"/>
      <c r="H37" s="1408"/>
      <c r="I37" s="1408"/>
    </row>
    <row r="38" spans="3:9" ht="15" customHeight="1" x14ac:dyDescent="0.25">
      <c r="C38" s="1408" t="s">
        <v>945</v>
      </c>
      <c r="D38" s="1408"/>
      <c r="E38" s="1408"/>
      <c r="F38" s="1408"/>
      <c r="G38" s="1408"/>
      <c r="H38" s="1408"/>
      <c r="I38" s="1408"/>
    </row>
    <row r="39" spans="3:9" ht="15" customHeight="1" x14ac:dyDescent="0.25">
      <c r="C39" s="1409" t="s">
        <v>941</v>
      </c>
      <c r="D39" s="1410"/>
      <c r="E39" s="1410"/>
      <c r="F39" s="1410"/>
      <c r="G39" s="1410"/>
      <c r="H39" s="1410"/>
      <c r="I39" s="1410"/>
    </row>
    <row r="40" spans="3:9" ht="4.5" customHeight="1" x14ac:dyDescent="0.25"/>
    <row r="41" spans="3:9" hidden="1" x14ac:dyDescent="0.25">
      <c r="C41" s="1407" t="s">
        <v>946</v>
      </c>
      <c r="D41" s="1407"/>
      <c r="E41" s="1407"/>
      <c r="F41" s="1407"/>
      <c r="G41" s="1407"/>
      <c r="H41" s="1407"/>
      <c r="I41" s="1407"/>
    </row>
    <row r="42" spans="3:9" ht="15" hidden="1" customHeight="1" x14ac:dyDescent="0.25">
      <c r="C42" s="1408" t="s">
        <v>934</v>
      </c>
      <c r="D42" s="1408"/>
      <c r="E42" s="1408"/>
      <c r="F42" s="1408"/>
      <c r="G42" s="1408"/>
      <c r="H42" s="1408"/>
      <c r="I42" s="1408"/>
    </row>
    <row r="43" spans="3:9" ht="15" hidden="1" customHeight="1" x14ac:dyDescent="0.25">
      <c r="C43" s="1408" t="s">
        <v>949</v>
      </c>
      <c r="D43" s="1408"/>
      <c r="E43" s="1408"/>
      <c r="F43" s="1408"/>
      <c r="G43" s="1408"/>
      <c r="H43" s="1408"/>
      <c r="I43" s="1408"/>
    </row>
    <row r="44" spans="3:9" ht="15" hidden="1" customHeight="1" x14ac:dyDescent="0.25">
      <c r="C44" s="1408" t="s">
        <v>967</v>
      </c>
      <c r="D44" s="1408"/>
      <c r="E44" s="1408"/>
      <c r="F44" s="1408"/>
      <c r="G44" s="1408"/>
      <c r="H44" s="1408"/>
      <c r="I44" s="1408"/>
    </row>
    <row r="45" spans="3:9" ht="15" hidden="1" customHeight="1" x14ac:dyDescent="0.25">
      <c r="C45" s="1408" t="s">
        <v>948</v>
      </c>
      <c r="D45" s="1408"/>
      <c r="E45" s="1408"/>
      <c r="F45" s="1408"/>
      <c r="G45" s="1408"/>
      <c r="H45" s="1408"/>
      <c r="I45" s="1408"/>
    </row>
    <row r="46" spans="3:9" ht="15" hidden="1" customHeight="1" x14ac:dyDescent="0.25">
      <c r="C46" s="1408" t="s">
        <v>947</v>
      </c>
      <c r="D46" s="1408"/>
      <c r="E46" s="1408"/>
      <c r="F46" s="1408"/>
      <c r="G46" s="1408"/>
      <c r="H46" s="1408"/>
      <c r="I46" s="1408"/>
    </row>
    <row r="47" spans="3:9" ht="15" hidden="1" customHeight="1" x14ac:dyDescent="0.25">
      <c r="C47" s="1408" t="s">
        <v>968</v>
      </c>
      <c r="D47" s="1408"/>
      <c r="E47" s="1408"/>
      <c r="F47" s="1408"/>
      <c r="G47" s="1408"/>
      <c r="H47" s="1408"/>
      <c r="I47" s="1408"/>
    </row>
    <row r="48" spans="3:9" ht="15" hidden="1" customHeight="1" x14ac:dyDescent="0.25">
      <c r="C48" s="1408" t="s">
        <v>969</v>
      </c>
      <c r="D48" s="1408"/>
      <c r="E48" s="1408"/>
      <c r="F48" s="1408"/>
      <c r="G48" s="1408"/>
      <c r="H48" s="1408"/>
      <c r="I48" s="1408"/>
    </row>
    <row r="49" spans="3:9" ht="15" hidden="1" customHeight="1" x14ac:dyDescent="0.25">
      <c r="C49" s="1409" t="s">
        <v>950</v>
      </c>
      <c r="D49" s="1409"/>
      <c r="E49" s="1409"/>
      <c r="F49" s="1409"/>
      <c r="G49" s="1409"/>
      <c r="H49" s="1409"/>
      <c r="I49" s="1409"/>
    </row>
    <row r="50" spans="3:9" ht="4.5" hidden="1" customHeight="1" x14ac:dyDescent="0.25"/>
    <row r="51" spans="3:9" hidden="1" x14ac:dyDescent="0.25">
      <c r="C51" s="1407" t="s">
        <v>951</v>
      </c>
      <c r="D51" s="1407"/>
      <c r="E51" s="1407"/>
      <c r="F51" s="1407"/>
      <c r="G51" s="1407"/>
      <c r="H51" s="1407"/>
      <c r="I51" s="1407"/>
    </row>
    <row r="52" spans="3:9" ht="15" hidden="1" customHeight="1" x14ac:dyDescent="0.25">
      <c r="C52" s="1408" t="s">
        <v>934</v>
      </c>
      <c r="D52" s="1408"/>
      <c r="E52" s="1408"/>
      <c r="F52" s="1408"/>
      <c r="G52" s="1408"/>
      <c r="H52" s="1408"/>
      <c r="I52" s="1408"/>
    </row>
    <row r="53" spans="3:9" ht="15" hidden="1" customHeight="1" x14ac:dyDescent="0.25">
      <c r="C53" s="1408" t="s">
        <v>952</v>
      </c>
      <c r="D53" s="1408"/>
      <c r="E53" s="1408"/>
      <c r="F53" s="1408"/>
      <c r="G53" s="1408"/>
      <c r="H53" s="1408"/>
      <c r="I53" s="1408"/>
    </row>
    <row r="54" spans="3:9" ht="15" hidden="1" customHeight="1" x14ac:dyDescent="0.25">
      <c r="C54" s="1408" t="s">
        <v>953</v>
      </c>
      <c r="D54" s="1408"/>
      <c r="E54" s="1408"/>
      <c r="F54" s="1408"/>
      <c r="G54" s="1408"/>
      <c r="H54" s="1408"/>
      <c r="I54" s="1408"/>
    </row>
    <row r="55" spans="3:9" ht="15" hidden="1" customHeight="1" x14ac:dyDescent="0.25">
      <c r="C55" s="1408" t="s">
        <v>954</v>
      </c>
      <c r="D55" s="1408"/>
      <c r="E55" s="1408"/>
      <c r="F55" s="1408"/>
      <c r="G55" s="1408"/>
      <c r="H55" s="1408"/>
      <c r="I55" s="1408"/>
    </row>
    <row r="56" spans="3:9" ht="15" hidden="1" customHeight="1" x14ac:dyDescent="0.25">
      <c r="C56" s="1415" t="s">
        <v>955</v>
      </c>
      <c r="D56" s="1408"/>
      <c r="E56" s="1408"/>
      <c r="F56" s="1408"/>
      <c r="G56" s="1408"/>
      <c r="H56" s="1408"/>
      <c r="I56" s="1408"/>
    </row>
    <row r="57" spans="3:9" ht="4.5" hidden="1" customHeight="1" x14ac:dyDescent="0.25"/>
    <row r="58" spans="3:9" hidden="1" x14ac:dyDescent="0.25">
      <c r="C58" s="1407" t="s">
        <v>956</v>
      </c>
      <c r="D58" s="1416"/>
      <c r="E58" s="1416"/>
      <c r="F58" s="1416"/>
      <c r="G58" s="1416"/>
      <c r="H58" s="1416"/>
      <c r="I58" s="1416"/>
    </row>
    <row r="59" spans="3:9" ht="15" hidden="1" customHeight="1" x14ac:dyDescent="0.25">
      <c r="C59" s="1164" t="s">
        <v>957</v>
      </c>
      <c r="D59" s="1164"/>
      <c r="E59" s="1164"/>
      <c r="F59" s="1164"/>
      <c r="G59" s="1164"/>
      <c r="H59" s="1164"/>
      <c r="I59" s="1164"/>
    </row>
    <row r="60" spans="3:9" ht="15" hidden="1" customHeight="1" x14ac:dyDescent="0.25">
      <c r="C60" s="1408" t="s">
        <v>958</v>
      </c>
      <c r="D60" s="1408"/>
      <c r="E60" s="1408"/>
      <c r="F60" s="1408"/>
      <c r="G60" s="1408"/>
      <c r="H60" s="1408"/>
      <c r="I60" s="1408"/>
    </row>
    <row r="61" spans="3:9" ht="15" hidden="1" customHeight="1" x14ac:dyDescent="0.25">
      <c r="C61" s="1408" t="s">
        <v>953</v>
      </c>
      <c r="D61" s="1408"/>
      <c r="E61" s="1408"/>
      <c r="F61" s="1408"/>
      <c r="G61" s="1408"/>
      <c r="H61" s="1408"/>
      <c r="I61" s="1408"/>
    </row>
    <row r="62" spans="3:9" ht="15" hidden="1" customHeight="1" x14ac:dyDescent="0.25">
      <c r="C62" s="1408" t="s">
        <v>959</v>
      </c>
      <c r="D62" s="1408"/>
      <c r="E62" s="1408"/>
      <c r="F62" s="1408"/>
      <c r="G62" s="1408"/>
      <c r="H62" s="1408"/>
      <c r="I62" s="1408"/>
    </row>
    <row r="63" spans="3:9" ht="15" hidden="1" customHeight="1" x14ac:dyDescent="0.25">
      <c r="C63" s="1408" t="s">
        <v>960</v>
      </c>
      <c r="D63" s="1408"/>
      <c r="E63" s="1408"/>
      <c r="F63" s="1408"/>
      <c r="G63" s="1408"/>
      <c r="H63" s="1408"/>
      <c r="I63" s="1408"/>
    </row>
    <row r="64" spans="3:9" ht="15" hidden="1" customHeight="1" x14ac:dyDescent="0.25">
      <c r="C64" s="1408" t="s">
        <v>961</v>
      </c>
      <c r="D64" s="1408"/>
      <c r="E64" s="1408"/>
      <c r="F64" s="1408"/>
      <c r="G64" s="1408"/>
      <c r="H64" s="1408"/>
      <c r="I64" s="1408"/>
    </row>
    <row r="65" spans="2:9" ht="15" hidden="1" customHeight="1" x14ac:dyDescent="0.25">
      <c r="C65" s="1409" t="s">
        <v>962</v>
      </c>
      <c r="D65" s="1410"/>
      <c r="E65" s="1410"/>
      <c r="F65" s="1410"/>
      <c r="G65" s="1410"/>
      <c r="H65" s="1410"/>
      <c r="I65" s="1410"/>
    </row>
    <row r="66" spans="2:9" ht="15" hidden="1" customHeight="1" x14ac:dyDescent="0.25">
      <c r="C66" s="1164" t="s">
        <v>938</v>
      </c>
      <c r="D66" s="1164"/>
      <c r="E66" s="1164"/>
      <c r="F66" s="1164"/>
      <c r="G66" s="1164"/>
      <c r="H66" s="1164"/>
      <c r="I66" s="1164"/>
    </row>
    <row r="67" spans="2:9" ht="15" hidden="1" customHeight="1" x14ac:dyDescent="0.25">
      <c r="C67" s="1408" t="s">
        <v>934</v>
      </c>
      <c r="D67" s="1408"/>
      <c r="E67" s="1408"/>
      <c r="F67" s="1408"/>
      <c r="G67" s="1408"/>
      <c r="H67" s="1408"/>
      <c r="I67" s="1408"/>
    </row>
    <row r="68" spans="2:9" ht="15" hidden="1" customHeight="1" x14ac:dyDescent="0.25">
      <c r="C68" s="1408" t="s">
        <v>952</v>
      </c>
      <c r="D68" s="1408"/>
      <c r="E68" s="1408"/>
      <c r="F68" s="1408"/>
      <c r="G68" s="1408"/>
      <c r="H68" s="1408"/>
      <c r="I68" s="1408"/>
    </row>
    <row r="69" spans="2:9" ht="15" hidden="1" customHeight="1" x14ac:dyDescent="0.25">
      <c r="C69" s="1408" t="s">
        <v>953</v>
      </c>
      <c r="D69" s="1408"/>
      <c r="E69" s="1408"/>
      <c r="F69" s="1408"/>
      <c r="G69" s="1408"/>
      <c r="H69" s="1408"/>
      <c r="I69" s="1408"/>
    </row>
    <row r="70" spans="2:9" ht="15" hidden="1" customHeight="1" x14ac:dyDescent="0.25">
      <c r="C70" s="1408" t="s">
        <v>961</v>
      </c>
      <c r="D70" s="1408"/>
      <c r="E70" s="1408"/>
      <c r="F70" s="1408"/>
      <c r="G70" s="1408"/>
      <c r="H70" s="1408"/>
      <c r="I70" s="1408"/>
    </row>
    <row r="71" spans="2:9" ht="15" hidden="1" customHeight="1" x14ac:dyDescent="0.25">
      <c r="C71" s="1409" t="s">
        <v>941</v>
      </c>
      <c r="D71" s="1410"/>
      <c r="E71" s="1410"/>
      <c r="F71" s="1410"/>
      <c r="G71" s="1410"/>
      <c r="H71" s="1410"/>
      <c r="I71" s="1410"/>
    </row>
    <row r="72" spans="2:9" ht="4.5" hidden="1" customHeight="1" x14ac:dyDescent="0.25"/>
    <row r="73" spans="2:9" hidden="1" x14ac:dyDescent="0.25">
      <c r="B73" s="1401" t="s">
        <v>924</v>
      </c>
      <c r="C73" s="1402"/>
      <c r="D73" s="1402"/>
      <c r="E73" s="1402"/>
      <c r="F73" s="1402"/>
      <c r="G73" s="1402"/>
      <c r="H73" s="1402"/>
      <c r="I73" s="1402"/>
    </row>
    <row r="74" spans="2:9" ht="4.5" hidden="1" customHeight="1" x14ac:dyDescent="0.25"/>
    <row r="75" spans="2:9" hidden="1" x14ac:dyDescent="0.25">
      <c r="C75" s="1407" t="s">
        <v>939</v>
      </c>
      <c r="D75" s="1407"/>
      <c r="E75" s="1407"/>
      <c r="F75" s="1407"/>
      <c r="G75" s="1407"/>
      <c r="H75" s="1407"/>
      <c r="I75" s="1407"/>
    </row>
    <row r="76" spans="2:9" ht="15" hidden="1" customHeight="1" x14ac:dyDescent="0.25">
      <c r="C76" s="1422" t="s">
        <v>940</v>
      </c>
      <c r="D76" s="1422"/>
      <c r="E76" s="1422"/>
      <c r="F76" s="1422"/>
      <c r="G76" s="1422"/>
      <c r="H76" s="1422"/>
      <c r="I76" s="1422"/>
    </row>
    <row r="77" spans="2:9" ht="15" hidden="1" customHeight="1" x14ac:dyDescent="0.25">
      <c r="C77" s="1421" t="s">
        <v>934</v>
      </c>
      <c r="D77" s="1421"/>
      <c r="E77" s="1421"/>
      <c r="F77" s="1421"/>
      <c r="G77" s="1421"/>
      <c r="H77" s="1421"/>
      <c r="I77" s="1421"/>
    </row>
    <row r="78" spans="2:9" ht="15" hidden="1" customHeight="1" x14ac:dyDescent="0.25">
      <c r="C78" s="1421" t="s">
        <v>966</v>
      </c>
      <c r="D78" s="1421"/>
      <c r="E78" s="1421"/>
      <c r="F78" s="1421"/>
      <c r="G78" s="1421"/>
      <c r="H78" s="1421"/>
      <c r="I78" s="1421"/>
    </row>
    <row r="79" spans="2:9" ht="15" hidden="1" customHeight="1" x14ac:dyDescent="0.25">
      <c r="C79" s="1421" t="s">
        <v>929</v>
      </c>
      <c r="D79" s="1421"/>
      <c r="E79" s="1421"/>
      <c r="F79" s="1421"/>
      <c r="G79" s="1421"/>
      <c r="H79" s="1421"/>
      <c r="I79" s="1421"/>
    </row>
    <row r="80" spans="2:9" ht="15" hidden="1" customHeight="1" x14ac:dyDescent="0.25">
      <c r="C80" s="1422" t="s">
        <v>938</v>
      </c>
      <c r="D80" s="1422"/>
      <c r="E80" s="1422"/>
      <c r="F80" s="1422"/>
      <c r="G80" s="1422"/>
      <c r="H80" s="1422"/>
      <c r="I80" s="1422"/>
    </row>
    <row r="81" spans="3:9" ht="15" hidden="1" customHeight="1" x14ac:dyDescent="0.25">
      <c r="C81" s="1421" t="s">
        <v>934</v>
      </c>
      <c r="D81" s="1421"/>
      <c r="E81" s="1421"/>
      <c r="F81" s="1421"/>
      <c r="G81" s="1421"/>
      <c r="H81" s="1421"/>
      <c r="I81" s="1421"/>
    </row>
    <row r="82" spans="3:9" ht="15" hidden="1" customHeight="1" x14ac:dyDescent="0.25">
      <c r="C82" s="1421" t="s">
        <v>942</v>
      </c>
      <c r="D82" s="1421"/>
      <c r="E82" s="1421"/>
      <c r="F82" s="1421"/>
      <c r="G82" s="1421"/>
      <c r="H82" s="1421"/>
      <c r="I82" s="1421"/>
    </row>
    <row r="83" spans="3:9" ht="15" hidden="1" customHeight="1" x14ac:dyDescent="0.25">
      <c r="C83" s="1421" t="s">
        <v>943</v>
      </c>
      <c r="D83" s="1421"/>
      <c r="E83" s="1421"/>
      <c r="F83" s="1421"/>
      <c r="G83" s="1421"/>
      <c r="H83" s="1421"/>
      <c r="I83" s="1421"/>
    </row>
    <row r="84" spans="3:9" ht="15" hidden="1" customHeight="1" x14ac:dyDescent="0.25">
      <c r="C84" s="1421" t="s">
        <v>944</v>
      </c>
      <c r="D84" s="1421"/>
      <c r="E84" s="1421"/>
      <c r="F84" s="1421"/>
      <c r="G84" s="1421"/>
      <c r="H84" s="1421"/>
      <c r="I84" s="1421"/>
    </row>
    <row r="85" spans="3:9" ht="15" hidden="1" customHeight="1" x14ac:dyDescent="0.25">
      <c r="C85" s="1421" t="s">
        <v>945</v>
      </c>
      <c r="D85" s="1421"/>
      <c r="E85" s="1421"/>
      <c r="F85" s="1421"/>
      <c r="G85" s="1421"/>
      <c r="H85" s="1421"/>
      <c r="I85" s="1421"/>
    </row>
    <row r="86" spans="3:9" ht="4.5" hidden="1" customHeight="1" x14ac:dyDescent="0.25">
      <c r="C86" s="308"/>
      <c r="D86" s="308"/>
      <c r="E86" s="308"/>
      <c r="F86" s="308"/>
      <c r="G86" s="308"/>
      <c r="H86" s="308"/>
      <c r="I86" s="308"/>
    </row>
    <row r="87" spans="3:9" hidden="1" x14ac:dyDescent="0.25">
      <c r="C87" s="1407" t="s">
        <v>963</v>
      </c>
      <c r="D87" s="1407"/>
      <c r="E87" s="1407"/>
      <c r="F87" s="1407"/>
      <c r="G87" s="1407"/>
      <c r="H87" s="1407"/>
      <c r="I87" s="1407"/>
    </row>
    <row r="88" spans="3:9" ht="15" hidden="1" customHeight="1" x14ac:dyDescent="0.25">
      <c r="C88" s="1408" t="s">
        <v>920</v>
      </c>
      <c r="D88" s="1408"/>
      <c r="E88" s="1408"/>
      <c r="F88" s="1408"/>
      <c r="G88" s="1408"/>
      <c r="H88" s="1408"/>
      <c r="I88" s="1408"/>
    </row>
    <row r="89" spans="3:9" ht="15" hidden="1" customHeight="1" x14ac:dyDescent="0.25">
      <c r="C89" s="1408" t="s">
        <v>921</v>
      </c>
      <c r="D89" s="1408"/>
      <c r="E89" s="1408"/>
      <c r="F89" s="1408"/>
      <c r="G89" s="1408"/>
      <c r="H89" s="1408"/>
      <c r="I89" s="1408"/>
    </row>
    <row r="90" spans="3:9" ht="15" hidden="1" customHeight="1" x14ac:dyDescent="0.25">
      <c r="C90" s="1408" t="s">
        <v>922</v>
      </c>
      <c r="D90" s="1408"/>
      <c r="E90" s="1408"/>
      <c r="F90" s="1408"/>
      <c r="G90" s="1408"/>
      <c r="H90" s="1408"/>
      <c r="I90" s="1408"/>
    </row>
    <row r="91" spans="3:9" ht="15" hidden="1" customHeight="1" x14ac:dyDescent="0.25">
      <c r="C91" s="1408" t="s">
        <v>923</v>
      </c>
      <c r="D91" s="1408"/>
      <c r="E91" s="1408"/>
      <c r="F91" s="1408"/>
      <c r="G91" s="1408"/>
      <c r="H91" s="1408"/>
      <c r="I91" s="1408"/>
    </row>
    <row r="92" spans="3:9" ht="15" hidden="1" customHeight="1" x14ac:dyDescent="0.25">
      <c r="C92" s="1409" t="s">
        <v>446</v>
      </c>
      <c r="D92" s="1410"/>
      <c r="E92" s="1410"/>
      <c r="F92" s="1410"/>
      <c r="G92" s="1410"/>
      <c r="H92" s="1410"/>
      <c r="I92" s="1410"/>
    </row>
    <row r="93" spans="3:9" ht="4.5" hidden="1" customHeight="1" x14ac:dyDescent="0.25"/>
    <row r="94" spans="3:9" hidden="1" x14ac:dyDescent="0.25">
      <c r="C94" s="1407" t="s">
        <v>964</v>
      </c>
      <c r="D94" s="1407"/>
      <c r="E94" s="1407"/>
      <c r="F94" s="1407"/>
      <c r="G94" s="1407"/>
      <c r="H94" s="1407"/>
      <c r="I94" s="1407"/>
    </row>
    <row r="95" spans="3:9" ht="15" hidden="1" customHeight="1" x14ac:dyDescent="0.25">
      <c r="C95" s="1408" t="s">
        <v>925</v>
      </c>
      <c r="D95" s="1408"/>
      <c r="E95" s="1408"/>
      <c r="F95" s="1408"/>
      <c r="G95" s="1408"/>
      <c r="H95" s="1408"/>
      <c r="I95" s="1408"/>
    </row>
    <row r="96" spans="3:9" ht="15" hidden="1" customHeight="1" x14ac:dyDescent="0.25">
      <c r="C96" s="1408" t="s">
        <v>926</v>
      </c>
      <c r="D96" s="1408"/>
      <c r="E96" s="1408"/>
      <c r="F96" s="1408"/>
      <c r="G96" s="1408"/>
      <c r="H96" s="1408"/>
      <c r="I96" s="1408"/>
    </row>
    <row r="97" spans="2:9" ht="15" hidden="1" customHeight="1" x14ac:dyDescent="0.25">
      <c r="C97" s="1408" t="s">
        <v>927</v>
      </c>
      <c r="D97" s="1408"/>
      <c r="E97" s="1408"/>
      <c r="F97" s="1408"/>
      <c r="G97" s="1408"/>
      <c r="H97" s="1408"/>
      <c r="I97" s="1408"/>
    </row>
    <row r="98" spans="2:9" ht="15" hidden="1" customHeight="1" x14ac:dyDescent="0.25">
      <c r="C98" s="1408" t="s">
        <v>928</v>
      </c>
      <c r="D98" s="1408"/>
      <c r="E98" s="1408"/>
      <c r="F98" s="1408"/>
      <c r="G98" s="1408"/>
      <c r="H98" s="1408"/>
      <c r="I98" s="1408"/>
    </row>
    <row r="99" spans="2:9" ht="15" hidden="1" customHeight="1" x14ac:dyDescent="0.25">
      <c r="C99" s="1417" t="s">
        <v>446</v>
      </c>
      <c r="D99" s="1418"/>
      <c r="E99" s="1418"/>
      <c r="F99" s="1418"/>
      <c r="G99" s="1418"/>
      <c r="H99" s="1418"/>
      <c r="I99" s="1418"/>
    </row>
    <row r="100" spans="2:9" ht="4.5" hidden="1" customHeight="1" x14ac:dyDescent="0.25"/>
    <row r="101" spans="2:9" hidden="1" x14ac:dyDescent="0.25">
      <c r="C101" s="1407" t="s">
        <v>965</v>
      </c>
      <c r="D101" s="1407"/>
      <c r="E101" s="1407"/>
      <c r="F101" s="1407"/>
      <c r="G101" s="1407"/>
      <c r="H101" s="1407"/>
      <c r="I101" s="1407"/>
    </row>
    <row r="102" spans="2:9" ht="15" hidden="1" customHeight="1" x14ac:dyDescent="0.25">
      <c r="C102" s="1408" t="s">
        <v>929</v>
      </c>
      <c r="D102" s="1408"/>
      <c r="E102" s="1408"/>
      <c r="F102" s="1408"/>
      <c r="G102" s="1408"/>
      <c r="H102" s="1408"/>
      <c r="I102" s="1408"/>
    </row>
    <row r="103" spans="2:9" ht="15" hidden="1" customHeight="1" x14ac:dyDescent="0.25">
      <c r="C103" s="1408" t="s">
        <v>930</v>
      </c>
      <c r="D103" s="1408"/>
      <c r="E103" s="1408"/>
      <c r="F103" s="1408"/>
      <c r="G103" s="1408"/>
      <c r="H103" s="1408"/>
      <c r="I103" s="1408"/>
    </row>
    <row r="104" spans="2:9" ht="15" hidden="1" customHeight="1" x14ac:dyDescent="0.25">
      <c r="C104" s="1408" t="s">
        <v>931</v>
      </c>
      <c r="D104" s="1408"/>
      <c r="E104" s="1408"/>
      <c r="F104" s="1408"/>
      <c r="G104" s="1408"/>
      <c r="H104" s="1408"/>
      <c r="I104" s="1408"/>
    </row>
    <row r="105" spans="2:9" ht="15" hidden="1" customHeight="1" x14ac:dyDescent="0.25">
      <c r="C105" s="1408" t="s">
        <v>932</v>
      </c>
      <c r="D105" s="1408"/>
      <c r="E105" s="1408"/>
      <c r="F105" s="1408"/>
      <c r="G105" s="1408"/>
      <c r="H105" s="1408"/>
      <c r="I105" s="1408"/>
    </row>
    <row r="106" spans="2:9" hidden="1" x14ac:dyDescent="0.25">
      <c r="B106" s="1419" t="s">
        <v>1621</v>
      </c>
      <c r="C106" s="1420"/>
      <c r="D106" s="1420"/>
      <c r="E106" s="1420"/>
      <c r="F106" s="1420"/>
      <c r="G106" s="1420"/>
      <c r="H106" s="1420"/>
      <c r="I106" s="1420"/>
    </row>
    <row r="107" spans="2:9" hidden="1" x14ac:dyDescent="0.25">
      <c r="D107" s="310"/>
      <c r="E107" s="310"/>
      <c r="F107" s="310"/>
      <c r="G107" s="310"/>
      <c r="H107" s="310"/>
      <c r="I107" s="310"/>
    </row>
    <row r="108" spans="2:9" x14ac:dyDescent="0.25">
      <c r="C108" s="1407" t="s">
        <v>1910</v>
      </c>
      <c r="D108" s="1407"/>
      <c r="E108" s="1407"/>
      <c r="F108" s="1407"/>
      <c r="G108" s="1407"/>
      <c r="H108" s="1407"/>
      <c r="I108" s="1407"/>
    </row>
    <row r="109" spans="2:9" x14ac:dyDescent="0.25">
      <c r="C109" s="1164" t="s">
        <v>1638</v>
      </c>
      <c r="D109" s="1164"/>
      <c r="E109" s="1164"/>
      <c r="F109" s="1164"/>
      <c r="G109" s="1164"/>
      <c r="H109" s="1164"/>
      <c r="I109" s="1164"/>
    </row>
    <row r="110" spans="2:9" ht="7.5" customHeight="1" x14ac:dyDescent="0.25"/>
    <row r="111" spans="2:9" hidden="1" x14ac:dyDescent="0.25">
      <c r="C111" s="1407" t="s">
        <v>1640</v>
      </c>
      <c r="D111" s="1407"/>
      <c r="E111" s="1407"/>
      <c r="F111" s="1407"/>
      <c r="G111" s="1407"/>
      <c r="H111" s="1407"/>
      <c r="I111" s="1407"/>
    </row>
    <row r="112" spans="2:9" hidden="1" x14ac:dyDescent="0.25">
      <c r="C112" s="1164" t="s">
        <v>1641</v>
      </c>
      <c r="D112" s="1164"/>
      <c r="E112" s="1164"/>
      <c r="F112" s="1164"/>
      <c r="G112" s="1164"/>
      <c r="H112" s="1164"/>
      <c r="I112" s="1164"/>
    </row>
    <row r="113" spans="3:9" hidden="1" x14ac:dyDescent="0.25"/>
    <row r="114" spans="3:9" x14ac:dyDescent="0.25">
      <c r="C114" s="1407" t="s">
        <v>1642</v>
      </c>
      <c r="D114" s="1407"/>
      <c r="E114" s="1407"/>
      <c r="F114" s="1407"/>
      <c r="G114" s="1407"/>
      <c r="H114" s="1407"/>
      <c r="I114" s="1407"/>
    </row>
    <row r="115" spans="3:9" x14ac:dyDescent="0.25">
      <c r="C115" s="1164" t="s">
        <v>1643</v>
      </c>
      <c r="D115" s="1164"/>
      <c r="E115" s="1164"/>
      <c r="F115" s="1164"/>
      <c r="G115" s="1164"/>
      <c r="H115" s="1164"/>
      <c r="I115" s="1164"/>
    </row>
    <row r="116" spans="3:9" x14ac:dyDescent="0.25">
      <c r="C116" s="1164" t="s">
        <v>1644</v>
      </c>
      <c r="D116" s="1164"/>
      <c r="E116" s="1164"/>
      <c r="F116" s="1164"/>
      <c r="G116" s="1164"/>
      <c r="H116" s="1164"/>
      <c r="I116" s="1164"/>
    </row>
    <row r="117" spans="3:9" ht="8.25" customHeight="1" x14ac:dyDescent="0.25"/>
    <row r="118" spans="3:9" x14ac:dyDescent="0.25">
      <c r="C118" s="1407" t="s">
        <v>1832</v>
      </c>
      <c r="D118" s="1407"/>
      <c r="E118" s="1407"/>
      <c r="F118" s="1407"/>
      <c r="G118" s="1407"/>
      <c r="H118" s="1407"/>
      <c r="I118" s="1407"/>
    </row>
    <row r="119" spans="3:9" x14ac:dyDescent="0.25">
      <c r="C119" s="1164" t="s">
        <v>1638</v>
      </c>
      <c r="D119" s="1164"/>
      <c r="E119" s="1164"/>
      <c r="F119" s="1164"/>
      <c r="G119" s="1164"/>
      <c r="H119" s="1164"/>
      <c r="I119" s="1164"/>
    </row>
    <row r="120" spans="3:9" ht="7.5" customHeight="1" x14ac:dyDescent="0.25"/>
    <row r="121" spans="3:9" x14ac:dyDescent="0.25">
      <c r="C121" s="1407" t="s">
        <v>1831</v>
      </c>
      <c r="D121" s="1407"/>
      <c r="E121" s="1407"/>
      <c r="F121" s="1407"/>
      <c r="G121" s="1407"/>
      <c r="H121" s="1407"/>
      <c r="I121" s="1407"/>
    </row>
    <row r="122" spans="3:9" x14ac:dyDescent="0.25">
      <c r="C122" s="1164" t="s">
        <v>1638</v>
      </c>
      <c r="D122" s="1164"/>
      <c r="E122" s="1164"/>
      <c r="F122" s="1164"/>
      <c r="G122" s="1164"/>
      <c r="H122" s="1164"/>
      <c r="I122" s="1164"/>
    </row>
    <row r="123" spans="3:9" x14ac:dyDescent="0.25">
      <c r="C123" s="1164" t="s">
        <v>1911</v>
      </c>
      <c r="D123" s="1164"/>
      <c r="E123" s="1164"/>
      <c r="F123" s="1164"/>
      <c r="G123" s="1164"/>
      <c r="H123" s="1164"/>
      <c r="I123" s="1164"/>
    </row>
    <row r="125" spans="3:9" hidden="1" x14ac:dyDescent="0.25">
      <c r="C125" s="1407" t="s">
        <v>1659</v>
      </c>
      <c r="D125" s="1407"/>
      <c r="E125" s="1407"/>
      <c r="F125" s="1407"/>
      <c r="G125" s="1407"/>
      <c r="H125" s="1407"/>
      <c r="I125" s="1407"/>
    </row>
    <row r="126" spans="3:9" hidden="1" x14ac:dyDescent="0.25">
      <c r="C126" s="1164" t="s">
        <v>1638</v>
      </c>
      <c r="D126" s="1164"/>
      <c r="E126" s="1164"/>
      <c r="F126" s="1164"/>
      <c r="G126" s="1164"/>
      <c r="H126" s="1164"/>
      <c r="I126" s="1164"/>
    </row>
    <row r="127" spans="3:9" hidden="1" x14ac:dyDescent="0.25"/>
    <row r="128" spans="3:9" hidden="1" x14ac:dyDescent="0.25">
      <c r="C128" s="1407" t="s">
        <v>1647</v>
      </c>
      <c r="D128" s="1407"/>
      <c r="E128" s="1407"/>
      <c r="F128" s="1407"/>
      <c r="G128" s="1407"/>
      <c r="H128" s="1407"/>
      <c r="I128" s="1407"/>
    </row>
    <row r="129" spans="3:9" hidden="1" x14ac:dyDescent="0.25">
      <c r="C129" s="1164" t="s">
        <v>1638</v>
      </c>
      <c r="D129" s="1164"/>
      <c r="E129" s="1164"/>
      <c r="F129" s="1164"/>
      <c r="G129" s="1164"/>
      <c r="H129" s="1164"/>
      <c r="I129" s="1164"/>
    </row>
  </sheetData>
  <mergeCells count="105">
    <mergeCell ref="C126:I126"/>
    <mergeCell ref="C128:I128"/>
    <mergeCell ref="C129:I129"/>
    <mergeCell ref="C121:I121"/>
    <mergeCell ref="C122:I122"/>
    <mergeCell ref="C125:I125"/>
    <mergeCell ref="C115:I115"/>
    <mergeCell ref="C116:I116"/>
    <mergeCell ref="C118:I118"/>
    <mergeCell ref="C119:I119"/>
    <mergeCell ref="C123:I123"/>
    <mergeCell ref="C108:I108"/>
    <mergeCell ref="C109:I109"/>
    <mergeCell ref="C111:I111"/>
    <mergeCell ref="C112:I112"/>
    <mergeCell ref="C114:I114"/>
    <mergeCell ref="B106:I106"/>
    <mergeCell ref="A2:I2"/>
    <mergeCell ref="C84:I84"/>
    <mergeCell ref="C85:I85"/>
    <mergeCell ref="C80:I80"/>
    <mergeCell ref="C81:I81"/>
    <mergeCell ref="C82:I82"/>
    <mergeCell ref="C83:I83"/>
    <mergeCell ref="C76:I76"/>
    <mergeCell ref="C77:I77"/>
    <mergeCell ref="C78:I78"/>
    <mergeCell ref="C79:I79"/>
    <mergeCell ref="C70:I70"/>
    <mergeCell ref="C71:I71"/>
    <mergeCell ref="C75:I75"/>
    <mergeCell ref="B73:I73"/>
    <mergeCell ref="C65:I65"/>
    <mergeCell ref="C66:I66"/>
    <mergeCell ref="C67:I67"/>
    <mergeCell ref="C101:I101"/>
    <mergeCell ref="C102:I102"/>
    <mergeCell ref="C103:I103"/>
    <mergeCell ref="C104:I104"/>
    <mergeCell ref="C105:I105"/>
    <mergeCell ref="C95:I95"/>
    <mergeCell ref="C96:I96"/>
    <mergeCell ref="C97:I97"/>
    <mergeCell ref="C98:I98"/>
    <mergeCell ref="C99:I99"/>
    <mergeCell ref="C94:I94"/>
    <mergeCell ref="C87:I87"/>
    <mergeCell ref="C88:I88"/>
    <mergeCell ref="C21:I21"/>
    <mergeCell ref="C22:I22"/>
    <mergeCell ref="C23:I23"/>
    <mergeCell ref="C24:I24"/>
    <mergeCell ref="C26:I26"/>
    <mergeCell ref="C27:I27"/>
    <mergeCell ref="C28:I28"/>
    <mergeCell ref="C29:I29"/>
    <mergeCell ref="C56:I56"/>
    <mergeCell ref="C58:I58"/>
    <mergeCell ref="C34:I34"/>
    <mergeCell ref="C35:I35"/>
    <mergeCell ref="C51:I51"/>
    <mergeCell ref="C39:I39"/>
    <mergeCell ref="C38:I38"/>
    <mergeCell ref="C68:I68"/>
    <mergeCell ref="C69:I69"/>
    <mergeCell ref="C60:I60"/>
    <mergeCell ref="C61:I61"/>
    <mergeCell ref="C62:I62"/>
    <mergeCell ref="C63:I63"/>
    <mergeCell ref="C49:I49"/>
    <mergeCell ref="C48:I48"/>
    <mergeCell ref="C46:I46"/>
    <mergeCell ref="C47:I47"/>
    <mergeCell ref="C45:I45"/>
    <mergeCell ref="C89:I89"/>
    <mergeCell ref="C90:I90"/>
    <mergeCell ref="C91:I91"/>
    <mergeCell ref="C92:I92"/>
    <mergeCell ref="C64:I64"/>
    <mergeCell ref="C52:I52"/>
    <mergeCell ref="C53:I53"/>
    <mergeCell ref="C54:I54"/>
    <mergeCell ref="C55:I55"/>
    <mergeCell ref="C59:I59"/>
    <mergeCell ref="A1:I1"/>
    <mergeCell ref="A4:I4"/>
    <mergeCell ref="B17:I17"/>
    <mergeCell ref="A11:I11"/>
    <mergeCell ref="A13:I13"/>
    <mergeCell ref="C41:I41"/>
    <mergeCell ref="C42:I42"/>
    <mergeCell ref="C43:I43"/>
    <mergeCell ref="C44:I44"/>
    <mergeCell ref="C36:I36"/>
    <mergeCell ref="C37:I37"/>
    <mergeCell ref="A15:I15"/>
    <mergeCell ref="C19:I19"/>
    <mergeCell ref="C30:I30"/>
    <mergeCell ref="C31:I31"/>
    <mergeCell ref="C32:I32"/>
    <mergeCell ref="C33:I33"/>
    <mergeCell ref="C20:I20"/>
    <mergeCell ref="A5:I5"/>
    <mergeCell ref="A7:I7"/>
    <mergeCell ref="A9:I9"/>
  </mergeCells>
  <printOptions horizontalCentered="1"/>
  <pageMargins left="0.23622047244094491" right="0.23622047244094491" top="0.74803149606299213" bottom="1.2598425196850394" header="0.31496062992125984" footer="0.31496062992125984"/>
  <pageSetup scale="96" fitToHeight="0" orientation="portrait" r:id="rId1"/>
  <headerFooter>
    <oddHeader>&amp;L&amp;"-,Bold"&amp;14Payment Options</oddHeader>
    <oddFooter>&amp;L&amp;G&amp;CPage &amp;P of &amp;N</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pageSetUpPr fitToPage="1"/>
  </sheetPr>
  <dimension ref="A1:G59"/>
  <sheetViews>
    <sheetView showGridLines="0" view="pageBreakPreview" zoomScale="90" zoomScaleNormal="120" zoomScaleSheetLayoutView="90" workbookViewId="0">
      <selection activeCell="J11" sqref="J11"/>
    </sheetView>
  </sheetViews>
  <sheetFormatPr defaultColWidth="11.42578125" defaultRowHeight="12.75" x14ac:dyDescent="0.2"/>
  <cols>
    <col min="1" max="1" width="9.85546875" style="200" customWidth="1"/>
    <col min="2" max="2" width="20" style="200" customWidth="1"/>
    <col min="3" max="3" width="32.5703125" style="200" customWidth="1"/>
    <col min="4" max="4" width="39.85546875" style="200" customWidth="1"/>
    <col min="5" max="16384" width="11.42578125" style="200"/>
  </cols>
  <sheetData>
    <row r="1" spans="1:7" customFormat="1" ht="30" customHeight="1" thickBot="1" x14ac:dyDescent="0.3">
      <c r="A1" s="1431" t="s">
        <v>1667</v>
      </c>
      <c r="B1" s="1431"/>
      <c r="C1" s="1432"/>
      <c r="D1" s="1432"/>
    </row>
    <row r="2" spans="1:7" customFormat="1" ht="16.5" hidden="1" thickTop="1" thickBot="1" x14ac:dyDescent="0.3">
      <c r="A2" s="898"/>
      <c r="B2" s="898"/>
      <c r="C2" s="899"/>
      <c r="D2" s="899"/>
    </row>
    <row r="3" spans="1:7" ht="24.95" customHeight="1" thickTop="1" thickBot="1" x14ac:dyDescent="0.25">
      <c r="A3" s="1433" t="s">
        <v>549</v>
      </c>
      <c r="B3" s="1434"/>
      <c r="C3" s="888" t="s">
        <v>550</v>
      </c>
      <c r="D3" s="888" t="s">
        <v>551</v>
      </c>
      <c r="E3" s="336"/>
      <c r="F3" s="336"/>
    </row>
    <row r="4" spans="1:7" ht="24.95" customHeight="1" thickTop="1" x14ac:dyDescent="0.2">
      <c r="A4" s="1423"/>
      <c r="B4" s="1437" t="s">
        <v>681</v>
      </c>
      <c r="C4" s="1429" t="s">
        <v>683</v>
      </c>
      <c r="D4" s="347" t="s">
        <v>670</v>
      </c>
    </row>
    <row r="5" spans="1:7" ht="24.75" customHeight="1" x14ac:dyDescent="0.2">
      <c r="A5" s="1435"/>
      <c r="B5" s="1438"/>
      <c r="C5" s="1436"/>
      <c r="D5" s="346" t="s">
        <v>673</v>
      </c>
    </row>
    <row r="6" spans="1:7" ht="24.95" customHeight="1" thickBot="1" x14ac:dyDescent="0.25">
      <c r="A6" s="1424"/>
      <c r="B6" s="1439"/>
      <c r="C6" s="1430"/>
      <c r="D6" s="348" t="s">
        <v>552</v>
      </c>
    </row>
    <row r="7" spans="1:7" ht="24.95" customHeight="1" thickTop="1" x14ac:dyDescent="0.2">
      <c r="A7" s="1423"/>
      <c r="B7" s="1437" t="s">
        <v>682</v>
      </c>
      <c r="C7" s="1427" t="s">
        <v>553</v>
      </c>
      <c r="D7" s="347" t="s">
        <v>671</v>
      </c>
    </row>
    <row r="8" spans="1:7" ht="24.95" customHeight="1" x14ac:dyDescent="0.2">
      <c r="A8" s="1435"/>
      <c r="B8" s="1438"/>
      <c r="C8" s="1440"/>
      <c r="D8" s="346" t="s">
        <v>672</v>
      </c>
    </row>
    <row r="9" spans="1:7" ht="24.95" customHeight="1" thickBot="1" x14ac:dyDescent="0.25">
      <c r="A9" s="1424"/>
      <c r="B9" s="1439"/>
      <c r="C9" s="1428"/>
      <c r="D9" s="348" t="s">
        <v>554</v>
      </c>
    </row>
    <row r="10" spans="1:7" ht="36" customHeight="1" thickTop="1" x14ac:dyDescent="0.25">
      <c r="A10" s="1423"/>
      <c r="B10" s="1425" t="s">
        <v>1931</v>
      </c>
      <c r="C10" s="1429" t="s">
        <v>2023</v>
      </c>
      <c r="D10" s="347" t="s">
        <v>1932</v>
      </c>
      <c r="G10"/>
    </row>
    <row r="11" spans="1:7" ht="33" customHeight="1" thickBot="1" x14ac:dyDescent="0.25">
      <c r="A11" s="1424"/>
      <c r="B11" s="1426"/>
      <c r="C11" s="1430"/>
      <c r="D11" s="916" t="s">
        <v>2022</v>
      </c>
    </row>
    <row r="12" spans="1:7" ht="33.75" customHeight="1" thickTop="1" x14ac:dyDescent="0.2">
      <c r="A12" s="1423"/>
      <c r="B12" s="1425" t="s">
        <v>1933</v>
      </c>
      <c r="C12" s="1427" t="s">
        <v>1934</v>
      </c>
      <c r="D12" s="347" t="s">
        <v>1935</v>
      </c>
    </row>
    <row r="13" spans="1:7" ht="36.75" customHeight="1" thickBot="1" x14ac:dyDescent="0.25">
      <c r="A13" s="1424"/>
      <c r="B13" s="1426"/>
      <c r="C13" s="1428"/>
      <c r="D13" s="348" t="s">
        <v>1936</v>
      </c>
    </row>
    <row r="14" spans="1:7" ht="36.75" hidden="1" customHeight="1" thickTop="1" x14ac:dyDescent="0.2">
      <c r="A14" s="1028"/>
      <c r="B14" s="1425" t="s">
        <v>1941</v>
      </c>
      <c r="C14" s="1427" t="s">
        <v>1942</v>
      </c>
      <c r="D14" s="1041" t="s">
        <v>1943</v>
      </c>
    </row>
    <row r="15" spans="1:7" ht="38.25" hidden="1" customHeight="1" thickBot="1" x14ac:dyDescent="0.25">
      <c r="A15" s="1028"/>
      <c r="B15" s="1426"/>
      <c r="C15" s="1428"/>
      <c r="D15" s="1042" t="s">
        <v>1944</v>
      </c>
    </row>
    <row r="16" spans="1:7" ht="34.5" customHeight="1" thickTop="1" x14ac:dyDescent="0.2">
      <c r="A16" s="1423"/>
      <c r="B16" s="1425" t="s">
        <v>556</v>
      </c>
      <c r="C16" s="1427" t="s">
        <v>555</v>
      </c>
      <c r="D16" s="347" t="s">
        <v>674</v>
      </c>
    </row>
    <row r="17" spans="1:4" ht="35.25" customHeight="1" thickBot="1" x14ac:dyDescent="0.25">
      <c r="A17" s="1424"/>
      <c r="B17" s="1426"/>
      <c r="C17" s="1428"/>
      <c r="D17" s="348" t="s">
        <v>557</v>
      </c>
    </row>
    <row r="18" spans="1:4" ht="34.5" customHeight="1" thickTop="1" x14ac:dyDescent="0.2">
      <c r="A18" s="1423"/>
      <c r="B18" s="1425" t="s">
        <v>558</v>
      </c>
      <c r="C18" s="1429" t="s">
        <v>684</v>
      </c>
      <c r="D18" s="347" t="s">
        <v>1684</v>
      </c>
    </row>
    <row r="19" spans="1:4" ht="36.75" customHeight="1" thickBot="1" x14ac:dyDescent="0.25">
      <c r="A19" s="1424"/>
      <c r="B19" s="1426"/>
      <c r="C19" s="1430"/>
      <c r="D19" s="348" t="s">
        <v>559</v>
      </c>
    </row>
    <row r="20" spans="1:4" ht="34.5" customHeight="1" thickTop="1" x14ac:dyDescent="0.2">
      <c r="A20" s="1423"/>
      <c r="B20" s="1425" t="s">
        <v>1681</v>
      </c>
      <c r="C20" s="1427" t="s">
        <v>560</v>
      </c>
      <c r="D20" s="347" t="s">
        <v>1682</v>
      </c>
    </row>
    <row r="21" spans="1:4" ht="39.75" customHeight="1" thickBot="1" x14ac:dyDescent="0.25">
      <c r="A21" s="1424"/>
      <c r="B21" s="1426"/>
      <c r="C21" s="1428"/>
      <c r="D21" s="916" t="s">
        <v>1683</v>
      </c>
    </row>
    <row r="22" spans="1:4" ht="24.95" customHeight="1" thickTop="1" x14ac:dyDescent="0.2"/>
    <row r="23" spans="1:4" ht="24.95" customHeight="1" x14ac:dyDescent="0.2"/>
    <row r="24" spans="1:4" ht="24.95" customHeight="1" x14ac:dyDescent="0.2"/>
    <row r="25" spans="1:4" ht="24.95" customHeight="1" x14ac:dyDescent="0.2"/>
    <row r="26" spans="1:4" ht="24.95" customHeight="1" x14ac:dyDescent="0.2"/>
    <row r="27" spans="1:4" ht="24.95" customHeight="1" x14ac:dyDescent="0.2"/>
    <row r="28" spans="1:4" ht="24.95" customHeight="1" x14ac:dyDescent="0.2"/>
    <row r="29" spans="1:4" ht="24.95" customHeight="1" x14ac:dyDescent="0.2"/>
    <row r="30" spans="1:4" ht="24.95" customHeight="1" x14ac:dyDescent="0.2"/>
    <row r="31" spans="1:4" ht="24.95" customHeight="1" x14ac:dyDescent="0.2"/>
    <row r="32" spans="1:4" ht="24.95" customHeight="1" x14ac:dyDescent="0.2"/>
    <row r="33" ht="24.95" customHeight="1" x14ac:dyDescent="0.2"/>
    <row r="34" ht="24.95" customHeight="1" x14ac:dyDescent="0.2"/>
    <row r="35" ht="24.95" customHeight="1" x14ac:dyDescent="0.2"/>
    <row r="36" ht="24.95" customHeight="1" x14ac:dyDescent="0.2"/>
    <row r="37" ht="24.95" customHeight="1" x14ac:dyDescent="0.2"/>
    <row r="38" ht="24.95" customHeight="1" x14ac:dyDescent="0.2"/>
    <row r="39" ht="24.95" customHeight="1" x14ac:dyDescent="0.2"/>
    <row r="40" ht="24.95" customHeight="1" x14ac:dyDescent="0.2"/>
    <row r="41" ht="24.95" customHeight="1" x14ac:dyDescent="0.2"/>
    <row r="42" ht="24.95" customHeight="1" x14ac:dyDescent="0.2"/>
    <row r="43" ht="24.95" customHeight="1" x14ac:dyDescent="0.2"/>
    <row r="44" ht="24.95" customHeight="1" x14ac:dyDescent="0.2"/>
    <row r="45" ht="24.95" customHeight="1" x14ac:dyDescent="0.2"/>
    <row r="46" ht="24.95" customHeight="1" x14ac:dyDescent="0.2"/>
    <row r="47" ht="24.95" customHeight="1" x14ac:dyDescent="0.2"/>
    <row r="48" ht="24.95" customHeight="1" x14ac:dyDescent="0.2"/>
    <row r="49" ht="24.95" customHeight="1" x14ac:dyDescent="0.2"/>
    <row r="50" ht="24.95" customHeight="1" x14ac:dyDescent="0.2"/>
    <row r="51" ht="24.95" customHeight="1" x14ac:dyDescent="0.2"/>
    <row r="52" ht="24.95" customHeight="1" x14ac:dyDescent="0.2"/>
    <row r="53" ht="24.95" customHeight="1" x14ac:dyDescent="0.2"/>
    <row r="54" ht="24.95" customHeight="1" x14ac:dyDescent="0.2"/>
    <row r="55" ht="24.95" customHeight="1" x14ac:dyDescent="0.2"/>
    <row r="56" ht="24.95" customHeight="1" x14ac:dyDescent="0.2"/>
    <row r="57" ht="24.95" customHeight="1" x14ac:dyDescent="0.2"/>
    <row r="58" ht="24.95" customHeight="1" x14ac:dyDescent="0.2"/>
    <row r="59" ht="24.95" customHeight="1" x14ac:dyDescent="0.2"/>
  </sheetData>
  <mergeCells count="25">
    <mergeCell ref="A10:A11"/>
    <mergeCell ref="B10:B11"/>
    <mergeCell ref="A1:D1"/>
    <mergeCell ref="A3:B3"/>
    <mergeCell ref="A4:A6"/>
    <mergeCell ref="C4:C6"/>
    <mergeCell ref="A7:A9"/>
    <mergeCell ref="B4:B6"/>
    <mergeCell ref="C10:C11"/>
    <mergeCell ref="B7:B9"/>
    <mergeCell ref="C7:C9"/>
    <mergeCell ref="A16:A17"/>
    <mergeCell ref="B16:B17"/>
    <mergeCell ref="A20:A21"/>
    <mergeCell ref="B20:B21"/>
    <mergeCell ref="C20:C21"/>
    <mergeCell ref="A18:A19"/>
    <mergeCell ref="B18:B19"/>
    <mergeCell ref="C18:C19"/>
    <mergeCell ref="C16:C17"/>
    <mergeCell ref="A12:A13"/>
    <mergeCell ref="B12:B13"/>
    <mergeCell ref="C12:C13"/>
    <mergeCell ref="B14:B15"/>
    <mergeCell ref="C14:C15"/>
  </mergeCells>
  <hyperlinks>
    <hyperlink ref="D6" r:id="rId1" display="mailto:Gregg.Bundschuh@greyling.com" xr:uid="{00000000-0004-0000-3000-000000000000}"/>
    <hyperlink ref="D9" r:id="rId2" display="mailto:Kent.Collier@greyling.com" xr:uid="{00000000-0004-0000-3000-000006000000}"/>
    <hyperlink ref="D17" r:id="rId3" display="mailto:Carly.Underwood@greyling.com" xr:uid="{00000000-0004-0000-3000-00000F000000}"/>
    <hyperlink ref="D19" r:id="rId4" display="mailto:Erin.Maurer@greyling.com" xr:uid="{00000000-0004-0000-3000-000012000000}"/>
    <hyperlink ref="D21" r:id="rId5" xr:uid="{00000000-0004-0000-3000-000016000000}"/>
    <hyperlink ref="D11" r:id="rId6" display="E-Mail: Brian.Donald@epicbrokers.com&gt; " xr:uid="{43D8037C-6F72-4EDE-B5D8-FEC227745CB2}"/>
    <hyperlink ref="D13" r:id="rId7" display="mailto:Nicole.Larsen@greyling.com" xr:uid="{2393DDE2-38EC-4B5A-B27B-45866649AEF7}"/>
  </hyperlinks>
  <printOptions horizontalCentered="1"/>
  <pageMargins left="0.23622047244094491" right="0.23622047244094491" top="0.74803149606299213" bottom="1.2598425196850394" header="0.31496062992125984" footer="0.31496062992125984"/>
  <pageSetup fitToHeight="0" orientation="portrait" r:id="rId8"/>
  <headerFooter scaleWithDoc="0">
    <oddHeader>&amp;L&amp;"Calibri,Bold"&amp;14 Greyling Service Team</oddHeader>
    <oddFooter>&amp;L&amp;G&amp;CPage &amp;P of &amp;N</oddFooter>
  </headerFooter>
  <drawing r:id="rId9"/>
  <legacyDrawingHF r:id="rId1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9">
    <pageSetUpPr fitToPage="1"/>
  </sheetPr>
  <dimension ref="A1:F51"/>
  <sheetViews>
    <sheetView showGridLines="0" view="pageBreakPreview" zoomScale="60" zoomScaleNormal="100" workbookViewId="0">
      <selection activeCell="C62" sqref="C62"/>
    </sheetView>
  </sheetViews>
  <sheetFormatPr defaultColWidth="9.140625" defaultRowHeight="12.75" x14ac:dyDescent="0.2"/>
  <cols>
    <col min="1" max="1" width="43.28515625" style="200" customWidth="1"/>
    <col min="2" max="2" width="31.7109375" style="200" customWidth="1"/>
    <col min="3" max="3" width="23.85546875" style="200" customWidth="1"/>
    <col min="4" max="16384" width="9.140625" style="200"/>
  </cols>
  <sheetData>
    <row r="1" spans="1:6" x14ac:dyDescent="0.2">
      <c r="A1" s="1441" t="s">
        <v>449</v>
      </c>
      <c r="B1" s="1441"/>
      <c r="C1" s="1441"/>
    </row>
    <row r="2" spans="1:6" x14ac:dyDescent="0.2">
      <c r="A2" s="201"/>
      <c r="C2" s="201"/>
    </row>
    <row r="3" spans="1:6" x14ac:dyDescent="0.2">
      <c r="A3" s="350" t="s">
        <v>450</v>
      </c>
      <c r="C3" s="201"/>
      <c r="D3" s="336"/>
      <c r="E3" s="336"/>
      <c r="F3" s="336"/>
    </row>
    <row r="4" spans="1:6" x14ac:dyDescent="0.2">
      <c r="A4" s="1364" t="s">
        <v>451</v>
      </c>
      <c r="B4" s="1364"/>
      <c r="C4" s="1364"/>
    </row>
    <row r="5" spans="1:6" x14ac:dyDescent="0.2">
      <c r="A5" s="1364"/>
      <c r="B5" s="1364"/>
      <c r="C5" s="1364"/>
    </row>
    <row r="6" spans="1:6" x14ac:dyDescent="0.2">
      <c r="A6" s="1364"/>
      <c r="B6" s="1364"/>
      <c r="C6" s="1364"/>
    </row>
    <row r="7" spans="1:6" x14ac:dyDescent="0.2">
      <c r="A7" s="211"/>
      <c r="B7" s="211"/>
      <c r="C7" s="211"/>
    </row>
    <row r="8" spans="1:6" x14ac:dyDescent="0.2">
      <c r="A8" s="351" t="s">
        <v>452</v>
      </c>
      <c r="B8" s="237" t="s">
        <v>453</v>
      </c>
      <c r="C8" s="201"/>
    </row>
    <row r="9" spans="1:6" x14ac:dyDescent="0.2">
      <c r="A9" s="352" t="s">
        <v>454</v>
      </c>
      <c r="B9" s="207" t="s">
        <v>455</v>
      </c>
      <c r="C9" s="201"/>
    </row>
    <row r="10" spans="1:6" x14ac:dyDescent="0.2">
      <c r="A10" s="352" t="s">
        <v>456</v>
      </c>
      <c r="B10" s="207" t="s">
        <v>457</v>
      </c>
      <c r="C10" s="201"/>
    </row>
    <row r="11" spans="1:6" x14ac:dyDescent="0.2">
      <c r="A11" s="352" t="s">
        <v>458</v>
      </c>
      <c r="B11" s="207" t="s">
        <v>459</v>
      </c>
      <c r="C11" s="201"/>
    </row>
    <row r="12" spans="1:6" x14ac:dyDescent="0.2">
      <c r="A12" s="352"/>
      <c r="B12" s="207" t="s">
        <v>460</v>
      </c>
      <c r="C12" s="201"/>
    </row>
    <row r="13" spans="1:6" x14ac:dyDescent="0.2">
      <c r="A13" s="352"/>
      <c r="B13" s="207" t="s">
        <v>461</v>
      </c>
      <c r="C13" s="201"/>
    </row>
    <row r="14" spans="1:6" x14ac:dyDescent="0.2">
      <c r="A14" s="352"/>
      <c r="B14" s="207" t="s">
        <v>462</v>
      </c>
      <c r="C14" s="201"/>
    </row>
    <row r="15" spans="1:6" x14ac:dyDescent="0.2">
      <c r="A15" s="353"/>
      <c r="B15" s="240" t="s">
        <v>463</v>
      </c>
      <c r="C15" s="201"/>
    </row>
    <row r="16" spans="1:6" hidden="1" x14ac:dyDescent="0.2">
      <c r="A16" s="201"/>
      <c r="C16" s="201"/>
    </row>
    <row r="17" spans="1:3" x14ac:dyDescent="0.2">
      <c r="A17" s="350" t="s">
        <v>464</v>
      </c>
      <c r="C17" s="201"/>
    </row>
    <row r="18" spans="1:3" x14ac:dyDescent="0.2">
      <c r="A18" s="1364" t="s">
        <v>465</v>
      </c>
      <c r="B18" s="1364"/>
      <c r="C18" s="1364"/>
    </row>
    <row r="19" spans="1:3" x14ac:dyDescent="0.2">
      <c r="A19" s="1364"/>
      <c r="B19" s="1364"/>
      <c r="C19" s="1364"/>
    </row>
    <row r="20" spans="1:3" x14ac:dyDescent="0.2">
      <c r="A20" s="201"/>
      <c r="C20" s="201"/>
    </row>
    <row r="21" spans="1:3" x14ac:dyDescent="0.2">
      <c r="A21" s="354" t="s">
        <v>466</v>
      </c>
      <c r="B21" s="1442" t="s">
        <v>467</v>
      </c>
      <c r="C21" s="1443"/>
    </row>
    <row r="22" spans="1:3" x14ac:dyDescent="0.2">
      <c r="A22" s="319" t="s">
        <v>468</v>
      </c>
      <c r="B22" s="1444" t="s">
        <v>469</v>
      </c>
      <c r="C22" s="1445"/>
    </row>
    <row r="23" spans="1:3" x14ac:dyDescent="0.2">
      <c r="A23" s="355" t="s">
        <v>470</v>
      </c>
      <c r="B23" s="1446" t="s">
        <v>471</v>
      </c>
      <c r="C23" s="1447"/>
    </row>
    <row r="24" spans="1:3" hidden="1" x14ac:dyDescent="0.2">
      <c r="A24" s="201"/>
      <c r="C24" s="201"/>
    </row>
    <row r="25" spans="1:3" x14ac:dyDescent="0.2">
      <c r="A25" s="201"/>
      <c r="C25" s="201"/>
    </row>
    <row r="26" spans="1:3" x14ac:dyDescent="0.2">
      <c r="A26" s="350" t="s">
        <v>472</v>
      </c>
      <c r="C26" s="201"/>
    </row>
    <row r="27" spans="1:3" x14ac:dyDescent="0.2">
      <c r="A27" s="1155" t="s">
        <v>473</v>
      </c>
      <c r="B27" s="1155"/>
      <c r="C27" s="1155"/>
    </row>
    <row r="28" spans="1:3" x14ac:dyDescent="0.2">
      <c r="A28" s="1155"/>
      <c r="B28" s="1155"/>
      <c r="C28" s="1155"/>
    </row>
    <row r="29" spans="1:3" x14ac:dyDescent="0.2">
      <c r="A29" s="1155"/>
      <c r="B29" s="1155"/>
      <c r="C29" s="1155"/>
    </row>
    <row r="30" spans="1:3" x14ac:dyDescent="0.2">
      <c r="A30" s="201"/>
      <c r="C30" s="201"/>
    </row>
    <row r="31" spans="1:3" x14ac:dyDescent="0.2">
      <c r="A31" s="1155" t="s">
        <v>474</v>
      </c>
      <c r="B31" s="1155"/>
      <c r="C31" s="1155"/>
    </row>
    <row r="32" spans="1:3" x14ac:dyDescent="0.2">
      <c r="A32" s="1155"/>
      <c r="B32" s="1155"/>
      <c r="C32" s="1155"/>
    </row>
    <row r="33" spans="1:3" x14ac:dyDescent="0.2">
      <c r="A33" s="1155"/>
      <c r="B33" s="1155"/>
      <c r="C33" s="1155"/>
    </row>
    <row r="34" spans="1:3" x14ac:dyDescent="0.2">
      <c r="A34" s="1155"/>
      <c r="B34" s="1155"/>
      <c r="C34" s="1155"/>
    </row>
    <row r="35" spans="1:3" x14ac:dyDescent="0.2">
      <c r="A35" s="201"/>
      <c r="C35" s="201"/>
    </row>
    <row r="36" spans="1:3" x14ac:dyDescent="0.2">
      <c r="A36" s="344" t="s">
        <v>475</v>
      </c>
      <c r="B36" s="242" t="s">
        <v>476</v>
      </c>
      <c r="C36" s="201"/>
    </row>
    <row r="37" spans="1:3" x14ac:dyDescent="0.2">
      <c r="A37" s="319" t="s">
        <v>477</v>
      </c>
      <c r="B37" s="220" t="s">
        <v>478</v>
      </c>
      <c r="C37" s="201"/>
    </row>
    <row r="38" spans="1:3" x14ac:dyDescent="0.2">
      <c r="A38" s="319" t="s">
        <v>479</v>
      </c>
      <c r="B38" s="220" t="s">
        <v>480</v>
      </c>
      <c r="C38" s="201"/>
    </row>
    <row r="39" spans="1:3" x14ac:dyDescent="0.2">
      <c r="A39" s="319" t="s">
        <v>481</v>
      </c>
      <c r="B39" s="220" t="s">
        <v>482</v>
      </c>
      <c r="C39" s="201"/>
    </row>
    <row r="40" spans="1:3" x14ac:dyDescent="0.2">
      <c r="A40" s="319" t="s">
        <v>483</v>
      </c>
      <c r="B40" s="220" t="s">
        <v>484</v>
      </c>
      <c r="C40" s="201"/>
    </row>
    <row r="41" spans="1:3" x14ac:dyDescent="0.2">
      <c r="A41" s="319" t="s">
        <v>485</v>
      </c>
      <c r="B41" s="220" t="s">
        <v>486</v>
      </c>
      <c r="C41" s="201"/>
    </row>
    <row r="42" spans="1:3" x14ac:dyDescent="0.2">
      <c r="A42" s="319" t="s">
        <v>487</v>
      </c>
      <c r="B42" s="220" t="s">
        <v>488</v>
      </c>
      <c r="C42" s="201"/>
    </row>
    <row r="43" spans="1:3" x14ac:dyDescent="0.2">
      <c r="A43" s="319" t="s">
        <v>489</v>
      </c>
      <c r="B43" s="220" t="s">
        <v>490</v>
      </c>
      <c r="C43" s="201"/>
    </row>
    <row r="44" spans="1:3" x14ac:dyDescent="0.2">
      <c r="A44" s="319" t="s">
        <v>491</v>
      </c>
      <c r="B44" s="220" t="s">
        <v>492</v>
      </c>
      <c r="C44" s="201"/>
    </row>
    <row r="45" spans="1:3" x14ac:dyDescent="0.2">
      <c r="A45" s="319" t="s">
        <v>493</v>
      </c>
      <c r="B45" s="220" t="s">
        <v>494</v>
      </c>
      <c r="C45" s="201"/>
    </row>
    <row r="46" spans="1:3" x14ac:dyDescent="0.2">
      <c r="A46" s="319" t="s">
        <v>495</v>
      </c>
      <c r="B46" s="220" t="s">
        <v>496</v>
      </c>
      <c r="C46" s="201"/>
    </row>
    <row r="47" spans="1:3" x14ac:dyDescent="0.2">
      <c r="A47" s="319" t="s">
        <v>497</v>
      </c>
      <c r="B47" s="220" t="s">
        <v>498</v>
      </c>
      <c r="C47" s="201"/>
    </row>
    <row r="48" spans="1:3" x14ac:dyDescent="0.2">
      <c r="A48" s="319" t="s">
        <v>499</v>
      </c>
      <c r="B48" s="220" t="s">
        <v>500</v>
      </c>
      <c r="C48" s="201"/>
    </row>
    <row r="49" spans="1:3" x14ac:dyDescent="0.2">
      <c r="A49" s="319" t="s">
        <v>501</v>
      </c>
      <c r="B49" s="220" t="s">
        <v>502</v>
      </c>
      <c r="C49" s="201"/>
    </row>
    <row r="50" spans="1:3" x14ac:dyDescent="0.2">
      <c r="A50" s="319" t="s">
        <v>503</v>
      </c>
      <c r="B50" s="220" t="s">
        <v>504</v>
      </c>
      <c r="C50" s="201"/>
    </row>
    <row r="51" spans="1:3" x14ac:dyDescent="0.2">
      <c r="A51" s="355" t="s">
        <v>505</v>
      </c>
      <c r="B51" s="239" t="s">
        <v>506</v>
      </c>
      <c r="C51" s="201"/>
    </row>
  </sheetData>
  <mergeCells count="8">
    <mergeCell ref="A1:C1"/>
    <mergeCell ref="A27:C29"/>
    <mergeCell ref="A31:C34"/>
    <mergeCell ref="A4:C6"/>
    <mergeCell ref="A18:C19"/>
    <mergeCell ref="B21:C21"/>
    <mergeCell ref="B22:C22"/>
    <mergeCell ref="B23:C23"/>
  </mergeCells>
  <printOptions horizontalCentered="1"/>
  <pageMargins left="0.23622047244094491" right="0.23622047244094491" top="0.74803149606299213" bottom="1.2598425196850394" header="0.31496062992125984" footer="0.31496062992125984"/>
  <pageSetup fitToHeight="0" orientation="portrait" r:id="rId1"/>
  <headerFooter>
    <oddHeader>&amp;L&amp;"Calibri,Bold"&amp;14 Appendix</oddHeader>
    <oddFooter>&amp;L&amp;G&amp;CPage &amp;P of &amp;N</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13">
    <pageSetUpPr fitToPage="1"/>
  </sheetPr>
  <dimension ref="A2:F18"/>
  <sheetViews>
    <sheetView showGridLines="0" view="pageBreakPreview" zoomScale="60" zoomScaleNormal="100" workbookViewId="0"/>
  </sheetViews>
  <sheetFormatPr defaultColWidth="9.140625" defaultRowHeight="12.75" x14ac:dyDescent="0.2"/>
  <cols>
    <col min="1" max="1" width="44" style="200" customWidth="1"/>
    <col min="2" max="2" width="58.28515625" style="200" customWidth="1"/>
    <col min="3" max="16384" width="9.140625" style="200"/>
  </cols>
  <sheetData>
    <row r="2" spans="1:6" ht="24.75" customHeight="1" x14ac:dyDescent="0.2"/>
    <row r="3" spans="1:6" ht="198" customHeight="1" x14ac:dyDescent="0.2">
      <c r="D3" s="336"/>
      <c r="E3" s="336"/>
      <c r="F3" s="336"/>
    </row>
    <row r="4" spans="1:6" ht="12" customHeight="1" x14ac:dyDescent="0.2"/>
    <row r="5" spans="1:6" ht="49.5" customHeight="1" x14ac:dyDescent="0.2"/>
    <row r="6" spans="1:6" ht="20.100000000000001" customHeight="1" x14ac:dyDescent="0.2">
      <c r="A6" s="1448" t="s">
        <v>609</v>
      </c>
      <c r="B6" s="358" t="s">
        <v>610</v>
      </c>
    </row>
    <row r="7" spans="1:6" ht="20.100000000000001" customHeight="1" x14ac:dyDescent="0.2">
      <c r="A7" s="1448"/>
      <c r="B7" s="358" t="s">
        <v>647</v>
      </c>
    </row>
    <row r="8" spans="1:6" ht="20.100000000000001" customHeight="1" x14ac:dyDescent="0.2">
      <c r="A8" s="359"/>
      <c r="B8" s="358" t="s">
        <v>611</v>
      </c>
    </row>
    <row r="9" spans="1:6" ht="8.1" customHeight="1" x14ac:dyDescent="0.2">
      <c r="A9" s="359"/>
      <c r="B9" s="358"/>
    </row>
    <row r="10" spans="1:6" ht="18.75" x14ac:dyDescent="0.2">
      <c r="A10" s="357" t="s">
        <v>612</v>
      </c>
      <c r="B10" s="358" t="s">
        <v>613</v>
      </c>
    </row>
    <row r="11" spans="1:6" ht="8.1" customHeight="1" x14ac:dyDescent="0.2">
      <c r="A11" s="359"/>
      <c r="B11" s="358"/>
    </row>
    <row r="12" spans="1:6" ht="18.75" x14ac:dyDescent="0.2">
      <c r="A12" s="357" t="s">
        <v>614</v>
      </c>
      <c r="B12" s="358" t="s">
        <v>615</v>
      </c>
    </row>
    <row r="13" spans="1:6" ht="8.1" customHeight="1" x14ac:dyDescent="0.2">
      <c r="A13" s="359"/>
      <c r="B13" s="358"/>
    </row>
    <row r="14" spans="1:6" ht="18.75" x14ac:dyDescent="0.2">
      <c r="A14" s="357" t="s">
        <v>616</v>
      </c>
      <c r="B14" s="360" t="s">
        <v>617</v>
      </c>
    </row>
    <row r="16" spans="1:6" ht="48.75" customHeight="1" x14ac:dyDescent="0.2"/>
    <row r="17" spans="1:2" ht="7.5" customHeight="1" x14ac:dyDescent="0.2"/>
    <row r="18" spans="1:2" ht="131.25" customHeight="1" x14ac:dyDescent="0.2">
      <c r="A18" s="1449" t="s">
        <v>618</v>
      </c>
      <c r="B18" s="1449"/>
    </row>
  </sheetData>
  <mergeCells count="2">
    <mergeCell ref="A6:A7"/>
    <mergeCell ref="A18:B18"/>
  </mergeCells>
  <hyperlinks>
    <hyperlink ref="B14" r:id="rId1" display="mailto:info@greyling.com" xr:uid="{00000000-0004-0000-3200-000000000000}"/>
  </hyperlinks>
  <printOptions horizontalCentered="1"/>
  <pageMargins left="0.23622047244094491" right="0.23622047244094491" top="0.74803149606299213" bottom="1.2598425196850394" header="0.31496062992125984" footer="0.31496062992125984"/>
  <pageSetup fitToHeight="0" orientation="portrait" r:id="rId2"/>
  <headerFooter>
    <oddFooter>&amp;CPage &amp;P of &amp;N</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61</vt:i4>
      </vt:variant>
    </vt:vector>
  </HeadingPairs>
  <TitlesOfParts>
    <vt:vector size="116" baseType="lpstr">
      <vt:lpstr>Cover</vt:lpstr>
      <vt:lpstr>Schedule Named</vt:lpstr>
      <vt:lpstr>Named Insured Analysis </vt:lpstr>
      <vt:lpstr>Renewal Strategy</vt:lpstr>
      <vt:lpstr>Insurers Approached (PL)</vt:lpstr>
      <vt:lpstr>Insurers Approached (All Other)</vt:lpstr>
      <vt:lpstr>Explanation Renewal Comparisons</vt:lpstr>
      <vt:lpstr>Input</vt:lpstr>
      <vt:lpstr>Renewal Summary (Market)</vt:lpstr>
      <vt:lpstr>Renewal Summary (Incumbent)</vt:lpstr>
      <vt:lpstr>Professional Liability</vt:lpstr>
      <vt:lpstr>T5CS General Liab.</vt:lpstr>
      <vt:lpstr>T5CS Inland Marine</vt:lpstr>
      <vt:lpstr>T5CS Business Auto</vt:lpstr>
      <vt:lpstr>T5CS Umbrella Liability</vt:lpstr>
      <vt:lpstr>T5CS 1st Excess Liab</vt:lpstr>
      <vt:lpstr>T5CS 2nd Excess Liab</vt:lpstr>
      <vt:lpstr>T5CS 3rd Excess Liab</vt:lpstr>
      <vt:lpstr>T5CS 4th Excess Liab</vt:lpstr>
      <vt:lpstr>T5DC Package - General Liab</vt:lpstr>
      <vt:lpstr>T5DC Package - Property</vt:lpstr>
      <vt:lpstr>Property Coverage by Location</vt:lpstr>
      <vt:lpstr>T5DC Business Auto</vt:lpstr>
      <vt:lpstr>T5DC Umbrella</vt:lpstr>
      <vt:lpstr>T5DC Excess Umbrella</vt:lpstr>
      <vt:lpstr>Workers Comp</vt:lpstr>
      <vt:lpstr>Workers Comp (2)</vt:lpstr>
      <vt:lpstr>Tech E&amp;O</vt:lpstr>
      <vt:lpstr>1st Excess Tech E&amp;O</vt:lpstr>
      <vt:lpstr>OCP</vt:lpstr>
      <vt:lpstr>2nd Excess Tech E&amp;O</vt:lpstr>
      <vt:lpstr>3rd Excess Tech E&amp;O</vt:lpstr>
      <vt:lpstr>4th Excess Tech E&amp;O</vt:lpstr>
      <vt:lpstr>Executive Liability</vt:lpstr>
      <vt:lpstr>Crime</vt:lpstr>
      <vt:lpstr>Excess Crime</vt:lpstr>
      <vt:lpstr>BTA</vt:lpstr>
      <vt:lpstr>T5CS Foreign Package</vt:lpstr>
      <vt:lpstr>Property</vt:lpstr>
      <vt:lpstr>Package - Inland Marine</vt:lpstr>
      <vt:lpstr>Watercraft</vt:lpstr>
      <vt:lpstr>T5DC Foreign Package</vt:lpstr>
      <vt:lpstr>Drone</vt:lpstr>
      <vt:lpstr>Employed Lawyers</vt:lpstr>
      <vt:lpstr>Subjectivities</vt:lpstr>
      <vt:lpstr>Policies Subject to Audit</vt:lpstr>
      <vt:lpstr>Premium Audit</vt:lpstr>
      <vt:lpstr>When to Call</vt:lpstr>
      <vt:lpstr>CoC</vt:lpstr>
      <vt:lpstr>Program Changes</vt:lpstr>
      <vt:lpstr>Reporting Claims</vt:lpstr>
      <vt:lpstr>Payment Options</vt:lpstr>
      <vt:lpstr>Greyling Service Team</vt:lpstr>
      <vt:lpstr>Appendix</vt:lpstr>
      <vt:lpstr>Final Page</vt:lpstr>
      <vt:lpstr>'1st Excess Tech E&amp;O'!Print_Area</vt:lpstr>
      <vt:lpstr>'2nd Excess Tech E&amp;O'!Print_Area</vt:lpstr>
      <vt:lpstr>'3rd Excess Tech E&amp;O'!Print_Area</vt:lpstr>
      <vt:lpstr>'4th Excess Tech E&amp;O'!Print_Area</vt:lpstr>
      <vt:lpstr>Appendix!Print_Area</vt:lpstr>
      <vt:lpstr>BTA!Print_Area</vt:lpstr>
      <vt:lpstr>CoC!Print_Area</vt:lpstr>
      <vt:lpstr>Cover!Print_Area</vt:lpstr>
      <vt:lpstr>Crime!Print_Area</vt:lpstr>
      <vt:lpstr>Drone!Print_Area</vt:lpstr>
      <vt:lpstr>'Employed Lawyers'!Print_Area</vt:lpstr>
      <vt:lpstr>'Excess Crime'!Print_Area</vt:lpstr>
      <vt:lpstr>'Executive Liability'!Print_Area</vt:lpstr>
      <vt:lpstr>'Explanation Renewal Comparisons'!Print_Area</vt:lpstr>
      <vt:lpstr>'Insurers Approached (All Other)'!Print_Area</vt:lpstr>
      <vt:lpstr>'Insurers Approached (PL)'!Print_Area</vt:lpstr>
      <vt:lpstr>OCP!Print_Area</vt:lpstr>
      <vt:lpstr>'Package - Inland Marine'!Print_Area</vt:lpstr>
      <vt:lpstr>'Payment Options'!Print_Area</vt:lpstr>
      <vt:lpstr>'Policies Subject to Audit'!Print_Area</vt:lpstr>
      <vt:lpstr>'Professional Liability'!Print_Area</vt:lpstr>
      <vt:lpstr>'Program Changes'!Print_Area</vt:lpstr>
      <vt:lpstr>Property!Print_Area</vt:lpstr>
      <vt:lpstr>'Property Coverage by Location'!Print_Area</vt:lpstr>
      <vt:lpstr>'Renewal Strategy'!Print_Area</vt:lpstr>
      <vt:lpstr>'Renewal Summary (Incumbent)'!Print_Area</vt:lpstr>
      <vt:lpstr>'Renewal Summary (Market)'!Print_Area</vt:lpstr>
      <vt:lpstr>'Schedule Named'!Print_Area</vt:lpstr>
      <vt:lpstr>Subjectivities!Print_Area</vt:lpstr>
      <vt:lpstr>'T5CS 1st Excess Liab'!Print_Area</vt:lpstr>
      <vt:lpstr>'T5CS 2nd Excess Liab'!Print_Area</vt:lpstr>
      <vt:lpstr>'T5CS 3rd Excess Liab'!Print_Area</vt:lpstr>
      <vt:lpstr>'T5CS 4th Excess Liab'!Print_Area</vt:lpstr>
      <vt:lpstr>'T5CS Business Auto'!Print_Area</vt:lpstr>
      <vt:lpstr>'T5CS Foreign Package'!Print_Area</vt:lpstr>
      <vt:lpstr>'T5CS General Liab.'!Print_Area</vt:lpstr>
      <vt:lpstr>'T5CS Inland Marine'!Print_Area</vt:lpstr>
      <vt:lpstr>'T5CS Umbrella Liability'!Print_Area</vt:lpstr>
      <vt:lpstr>'T5DC Business Auto'!Print_Area</vt:lpstr>
      <vt:lpstr>'T5DC Excess Umbrella'!Print_Area</vt:lpstr>
      <vt:lpstr>'T5DC Foreign Package'!Print_Area</vt:lpstr>
      <vt:lpstr>'T5DC Package - General Liab'!Print_Area</vt:lpstr>
      <vt:lpstr>'T5DC Package - Property'!Print_Area</vt:lpstr>
      <vt:lpstr>'T5DC Umbrella'!Print_Area</vt:lpstr>
      <vt:lpstr>'Tech E&amp;O'!Print_Area</vt:lpstr>
      <vt:lpstr>Watercraft!Print_Area</vt:lpstr>
      <vt:lpstr>'When to Call'!Print_Area</vt:lpstr>
      <vt:lpstr>'Workers Comp'!Print_Area</vt:lpstr>
      <vt:lpstr>'Workers Comp (2)'!Print_Area</vt:lpstr>
      <vt:lpstr>'1st Excess Tech E&amp;O'!Print_Titles</vt:lpstr>
      <vt:lpstr>'2nd Excess Tech E&amp;O'!Print_Titles</vt:lpstr>
      <vt:lpstr>'3rd Excess Tech E&amp;O'!Print_Titles</vt:lpstr>
      <vt:lpstr>'4th Excess Tech E&amp;O'!Print_Titles</vt:lpstr>
      <vt:lpstr>CoC!Print_Titles</vt:lpstr>
      <vt:lpstr>Drone!Print_Titles</vt:lpstr>
      <vt:lpstr>'Employed Lawyers'!Print_Titles</vt:lpstr>
      <vt:lpstr>OCP!Print_Titles</vt:lpstr>
      <vt:lpstr>'Renewal Summary (Incumbent)'!Print_Titles</vt:lpstr>
      <vt:lpstr>'Renewal Summary (Market)'!Print_Titles</vt:lpstr>
      <vt:lpstr>Subjectivities!Print_Titles</vt:lpstr>
      <vt:lpstr>'When to Call'!Print_Titles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2023-07-07T21:48:17Z</dcterms:modified>
</cp:coreProperties>
</file>