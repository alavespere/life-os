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lients\T5 Data Centers\2023 to 2024\2 - Meetings\1 - Pre Renewal Strategy Mtg - Add Date\"/>
    </mc:Choice>
  </mc:AlternateContent>
  <xr:revisionPtr revIDLastSave="0" documentId="13_ncr:1_{24B0DE0F-D2D1-4765-82B9-6D3D1E83B55C}" xr6:coauthVersionLast="47" xr6:coauthVersionMax="47" xr10:uidLastSave="{00000000-0000-0000-0000-000000000000}"/>
  <bookViews>
    <workbookView xWindow="29685" yWindow="0" windowWidth="27285" windowHeight="14100" xr2:uid="{00000000-000D-0000-FFFF-FFFF00000000}"/>
  </bookViews>
  <sheets>
    <sheet name="Chart" sheetId="1" r:id="rId1"/>
  </sheets>
  <definedNames>
    <definedName name="_xlnm.Print_Area" localSheetId="0">Chart!$B$2:$AD$57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16" i="1" l="1"/>
  <c r="Z17" i="1"/>
  <c r="B69" i="1"/>
  <c r="B68" i="1"/>
  <c r="Z20" i="1" l="1"/>
  <c r="U59" i="1"/>
  <c r="O59" i="1"/>
  <c r="B63" i="1" l="1"/>
  <c r="B66" i="1"/>
  <c r="F59" i="1"/>
  <c r="Z11" i="1"/>
  <c r="Z10" i="1"/>
  <c r="Z18" i="1"/>
  <c r="Z14" i="1"/>
  <c r="AB65" i="1"/>
  <c r="B65" i="1" s="1"/>
  <c r="E59" i="1"/>
  <c r="D61" i="1"/>
  <c r="L59" i="1" l="1"/>
  <c r="I59" i="1" l="1"/>
  <c r="Y64" i="1" l="1"/>
  <c r="S59" i="1"/>
  <c r="R59" i="1"/>
  <c r="AA64" i="1"/>
  <c r="M59" i="1"/>
  <c r="H59" i="1"/>
  <c r="B59" i="1" l="1"/>
  <c r="B61" i="1"/>
  <c r="B60" i="1"/>
  <c r="B64" i="1" l="1"/>
  <c r="B62" i="1"/>
  <c r="Z9" i="1" l="1"/>
  <c r="B67" i="1" l="1"/>
  <c r="B70" i="1" s="1"/>
  <c r="AA21" i="1" s="1"/>
  <c r="B72" i="1" l="1"/>
  <c r="C65" i="1" l="1"/>
  <c r="AB16" i="1" s="1"/>
  <c r="C66" i="1"/>
  <c r="AB20" i="1" s="1"/>
  <c r="C61" i="1"/>
  <c r="AB10" i="1" s="1"/>
  <c r="C68" i="1"/>
  <c r="AB13" i="1" s="1"/>
  <c r="C64" i="1"/>
  <c r="AB14" i="1" s="1"/>
  <c r="C69" i="1"/>
  <c r="AB15" i="1" s="1"/>
  <c r="C67" i="1"/>
  <c r="C59" i="1"/>
  <c r="C63" i="1"/>
  <c r="AB17" i="1" s="1"/>
  <c r="C60" i="1"/>
  <c r="AB11" i="1" s="1"/>
  <c r="C62" i="1"/>
  <c r="AB18" i="1" s="1"/>
  <c r="AB12" i="1" l="1"/>
  <c r="C70" i="1"/>
  <c r="AB9" i="1"/>
</calcChain>
</file>

<file path=xl/sharedStrings.xml><?xml version="1.0" encoding="utf-8"?>
<sst xmlns="http://schemas.openxmlformats.org/spreadsheetml/2006/main" count="155" uniqueCount="102">
  <si>
    <t>Employment Practices Liability</t>
  </si>
  <si>
    <t>Insurer</t>
  </si>
  <si>
    <t>% Premium</t>
  </si>
  <si>
    <t>Included in WC</t>
  </si>
  <si>
    <t>Excess Liability</t>
  </si>
  <si>
    <t xml:space="preserve">Total Annual Premium: </t>
  </si>
  <si>
    <t>CNA</t>
  </si>
  <si>
    <t>$5M -</t>
  </si>
  <si>
    <t>$10M -</t>
  </si>
  <si>
    <t>$1M -</t>
  </si>
  <si>
    <t>Deductible: $0</t>
  </si>
  <si>
    <t>Fiduciary Liability</t>
  </si>
  <si>
    <t>Crime</t>
  </si>
  <si>
    <t>$0 -</t>
  </si>
  <si>
    <t>Workers' Compensation</t>
  </si>
  <si>
    <t>AM Best Rating</t>
  </si>
  <si>
    <t>Limits</t>
  </si>
  <si>
    <t>Premium</t>
  </si>
  <si>
    <t xml:space="preserve">Policy limits are not to scale                          </t>
  </si>
  <si>
    <t>Limit:
$1M</t>
  </si>
  <si>
    <t>Limit: 
Statutory Benefits</t>
  </si>
  <si>
    <t>Limit: 
$1M / 
$1M / 
$1M</t>
  </si>
  <si>
    <t>Limit: 
$1M / $2M</t>
  </si>
  <si>
    <t>Limit: $10M / $10M</t>
  </si>
  <si>
    <t>Retention: $10,000</t>
  </si>
  <si>
    <t>Limit:
$5M per claim  $5M aggregate</t>
  </si>
  <si>
    <t xml:space="preserve">Employer's 
Liability                  </t>
  </si>
  <si>
    <t>Directors &amp; Officers Liability</t>
  </si>
  <si>
    <t>Workers' Compensation  CA Only</t>
  </si>
  <si>
    <t>T5 Construction</t>
  </si>
  <si>
    <t>General Liability</t>
  </si>
  <si>
    <t>Hired &amp; Non-Owned Liability</t>
  </si>
  <si>
    <t>$20M -</t>
  </si>
  <si>
    <t>T5 DCMC/T5 Data Centers</t>
  </si>
  <si>
    <t>Chubb</t>
  </si>
  <si>
    <t>Deductible: $25,000</t>
  </si>
  <si>
    <t>Deductible: $5,000</t>
  </si>
  <si>
    <t>Retention: $0</t>
  </si>
  <si>
    <t>Deductible: 
Liability - $0
Comp - $100 Collision - $1,000</t>
  </si>
  <si>
    <t>T5 Data Centers Umbrella</t>
  </si>
  <si>
    <t>T5 Construction Umbrella</t>
  </si>
  <si>
    <t>T5 DCMC Property</t>
  </si>
  <si>
    <t>Limit: 
$630k BPP
$360k BI/EE</t>
  </si>
  <si>
    <t>T5DC Investors, LLC</t>
  </si>
  <si>
    <t>T5 Data Centers</t>
  </si>
  <si>
    <t>A: XV</t>
  </si>
  <si>
    <t xml:space="preserve">Limit:
$5M </t>
  </si>
  <si>
    <t>Deductible:
$10,000</t>
  </si>
  <si>
    <t xml:space="preserve">Employer's 
Liability
CA- Only               </t>
  </si>
  <si>
    <t xml:space="preserve">Hired &amp; Non-Owned Liability          </t>
  </si>
  <si>
    <t xml:space="preserve">T5 DCMC
Tech E&amp;O Liability
</t>
  </si>
  <si>
    <t>$50M -</t>
  </si>
  <si>
    <t>$15M -</t>
  </si>
  <si>
    <t>$45M -</t>
  </si>
  <si>
    <t>T5CS 
Contractor's Pollution/Professional Liability</t>
  </si>
  <si>
    <t>T5CS IM</t>
  </si>
  <si>
    <t xml:space="preserve">Business Auto        </t>
  </si>
  <si>
    <t>Foreign Workers' Compensation</t>
  </si>
  <si>
    <t>AXA XL</t>
  </si>
  <si>
    <t>RSUI</t>
  </si>
  <si>
    <t>Zurich</t>
  </si>
  <si>
    <t>Limit:
$5M each claim/agg</t>
  </si>
  <si>
    <t>Business Travel Accident</t>
  </si>
  <si>
    <t>Limit: 5x Base Annual Earnings up to $1M</t>
  </si>
  <si>
    <t>Deductible: $2,500</t>
  </si>
  <si>
    <t>Limit:
Leased/Rented Eq. - $50,000
Installation Floater - $50,000</t>
  </si>
  <si>
    <t>Deductible: $50,000</t>
  </si>
  <si>
    <t>T5CS Foreign Package</t>
  </si>
  <si>
    <t>Included in T5DC GL</t>
  </si>
  <si>
    <t>Travelers</t>
  </si>
  <si>
    <t>Self-Insured Retention:
$200,000</t>
  </si>
  <si>
    <t>Premium: $121,212</t>
  </si>
  <si>
    <t>$25M -</t>
  </si>
  <si>
    <t>Limit: $25M / $25M</t>
  </si>
  <si>
    <t>Premium: $19,225</t>
  </si>
  <si>
    <t>Premium: $50,817</t>
  </si>
  <si>
    <t>Premium: $41,600</t>
  </si>
  <si>
    <t>Excess Liability
Limit: $15M / $15M
Retention: $0
Premium: $32,219</t>
  </si>
  <si>
    <t>Excess Liability
Limit: $10M / $10M
Retention: $0
Premium: $20,200</t>
  </si>
  <si>
    <t>Excess Liability
Limit: $5M / $5M
Retention: $0
Premium: $18,500</t>
  </si>
  <si>
    <t>Excess Crime</t>
  </si>
  <si>
    <t>Premium: $6,500</t>
  </si>
  <si>
    <t>Limits: $5M
each loss/agg</t>
  </si>
  <si>
    <t>T5 DCMC Foreign Package</t>
  </si>
  <si>
    <t>Beazley</t>
  </si>
  <si>
    <t>Great American</t>
  </si>
  <si>
    <t>T5 Data Centers Excess Liability</t>
  </si>
  <si>
    <t>Premium: $25,250</t>
  </si>
  <si>
    <t>Ironshore</t>
  </si>
  <si>
    <t>A:XV</t>
  </si>
  <si>
    <t>2nd Excess Tech E&amp;O</t>
  </si>
  <si>
    <t>Premium: $86,690</t>
  </si>
  <si>
    <t>1st Excess Tech E&amp;O</t>
  </si>
  <si>
    <t>Applied</t>
  </si>
  <si>
    <t>E-Risk</t>
  </si>
  <si>
    <t>A+:XV</t>
  </si>
  <si>
    <t>3rd Excess Tech E&amp;O</t>
  </si>
  <si>
    <t>Premium: $83,150</t>
  </si>
  <si>
    <t>4th Excess Tech E&amp;O</t>
  </si>
  <si>
    <t>Limit: 
$5M each claim/agg</t>
  </si>
  <si>
    <t>Premium: $67,535</t>
  </si>
  <si>
    <r>
      <rPr>
        <b/>
        <sz val="14"/>
        <color theme="1"/>
        <rFont val="Calibri"/>
        <family val="2"/>
        <scheme val="minor"/>
      </rPr>
      <t xml:space="preserve">
Policy Period: 
All Other: </t>
    </r>
    <r>
      <rPr>
        <sz val="14"/>
        <color theme="1"/>
        <rFont val="Calibri"/>
        <family val="2"/>
        <scheme val="minor"/>
      </rPr>
      <t xml:space="preserve">07/01/2022 - 07/01/2023
</t>
    </r>
    <r>
      <rPr>
        <b/>
        <sz val="14"/>
        <color theme="1"/>
        <rFont val="Calibri"/>
        <family val="2"/>
        <scheme val="minor"/>
      </rPr>
      <t>3rd, 4th, &amp; 5th Excess Tech E&amp;O Policies</t>
    </r>
    <r>
      <rPr>
        <sz val="14"/>
        <color theme="1"/>
        <rFont val="Calibri"/>
        <family val="2"/>
        <scheme val="minor"/>
      </rPr>
      <t xml:space="preserve">: 9/14/2022 - 7/1/2023
</t>
    </r>
    <r>
      <rPr>
        <b/>
        <sz val="14"/>
        <color theme="1"/>
        <rFont val="Calibri"/>
        <family val="2"/>
        <scheme val="minor"/>
      </rPr>
      <t>T5CS Excess Liability</t>
    </r>
    <r>
      <rPr>
        <sz val="14"/>
        <color theme="1"/>
        <rFont val="Calibri"/>
        <family val="2"/>
        <scheme val="minor"/>
      </rPr>
      <t xml:space="preserve">: 11/7/2022 - 7/1/2023
</t>
    </r>
    <r>
      <rPr>
        <b/>
        <sz val="14"/>
        <color theme="1"/>
        <rFont val="Calibri"/>
        <family val="2"/>
        <scheme val="minor"/>
      </rPr>
      <t>T5CS Foreign Package</t>
    </r>
    <r>
      <rPr>
        <sz val="14"/>
        <color theme="1"/>
        <rFont val="Calibri"/>
        <family val="2"/>
        <scheme val="minor"/>
      </rPr>
      <t xml:space="preserve">: 10/16/2022 - 7/1/2024
</t>
    </r>
    <r>
      <rPr>
        <b/>
        <sz val="14"/>
        <color theme="1"/>
        <rFont val="Calibri"/>
        <family val="2"/>
        <scheme val="minor"/>
      </rPr>
      <t>T5 DCMC Foreign Package:</t>
    </r>
    <r>
      <rPr>
        <sz val="14"/>
        <color theme="1"/>
        <rFont val="Calibri"/>
        <family val="2"/>
        <scheme val="minor"/>
      </rPr>
      <t xml:space="preserve"> 01/01/2023 - 01/01/2024
*Local Ireland and Denmark policies not shown
</t>
    </r>
    <r>
      <rPr>
        <b/>
        <sz val="14"/>
        <color theme="1"/>
        <rFont val="Calibri"/>
        <family val="2"/>
        <scheme val="minor"/>
      </rPr>
      <t>Note:</t>
    </r>
    <r>
      <rPr>
        <sz val="14"/>
        <color theme="1"/>
        <rFont val="Calibri"/>
        <family val="2"/>
        <scheme val="minor"/>
      </rPr>
      <t xml:space="preserve"> This chart is a summary only. All sub-limits, deductibles, and coverages are not shown.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</si>
</sst>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2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3"/>
      <color theme="0"/>
      <name val="Century Gothic"/>
      <family val="2"/>
    </font>
    <font>
      <b/>
      <sz val="20"/>
      <color theme="1"/>
      <name val="Calibri"/>
      <family val="2"/>
      <scheme val="minor"/>
    </font>
    <font>
      <sz val="24"/>
      <name val="Calibri"/>
      <family val="2"/>
      <scheme val="minor"/>
    </font>
    <font>
      <b/>
      <sz val="14"/>
      <color theme="0"/>
      <name val="Century Gothic"/>
      <family val="2"/>
    </font>
    <font>
      <b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A9142"/>
        <bgColor indexed="64"/>
      </patternFill>
    </fill>
    <fill>
      <patternFill patternType="solid">
        <fgColor rgb="FF004B65"/>
        <bgColor indexed="64"/>
      </patternFill>
    </fill>
    <fill>
      <patternFill patternType="solid">
        <fgColor rgb="FFF1BF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6D393"/>
        <bgColor indexed="64"/>
      </patternFill>
    </fill>
    <fill>
      <patternFill patternType="solid">
        <fgColor rgb="FFF2B800"/>
        <bgColor indexed="64"/>
      </patternFill>
    </fill>
    <fill>
      <patternFill patternType="solid">
        <fgColor rgb="FFCC73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theme="1"/>
      </top>
      <bottom/>
      <diagonal/>
    </border>
    <border>
      <left style="thin">
        <color theme="0"/>
      </left>
      <right style="thin">
        <color theme="0"/>
      </right>
      <top/>
      <bottom style="thick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mediumDashed">
        <color theme="0"/>
      </right>
      <top/>
      <bottom/>
      <diagonal/>
    </border>
    <border>
      <left style="mediumDashed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Dashed">
        <color theme="0"/>
      </right>
      <top/>
      <bottom style="thick">
        <color theme="1"/>
      </bottom>
      <diagonal/>
    </border>
    <border>
      <left style="thick">
        <color auto="1"/>
      </left>
      <right style="thin">
        <color theme="0"/>
      </right>
      <top/>
      <bottom style="thick">
        <color theme="1"/>
      </bottom>
      <diagonal/>
    </border>
    <border>
      <left style="thick">
        <color auto="1"/>
      </left>
      <right style="thin">
        <color theme="0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ck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ck">
        <color theme="0" tint="-0.499984740745262"/>
      </bottom>
      <diagonal/>
    </border>
    <border>
      <left style="medium">
        <color theme="0" tint="-0.499984740745262"/>
      </left>
      <right style="thick">
        <color theme="0" tint="-0.499984740745262"/>
      </right>
      <top style="medium">
        <color theme="0" tint="-0.499984740745262"/>
      </top>
      <bottom style="thick">
        <color theme="0" tint="-0.499984740745262"/>
      </bottom>
      <diagonal/>
    </border>
    <border>
      <left style="thin">
        <color theme="0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mediumDashed">
        <color theme="0"/>
      </left>
      <right/>
      <top/>
      <bottom/>
      <diagonal/>
    </border>
    <border>
      <left style="mediumDashed">
        <color theme="0"/>
      </left>
      <right style="thin">
        <color theme="0"/>
      </right>
      <top/>
      <bottom style="thick">
        <color theme="1"/>
      </bottom>
      <diagonal/>
    </border>
    <border>
      <left style="mediumDashed">
        <color theme="0"/>
      </left>
      <right style="mediumDashed">
        <color theme="0"/>
      </right>
      <top/>
      <bottom style="thick">
        <color theme="1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 style="mediumDashed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n">
        <color theme="0"/>
      </right>
      <top style="thick">
        <color theme="0" tint="-0.499984740745262"/>
      </top>
      <bottom/>
      <diagonal/>
    </border>
    <border>
      <left style="thin">
        <color theme="0"/>
      </left>
      <right style="thin">
        <color theme="0"/>
      </right>
      <top style="thick">
        <color theme="0" tint="-0.499984740745262"/>
      </top>
      <bottom/>
      <diagonal/>
    </border>
    <border>
      <left style="thin">
        <color theme="0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ck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ck">
        <color theme="0" tint="-0.499984740745262"/>
      </right>
      <top style="medium">
        <color theme="0" tint="-0.499984740745262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auto="1"/>
      </left>
      <right style="thin">
        <color theme="0"/>
      </right>
      <top style="thin">
        <color theme="0"/>
      </top>
      <bottom/>
      <diagonal/>
    </border>
    <border>
      <left style="thick">
        <color auto="1"/>
      </left>
      <right/>
      <top/>
      <bottom style="thin">
        <color theme="0"/>
      </bottom>
      <diagonal/>
    </border>
    <border>
      <left style="thick">
        <color auto="1"/>
      </left>
      <right style="thin">
        <color theme="0"/>
      </right>
      <top/>
      <bottom style="thin">
        <color theme="0"/>
      </bottom>
      <diagonal/>
    </border>
    <border>
      <left style="thick">
        <color auto="1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0" borderId="0" xfId="0" applyFont="1"/>
    <xf numFmtId="0" fontId="1" fillId="5" borderId="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wrapText="1"/>
    </xf>
    <xf numFmtId="0" fontId="1" fillId="0" borderId="0" xfId="0" applyFont="1" applyAlignment="1">
      <alignment vertical="center"/>
    </xf>
    <xf numFmtId="6" fontId="1" fillId="0" borderId="0" xfId="0" applyNumberFormat="1" applyFont="1" applyAlignment="1">
      <alignment horizontal="center" wrapText="1"/>
    </xf>
    <xf numFmtId="6" fontId="1" fillId="0" borderId="0" xfId="0" applyNumberFormat="1" applyFont="1" applyAlignment="1">
      <alignment horizontal="center"/>
    </xf>
    <xf numFmtId="0" fontId="6" fillId="0" borderId="0" xfId="0" applyFont="1"/>
    <xf numFmtId="6" fontId="6" fillId="0" borderId="0" xfId="0" applyNumberFormat="1" applyFont="1" applyAlignment="1">
      <alignment horizontal="center"/>
    </xf>
    <xf numFmtId="0" fontId="1" fillId="5" borderId="2" xfId="0" applyFont="1" applyFill="1" applyBorder="1" applyAlignment="1">
      <alignment wrapText="1"/>
    </xf>
    <xf numFmtId="0" fontId="3" fillId="5" borderId="10" xfId="0" applyFont="1" applyFill="1" applyBorder="1" applyAlignment="1">
      <alignment wrapText="1"/>
    </xf>
    <xf numFmtId="0" fontId="7" fillId="0" borderId="0" xfId="0" applyFont="1"/>
    <xf numFmtId="6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vertical="center" wrapText="1"/>
    </xf>
    <xf numFmtId="0" fontId="9" fillId="0" borderId="8" xfId="0" applyFont="1" applyBorder="1"/>
    <xf numFmtId="6" fontId="10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/>
    </xf>
    <xf numFmtId="6" fontId="3" fillId="0" borderId="0" xfId="0" applyNumberFormat="1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right"/>
    </xf>
    <xf numFmtId="6" fontId="12" fillId="0" borderId="0" xfId="0" applyNumberFormat="1" applyFont="1"/>
    <xf numFmtId="10" fontId="12" fillId="0" borderId="0" xfId="0" applyNumberFormat="1" applyFont="1"/>
    <xf numFmtId="0" fontId="12" fillId="0" borderId="0" xfId="0" applyFont="1" applyAlignment="1">
      <alignment horizontal="right" wrapText="1"/>
    </xf>
    <xf numFmtId="10" fontId="13" fillId="0" borderId="0" xfId="0" applyNumberFormat="1" applyFont="1"/>
    <xf numFmtId="0" fontId="12" fillId="0" borderId="0" xfId="0" applyFont="1"/>
    <xf numFmtId="6" fontId="12" fillId="3" borderId="0" xfId="0" applyNumberFormat="1" applyFont="1" applyFill="1" applyAlignment="1">
      <alignment horizontal="center" wrapText="1"/>
    </xf>
    <xf numFmtId="6" fontId="12" fillId="3" borderId="0" xfId="0" applyNumberFormat="1" applyFont="1" applyFill="1" applyAlignment="1">
      <alignment horizontal="center"/>
    </xf>
    <xf numFmtId="6" fontId="12" fillId="0" borderId="0" xfId="0" applyNumberFormat="1" applyFont="1" applyAlignment="1">
      <alignment horizontal="center" wrapText="1"/>
    </xf>
    <xf numFmtId="6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6" fontId="12" fillId="3" borderId="0" xfId="0" applyNumberFormat="1" applyFont="1" applyFill="1" applyAlignment="1">
      <alignment wrapText="1"/>
    </xf>
    <xf numFmtId="0" fontId="12" fillId="3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 wrapText="1"/>
    </xf>
    <xf numFmtId="0" fontId="17" fillId="0" borderId="0" xfId="0" applyFont="1"/>
    <xf numFmtId="0" fontId="16" fillId="7" borderId="2" xfId="0" applyFont="1" applyFill="1" applyBorder="1" applyAlignme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6" fillId="5" borderId="2" xfId="0" applyFont="1" applyFill="1" applyBorder="1" applyAlignment="1">
      <alignment vertical="top" wrapText="1"/>
    </xf>
    <xf numFmtId="0" fontId="16" fillId="0" borderId="10" xfId="0" applyFont="1" applyBorder="1" applyAlignment="1">
      <alignment vertical="top" wrapText="1"/>
    </xf>
    <xf numFmtId="0" fontId="16" fillId="7" borderId="2" xfId="0" applyFont="1" applyFill="1" applyBorder="1" applyAlignment="1">
      <alignment vertical="top"/>
    </xf>
    <xf numFmtId="0" fontId="17" fillId="7" borderId="2" xfId="0" applyFont="1" applyFill="1" applyBorder="1"/>
    <xf numFmtId="0" fontId="14" fillId="0" borderId="18" xfId="0" applyFont="1" applyBorder="1" applyAlignment="1">
      <alignment horizontal="center" vertical="center"/>
    </xf>
    <xf numFmtId="10" fontId="14" fillId="0" borderId="19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0" fontId="14" fillId="0" borderId="21" xfId="0" applyNumberFormat="1" applyFont="1" applyBorder="1" applyAlignment="1">
      <alignment horizontal="center" vertical="center"/>
    </xf>
    <xf numFmtId="0" fontId="14" fillId="0" borderId="5" xfId="0" applyFont="1" applyBorder="1"/>
    <xf numFmtId="6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vertical="top" wrapText="1"/>
    </xf>
    <xf numFmtId="0" fontId="16" fillId="6" borderId="17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20" fillId="0" borderId="2" xfId="0" applyFont="1" applyBorder="1"/>
    <xf numFmtId="0" fontId="17" fillId="2" borderId="17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wrapText="1"/>
    </xf>
    <xf numFmtId="0" fontId="14" fillId="0" borderId="2" xfId="0" applyFont="1" applyBorder="1" applyAlignment="1">
      <alignment wrapText="1"/>
    </xf>
    <xf numFmtId="0" fontId="19" fillId="2" borderId="2" xfId="0" applyFont="1" applyFill="1" applyBorder="1" applyAlignment="1">
      <alignment vertical="center" wrapText="1"/>
    </xf>
    <xf numFmtId="0" fontId="17" fillId="2" borderId="16" xfId="0" applyFont="1" applyFill="1" applyBorder="1" applyAlignment="1">
      <alignment vertical="center" wrapText="1"/>
    </xf>
    <xf numFmtId="0" fontId="19" fillId="2" borderId="9" xfId="0" applyFont="1" applyFill="1" applyBorder="1" applyAlignment="1">
      <alignment vertical="center" wrapText="1"/>
    </xf>
    <xf numFmtId="0" fontId="16" fillId="3" borderId="9" xfId="0" applyFont="1" applyFill="1" applyBorder="1" applyAlignment="1">
      <alignment vertical="top" wrapText="1"/>
    </xf>
    <xf numFmtId="0" fontId="15" fillId="7" borderId="9" xfId="0" applyFont="1" applyFill="1" applyBorder="1"/>
    <xf numFmtId="0" fontId="14" fillId="2" borderId="9" xfId="0" applyFont="1" applyFill="1" applyBorder="1"/>
    <xf numFmtId="0" fontId="15" fillId="0" borderId="9" xfId="0" applyFont="1" applyBorder="1"/>
    <xf numFmtId="0" fontId="0" fillId="0" borderId="8" xfId="0" applyBorder="1"/>
    <xf numFmtId="0" fontId="17" fillId="0" borderId="0" xfId="0" applyFont="1" applyAlignment="1">
      <alignment horizontal="center" vertical="top" wrapText="1"/>
    </xf>
    <xf numFmtId="6" fontId="17" fillId="0" borderId="0" xfId="0" applyNumberFormat="1" applyFont="1" applyAlignment="1">
      <alignment horizontal="center" vertical="top" wrapText="1"/>
    </xf>
    <xf numFmtId="0" fontId="17" fillId="0" borderId="7" xfId="0" applyFont="1" applyBorder="1"/>
    <xf numFmtId="0" fontId="17" fillId="0" borderId="7" xfId="0" applyFont="1" applyBorder="1" applyAlignment="1">
      <alignment horizontal="right" vertical="center"/>
    </xf>
    <xf numFmtId="0" fontId="17" fillId="0" borderId="7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6" fillId="7" borderId="2" xfId="0" applyFont="1" applyFill="1" applyBorder="1" applyAlignment="1">
      <alignment horizontal="left" vertical="top" wrapText="1"/>
    </xf>
    <xf numFmtId="0" fontId="16" fillId="7" borderId="2" xfId="0" applyFont="1" applyFill="1" applyBorder="1" applyAlignment="1">
      <alignment wrapText="1"/>
    </xf>
    <xf numFmtId="0" fontId="12" fillId="3" borderId="0" xfId="0" applyFont="1" applyFill="1" applyAlignment="1">
      <alignment horizontal="center" wrapText="1"/>
    </xf>
    <xf numFmtId="0" fontId="16" fillId="0" borderId="0" xfId="0" applyFont="1" applyAlignment="1">
      <alignment vertical="top" wrapText="1"/>
    </xf>
    <xf numFmtId="0" fontId="17" fillId="7" borderId="13" xfId="0" applyFont="1" applyFill="1" applyBorder="1" applyAlignment="1">
      <alignment wrapText="1"/>
    </xf>
    <xf numFmtId="0" fontId="19" fillId="2" borderId="3" xfId="0" applyFont="1" applyFill="1" applyBorder="1" applyAlignment="1">
      <alignment vertical="center" wrapText="1"/>
    </xf>
    <xf numFmtId="0" fontId="19" fillId="2" borderId="22" xfId="0" applyFont="1" applyFill="1" applyBorder="1" applyAlignment="1">
      <alignment vertical="center" wrapText="1"/>
    </xf>
    <xf numFmtId="0" fontId="14" fillId="5" borderId="0" xfId="0" applyFont="1" applyFill="1"/>
    <xf numFmtId="0" fontId="14" fillId="5" borderId="0" xfId="0" applyFont="1" applyFill="1" applyAlignment="1">
      <alignment vertical="top" wrapText="1"/>
    </xf>
    <xf numFmtId="0" fontId="19" fillId="5" borderId="2" xfId="0" applyFont="1" applyFill="1" applyBorder="1"/>
    <xf numFmtId="0" fontId="14" fillId="5" borderId="2" xfId="0" applyFont="1" applyFill="1" applyBorder="1" applyAlignment="1">
      <alignment wrapText="1"/>
    </xf>
    <xf numFmtId="0" fontId="15" fillId="5" borderId="9" xfId="0" applyFont="1" applyFill="1" applyBorder="1"/>
    <xf numFmtId="0" fontId="17" fillId="0" borderId="7" xfId="0" applyFont="1" applyBorder="1" applyAlignment="1">
      <alignment horizontal="right" vertical="top"/>
    </xf>
    <xf numFmtId="0" fontId="19" fillId="7" borderId="0" xfId="0" applyFont="1" applyFill="1"/>
    <xf numFmtId="0" fontId="19" fillId="7" borderId="0" xfId="0" applyFont="1" applyFill="1" applyAlignment="1">
      <alignment wrapText="1"/>
    </xf>
    <xf numFmtId="0" fontId="19" fillId="7" borderId="0" xfId="0" applyFont="1" applyFill="1" applyAlignment="1">
      <alignment horizontal="right"/>
    </xf>
    <xf numFmtId="0" fontId="19" fillId="7" borderId="0" xfId="0" applyFont="1" applyFill="1" applyAlignment="1">
      <alignment horizontal="center" wrapText="1"/>
    </xf>
    <xf numFmtId="0" fontId="19" fillId="7" borderId="0" xfId="0" applyFont="1" applyFill="1" applyAlignment="1">
      <alignment horizontal="center"/>
    </xf>
    <xf numFmtId="0" fontId="23" fillId="7" borderId="0" xfId="0" applyFont="1" applyFill="1"/>
    <xf numFmtId="0" fontId="16" fillId="7" borderId="0" xfId="0" applyFont="1" applyFill="1"/>
    <xf numFmtId="0" fontId="16" fillId="7" borderId="0" xfId="0" applyFont="1" applyFill="1" applyAlignment="1">
      <alignment wrapText="1"/>
    </xf>
    <xf numFmtId="0" fontId="17" fillId="7" borderId="3" xfId="0" applyFont="1" applyFill="1" applyBorder="1"/>
    <xf numFmtId="0" fontId="17" fillId="7" borderId="13" xfId="0" applyFont="1" applyFill="1" applyBorder="1"/>
    <xf numFmtId="0" fontId="17" fillId="7" borderId="0" xfId="0" applyFont="1" applyFill="1" applyAlignment="1">
      <alignment wrapText="1"/>
    </xf>
    <xf numFmtId="0" fontId="15" fillId="7" borderId="15" xfId="0" applyFont="1" applyFill="1" applyBorder="1"/>
    <xf numFmtId="0" fontId="15" fillId="7" borderId="23" xfId="0" applyFont="1" applyFill="1" applyBorder="1"/>
    <xf numFmtId="0" fontId="16" fillId="7" borderId="3" xfId="0" applyFont="1" applyFill="1" applyBorder="1"/>
    <xf numFmtId="0" fontId="16" fillId="7" borderId="4" xfId="0" applyFont="1" applyFill="1" applyBorder="1"/>
    <xf numFmtId="0" fontId="16" fillId="7" borderId="24" xfId="0" applyFont="1" applyFill="1" applyBorder="1" applyAlignment="1">
      <alignment vertical="top" wrapText="1"/>
    </xf>
    <xf numFmtId="0" fontId="17" fillId="6" borderId="17" xfId="0" applyFont="1" applyFill="1" applyBorder="1" applyAlignment="1">
      <alignment vertical="center" wrapText="1"/>
    </xf>
    <xf numFmtId="0" fontId="17" fillId="6" borderId="17" xfId="0" applyFont="1" applyFill="1" applyBorder="1" applyAlignment="1">
      <alignment horizontal="left" vertical="center" wrapText="1"/>
    </xf>
    <xf numFmtId="6" fontId="17" fillId="0" borderId="0" xfId="0" applyNumberFormat="1" applyFont="1" applyAlignment="1">
      <alignment horizontal="center" vertical="top"/>
    </xf>
    <xf numFmtId="0" fontId="15" fillId="3" borderId="9" xfId="0" applyFont="1" applyFill="1" applyBorder="1"/>
    <xf numFmtId="0" fontId="16" fillId="7" borderId="13" xfId="0" applyFont="1" applyFill="1" applyBorder="1" applyAlignment="1">
      <alignment wrapText="1"/>
    </xf>
    <xf numFmtId="0" fontId="16" fillId="7" borderId="14" xfId="0" applyFont="1" applyFill="1" applyBorder="1" applyAlignment="1">
      <alignment wrapText="1"/>
    </xf>
    <xf numFmtId="0" fontId="7" fillId="7" borderId="0" xfId="0" applyFont="1" applyFill="1"/>
    <xf numFmtId="0" fontId="16" fillId="7" borderId="24" xfId="0" applyFont="1" applyFill="1" applyBorder="1" applyAlignment="1">
      <alignment wrapText="1"/>
    </xf>
    <xf numFmtId="0" fontId="16" fillId="2" borderId="2" xfId="0" applyFont="1" applyFill="1" applyBorder="1" applyAlignment="1">
      <alignment wrapText="1"/>
    </xf>
    <xf numFmtId="0" fontId="15" fillId="2" borderId="9" xfId="0" applyFont="1" applyFill="1" applyBorder="1"/>
    <xf numFmtId="0" fontId="16" fillId="7" borderId="3" xfId="0" applyFont="1" applyFill="1" applyBorder="1" applyAlignment="1">
      <alignment vertical="top"/>
    </xf>
    <xf numFmtId="0" fontId="16" fillId="7" borderId="3" xfId="0" applyFont="1" applyFill="1" applyBorder="1" applyAlignment="1">
      <alignment horizontal="left" vertical="top" wrapText="1"/>
    </xf>
    <xf numFmtId="0" fontId="17" fillId="0" borderId="2" xfId="0" applyFont="1" applyBorder="1"/>
    <xf numFmtId="0" fontId="7" fillId="0" borderId="2" xfId="0" applyFont="1" applyBorder="1"/>
    <xf numFmtId="0" fontId="16" fillId="7" borderId="3" xfId="0" applyFont="1" applyFill="1" applyBorder="1" applyAlignment="1">
      <alignment vertical="top" wrapText="1"/>
    </xf>
    <xf numFmtId="0" fontId="16" fillId="5" borderId="10" xfId="0" applyFont="1" applyFill="1" applyBorder="1" applyAlignment="1">
      <alignment vertical="top"/>
    </xf>
    <xf numFmtId="0" fontId="17" fillId="8" borderId="3" xfId="0" applyFont="1" applyFill="1" applyBorder="1"/>
    <xf numFmtId="0" fontId="7" fillId="8" borderId="3" xfId="0" applyFont="1" applyFill="1" applyBorder="1"/>
    <xf numFmtId="0" fontId="7" fillId="7" borderId="3" xfId="0" applyFont="1" applyFill="1" applyBorder="1"/>
    <xf numFmtId="0" fontId="19" fillId="7" borderId="3" xfId="0" applyFont="1" applyFill="1" applyBorder="1"/>
    <xf numFmtId="0" fontId="19" fillId="7" borderId="4" xfId="0" applyFont="1" applyFill="1" applyBorder="1"/>
    <xf numFmtId="0" fontId="16" fillId="7" borderId="14" xfId="0" applyFont="1" applyFill="1" applyBorder="1" applyAlignment="1">
      <alignment horizontal="left" wrapText="1"/>
    </xf>
    <xf numFmtId="0" fontId="15" fillId="7" borderId="25" xfId="0" applyFont="1" applyFill="1" applyBorder="1"/>
    <xf numFmtId="0" fontId="16" fillId="7" borderId="27" xfId="0" applyFont="1" applyFill="1" applyBorder="1" applyAlignment="1">
      <alignment horizontal="left" wrapText="1"/>
    </xf>
    <xf numFmtId="0" fontId="15" fillId="7" borderId="26" xfId="0" applyFont="1" applyFill="1" applyBorder="1"/>
    <xf numFmtId="0" fontId="17" fillId="0" borderId="10" xfId="0" applyFont="1" applyBorder="1"/>
    <xf numFmtId="14" fontId="12" fillId="0" borderId="0" xfId="0" applyNumberFormat="1" applyFont="1"/>
    <xf numFmtId="0" fontId="16" fillId="7" borderId="5" xfId="0" applyFont="1" applyFill="1" applyBorder="1"/>
    <xf numFmtId="0" fontId="17" fillId="0" borderId="7" xfId="0" applyFont="1" applyBorder="1" applyAlignment="1">
      <alignment vertical="top" wrapText="1"/>
    </xf>
    <xf numFmtId="0" fontId="17" fillId="0" borderId="7" xfId="0" applyFont="1" applyBorder="1" applyAlignment="1">
      <alignment horizontal="right"/>
    </xf>
    <xf numFmtId="0" fontId="16" fillId="9" borderId="17" xfId="0" applyFont="1" applyFill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6" fillId="7" borderId="10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center" wrapText="1"/>
    </xf>
    <xf numFmtId="0" fontId="19" fillId="7" borderId="2" xfId="0" applyFont="1" applyFill="1" applyBorder="1"/>
    <xf numFmtId="0" fontId="19" fillId="7" borderId="2" xfId="0" applyFont="1" applyFill="1" applyBorder="1" applyAlignment="1">
      <alignment wrapText="1"/>
    </xf>
    <xf numFmtId="0" fontId="19" fillId="7" borderId="2" xfId="0" applyFont="1" applyFill="1" applyBorder="1" applyAlignment="1">
      <alignment horizontal="right"/>
    </xf>
    <xf numFmtId="0" fontId="19" fillId="7" borderId="2" xfId="0" applyFont="1" applyFill="1" applyBorder="1" applyAlignment="1">
      <alignment horizontal="center" wrapText="1"/>
    </xf>
    <xf numFmtId="0" fontId="19" fillId="7" borderId="2" xfId="0" applyFont="1" applyFill="1" applyBorder="1" applyAlignment="1">
      <alignment horizontal="center"/>
    </xf>
    <xf numFmtId="0" fontId="23" fillId="7" borderId="2" xfId="0" applyFont="1" applyFill="1" applyBorder="1"/>
    <xf numFmtId="0" fontId="19" fillId="7" borderId="5" xfId="0" applyFont="1" applyFill="1" applyBorder="1"/>
    <xf numFmtId="0" fontId="19" fillId="7" borderId="29" xfId="0" applyFont="1" applyFill="1" applyBorder="1"/>
    <xf numFmtId="0" fontId="1" fillId="7" borderId="0" xfId="0" applyFont="1" applyFill="1"/>
    <xf numFmtId="0" fontId="24" fillId="7" borderId="3" xfId="0" applyFont="1" applyFill="1" applyBorder="1" applyAlignment="1">
      <alignment horizontal="left" vertical="top" wrapText="1"/>
    </xf>
    <xf numFmtId="0" fontId="19" fillId="5" borderId="0" xfId="0" applyFont="1" applyFill="1"/>
    <xf numFmtId="0" fontId="15" fillId="5" borderId="0" xfId="0" applyFont="1" applyFill="1"/>
    <xf numFmtId="6" fontId="3" fillId="0" borderId="0" xfId="0" applyNumberFormat="1" applyFont="1" applyAlignment="1">
      <alignment vertical="top"/>
    </xf>
    <xf numFmtId="0" fontId="16" fillId="7" borderId="0" xfId="0" applyFont="1" applyFill="1" applyAlignment="1">
      <alignment horizontal="center" wrapText="1"/>
    </xf>
    <xf numFmtId="0" fontId="16" fillId="7" borderId="3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12" fillId="0" borderId="0" xfId="0" applyFont="1" applyAlignment="1">
      <alignment horizontal="center" wrapText="1"/>
    </xf>
    <xf numFmtId="0" fontId="16" fillId="7" borderId="3" xfId="0" applyFont="1" applyFill="1" applyBorder="1" applyAlignment="1">
      <alignment horizontal="center" wrapText="1"/>
    </xf>
    <xf numFmtId="0" fontId="17" fillId="8" borderId="0" xfId="0" applyFont="1" applyFill="1"/>
    <xf numFmtId="0" fontId="7" fillId="8" borderId="0" xfId="0" applyFont="1" applyFill="1"/>
    <xf numFmtId="0" fontId="17" fillId="7" borderId="3" xfId="0" applyFont="1" applyFill="1" applyBorder="1" applyAlignment="1">
      <alignment horizontal="center" vertical="top"/>
    </xf>
    <xf numFmtId="0" fontId="17" fillId="7" borderId="3" xfId="0" applyFont="1" applyFill="1" applyBorder="1" applyAlignment="1">
      <alignment horizontal="center" wrapText="1"/>
    </xf>
    <xf numFmtId="0" fontId="16" fillId="7" borderId="2" xfId="0" applyFont="1" applyFill="1" applyBorder="1" applyAlignment="1">
      <alignment horizontal="center"/>
    </xf>
    <xf numFmtId="0" fontId="17" fillId="8" borderId="3" xfId="0" applyFont="1" applyFill="1" applyBorder="1" applyAlignment="1">
      <alignment vertical="center" wrapText="1"/>
    </xf>
    <xf numFmtId="0" fontId="17" fillId="8" borderId="10" xfId="0" applyFont="1" applyFill="1" applyBorder="1" applyAlignment="1">
      <alignment vertical="center" wrapText="1"/>
    </xf>
    <xf numFmtId="0" fontId="16" fillId="7" borderId="29" xfId="0" applyFont="1" applyFill="1" applyBorder="1"/>
    <xf numFmtId="0" fontId="15" fillId="3" borderId="26" xfId="0" applyFont="1" applyFill="1" applyBorder="1"/>
    <xf numFmtId="0" fontId="11" fillId="10" borderId="3" xfId="0" applyFont="1" applyFill="1" applyBorder="1"/>
    <xf numFmtId="0" fontId="11" fillId="10" borderId="10" xfId="0" applyFont="1" applyFill="1" applyBorder="1"/>
    <xf numFmtId="0" fontId="17" fillId="10" borderId="3" xfId="0" applyFont="1" applyFill="1" applyBorder="1" applyAlignment="1">
      <alignment vertical="top" wrapText="1"/>
    </xf>
    <xf numFmtId="0" fontId="17" fillId="10" borderId="10" xfId="0" applyFont="1" applyFill="1" applyBorder="1" applyAlignment="1">
      <alignment vertical="top" wrapText="1"/>
    </xf>
    <xf numFmtId="0" fontId="17" fillId="13" borderId="3" xfId="0" applyFont="1" applyFill="1" applyBorder="1" applyAlignment="1">
      <alignment vertical="top" wrapText="1"/>
    </xf>
    <xf numFmtId="0" fontId="17" fillId="13" borderId="10" xfId="0" applyFont="1" applyFill="1" applyBorder="1" applyAlignment="1">
      <alignment vertical="top" wrapText="1"/>
    </xf>
    <xf numFmtId="0" fontId="19" fillId="13" borderId="10" xfId="0" applyFont="1" applyFill="1" applyBorder="1" applyAlignment="1">
      <alignment vertical="top" wrapText="1"/>
    </xf>
    <xf numFmtId="0" fontId="19" fillId="13" borderId="10" xfId="0" applyFont="1" applyFill="1" applyBorder="1" applyAlignment="1">
      <alignment wrapText="1"/>
    </xf>
    <xf numFmtId="6" fontId="19" fillId="13" borderId="2" xfId="0" applyNumberFormat="1" applyFont="1" applyFill="1" applyBorder="1" applyAlignment="1">
      <alignment horizontal="left" vertical="center" wrapText="1"/>
    </xf>
    <xf numFmtId="0" fontId="16" fillId="13" borderId="2" xfId="0" applyFont="1" applyFill="1" applyBorder="1" applyAlignment="1">
      <alignment horizontal="left" vertical="center" wrapText="1"/>
    </xf>
    <xf numFmtId="0" fontId="14" fillId="13" borderId="9" xfId="0" applyFont="1" applyFill="1" applyBorder="1"/>
    <xf numFmtId="0" fontId="17" fillId="8" borderId="3" xfId="0" applyFont="1" applyFill="1" applyBorder="1" applyAlignment="1">
      <alignment horizontal="center" wrapText="1"/>
    </xf>
    <xf numFmtId="0" fontId="17" fillId="8" borderId="0" xfId="0" applyFont="1" applyFill="1" applyAlignment="1">
      <alignment horizontal="center" wrapText="1"/>
    </xf>
    <xf numFmtId="0" fontId="17" fillId="8" borderId="10" xfId="0" applyFont="1" applyFill="1" applyBorder="1" applyAlignment="1">
      <alignment horizontal="center" wrapText="1"/>
    </xf>
    <xf numFmtId="0" fontId="17" fillId="8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7" fillId="7" borderId="0" xfId="0" applyFont="1" applyFill="1"/>
    <xf numFmtId="0" fontId="18" fillId="7" borderId="0" xfId="0" applyFont="1" applyFill="1" applyAlignment="1">
      <alignment vertical="top"/>
    </xf>
    <xf numFmtId="0" fontId="16" fillId="11" borderId="2" xfId="0" applyFont="1" applyFill="1" applyBorder="1" applyAlignment="1">
      <alignment vertical="top"/>
    </xf>
    <xf numFmtId="0" fontId="7" fillId="11" borderId="2" xfId="0" applyFont="1" applyFill="1" applyBorder="1"/>
    <xf numFmtId="6" fontId="16" fillId="11" borderId="2" xfId="0" applyNumberFormat="1" applyFont="1" applyFill="1" applyBorder="1" applyAlignment="1">
      <alignment horizontal="left" vertical="center" wrapText="1"/>
    </xf>
    <xf numFmtId="0" fontId="19" fillId="11" borderId="2" xfId="0" applyFont="1" applyFill="1" applyBorder="1" applyAlignment="1">
      <alignment vertical="center" wrapText="1"/>
    </xf>
    <xf numFmtId="0" fontId="19" fillId="11" borderId="2" xfId="0" applyFont="1" applyFill="1" applyBorder="1" applyAlignment="1">
      <alignment vertical="top"/>
    </xf>
    <xf numFmtId="0" fontId="23" fillId="11" borderId="2" xfId="0" applyFont="1" applyFill="1" applyBorder="1"/>
    <xf numFmtId="0" fontId="19" fillId="11" borderId="2" xfId="0" applyFont="1" applyFill="1" applyBorder="1" applyAlignment="1">
      <alignment wrapText="1"/>
    </xf>
    <xf numFmtId="6" fontId="19" fillId="11" borderId="2" xfId="0" applyNumberFormat="1" applyFont="1" applyFill="1" applyBorder="1" applyAlignment="1">
      <alignment horizontal="left" vertical="center" wrapText="1"/>
    </xf>
    <xf numFmtId="0" fontId="23" fillId="11" borderId="0" xfId="0" applyFont="1" applyFill="1"/>
    <xf numFmtId="0" fontId="20" fillId="11" borderId="9" xfId="0" applyFont="1" applyFill="1" applyBorder="1"/>
    <xf numFmtId="0" fontId="19" fillId="11" borderId="2" xfId="0" applyFont="1" applyFill="1" applyBorder="1" applyAlignment="1">
      <alignment vertical="top" wrapText="1"/>
    </xf>
    <xf numFmtId="0" fontId="14" fillId="11" borderId="2" xfId="0" applyFont="1" applyFill="1" applyBorder="1"/>
    <xf numFmtId="0" fontId="21" fillId="4" borderId="32" xfId="0" applyFont="1" applyFill="1" applyBorder="1" applyAlignment="1">
      <alignment horizontal="center"/>
    </xf>
    <xf numFmtId="0" fontId="21" fillId="4" borderId="33" xfId="0" applyFont="1" applyFill="1" applyBorder="1" applyAlignment="1">
      <alignment horizontal="center"/>
    </xf>
    <xf numFmtId="0" fontId="14" fillId="7" borderId="34" xfId="0" applyFont="1" applyFill="1" applyBorder="1" applyAlignment="1">
      <alignment vertical="center"/>
    </xf>
    <xf numFmtId="6" fontId="17" fillId="0" borderId="18" xfId="0" applyNumberFormat="1" applyFont="1" applyBorder="1" applyAlignment="1">
      <alignment horizontal="center" vertical="center" wrapText="1"/>
    </xf>
    <xf numFmtId="0" fontId="14" fillId="6" borderId="34" xfId="0" applyFont="1" applyFill="1" applyBorder="1" applyAlignment="1">
      <alignment vertical="center"/>
    </xf>
    <xf numFmtId="0" fontId="14" fillId="9" borderId="34" xfId="0" applyFont="1" applyFill="1" applyBorder="1" applyAlignment="1">
      <alignment vertical="center"/>
    </xf>
    <xf numFmtId="0" fontId="14" fillId="11" borderId="34" xfId="0" applyFont="1" applyFill="1" applyBorder="1" applyAlignment="1">
      <alignment vertical="center"/>
    </xf>
    <xf numFmtId="0" fontId="14" fillId="13" borderId="34" xfId="0" applyFont="1" applyFill="1" applyBorder="1" applyAlignment="1">
      <alignment vertical="center"/>
    </xf>
    <xf numFmtId="0" fontId="14" fillId="12" borderId="34" xfId="0" applyFont="1" applyFill="1" applyBorder="1" applyAlignment="1">
      <alignment vertical="center"/>
    </xf>
    <xf numFmtId="0" fontId="14" fillId="10" borderId="34" xfId="0" applyFont="1" applyFill="1" applyBorder="1" applyAlignment="1">
      <alignment vertical="center"/>
    </xf>
    <xf numFmtId="6" fontId="17" fillId="0" borderId="20" xfId="0" applyNumberFormat="1" applyFont="1" applyBorder="1" applyAlignment="1">
      <alignment horizontal="center" vertical="center" wrapText="1"/>
    </xf>
    <xf numFmtId="0" fontId="14" fillId="14" borderId="35" xfId="0" applyFont="1" applyFill="1" applyBorder="1" applyAlignment="1">
      <alignment vertical="center"/>
    </xf>
    <xf numFmtId="0" fontId="17" fillId="14" borderId="0" xfId="0" applyFont="1" applyFill="1" applyAlignment="1">
      <alignment horizontal="left" wrapText="1"/>
    </xf>
    <xf numFmtId="0" fontId="19" fillId="14" borderId="0" xfId="0" applyFont="1" applyFill="1" applyAlignment="1">
      <alignment horizontal="left" vertical="top" wrapText="1"/>
    </xf>
    <xf numFmtId="0" fontId="17" fillId="14" borderId="0" xfId="0" applyFont="1" applyFill="1" applyAlignment="1">
      <alignment horizontal="left" vertical="center" wrapText="1"/>
    </xf>
    <xf numFmtId="0" fontId="17" fillId="1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16" fillId="7" borderId="3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22" fillId="0" borderId="0" xfId="0" applyFont="1" applyAlignment="1">
      <alignment horizontal="right" vertical="center" textRotation="180" wrapText="1"/>
    </xf>
    <xf numFmtId="0" fontId="16" fillId="7" borderId="11" xfId="0" applyFont="1" applyFill="1" applyBorder="1" applyAlignment="1">
      <alignment horizontal="center" vertical="top" wrapText="1"/>
    </xf>
    <xf numFmtId="0" fontId="16" fillId="7" borderId="12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right" vertical="center" wrapText="1"/>
    </xf>
    <xf numFmtId="0" fontId="16" fillId="7" borderId="28" xfId="0" applyFont="1" applyFill="1" applyBorder="1" applyAlignment="1">
      <alignment horizontal="center" vertical="top" wrapText="1"/>
    </xf>
    <xf numFmtId="0" fontId="16" fillId="7" borderId="6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right" wrapText="1"/>
    </xf>
    <xf numFmtId="0" fontId="16" fillId="7" borderId="2" xfId="0" applyFont="1" applyFill="1" applyBorder="1" applyAlignment="1">
      <alignment horizontal="left" vertical="top" wrapText="1"/>
    </xf>
    <xf numFmtId="0" fontId="16" fillId="6" borderId="17" xfId="0" applyFont="1" applyFill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right" vertical="center"/>
    </xf>
    <xf numFmtId="0" fontId="16" fillId="7" borderId="1" xfId="0" applyFont="1" applyFill="1" applyBorder="1" applyAlignment="1">
      <alignment horizontal="left" vertical="top" wrapText="1"/>
    </xf>
    <xf numFmtId="0" fontId="16" fillId="7" borderId="2" xfId="0" applyFont="1" applyFill="1" applyBorder="1" applyAlignment="1">
      <alignment wrapText="1"/>
    </xf>
    <xf numFmtId="0" fontId="17" fillId="7" borderId="2" xfId="0" applyFont="1" applyFill="1" applyBorder="1" applyAlignment="1">
      <alignment wrapText="1"/>
    </xf>
    <xf numFmtId="0" fontId="16" fillId="7" borderId="14" xfId="0" applyFont="1" applyFill="1" applyBorder="1" applyAlignment="1">
      <alignment horizontal="left" vertical="top" wrapText="1"/>
    </xf>
    <xf numFmtId="0" fontId="16" fillId="7" borderId="13" xfId="0" applyFont="1" applyFill="1" applyBorder="1" applyAlignment="1">
      <alignment horizontal="left" vertical="top" wrapText="1"/>
    </xf>
    <xf numFmtId="0" fontId="16" fillId="7" borderId="2" xfId="0" applyFont="1" applyFill="1" applyBorder="1" applyAlignment="1">
      <alignment vertical="top" wrapText="1"/>
    </xf>
    <xf numFmtId="0" fontId="16" fillId="7" borderId="3" xfId="0" applyFont="1" applyFill="1" applyBorder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17" fillId="0" borderId="7" xfId="0" applyFont="1" applyBorder="1" applyAlignment="1">
      <alignment horizontal="center" vertical="center" textRotation="180" wrapText="1"/>
    </xf>
    <xf numFmtId="0" fontId="17" fillId="2" borderId="17" xfId="0" applyFont="1" applyFill="1" applyBorder="1" applyAlignment="1">
      <alignment horizontal="left" vertical="center" wrapText="1"/>
    </xf>
    <xf numFmtId="6" fontId="16" fillId="7" borderId="2" xfId="0" applyNumberFormat="1" applyFont="1" applyFill="1" applyBorder="1" applyAlignment="1">
      <alignment horizontal="left" vertical="top" wrapText="1"/>
    </xf>
    <xf numFmtId="0" fontId="16" fillId="9" borderId="17" xfId="0" applyFont="1" applyFill="1" applyBorder="1" applyAlignment="1">
      <alignment horizontal="left" vertical="top" wrapText="1"/>
    </xf>
    <xf numFmtId="6" fontId="12" fillId="3" borderId="0" xfId="0" applyNumberFormat="1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2" fillId="0" borderId="0" xfId="0" applyFont="1" applyAlignment="1">
      <alignment horizontal="center" wrapText="1"/>
    </xf>
    <xf numFmtId="0" fontId="19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6" fontId="12" fillId="0" borderId="0" xfId="0" applyNumberFormat="1" applyFont="1" applyAlignment="1">
      <alignment horizontal="center"/>
    </xf>
    <xf numFmtId="0" fontId="2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9" fillId="5" borderId="2" xfId="0" applyFont="1" applyFill="1" applyBorder="1" applyAlignment="1">
      <alignment wrapText="1"/>
    </xf>
    <xf numFmtId="0" fontId="17" fillId="5" borderId="2" xfId="0" applyFont="1" applyFill="1" applyBorder="1" applyAlignment="1">
      <alignment wrapText="1"/>
    </xf>
    <xf numFmtId="0" fontId="19" fillId="11" borderId="2" xfId="0" applyFont="1" applyFill="1" applyBorder="1" applyAlignment="1">
      <alignment horizontal="left" vertical="top" wrapText="1"/>
    </xf>
    <xf numFmtId="6" fontId="17" fillId="0" borderId="0" xfId="0" applyNumberFormat="1" applyFont="1" applyAlignment="1">
      <alignment horizontal="center" vertical="top"/>
    </xf>
    <xf numFmtId="0" fontId="19" fillId="11" borderId="2" xfId="0" applyFont="1" applyFill="1" applyBorder="1" applyAlignment="1">
      <alignment horizontal="left" wrapText="1"/>
    </xf>
    <xf numFmtId="0" fontId="16" fillId="7" borderId="2" xfId="0" applyFont="1" applyFill="1" applyBorder="1" applyAlignment="1">
      <alignment horizontal="left" wrapText="1"/>
    </xf>
    <xf numFmtId="6" fontId="3" fillId="0" borderId="8" xfId="0" applyNumberFormat="1" applyFont="1" applyBorder="1" applyAlignment="1">
      <alignment horizontal="center" vertical="top"/>
    </xf>
    <xf numFmtId="6" fontId="3" fillId="0" borderId="0" xfId="0" applyNumberFormat="1" applyFont="1" applyAlignment="1">
      <alignment horizontal="center" vertical="top"/>
    </xf>
    <xf numFmtId="6" fontId="19" fillId="2" borderId="2" xfId="0" applyNumberFormat="1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16" fillId="5" borderId="2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 wrapText="1"/>
    </xf>
    <xf numFmtId="0" fontId="19" fillId="5" borderId="10" xfId="0" applyFont="1" applyFill="1" applyBorder="1" applyAlignment="1">
      <alignment horizontal="left" vertical="top"/>
    </xf>
    <xf numFmtId="0" fontId="16" fillId="5" borderId="2" xfId="0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horizontal="center" vertical="top" wrapText="1"/>
    </xf>
    <xf numFmtId="0" fontId="16" fillId="7" borderId="0" xfId="0" applyFont="1" applyFill="1" applyAlignment="1">
      <alignment horizontal="center" vertical="top" wrapText="1"/>
    </xf>
    <xf numFmtId="0" fontId="16" fillId="7" borderId="10" xfId="0" applyFont="1" applyFill="1" applyBorder="1" applyAlignment="1">
      <alignment horizontal="center" vertical="top" wrapText="1"/>
    </xf>
    <xf numFmtId="0" fontId="21" fillId="4" borderId="30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left" vertical="top" wrapText="1"/>
    </xf>
    <xf numFmtId="0" fontId="17" fillId="0" borderId="7" xfId="0" applyFont="1" applyBorder="1" applyAlignment="1">
      <alignment horizontal="center" vertical="top"/>
    </xf>
    <xf numFmtId="0" fontId="16" fillId="9" borderId="17" xfId="0" applyFont="1" applyFill="1" applyBorder="1" applyAlignment="1">
      <alignment horizontal="left" vertical="center" wrapText="1"/>
    </xf>
    <xf numFmtId="0" fontId="19" fillId="11" borderId="11" xfId="0" applyFont="1" applyFill="1" applyBorder="1" applyAlignment="1">
      <alignment horizontal="center" vertical="top" wrapText="1"/>
    </xf>
    <xf numFmtId="0" fontId="19" fillId="11" borderId="12" xfId="0" applyFont="1" applyFill="1" applyBorder="1" applyAlignment="1">
      <alignment horizontal="center" vertical="top" wrapText="1"/>
    </xf>
    <xf numFmtId="0" fontId="16" fillId="7" borderId="0" xfId="0" applyFont="1" applyFill="1" applyAlignment="1">
      <alignment horizontal="center" vertical="center"/>
    </xf>
    <xf numFmtId="0" fontId="16" fillId="7" borderId="24" xfId="0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wrapText="1"/>
    </xf>
    <xf numFmtId="0" fontId="17" fillId="8" borderId="0" xfId="0" applyFont="1" applyFill="1" applyAlignment="1">
      <alignment horizontal="center" wrapText="1"/>
    </xf>
    <xf numFmtId="0" fontId="17" fillId="8" borderId="10" xfId="0" applyFont="1" applyFill="1" applyBorder="1" applyAlignment="1">
      <alignment horizontal="center" wrapText="1"/>
    </xf>
    <xf numFmtId="0" fontId="17" fillId="8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/>
    </xf>
    <xf numFmtId="0" fontId="17" fillId="10" borderId="0" xfId="0" applyFont="1" applyFill="1" applyBorder="1" applyAlignment="1">
      <alignment vertical="top" wrapText="1"/>
    </xf>
    <xf numFmtId="0" fontId="16" fillId="10" borderId="0" xfId="0" applyFont="1" applyFill="1" applyBorder="1" applyAlignment="1">
      <alignment horizontal="center" vertical="top" wrapText="1"/>
    </xf>
    <xf numFmtId="0" fontId="16" fillId="10" borderId="0" xfId="0" applyFont="1" applyFill="1" applyBorder="1" applyAlignment="1">
      <alignment vertical="top" wrapText="1"/>
    </xf>
    <xf numFmtId="0" fontId="14" fillId="10" borderId="36" xfId="0" applyFont="1" applyFill="1" applyBorder="1" applyAlignment="1">
      <alignment vertical="center"/>
    </xf>
    <xf numFmtId="6" fontId="17" fillId="0" borderId="37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/>
    </xf>
    <xf numFmtId="10" fontId="14" fillId="0" borderId="38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vertical="center" wrapText="1"/>
    </xf>
    <xf numFmtId="0" fontId="14" fillId="15" borderId="34" xfId="0" applyFont="1" applyFill="1" applyBorder="1" applyAlignment="1">
      <alignment vertical="center"/>
    </xf>
    <xf numFmtId="0" fontId="19" fillId="15" borderId="17" xfId="0" applyFont="1" applyFill="1" applyBorder="1" applyAlignment="1">
      <alignment vertical="top" wrapText="1"/>
    </xf>
    <xf numFmtId="0" fontId="19" fillId="15" borderId="17" xfId="0" applyFont="1" applyFill="1" applyBorder="1" applyAlignment="1">
      <alignment horizontal="left" vertical="center" wrapText="1"/>
    </xf>
    <xf numFmtId="0" fontId="16" fillId="7" borderId="0" xfId="0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horizontal="left" vertical="top" wrapText="1"/>
    </xf>
    <xf numFmtId="0" fontId="7" fillId="0" borderId="5" xfId="0" applyFont="1" applyBorder="1"/>
    <xf numFmtId="0" fontId="7" fillId="0" borderId="39" xfId="0" applyFont="1" applyBorder="1"/>
    <xf numFmtId="0" fontId="7" fillId="0" borderId="40" xfId="0" applyFont="1" applyBorder="1"/>
    <xf numFmtId="0" fontId="7" fillId="0" borderId="41" xfId="0" applyFont="1" applyBorder="1"/>
    <xf numFmtId="0" fontId="14" fillId="16" borderId="34" xfId="0" applyFont="1" applyFill="1" applyBorder="1" applyAlignment="1">
      <alignment vertical="center"/>
    </xf>
    <xf numFmtId="0" fontId="14" fillId="17" borderId="34" xfId="0" applyFont="1" applyFill="1" applyBorder="1" applyAlignment="1">
      <alignment vertical="center"/>
    </xf>
    <xf numFmtId="0" fontId="16" fillId="16" borderId="17" xfId="0" applyFont="1" applyFill="1" applyBorder="1" applyAlignment="1">
      <alignment vertical="top" wrapText="1"/>
    </xf>
    <xf numFmtId="0" fontId="16" fillId="16" borderId="17" xfId="0" applyFont="1" applyFill="1" applyBorder="1" applyAlignment="1">
      <alignment horizontal="left" vertical="center" wrapText="1"/>
    </xf>
    <xf numFmtId="0" fontId="14" fillId="5" borderId="0" xfId="0" applyFont="1" applyFill="1" applyBorder="1" applyAlignment="1">
      <alignment vertical="center"/>
    </xf>
    <xf numFmtId="0" fontId="16" fillId="0" borderId="0" xfId="0" applyFont="1" applyBorder="1" applyAlignment="1">
      <alignment vertical="top" wrapText="1"/>
    </xf>
    <xf numFmtId="0" fontId="16" fillId="6" borderId="42" xfId="0" applyFont="1" applyFill="1" applyBorder="1" applyAlignment="1">
      <alignment horizontal="left" vertical="top" wrapText="1"/>
    </xf>
    <xf numFmtId="0" fontId="16" fillId="9" borderId="42" xfId="0" applyFont="1" applyFill="1" applyBorder="1" applyAlignment="1">
      <alignment horizontal="left" vertical="top" wrapText="1"/>
    </xf>
    <xf numFmtId="0" fontId="1" fillId="0" borderId="7" xfId="0" applyFont="1" applyBorder="1"/>
    <xf numFmtId="0" fontId="16" fillId="0" borderId="44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17" fillId="17" borderId="17" xfId="0" applyFont="1" applyFill="1" applyBorder="1" applyAlignment="1">
      <alignment horizontal="left" vertical="center" wrapText="1"/>
    </xf>
    <xf numFmtId="0" fontId="17" fillId="17" borderId="17" xfId="0" applyFont="1" applyFill="1" applyBorder="1" applyAlignment="1">
      <alignment vertical="center" wrapText="1"/>
    </xf>
    <xf numFmtId="0" fontId="17" fillId="17" borderId="43" xfId="0" applyFont="1" applyFill="1" applyBorder="1" applyAlignment="1">
      <alignment wrapText="1"/>
    </xf>
    <xf numFmtId="0" fontId="14" fillId="16" borderId="17" xfId="0" applyFont="1" applyFill="1" applyBorder="1" applyAlignment="1">
      <alignment vertical="center"/>
    </xf>
    <xf numFmtId="0" fontId="19" fillId="11" borderId="1" xfId="0" applyFont="1" applyFill="1" applyBorder="1" applyAlignment="1">
      <alignment vertical="top" wrapText="1"/>
    </xf>
    <xf numFmtId="10" fontId="14" fillId="0" borderId="0" xfId="0" applyNumberFormat="1" applyFont="1" applyBorder="1" applyAlignment="1">
      <alignment horizontal="center" vertical="center"/>
    </xf>
    <xf numFmtId="0" fontId="14" fillId="15" borderId="17" xfId="0" applyFont="1" applyFill="1" applyBorder="1" applyAlignment="1">
      <alignment vertical="center"/>
    </xf>
    <xf numFmtId="0" fontId="17" fillId="15" borderId="17" xfId="0" applyFont="1" applyFill="1" applyBorder="1" applyAlignment="1">
      <alignment vertical="center" wrapText="1"/>
    </xf>
    <xf numFmtId="0" fontId="20" fillId="15" borderId="17" xfId="0" applyFont="1" applyFill="1" applyBorder="1" applyAlignment="1">
      <alignment vertical="center"/>
    </xf>
    <xf numFmtId="0" fontId="16" fillId="16" borderId="45" xfId="0" applyFont="1" applyFill="1" applyBorder="1" applyAlignment="1">
      <alignment vertical="top" wrapText="1"/>
    </xf>
    <xf numFmtId="0" fontId="17" fillId="13" borderId="11" xfId="0" applyFont="1" applyFill="1" applyBorder="1" applyAlignment="1">
      <alignment vertical="top" wrapText="1"/>
    </xf>
    <xf numFmtId="0" fontId="17" fillId="13" borderId="12" xfId="0" applyFont="1" applyFill="1" applyBorder="1" applyAlignment="1">
      <alignment vertical="top" wrapText="1"/>
    </xf>
    <xf numFmtId="0" fontId="17" fillId="13" borderId="6" xfId="0" applyFont="1" applyFill="1" applyBorder="1" applyAlignment="1">
      <alignment vertical="top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" xfId="0" applyFont="1" applyFill="1" applyBorder="1" applyAlignment="1">
      <alignment horizontal="center" vertical="top"/>
    </xf>
    <xf numFmtId="0" fontId="17" fillId="13" borderId="5" xfId="0" applyFont="1" applyFill="1" applyBorder="1" applyAlignment="1">
      <alignment horizontal="center" vertical="top" wrapText="1"/>
    </xf>
    <xf numFmtId="0" fontId="17" fillId="13" borderId="29" xfId="0" applyFont="1" applyFill="1" applyBorder="1" applyAlignment="1">
      <alignment horizontal="center" vertical="top"/>
    </xf>
    <xf numFmtId="0" fontId="16" fillId="7" borderId="11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0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29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vertical="top" wrapText="1"/>
    </xf>
    <xf numFmtId="0" fontId="17" fillId="10" borderId="12" xfId="0" applyFont="1" applyFill="1" applyBorder="1" applyAlignment="1">
      <alignment vertical="top" wrapText="1"/>
    </xf>
    <xf numFmtId="0" fontId="17" fillId="10" borderId="6" xfId="0" applyFont="1" applyFill="1" applyBorder="1" applyAlignment="1">
      <alignment vertical="top" wrapText="1"/>
    </xf>
    <xf numFmtId="0" fontId="17" fillId="10" borderId="4" xfId="0" applyFont="1" applyFill="1" applyBorder="1" applyAlignment="1">
      <alignment vertical="top" wrapText="1"/>
    </xf>
    <xf numFmtId="0" fontId="17" fillId="10" borderId="5" xfId="0" applyFont="1" applyFill="1" applyBorder="1" applyAlignment="1">
      <alignment vertical="top" wrapText="1"/>
    </xf>
    <xf numFmtId="0" fontId="17" fillId="10" borderId="2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D393"/>
      <color rgb="FF004B65"/>
      <color rgb="FFCC7321"/>
      <color rgb="FFF2B800"/>
      <color rgb="FF7A9142"/>
      <color rgb="FFF1BF33"/>
      <color rgb="FFFFCB25"/>
      <color rgb="FFFFDB81"/>
      <color rgb="FFC5B7AD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9299</xdr:colOff>
      <xdr:row>55</xdr:row>
      <xdr:rowOff>68036</xdr:rowOff>
    </xdr:from>
    <xdr:to>
      <xdr:col>26</xdr:col>
      <xdr:colOff>27214</xdr:colOff>
      <xdr:row>56</xdr:row>
      <xdr:rowOff>473529</xdr:rowOff>
    </xdr:to>
    <xdr:sp macro="" textlink="">
      <xdr:nvSpPr>
        <xdr:cNvPr id="4" name="Double Brac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188192" y="14804572"/>
          <a:ext cx="3569379" cy="555171"/>
        </a:xfrm>
        <a:prstGeom prst="bracePair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10338</xdr:colOff>
      <xdr:row>10</xdr:row>
      <xdr:rowOff>123698</xdr:rowOff>
    </xdr:from>
    <xdr:to>
      <xdr:col>9</xdr:col>
      <xdr:colOff>0</xdr:colOff>
      <xdr:row>14</xdr:row>
      <xdr:rowOff>259773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8106588" y="3933698"/>
          <a:ext cx="1164412" cy="2104575"/>
          <a:chOff x="38404180" y="1813560"/>
          <a:chExt cx="907924" cy="464821"/>
        </a:xfrm>
      </xdr:grpSpPr>
      <xdr:cxnSp macro="">
        <xdr:nvCxnSpPr>
          <xdr:cNvPr id="16" name="AutoShape 67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404180" y="2151582"/>
            <a:ext cx="246183" cy="126799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17" name="AutoShape 68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646687" y="2150565"/>
            <a:ext cx="177305" cy="12203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18" name="AutoShape 69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824022" y="1872308"/>
            <a:ext cx="1" cy="40024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19" name="AutoShape 70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826446" y="1870682"/>
            <a:ext cx="127814" cy="11637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30" name="AutoShape 71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958150" y="1813560"/>
            <a:ext cx="353954" cy="17388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7</xdr:col>
      <xdr:colOff>13608</xdr:colOff>
      <xdr:row>10</xdr:row>
      <xdr:rowOff>96850</xdr:rowOff>
    </xdr:from>
    <xdr:to>
      <xdr:col>8</xdr:col>
      <xdr:colOff>3271</xdr:colOff>
      <xdr:row>14</xdr:row>
      <xdr:rowOff>103909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6935108" y="3906850"/>
          <a:ext cx="1164413" cy="1975559"/>
          <a:chOff x="38404180" y="1813560"/>
          <a:chExt cx="907924" cy="464821"/>
        </a:xfrm>
      </xdr:grpSpPr>
      <xdr:cxnSp macro="">
        <xdr:nvCxnSpPr>
          <xdr:cNvPr id="27" name="AutoShape 6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404180" y="2151582"/>
            <a:ext cx="246183" cy="126799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28" name="AutoShape 6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646687" y="2150565"/>
            <a:ext cx="177305" cy="12203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29" name="AutoShape 6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824022" y="1872308"/>
            <a:ext cx="1" cy="40024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31" name="AutoShape 7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826446" y="1870682"/>
            <a:ext cx="127814" cy="11637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32" name="AutoShape 7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958150" y="1813560"/>
            <a:ext cx="353954" cy="17388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15</xdr:col>
      <xdr:colOff>1185087</xdr:colOff>
      <xdr:row>9</xdr:row>
      <xdr:rowOff>210436</xdr:rowOff>
    </xdr:from>
    <xdr:to>
      <xdr:col>17</xdr:col>
      <xdr:colOff>0</xdr:colOff>
      <xdr:row>14</xdr:row>
      <xdr:rowOff>103909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7504587" y="3528311"/>
          <a:ext cx="1307288" cy="2354098"/>
          <a:chOff x="38404180" y="1813560"/>
          <a:chExt cx="907924" cy="464821"/>
        </a:xfrm>
      </xdr:grpSpPr>
      <xdr:cxnSp macro="">
        <xdr:nvCxnSpPr>
          <xdr:cNvPr id="21" name="AutoShape 6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404180" y="2151582"/>
            <a:ext cx="246183" cy="126799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22" name="AutoShape 68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646687" y="2150565"/>
            <a:ext cx="177305" cy="12203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23" name="AutoShape 69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824022" y="1872308"/>
            <a:ext cx="1" cy="40024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24" name="AutoShape 70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826446" y="1870682"/>
            <a:ext cx="127814" cy="11637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25" name="AutoShape 7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958150" y="1813560"/>
            <a:ext cx="353954" cy="17388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12</xdr:col>
      <xdr:colOff>1111478</xdr:colOff>
      <xdr:row>55</xdr:row>
      <xdr:rowOff>81643</xdr:rowOff>
    </xdr:from>
    <xdr:to>
      <xdr:col>16</xdr:col>
      <xdr:colOff>1170214</xdr:colOff>
      <xdr:row>57</xdr:row>
      <xdr:rowOff>10886</xdr:rowOff>
    </xdr:to>
    <xdr:sp macro="" textlink="">
      <xdr:nvSpPr>
        <xdr:cNvPr id="39" name="Double Brac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3861371" y="18478500"/>
          <a:ext cx="4794022" cy="555172"/>
        </a:xfrm>
        <a:prstGeom prst="bracePair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1100593</xdr:colOff>
      <xdr:row>55</xdr:row>
      <xdr:rowOff>70758</xdr:rowOff>
    </xdr:from>
    <xdr:to>
      <xdr:col>22</xdr:col>
      <xdr:colOff>1159329</xdr:colOff>
      <xdr:row>57</xdr:row>
      <xdr:rowOff>1</xdr:rowOff>
    </xdr:to>
    <xdr:sp macro="" textlink="">
      <xdr:nvSpPr>
        <xdr:cNvPr id="40" name="Double Brac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953414" y="18467615"/>
          <a:ext cx="4794022" cy="555172"/>
        </a:xfrm>
        <a:prstGeom prst="bracePair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-1</xdr:colOff>
      <xdr:row>9</xdr:row>
      <xdr:rowOff>190500</xdr:rowOff>
    </xdr:from>
    <xdr:to>
      <xdr:col>23</xdr:col>
      <xdr:colOff>190498</xdr:colOff>
      <xdr:row>14</xdr:row>
      <xdr:rowOff>103909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24685624" y="3508375"/>
          <a:ext cx="1492249" cy="2374034"/>
          <a:chOff x="38404180" y="1813560"/>
          <a:chExt cx="907924" cy="464821"/>
        </a:xfrm>
      </xdr:grpSpPr>
      <xdr:cxnSp macro="">
        <xdr:nvCxnSpPr>
          <xdr:cNvPr id="42" name="AutoShape 67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404180" y="2151582"/>
            <a:ext cx="246183" cy="126799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43" name="AutoShape 68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646687" y="2150565"/>
            <a:ext cx="177305" cy="12203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44" name="AutoShape 69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824022" y="1872308"/>
            <a:ext cx="1" cy="400246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45" name="AutoShape 70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8826446" y="1870682"/>
            <a:ext cx="127814" cy="11637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  <xdr:cxnSp macro="">
        <xdr:nvCxnSpPr>
          <xdr:cNvPr id="46" name="AutoShape 71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8958150" y="1813560"/>
            <a:ext cx="353954" cy="173885"/>
          </a:xfrm>
          <a:prstGeom prst="straightConnector1">
            <a:avLst/>
          </a:prstGeom>
          <a:noFill/>
          <a:ln w="22225" algn="ctr">
            <a:solidFill>
              <a:srgbClr val="FFFFFF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U93"/>
  <sheetViews>
    <sheetView showGridLines="0" tabSelected="1" view="pageBreakPreview" zoomScale="60" zoomScaleNormal="55" zoomScalePageLayoutView="124" workbookViewId="0">
      <selection activeCell="G15" sqref="G15"/>
    </sheetView>
  </sheetViews>
  <sheetFormatPr defaultColWidth="9.140625" defaultRowHeight="31.5" x14ac:dyDescent="0.5"/>
  <cols>
    <col min="1" max="1" width="11.140625" style="1" bestFit="1" customWidth="1"/>
    <col min="2" max="2" width="11.85546875" style="1" customWidth="1"/>
    <col min="3" max="3" width="10.28515625" style="1" customWidth="1"/>
    <col min="4" max="16" width="17.7109375" style="16" customWidth="1"/>
    <col min="17" max="17" width="19.85546875" style="16" customWidth="1"/>
    <col min="18" max="22" width="17.7109375" style="16" customWidth="1"/>
    <col min="23" max="23" width="19.5703125" style="16" customWidth="1"/>
    <col min="24" max="26" width="17.7109375" style="16" customWidth="1"/>
    <col min="27" max="27" width="19.140625" style="16" customWidth="1"/>
    <col min="28" max="30" width="17.7109375" style="16" customWidth="1"/>
    <col min="31" max="31" width="14.42578125" style="1" customWidth="1"/>
    <col min="32" max="33" width="12.7109375" style="1" customWidth="1"/>
    <col min="34" max="35" width="11.7109375" style="1" customWidth="1"/>
    <col min="36" max="36" width="2.7109375" style="1" customWidth="1"/>
    <col min="37" max="38" width="13.28515625" style="1" customWidth="1"/>
    <col min="39" max="39" width="12.7109375" style="1" customWidth="1"/>
    <col min="40" max="114" width="13.28515625" style="1" customWidth="1"/>
    <col min="115" max="16384" width="9.140625" style="1"/>
  </cols>
  <sheetData>
    <row r="2" spans="2:30" x14ac:dyDescent="0.5">
      <c r="C2" s="75" t="s">
        <v>16</v>
      </c>
      <c r="J2" s="301"/>
      <c r="K2" s="301"/>
      <c r="L2" s="301"/>
      <c r="M2" s="301"/>
      <c r="N2" s="301"/>
      <c r="O2" s="301"/>
      <c r="P2" s="301"/>
      <c r="R2" s="302"/>
      <c r="S2" s="303"/>
      <c r="T2" s="303"/>
      <c r="U2" s="303"/>
      <c r="V2" s="304"/>
    </row>
    <row r="3" spans="2:30" ht="32.25" customHeight="1" x14ac:dyDescent="0.5">
      <c r="C3" s="137" t="s">
        <v>51</v>
      </c>
      <c r="H3" s="301"/>
      <c r="J3" s="340"/>
      <c r="K3" s="341"/>
      <c r="L3" s="341"/>
      <c r="M3" s="341"/>
      <c r="N3" s="341"/>
      <c r="O3" s="341"/>
      <c r="P3" s="342"/>
      <c r="R3" s="333" t="s">
        <v>79</v>
      </c>
      <c r="S3" s="334"/>
      <c r="T3" s="334"/>
      <c r="U3" s="334"/>
      <c r="V3" s="335"/>
    </row>
    <row r="4" spans="2:30" ht="32.25" customHeight="1" x14ac:dyDescent="0.5">
      <c r="C4" s="137"/>
      <c r="J4" s="171"/>
      <c r="K4" s="288"/>
      <c r="L4" s="288"/>
      <c r="M4" s="288"/>
      <c r="N4" s="288"/>
      <c r="O4" s="288"/>
      <c r="P4" s="172"/>
      <c r="R4" s="280"/>
      <c r="S4" s="336"/>
      <c r="T4" s="336"/>
      <c r="U4" s="336"/>
      <c r="V4" s="281"/>
    </row>
    <row r="5" spans="2:30" ht="23.25" customHeight="1" x14ac:dyDescent="0.5">
      <c r="C5" s="75"/>
      <c r="J5" s="171"/>
      <c r="K5" s="288"/>
      <c r="L5" s="289" t="s">
        <v>86</v>
      </c>
      <c r="M5" s="289"/>
      <c r="N5" s="289"/>
      <c r="O5" s="288"/>
      <c r="P5" s="172"/>
      <c r="R5" s="337"/>
      <c r="S5" s="338"/>
      <c r="T5" s="338"/>
      <c r="U5" s="338"/>
      <c r="V5" s="339"/>
    </row>
    <row r="6" spans="2:30" ht="24" customHeight="1" x14ac:dyDescent="0.5">
      <c r="C6" s="274" t="s">
        <v>53</v>
      </c>
      <c r="D6" s="25"/>
      <c r="E6" s="25"/>
      <c r="F6" s="25"/>
      <c r="G6" s="25"/>
      <c r="H6" s="25"/>
      <c r="I6" s="25"/>
      <c r="J6" s="171"/>
      <c r="K6" s="288"/>
      <c r="L6" s="289" t="s">
        <v>73</v>
      </c>
      <c r="M6" s="289"/>
      <c r="N6" s="289"/>
      <c r="O6" s="288"/>
      <c r="P6" s="172"/>
      <c r="Q6" s="25"/>
      <c r="R6" s="169"/>
      <c r="S6" s="286" t="s">
        <v>78</v>
      </c>
      <c r="T6" s="287"/>
      <c r="U6" s="287"/>
      <c r="V6" s="170"/>
      <c r="W6" s="25"/>
      <c r="X6" s="25"/>
      <c r="AC6" s="25"/>
      <c r="AD6" s="25"/>
    </row>
    <row r="7" spans="2:30" ht="24" customHeight="1" thickBot="1" x14ac:dyDescent="0.55000000000000004">
      <c r="C7" s="274"/>
      <c r="D7" s="40"/>
      <c r="E7" s="41"/>
      <c r="F7" s="41"/>
      <c r="G7" s="41"/>
      <c r="H7" s="231" t="s">
        <v>14</v>
      </c>
      <c r="I7" s="227" t="s">
        <v>28</v>
      </c>
      <c r="J7" s="171"/>
      <c r="K7" s="288"/>
      <c r="L7" s="290"/>
      <c r="M7" s="290" t="s">
        <v>37</v>
      </c>
      <c r="N7" s="290"/>
      <c r="O7" s="288"/>
      <c r="P7" s="172"/>
      <c r="Q7" s="299" t="s">
        <v>57</v>
      </c>
      <c r="R7" s="171"/>
      <c r="S7" s="287"/>
      <c r="T7" s="287"/>
      <c r="U7" s="287"/>
      <c r="V7" s="172"/>
      <c r="W7" s="300" t="s">
        <v>57</v>
      </c>
      <c r="X7" s="44"/>
      <c r="AC7" s="45"/>
      <c r="AD7" s="45"/>
    </row>
    <row r="8" spans="2:30" ht="24" customHeight="1" thickTop="1" thickBot="1" x14ac:dyDescent="0.4">
      <c r="C8" s="75"/>
      <c r="D8" s="82"/>
      <c r="E8" s="41"/>
      <c r="F8" s="41"/>
      <c r="G8" s="41"/>
      <c r="H8" s="227"/>
      <c r="I8" s="227"/>
      <c r="J8" s="171"/>
      <c r="K8" s="288"/>
      <c r="L8" s="289" t="s">
        <v>87</v>
      </c>
      <c r="M8" s="289"/>
      <c r="N8" s="289"/>
      <c r="O8" s="288"/>
      <c r="P8" s="172"/>
      <c r="Q8" s="299"/>
      <c r="R8" s="171"/>
      <c r="S8" s="287"/>
      <c r="T8" s="287"/>
      <c r="U8" s="287"/>
      <c r="V8" s="172"/>
      <c r="W8" s="300"/>
      <c r="X8" s="44"/>
      <c r="Y8" s="271" t="s">
        <v>1</v>
      </c>
      <c r="Z8" s="272"/>
      <c r="AA8" s="199" t="s">
        <v>15</v>
      </c>
      <c r="AB8" s="200" t="s">
        <v>2</v>
      </c>
      <c r="AC8" s="45"/>
      <c r="AD8" s="44"/>
    </row>
    <row r="9" spans="2:30" ht="39" customHeight="1" thickBot="1" x14ac:dyDescent="0.4">
      <c r="C9" s="75"/>
      <c r="D9" s="82"/>
      <c r="E9" s="41"/>
      <c r="F9" s="41"/>
      <c r="G9" s="41"/>
      <c r="H9" s="227"/>
      <c r="I9" s="227"/>
      <c r="J9" s="171"/>
      <c r="K9" s="288"/>
      <c r="L9" s="288"/>
      <c r="M9" s="288"/>
      <c r="N9" s="288"/>
      <c r="O9" s="288"/>
      <c r="P9" s="172"/>
      <c r="Q9" s="299"/>
      <c r="R9" s="171"/>
      <c r="S9" s="287"/>
      <c r="T9" s="287"/>
      <c r="U9" s="287"/>
      <c r="V9" s="172"/>
      <c r="W9" s="300"/>
      <c r="X9" s="44"/>
      <c r="Y9" s="201"/>
      <c r="Z9" s="202" t="str">
        <f>A59</f>
        <v>CNA</v>
      </c>
      <c r="AA9" s="50" t="s">
        <v>45</v>
      </c>
      <c r="AB9" s="51">
        <f>C59</f>
        <v>0.33866646818202706</v>
      </c>
      <c r="AC9" s="45"/>
      <c r="AD9" s="45"/>
    </row>
    <row r="10" spans="2:30" ht="39" customHeight="1" thickBot="1" x14ac:dyDescent="0.4">
      <c r="B10" s="219" t="s">
        <v>18</v>
      </c>
      <c r="C10" s="75"/>
      <c r="D10" s="314"/>
      <c r="E10" s="139"/>
      <c r="F10" s="41"/>
      <c r="G10" s="41"/>
      <c r="H10" s="227"/>
      <c r="I10" s="227"/>
      <c r="J10" s="343"/>
      <c r="K10" s="344"/>
      <c r="L10" s="344"/>
      <c r="M10" s="344"/>
      <c r="N10" s="344"/>
      <c r="O10" s="344"/>
      <c r="P10" s="345"/>
      <c r="Q10" s="299"/>
      <c r="R10" s="326"/>
      <c r="S10" s="327"/>
      <c r="T10" s="327"/>
      <c r="U10" s="327"/>
      <c r="V10" s="328"/>
      <c r="W10" s="300"/>
      <c r="X10" s="44"/>
      <c r="Y10" s="203"/>
      <c r="Z10" s="202" t="str">
        <f>A61</f>
        <v>Beazley</v>
      </c>
      <c r="AA10" s="50" t="s">
        <v>45</v>
      </c>
      <c r="AB10" s="51">
        <f>C61</f>
        <v>0.12792836558651738</v>
      </c>
      <c r="AC10" s="45"/>
      <c r="AD10" s="45"/>
    </row>
    <row r="11" spans="2:30" ht="39" customHeight="1" thickBot="1" x14ac:dyDescent="0.4">
      <c r="B11" s="219"/>
      <c r="C11" s="136" t="s">
        <v>72</v>
      </c>
      <c r="D11" s="316" t="s">
        <v>98</v>
      </c>
      <c r="E11" s="47"/>
      <c r="F11" s="82"/>
      <c r="G11" s="82"/>
      <c r="H11" s="49"/>
      <c r="I11" s="100"/>
      <c r="J11" s="100"/>
      <c r="K11" s="185"/>
      <c r="L11" s="185"/>
      <c r="M11" s="186"/>
      <c r="N11" s="186"/>
      <c r="O11" s="186"/>
      <c r="P11" s="186"/>
      <c r="Q11" s="300"/>
      <c r="R11" s="173"/>
      <c r="S11" s="329" t="s">
        <v>77</v>
      </c>
      <c r="T11" s="329"/>
      <c r="U11" s="329"/>
      <c r="V11" s="174"/>
      <c r="W11" s="300"/>
      <c r="X11" s="44"/>
      <c r="Y11" s="204"/>
      <c r="Z11" s="202" t="str">
        <f>A60</f>
        <v>AXA XL</v>
      </c>
      <c r="AA11" s="50" t="s">
        <v>45</v>
      </c>
      <c r="AB11" s="51">
        <f>C60</f>
        <v>0.11513552902786563</v>
      </c>
      <c r="AC11" s="45"/>
      <c r="AD11" s="45"/>
    </row>
    <row r="12" spans="2:30" ht="39" customHeight="1" thickBot="1" x14ac:dyDescent="0.4">
      <c r="B12" s="219"/>
      <c r="C12" s="295"/>
      <c r="D12" s="317" t="s">
        <v>99</v>
      </c>
      <c r="E12" s="47"/>
      <c r="F12" s="82"/>
      <c r="G12" s="82"/>
      <c r="H12" s="49"/>
      <c r="I12" s="100"/>
      <c r="J12" s="100"/>
      <c r="K12" s="185"/>
      <c r="L12" s="185"/>
      <c r="M12" s="186"/>
      <c r="N12" s="186"/>
      <c r="O12" s="186"/>
      <c r="P12" s="186"/>
      <c r="Q12" s="300"/>
      <c r="R12" s="173"/>
      <c r="S12" s="329"/>
      <c r="T12" s="329"/>
      <c r="U12" s="329"/>
      <c r="V12" s="174"/>
      <c r="W12" s="300"/>
      <c r="X12" s="44"/>
      <c r="Y12" s="305"/>
      <c r="Z12" s="202" t="s">
        <v>88</v>
      </c>
      <c r="AA12" s="50" t="s">
        <v>89</v>
      </c>
      <c r="AB12" s="51">
        <f>C67</f>
        <v>8.2344377156986434E-2</v>
      </c>
      <c r="AC12" s="45"/>
      <c r="AD12" s="45"/>
    </row>
    <row r="13" spans="2:30" ht="39" customHeight="1" thickBot="1" x14ac:dyDescent="0.4">
      <c r="B13" s="219"/>
      <c r="C13" s="295"/>
      <c r="D13" s="317"/>
      <c r="E13" s="139"/>
      <c r="F13" s="82"/>
      <c r="G13" s="82"/>
      <c r="H13" s="49"/>
      <c r="I13" s="100"/>
      <c r="J13" s="100"/>
      <c r="K13" s="185"/>
      <c r="L13" s="185"/>
      <c r="M13" s="186"/>
      <c r="N13" s="186"/>
      <c r="O13" s="186"/>
      <c r="P13" s="186"/>
      <c r="Q13" s="300"/>
      <c r="R13" s="173"/>
      <c r="S13" s="329"/>
      <c r="T13" s="329"/>
      <c r="U13" s="329"/>
      <c r="V13" s="174"/>
      <c r="W13" s="300"/>
      <c r="X13" s="44"/>
      <c r="Y13" s="296"/>
      <c r="Z13" s="202" t="s">
        <v>93</v>
      </c>
      <c r="AA13" s="50" t="s">
        <v>89</v>
      </c>
      <c r="AB13" s="51">
        <f>C68</f>
        <v>7.8981688690140828E-2</v>
      </c>
      <c r="AC13" s="45"/>
      <c r="AD13" s="45"/>
    </row>
    <row r="14" spans="2:30" ht="39" customHeight="1" thickBot="1" x14ac:dyDescent="0.4">
      <c r="B14" s="219"/>
      <c r="C14" s="313"/>
      <c r="D14" s="318" t="s">
        <v>100</v>
      </c>
      <c r="E14" s="139"/>
      <c r="F14" s="315"/>
      <c r="G14" s="82"/>
      <c r="H14" s="48"/>
      <c r="I14" s="118"/>
      <c r="J14" s="100"/>
      <c r="K14" s="185"/>
      <c r="L14" s="185"/>
      <c r="M14" s="186"/>
      <c r="N14" s="186"/>
      <c r="O14" s="186"/>
      <c r="P14" s="186"/>
      <c r="Q14" s="300"/>
      <c r="R14" s="173"/>
      <c r="S14" s="329"/>
      <c r="T14" s="329"/>
      <c r="U14" s="329"/>
      <c r="V14" s="174"/>
      <c r="W14" s="300"/>
      <c r="X14" s="44"/>
      <c r="Y14" s="205"/>
      <c r="Z14" s="202" t="str">
        <f>A64</f>
        <v>Chubb</v>
      </c>
      <c r="AA14" s="50" t="s">
        <v>45</v>
      </c>
      <c r="AB14" s="51">
        <f>C64</f>
        <v>6.9607544878368705E-2</v>
      </c>
      <c r="AC14" s="45"/>
      <c r="AD14" s="45"/>
    </row>
    <row r="15" spans="2:30" ht="39" customHeight="1" thickBot="1" x14ac:dyDescent="0.4">
      <c r="B15" s="219"/>
      <c r="C15" s="77" t="s">
        <v>32</v>
      </c>
      <c r="D15" s="297" t="s">
        <v>96</v>
      </c>
      <c r="E15" s="47"/>
      <c r="F15" s="82"/>
      <c r="G15" s="82"/>
      <c r="H15" s="48"/>
      <c r="I15" s="118"/>
      <c r="J15" s="100"/>
      <c r="K15" s="185"/>
      <c r="L15" s="185"/>
      <c r="M15" s="186"/>
      <c r="N15" s="186"/>
      <c r="O15" s="186"/>
      <c r="P15" s="186"/>
      <c r="Q15" s="151"/>
      <c r="R15" s="330"/>
      <c r="S15" s="331"/>
      <c r="T15" s="331"/>
      <c r="U15" s="331"/>
      <c r="V15" s="332"/>
      <c r="W15" s="162"/>
      <c r="X15" s="44"/>
      <c r="Y15" s="306"/>
      <c r="Z15" s="202" t="s">
        <v>94</v>
      </c>
      <c r="AA15" s="50" t="s">
        <v>95</v>
      </c>
      <c r="AB15" s="51">
        <f>C69</f>
        <v>6.4149407260806729E-2</v>
      </c>
      <c r="AC15" s="45"/>
      <c r="AD15" s="45"/>
    </row>
    <row r="16" spans="2:30" ht="39" customHeight="1" thickBot="1" x14ac:dyDescent="0.55000000000000004">
      <c r="B16" s="219"/>
      <c r="C16" s="136"/>
      <c r="D16" s="324"/>
      <c r="E16" s="310"/>
      <c r="F16" s="47"/>
      <c r="G16" s="82"/>
      <c r="H16" s="48"/>
      <c r="I16" s="118"/>
      <c r="J16" s="127"/>
      <c r="K16" s="92"/>
      <c r="L16" s="92"/>
      <c r="M16" s="92"/>
      <c r="N16" s="92"/>
      <c r="O16" s="92"/>
      <c r="P16" s="92"/>
      <c r="Q16" s="142"/>
      <c r="R16" s="124"/>
      <c r="S16" s="160"/>
      <c r="T16" s="160"/>
      <c r="U16" s="160"/>
      <c r="V16" s="160"/>
      <c r="W16" s="100"/>
      <c r="X16" s="44"/>
      <c r="Y16" s="206"/>
      <c r="Z16" s="202" t="str">
        <f>A65</f>
        <v>Zurich</v>
      </c>
      <c r="AA16" s="50" t="s">
        <v>45</v>
      </c>
      <c r="AB16" s="51">
        <f>C65</f>
        <v>3.4326368247442562E-2</v>
      </c>
      <c r="AC16" s="45"/>
    </row>
    <row r="17" spans="2:31" ht="39" customHeight="1" thickBot="1" x14ac:dyDescent="0.55000000000000004">
      <c r="B17" s="219"/>
      <c r="C17" s="136"/>
      <c r="D17" s="298" t="s">
        <v>99</v>
      </c>
      <c r="E17" s="47"/>
      <c r="F17" s="47"/>
      <c r="G17" s="82"/>
      <c r="H17" s="48"/>
      <c r="I17" s="118"/>
      <c r="J17" s="127"/>
      <c r="K17" s="92"/>
      <c r="L17" s="92"/>
      <c r="M17" s="92"/>
      <c r="N17" s="92"/>
      <c r="O17" s="92"/>
      <c r="P17" s="92"/>
      <c r="Q17" s="142"/>
      <c r="R17" s="124"/>
      <c r="S17" s="160"/>
      <c r="T17" s="160"/>
      <c r="U17" s="160"/>
      <c r="V17" s="160"/>
      <c r="W17" s="100"/>
      <c r="X17" s="44"/>
      <c r="Y17" s="207"/>
      <c r="Z17" s="202" t="str">
        <f>A63</f>
        <v>RSUI</v>
      </c>
      <c r="AA17" s="50" t="s">
        <v>45</v>
      </c>
      <c r="AB17" s="51">
        <f>C63</f>
        <v>3.9514553076916564E-2</v>
      </c>
      <c r="AC17" s="45"/>
    </row>
    <row r="18" spans="2:31" ht="39.75" customHeight="1" thickBot="1" x14ac:dyDescent="0.55000000000000004">
      <c r="B18" s="219"/>
      <c r="C18" s="136"/>
      <c r="D18" s="298"/>
      <c r="E18" s="47"/>
      <c r="F18" s="47"/>
      <c r="G18" s="82"/>
      <c r="H18" s="48"/>
      <c r="I18" s="118"/>
      <c r="J18" s="127"/>
      <c r="K18" s="92"/>
      <c r="L18" s="92"/>
      <c r="M18" s="93"/>
      <c r="N18" s="93"/>
      <c r="O18" s="93"/>
      <c r="P18" s="93"/>
      <c r="Q18" s="143"/>
      <c r="R18" s="282"/>
      <c r="S18" s="283"/>
      <c r="T18" s="283"/>
      <c r="U18" s="283"/>
      <c r="V18" s="284"/>
      <c r="W18" s="163"/>
      <c r="X18" s="45"/>
      <c r="Y18" s="208"/>
      <c r="Z18" s="202" t="str">
        <f>A62</f>
        <v>Travelers</v>
      </c>
      <c r="AA18" s="50" t="s">
        <v>45</v>
      </c>
      <c r="AB18" s="51">
        <f>C62</f>
        <v>4.3171548974660044E-2</v>
      </c>
      <c r="AC18" s="45"/>
    </row>
    <row r="19" spans="2:31" ht="21.75" hidden="1" customHeight="1" thickBot="1" x14ac:dyDescent="0.55000000000000004">
      <c r="B19" s="219"/>
      <c r="C19" s="136"/>
      <c r="D19" s="322"/>
      <c r="E19" s="47"/>
      <c r="F19" s="47"/>
      <c r="G19" s="82"/>
      <c r="H19" s="48"/>
      <c r="I19" s="118"/>
      <c r="J19" s="127"/>
      <c r="K19" s="92"/>
      <c r="L19" s="92"/>
      <c r="M19" s="93"/>
      <c r="N19" s="93"/>
      <c r="O19" s="93"/>
      <c r="P19" s="93"/>
      <c r="Q19" s="143"/>
      <c r="R19" s="180"/>
      <c r="S19" s="181"/>
      <c r="T19" s="181"/>
      <c r="U19" s="181"/>
      <c r="V19" s="182"/>
      <c r="W19" s="163"/>
      <c r="X19" s="45"/>
      <c r="Y19" s="291"/>
      <c r="Z19" s="292"/>
      <c r="AA19" s="293"/>
      <c r="AB19" s="294"/>
      <c r="AC19" s="45"/>
    </row>
    <row r="20" spans="2:31" ht="39.75" customHeight="1" thickBot="1" x14ac:dyDescent="0.55000000000000004">
      <c r="B20" s="219"/>
      <c r="C20" s="136"/>
      <c r="D20" s="323" t="s">
        <v>97</v>
      </c>
      <c r="E20" s="310"/>
      <c r="F20" s="47"/>
      <c r="H20" s="49"/>
      <c r="I20" s="100"/>
      <c r="J20" s="127"/>
      <c r="K20" s="92"/>
      <c r="L20" s="92"/>
      <c r="M20" s="93"/>
      <c r="N20" s="93"/>
      <c r="O20" s="93"/>
      <c r="P20" s="93"/>
      <c r="Q20" s="143"/>
      <c r="R20" s="165"/>
      <c r="S20" s="285" t="s">
        <v>4</v>
      </c>
      <c r="T20" s="285"/>
      <c r="U20" s="285"/>
      <c r="V20" s="166"/>
      <c r="W20" s="163"/>
      <c r="X20" s="45"/>
      <c r="Y20" s="210"/>
      <c r="Z20" s="209" t="str">
        <f>A66</f>
        <v>Great American</v>
      </c>
      <c r="AA20" s="52" t="s">
        <v>45</v>
      </c>
      <c r="AB20" s="53">
        <f>C66</f>
        <v>6.1741489182682132E-3</v>
      </c>
      <c r="AC20" s="56"/>
    </row>
    <row r="21" spans="2:31" ht="28.5" customHeight="1" thickTop="1" x14ac:dyDescent="0.5">
      <c r="B21" s="219"/>
      <c r="C21" s="136"/>
      <c r="D21" s="323"/>
      <c r="E21" s="310"/>
      <c r="F21" s="47"/>
      <c r="H21" s="49"/>
      <c r="I21" s="100"/>
      <c r="J21" s="127"/>
      <c r="K21" s="92"/>
      <c r="L21" s="92"/>
      <c r="M21" s="93"/>
      <c r="N21" s="93"/>
      <c r="O21" s="93"/>
      <c r="P21" s="93"/>
      <c r="Q21" s="143"/>
      <c r="R21" s="165"/>
      <c r="S21" s="183"/>
      <c r="T21" s="183"/>
      <c r="U21" s="183"/>
      <c r="V21" s="166"/>
      <c r="W21" s="163"/>
      <c r="X21" s="45"/>
      <c r="Y21" s="42" t="s">
        <v>5</v>
      </c>
      <c r="Z21" s="42"/>
      <c r="AA21" s="55">
        <f>B70</f>
        <v>1052776.68</v>
      </c>
      <c r="AB21" s="321"/>
      <c r="AC21" s="56"/>
    </row>
    <row r="22" spans="2:31" ht="24" customHeight="1" x14ac:dyDescent="0.5">
      <c r="B22" s="219"/>
      <c r="C22" s="229" t="s">
        <v>52</v>
      </c>
      <c r="D22" s="325" t="s">
        <v>90</v>
      </c>
      <c r="E22" s="309"/>
      <c r="F22" s="47"/>
      <c r="H22" s="227"/>
      <c r="I22" s="119"/>
      <c r="J22" s="127"/>
      <c r="K22" s="92"/>
      <c r="L22" s="92"/>
      <c r="M22" s="92"/>
      <c r="N22" s="92"/>
      <c r="O22" s="92"/>
      <c r="P22" s="92"/>
      <c r="Q22" s="142"/>
      <c r="R22" s="165"/>
      <c r="S22" s="285" t="s">
        <v>23</v>
      </c>
      <c r="T22" s="285"/>
      <c r="U22" s="285"/>
      <c r="V22" s="166"/>
      <c r="W22" s="163"/>
      <c r="X22" s="45"/>
      <c r="Y22" s="215" t="s">
        <v>101</v>
      </c>
      <c r="Z22" s="215"/>
      <c r="AA22" s="215"/>
      <c r="AB22" s="215"/>
      <c r="AC22" s="215"/>
    </row>
    <row r="23" spans="2:31" ht="24" customHeight="1" x14ac:dyDescent="0.5">
      <c r="B23" s="219"/>
      <c r="C23" s="229"/>
      <c r="D23" s="319"/>
      <c r="E23" s="47"/>
      <c r="F23" s="47"/>
      <c r="H23" s="227"/>
      <c r="I23" s="119"/>
      <c r="J23" s="127"/>
      <c r="K23" s="92"/>
      <c r="L23" s="92"/>
      <c r="M23" s="92"/>
      <c r="N23" s="92"/>
      <c r="O23" s="92"/>
      <c r="P23" s="92"/>
      <c r="Q23" s="142"/>
      <c r="R23" s="165"/>
      <c r="S23" s="183"/>
      <c r="T23" s="183"/>
      <c r="U23" s="183"/>
      <c r="V23" s="166"/>
      <c r="W23" s="163"/>
      <c r="X23" s="45"/>
      <c r="Y23" s="215"/>
      <c r="Z23" s="215"/>
      <c r="AA23" s="215"/>
      <c r="AB23" s="215"/>
      <c r="AC23" s="215"/>
    </row>
    <row r="24" spans="2:31" ht="55.5" customHeight="1" x14ac:dyDescent="0.5">
      <c r="B24" s="219"/>
      <c r="C24" s="229"/>
      <c r="D24" s="308" t="s">
        <v>99</v>
      </c>
      <c r="E24" s="310"/>
      <c r="F24" s="139"/>
      <c r="H24" s="227"/>
      <c r="I24" s="119"/>
      <c r="J24" s="127"/>
      <c r="K24" s="92"/>
      <c r="L24" s="92"/>
      <c r="M24" s="93"/>
      <c r="N24" s="93"/>
      <c r="O24" s="93"/>
      <c r="P24" s="93"/>
      <c r="Q24" s="143"/>
      <c r="R24" s="282" t="s">
        <v>37</v>
      </c>
      <c r="S24" s="283"/>
      <c r="T24" s="283"/>
      <c r="U24" s="283"/>
      <c r="V24" s="284"/>
      <c r="W24" s="163"/>
      <c r="X24" s="45"/>
      <c r="Y24" s="215"/>
      <c r="Z24" s="215"/>
      <c r="AA24" s="215"/>
      <c r="AB24" s="215"/>
      <c r="AC24" s="215"/>
    </row>
    <row r="25" spans="2:31" ht="34.5" customHeight="1" x14ac:dyDescent="0.5">
      <c r="B25" s="219"/>
      <c r="C25" s="229"/>
      <c r="D25" s="308"/>
      <c r="E25" s="47"/>
      <c r="F25" s="47"/>
      <c r="G25" s="82"/>
      <c r="H25" s="227"/>
      <c r="I25" s="119"/>
      <c r="J25" s="127"/>
      <c r="K25" s="92"/>
      <c r="L25" s="92"/>
      <c r="M25" s="92"/>
      <c r="N25" s="92"/>
      <c r="O25" s="92"/>
      <c r="P25" s="92"/>
      <c r="Q25" s="142"/>
      <c r="R25" s="282" t="s">
        <v>76</v>
      </c>
      <c r="S25" s="283"/>
      <c r="T25" s="283"/>
      <c r="U25" s="283"/>
      <c r="V25" s="284"/>
      <c r="W25" s="163"/>
      <c r="X25" s="45"/>
      <c r="Y25" s="215"/>
      <c r="Z25" s="215"/>
      <c r="AA25" s="215"/>
      <c r="AB25" s="215"/>
      <c r="AC25" s="215"/>
    </row>
    <row r="26" spans="2:31" ht="51" customHeight="1" x14ac:dyDescent="0.5">
      <c r="B26" s="219"/>
      <c r="C26" s="42"/>
      <c r="D26" s="307" t="s">
        <v>91</v>
      </c>
      <c r="E26" s="47"/>
      <c r="F26" s="47"/>
      <c r="G26" s="82"/>
      <c r="H26" s="49"/>
      <c r="I26" s="100"/>
      <c r="J26" s="127"/>
      <c r="K26" s="92"/>
      <c r="L26" s="92"/>
      <c r="M26" s="94"/>
      <c r="N26" s="94"/>
      <c r="O26" s="94"/>
      <c r="P26" s="94"/>
      <c r="Q26" s="144"/>
      <c r="R26" s="125"/>
      <c r="S26" s="161"/>
      <c r="T26" s="161"/>
      <c r="U26" s="161"/>
      <c r="V26" s="161"/>
      <c r="W26" s="126"/>
      <c r="X26" s="45"/>
      <c r="Y26" s="215"/>
      <c r="Z26" s="215"/>
      <c r="AA26" s="215"/>
      <c r="AB26" s="215"/>
      <c r="AC26" s="215"/>
    </row>
    <row r="27" spans="2:31" ht="22.5" customHeight="1" x14ac:dyDescent="0.5">
      <c r="B27" s="219"/>
      <c r="C27" s="42"/>
      <c r="D27" s="307"/>
      <c r="E27" s="47"/>
      <c r="F27" s="47"/>
      <c r="G27" s="82"/>
      <c r="H27" s="49"/>
      <c r="I27" s="100"/>
      <c r="J27" s="127"/>
      <c r="K27" s="92"/>
      <c r="L27" s="92"/>
      <c r="M27" s="94"/>
      <c r="N27" s="94"/>
      <c r="O27" s="94"/>
      <c r="P27" s="94"/>
      <c r="Q27" s="144"/>
      <c r="R27" s="125"/>
      <c r="S27" s="161"/>
      <c r="T27" s="161"/>
      <c r="U27" s="161"/>
      <c r="V27" s="161"/>
      <c r="W27" s="126"/>
      <c r="X27" s="45"/>
      <c r="Y27" s="184"/>
      <c r="Z27" s="184"/>
      <c r="AA27" s="184"/>
      <c r="AB27" s="184"/>
      <c r="AC27" s="184"/>
    </row>
    <row r="28" spans="2:31" ht="21" customHeight="1" x14ac:dyDescent="0.5">
      <c r="B28" s="219"/>
      <c r="C28" s="229" t="s">
        <v>8</v>
      </c>
      <c r="D28" s="312" t="s">
        <v>92</v>
      </c>
      <c r="E28" s="47"/>
      <c r="F28" s="47"/>
      <c r="G28" s="82"/>
      <c r="H28" s="49"/>
      <c r="I28" s="100"/>
      <c r="J28" s="127"/>
      <c r="K28" s="92"/>
      <c r="L28" s="92"/>
      <c r="M28" s="93"/>
      <c r="N28" s="93"/>
      <c r="O28" s="93"/>
      <c r="P28" s="93"/>
      <c r="Q28" s="143"/>
      <c r="R28" s="126"/>
      <c r="S28" s="114"/>
      <c r="T28" s="114"/>
      <c r="U28" s="114"/>
      <c r="V28" s="114"/>
      <c r="W28" s="126"/>
      <c r="X28" s="54"/>
      <c r="Y28" s="57"/>
      <c r="Z28" s="57"/>
      <c r="AA28" s="212" t="s">
        <v>80</v>
      </c>
      <c r="AB28" s="57"/>
      <c r="AC28" s="57"/>
    </row>
    <row r="29" spans="2:31" ht="21" customHeight="1" x14ac:dyDescent="0.5">
      <c r="B29" s="219"/>
      <c r="C29" s="229"/>
      <c r="D29" s="242"/>
      <c r="E29" s="47"/>
      <c r="F29" s="47"/>
      <c r="G29" s="133"/>
      <c r="H29" s="49"/>
      <c r="I29" s="100"/>
      <c r="J29" s="127"/>
      <c r="K29" s="238" t="s">
        <v>39</v>
      </c>
      <c r="L29" s="238"/>
      <c r="M29" s="238"/>
      <c r="N29" s="238"/>
      <c r="O29" s="238"/>
      <c r="P29" s="95"/>
      <c r="Q29" s="145"/>
      <c r="R29" s="126"/>
      <c r="S29" s="114"/>
      <c r="T29" s="114"/>
      <c r="U29" s="114"/>
      <c r="V29" s="114"/>
      <c r="W29" s="126"/>
      <c r="X29" s="45"/>
      <c r="Y29" s="57"/>
      <c r="Z29" s="57"/>
      <c r="AA29" s="212"/>
      <c r="AB29" s="57"/>
      <c r="AC29" s="57"/>
      <c r="AE29" s="23"/>
    </row>
    <row r="30" spans="2:31" ht="21" customHeight="1" x14ac:dyDescent="0.5">
      <c r="B30" s="219"/>
      <c r="C30" s="229"/>
      <c r="D30" s="275" t="s">
        <v>61</v>
      </c>
      <c r="E30" s="47"/>
      <c r="F30" s="47"/>
      <c r="G30" s="133"/>
      <c r="H30" s="49"/>
      <c r="I30" s="100"/>
      <c r="J30" s="127"/>
      <c r="K30" s="238"/>
      <c r="L30" s="238"/>
      <c r="M30" s="238"/>
      <c r="N30" s="238"/>
      <c r="O30" s="238"/>
      <c r="P30" s="96"/>
      <c r="Q30" s="146"/>
      <c r="R30" s="216" t="s">
        <v>40</v>
      </c>
      <c r="S30" s="217"/>
      <c r="T30" s="217"/>
      <c r="U30" s="217"/>
      <c r="V30" s="218"/>
      <c r="W30" s="156"/>
      <c r="X30" s="45"/>
      <c r="Y30" s="57"/>
      <c r="Z30" s="57"/>
      <c r="AA30" s="212"/>
      <c r="AB30" s="57"/>
      <c r="AC30" s="57"/>
    </row>
    <row r="31" spans="2:31" ht="21" customHeight="1" x14ac:dyDescent="0.5">
      <c r="B31" s="219"/>
      <c r="C31" s="226"/>
      <c r="D31" s="275"/>
      <c r="E31" s="47"/>
      <c r="F31" s="47"/>
      <c r="G31" s="120"/>
      <c r="H31" s="49"/>
      <c r="I31" s="100"/>
      <c r="J31" s="127"/>
      <c r="K31" s="92"/>
      <c r="L31" s="98"/>
      <c r="M31" s="93"/>
      <c r="N31" s="93"/>
      <c r="O31" s="93"/>
      <c r="P31" s="93"/>
      <c r="Q31" s="143"/>
      <c r="R31" s="237"/>
      <c r="S31" s="238"/>
      <c r="T31" s="155"/>
      <c r="U31" s="155"/>
      <c r="V31" s="155"/>
      <c r="W31" s="159"/>
      <c r="X31" s="45"/>
      <c r="Y31" s="45"/>
      <c r="AA31" s="213" t="s">
        <v>82</v>
      </c>
    </row>
    <row r="32" spans="2:31" ht="21" customHeight="1" x14ac:dyDescent="0.5">
      <c r="B32" s="219"/>
      <c r="C32" s="226"/>
      <c r="D32" s="275"/>
      <c r="E32" s="139"/>
      <c r="F32" s="47"/>
      <c r="G32" s="120"/>
      <c r="H32" s="49"/>
      <c r="I32" s="100"/>
      <c r="J32" s="127"/>
      <c r="K32" s="217" t="s">
        <v>73</v>
      </c>
      <c r="L32" s="217"/>
      <c r="M32" s="217"/>
      <c r="N32" s="217"/>
      <c r="O32" s="217"/>
      <c r="P32" s="97"/>
      <c r="Q32" s="147"/>
      <c r="R32" s="216" t="s">
        <v>23</v>
      </c>
      <c r="S32" s="217"/>
      <c r="T32" s="217"/>
      <c r="U32" s="217"/>
      <c r="V32" s="218"/>
      <c r="W32" s="156"/>
      <c r="X32" s="45"/>
      <c r="Y32" s="45"/>
      <c r="AA32" s="214"/>
    </row>
    <row r="33" spans="2:38" ht="41.25" customHeight="1" x14ac:dyDescent="0.5">
      <c r="B33" s="219"/>
      <c r="C33" s="77"/>
      <c r="D33" s="275"/>
      <c r="E33" s="139"/>
      <c r="F33" s="47"/>
      <c r="G33" s="120"/>
      <c r="H33" s="49"/>
      <c r="I33" s="100"/>
      <c r="J33" s="127"/>
      <c r="K33" s="217" t="s">
        <v>24</v>
      </c>
      <c r="L33" s="217"/>
      <c r="M33" s="217"/>
      <c r="N33" s="217"/>
      <c r="O33" s="217"/>
      <c r="P33" s="92"/>
      <c r="Q33" s="142"/>
      <c r="R33" s="216" t="s">
        <v>24</v>
      </c>
      <c r="S33" s="217"/>
      <c r="T33" s="217"/>
      <c r="U33" s="217"/>
      <c r="V33" s="218"/>
      <c r="W33" s="156"/>
      <c r="X33" s="45"/>
      <c r="Y33" s="45"/>
      <c r="AA33" s="214"/>
    </row>
    <row r="34" spans="2:38" ht="45.75" customHeight="1" x14ac:dyDescent="0.5">
      <c r="B34" s="219"/>
      <c r="C34" s="77"/>
      <c r="D34" s="138" t="s">
        <v>71</v>
      </c>
      <c r="E34" s="139"/>
      <c r="F34" s="47"/>
      <c r="G34" s="120"/>
      <c r="H34" s="49"/>
      <c r="I34" s="100"/>
      <c r="J34" s="127"/>
      <c r="K34" s="278" t="s">
        <v>74</v>
      </c>
      <c r="L34" s="278"/>
      <c r="M34" s="278"/>
      <c r="N34" s="278"/>
      <c r="O34" s="278"/>
      <c r="P34" s="92"/>
      <c r="Q34" s="142"/>
      <c r="R34" s="216" t="s">
        <v>75</v>
      </c>
      <c r="S34" s="217"/>
      <c r="T34" s="217"/>
      <c r="U34" s="217"/>
      <c r="V34" s="218"/>
      <c r="W34" s="156"/>
      <c r="X34" s="45"/>
      <c r="Y34" s="45"/>
      <c r="AA34" s="211" t="s">
        <v>81</v>
      </c>
    </row>
    <row r="35" spans="2:38" ht="21" customHeight="1" x14ac:dyDescent="0.5">
      <c r="B35" s="219"/>
      <c r="C35" s="230" t="s">
        <v>7</v>
      </c>
      <c r="D35" s="311" t="s">
        <v>50</v>
      </c>
      <c r="E35" s="227" t="s">
        <v>54</v>
      </c>
      <c r="F35" s="47"/>
      <c r="G35" s="120"/>
      <c r="H35" s="49"/>
      <c r="I35" s="100"/>
      <c r="J35" s="127"/>
      <c r="K35" s="278"/>
      <c r="L35" s="278"/>
      <c r="M35" s="278"/>
      <c r="N35" s="278"/>
      <c r="O35" s="278"/>
      <c r="P35" s="92"/>
      <c r="Q35" s="142"/>
      <c r="R35" s="216"/>
      <c r="S35" s="217"/>
      <c r="T35" s="217"/>
      <c r="U35" s="217"/>
      <c r="V35" s="218"/>
      <c r="W35" s="156"/>
      <c r="X35" s="45"/>
      <c r="Y35" s="45"/>
      <c r="AA35" s="211"/>
    </row>
    <row r="36" spans="2:38" ht="21" customHeight="1" x14ac:dyDescent="0.35">
      <c r="B36" s="219"/>
      <c r="C36" s="230"/>
      <c r="D36" s="228"/>
      <c r="E36" s="227"/>
      <c r="F36" s="47"/>
      <c r="G36" s="120"/>
      <c r="H36" s="49"/>
      <c r="I36" s="100"/>
      <c r="J36" s="127"/>
      <c r="K36" s="92"/>
      <c r="L36" s="98"/>
      <c r="M36" s="93"/>
      <c r="N36" s="93"/>
      <c r="O36" s="93"/>
      <c r="P36" s="93"/>
      <c r="Q36" s="143"/>
      <c r="R36" s="216"/>
      <c r="S36" s="217"/>
      <c r="T36" s="157"/>
      <c r="U36" s="157"/>
      <c r="V36" s="157"/>
      <c r="W36" s="156"/>
      <c r="X36" s="276" t="s">
        <v>43</v>
      </c>
      <c r="Y36" s="277"/>
      <c r="Z36" s="277"/>
      <c r="AA36" s="320" t="s">
        <v>44</v>
      </c>
      <c r="AB36" s="57"/>
      <c r="AC36" s="57"/>
      <c r="AD36" s="57"/>
      <c r="AI36" s="261"/>
      <c r="AJ36" s="262"/>
      <c r="AK36" s="262"/>
      <c r="AL36" s="262"/>
    </row>
    <row r="37" spans="2:38" ht="26.25" customHeight="1" x14ac:dyDescent="0.35">
      <c r="B37" s="219"/>
      <c r="C37" s="77"/>
      <c r="D37" s="228"/>
      <c r="E37" s="227"/>
      <c r="F37" s="47"/>
      <c r="G37" s="120"/>
      <c r="H37" s="49"/>
      <c r="I37" s="100"/>
      <c r="J37" s="127"/>
      <c r="K37" s="92"/>
      <c r="L37" s="98"/>
      <c r="M37" s="93"/>
      <c r="N37" s="93"/>
      <c r="O37" s="93"/>
      <c r="P37" s="93"/>
      <c r="Q37" s="143"/>
      <c r="R37" s="216"/>
      <c r="S37" s="217"/>
      <c r="T37" s="157"/>
      <c r="U37" s="157"/>
      <c r="V37" s="157"/>
      <c r="W37" s="164"/>
      <c r="X37" s="254" t="s">
        <v>27</v>
      </c>
      <c r="Y37" s="254" t="s">
        <v>0</v>
      </c>
      <c r="Z37" s="254" t="s">
        <v>11</v>
      </c>
      <c r="AA37" s="197" t="s">
        <v>12</v>
      </c>
      <c r="AB37" s="57"/>
      <c r="AC37" s="57"/>
      <c r="AD37" s="57"/>
      <c r="AI37" s="261"/>
      <c r="AJ37" s="262"/>
      <c r="AK37" s="262"/>
      <c r="AL37" s="262"/>
    </row>
    <row r="38" spans="2:38" ht="21" customHeight="1" x14ac:dyDescent="0.35">
      <c r="B38" s="219"/>
      <c r="C38" s="77"/>
      <c r="D38" s="58"/>
      <c r="E38" s="227"/>
      <c r="F38" s="225"/>
      <c r="G38" s="120"/>
      <c r="H38" s="49"/>
      <c r="I38" s="100"/>
      <c r="J38" s="127"/>
      <c r="K38" s="92"/>
      <c r="L38" s="92"/>
      <c r="M38" s="96"/>
      <c r="N38" s="96"/>
      <c r="O38" s="96"/>
      <c r="P38" s="96"/>
      <c r="Q38" s="146"/>
      <c r="R38" s="216"/>
      <c r="S38" s="217"/>
      <c r="T38" s="157"/>
      <c r="U38" s="157"/>
      <c r="V38" s="157"/>
      <c r="W38" s="156"/>
      <c r="X38" s="254"/>
      <c r="Y38" s="254"/>
      <c r="Z38" s="254"/>
      <c r="AA38" s="198"/>
      <c r="AB38" s="45"/>
      <c r="AC38" s="45"/>
      <c r="AD38" s="45"/>
      <c r="AI38" s="261"/>
      <c r="AJ38" s="262"/>
      <c r="AK38" s="262"/>
      <c r="AL38" s="262"/>
    </row>
    <row r="39" spans="2:38" ht="21" customHeight="1" x14ac:dyDescent="0.5">
      <c r="B39" s="219"/>
      <c r="C39" s="77"/>
      <c r="D39" s="228" t="s">
        <v>25</v>
      </c>
      <c r="E39" s="227"/>
      <c r="F39" s="225"/>
      <c r="G39" s="120"/>
      <c r="H39" s="49"/>
      <c r="I39" s="100"/>
      <c r="J39" s="127"/>
      <c r="K39" s="92"/>
      <c r="L39" s="92"/>
      <c r="M39" s="92"/>
      <c r="N39" s="92"/>
      <c r="O39" s="92"/>
      <c r="P39" s="92"/>
      <c r="Q39" s="142"/>
      <c r="R39" s="126"/>
      <c r="S39" s="114"/>
      <c r="T39" s="114"/>
      <c r="U39" s="114"/>
      <c r="V39" s="114"/>
      <c r="W39" s="126"/>
      <c r="X39" s="254"/>
      <c r="Y39" s="254"/>
      <c r="Z39" s="254"/>
      <c r="AA39" s="198"/>
      <c r="AB39" s="86"/>
      <c r="AC39" s="87"/>
      <c r="AD39" s="57"/>
      <c r="AE39" s="3"/>
      <c r="AF39" s="3"/>
      <c r="AG39" s="4"/>
      <c r="AI39" s="261"/>
      <c r="AJ39" s="262"/>
      <c r="AK39" s="262"/>
      <c r="AL39" s="262"/>
    </row>
    <row r="40" spans="2:38" ht="21" customHeight="1" x14ac:dyDescent="0.5">
      <c r="B40" s="219"/>
      <c r="C40" s="77"/>
      <c r="D40" s="228"/>
      <c r="E40" s="227"/>
      <c r="F40" s="225"/>
      <c r="G40" s="121"/>
      <c r="H40" s="49"/>
      <c r="I40" s="100"/>
      <c r="J40" s="127"/>
      <c r="K40" s="92"/>
      <c r="L40" s="92"/>
      <c r="M40" s="92"/>
      <c r="N40" s="92"/>
      <c r="O40" s="92"/>
      <c r="P40" s="92"/>
      <c r="Q40" s="142"/>
      <c r="R40" s="105"/>
      <c r="S40" s="98"/>
      <c r="T40" s="98"/>
      <c r="U40" s="98"/>
      <c r="V40" s="98"/>
      <c r="W40" s="105"/>
      <c r="X40" s="190"/>
      <c r="Y40" s="191"/>
      <c r="Z40" s="191"/>
      <c r="AA40" s="187"/>
      <c r="AB40" s="266"/>
      <c r="AC40" s="87"/>
      <c r="AD40" s="57"/>
      <c r="AE40" s="3"/>
      <c r="AF40" s="3"/>
      <c r="AG40" s="4"/>
    </row>
    <row r="41" spans="2:38" ht="21" customHeight="1" x14ac:dyDescent="0.5">
      <c r="B41" s="219"/>
      <c r="C41" s="76"/>
      <c r="D41" s="228"/>
      <c r="E41" s="140"/>
      <c r="F41" s="47"/>
      <c r="G41" s="121"/>
      <c r="H41" s="49"/>
      <c r="I41" s="100"/>
      <c r="J41" s="127"/>
      <c r="K41" s="92"/>
      <c r="L41" s="92"/>
      <c r="M41" s="92"/>
      <c r="N41" s="92"/>
      <c r="O41" s="92"/>
      <c r="P41" s="92"/>
      <c r="Q41" s="142"/>
      <c r="R41" s="105"/>
      <c r="S41" s="98"/>
      <c r="T41" s="98"/>
      <c r="U41" s="98"/>
      <c r="V41" s="98"/>
      <c r="W41" s="105"/>
      <c r="X41" s="191"/>
      <c r="Y41" s="191"/>
      <c r="Z41" s="191"/>
      <c r="AA41" s="187"/>
      <c r="AB41" s="266"/>
      <c r="AC41" s="87"/>
      <c r="AD41" s="57"/>
      <c r="AE41" s="3"/>
      <c r="AF41" s="3"/>
    </row>
    <row r="42" spans="2:38" ht="21" customHeight="1" x14ac:dyDescent="0.5">
      <c r="B42" s="219"/>
      <c r="C42" s="76"/>
      <c r="D42" s="228"/>
      <c r="E42" s="227" t="s">
        <v>61</v>
      </c>
      <c r="F42" s="47"/>
      <c r="G42" s="121"/>
      <c r="H42" s="49"/>
      <c r="I42" s="100"/>
      <c r="J42" s="128"/>
      <c r="K42" s="92"/>
      <c r="L42" s="92"/>
      <c r="M42" s="92"/>
      <c r="N42" s="148"/>
      <c r="O42" s="148"/>
      <c r="P42" s="149"/>
      <c r="Q42" s="142"/>
      <c r="R42" s="106"/>
      <c r="S42" s="135"/>
      <c r="T42" s="135"/>
      <c r="U42" s="135"/>
      <c r="V42" s="167"/>
      <c r="W42" s="105"/>
      <c r="X42" s="191"/>
      <c r="Y42" s="191"/>
      <c r="Z42" s="191"/>
      <c r="AA42" s="187"/>
      <c r="AB42" s="123"/>
      <c r="AC42" s="267"/>
      <c r="AD42" s="59"/>
      <c r="AE42" s="2"/>
      <c r="AF42" s="5"/>
    </row>
    <row r="43" spans="2:38" ht="35.25" customHeight="1" x14ac:dyDescent="0.5">
      <c r="B43" s="219"/>
      <c r="C43" s="91" t="s">
        <v>9</v>
      </c>
      <c r="D43" s="228"/>
      <c r="E43" s="227"/>
      <c r="F43" s="82"/>
      <c r="G43" s="227" t="s">
        <v>41</v>
      </c>
      <c r="H43" s="101"/>
      <c r="I43" s="99"/>
      <c r="J43" s="223" t="s">
        <v>33</v>
      </c>
      <c r="K43" s="221"/>
      <c r="L43" s="221"/>
      <c r="M43" s="224"/>
      <c r="N43" s="268" t="s">
        <v>83</v>
      </c>
      <c r="O43" s="269"/>
      <c r="P43" s="269"/>
      <c r="Q43" s="270"/>
      <c r="R43" s="220" t="s">
        <v>29</v>
      </c>
      <c r="S43" s="221"/>
      <c r="T43" s="268" t="s">
        <v>67</v>
      </c>
      <c r="U43" s="269"/>
      <c r="V43" s="269"/>
      <c r="W43" s="270"/>
      <c r="X43" s="192"/>
      <c r="Y43" s="192"/>
      <c r="Z43" s="192"/>
      <c r="AA43" s="188"/>
      <c r="AB43" s="175" t="s">
        <v>62</v>
      </c>
      <c r="AC43" s="267"/>
      <c r="AD43" s="225"/>
      <c r="AE43" s="249"/>
      <c r="AF43" s="265"/>
    </row>
    <row r="44" spans="2:38" ht="56.25" x14ac:dyDescent="0.35">
      <c r="B44" s="219"/>
      <c r="C44" s="75"/>
      <c r="D44" s="228"/>
      <c r="E44" s="227"/>
      <c r="F44" s="82"/>
      <c r="G44" s="227"/>
      <c r="H44" s="101"/>
      <c r="I44" s="99"/>
      <c r="J44" s="107" t="s">
        <v>48</v>
      </c>
      <c r="K44" s="107" t="s">
        <v>26</v>
      </c>
      <c r="L44" s="43" t="s">
        <v>30</v>
      </c>
      <c r="M44" s="79" t="s">
        <v>49</v>
      </c>
      <c r="N44" s="79" t="s">
        <v>26</v>
      </c>
      <c r="O44" s="79" t="s">
        <v>30</v>
      </c>
      <c r="P44" s="79" t="s">
        <v>56</v>
      </c>
      <c r="Q44" s="107"/>
      <c r="R44" s="43" t="s">
        <v>30</v>
      </c>
      <c r="S44" s="122" t="s">
        <v>31</v>
      </c>
      <c r="T44" s="79" t="s">
        <v>26</v>
      </c>
      <c r="U44" s="79" t="s">
        <v>30</v>
      </c>
      <c r="V44" s="79" t="s">
        <v>56</v>
      </c>
      <c r="W44" s="107"/>
      <c r="X44" s="193" t="s">
        <v>46</v>
      </c>
      <c r="Y44" s="193" t="s">
        <v>46</v>
      </c>
      <c r="Z44" s="193" t="s">
        <v>46</v>
      </c>
      <c r="AA44" s="197" t="s">
        <v>46</v>
      </c>
      <c r="AB44" s="176"/>
      <c r="AC44" s="46"/>
      <c r="AD44" s="225"/>
      <c r="AE44" s="249"/>
      <c r="AF44" s="265"/>
    </row>
    <row r="45" spans="2:38" ht="39.75" customHeight="1" x14ac:dyDescent="0.5">
      <c r="B45" s="219"/>
      <c r="C45" s="239"/>
      <c r="D45" s="108"/>
      <c r="E45" s="140"/>
      <c r="F45" s="122" t="s">
        <v>55</v>
      </c>
      <c r="G45" s="227" t="s">
        <v>42</v>
      </c>
      <c r="H45" s="235" t="s">
        <v>20</v>
      </c>
      <c r="I45" s="279" t="s">
        <v>20</v>
      </c>
      <c r="J45" s="234" t="s">
        <v>21</v>
      </c>
      <c r="K45" s="234" t="s">
        <v>21</v>
      </c>
      <c r="L45" s="236" t="s">
        <v>22</v>
      </c>
      <c r="M45" s="236" t="s">
        <v>19</v>
      </c>
      <c r="N45" s="43" t="s">
        <v>21</v>
      </c>
      <c r="O45" s="43" t="s">
        <v>22</v>
      </c>
      <c r="P45" s="43" t="s">
        <v>19</v>
      </c>
      <c r="Q45" s="234"/>
      <c r="R45" s="236" t="s">
        <v>22</v>
      </c>
      <c r="S45" s="236" t="s">
        <v>19</v>
      </c>
      <c r="T45" s="43" t="s">
        <v>21</v>
      </c>
      <c r="U45" s="43" t="s">
        <v>22</v>
      </c>
      <c r="V45" s="43" t="s">
        <v>19</v>
      </c>
      <c r="W45" s="234"/>
      <c r="X45" s="254"/>
      <c r="Y45" s="254"/>
      <c r="Z45" s="254"/>
      <c r="AA45" s="188"/>
      <c r="AB45" s="273" t="s">
        <v>63</v>
      </c>
      <c r="AC45" s="264"/>
      <c r="AD45" s="225"/>
      <c r="AE45" s="249"/>
      <c r="AF45" s="263"/>
    </row>
    <row r="46" spans="2:38" ht="32.25" customHeight="1" x14ac:dyDescent="0.5">
      <c r="B46" s="219"/>
      <c r="C46" s="239"/>
      <c r="D46" s="108"/>
      <c r="E46" s="114"/>
      <c r="F46" s="227" t="s">
        <v>65</v>
      </c>
      <c r="G46" s="227"/>
      <c r="H46" s="235"/>
      <c r="I46" s="279"/>
      <c r="J46" s="234"/>
      <c r="K46" s="234"/>
      <c r="L46" s="236"/>
      <c r="M46" s="236"/>
      <c r="N46" s="43"/>
      <c r="O46" s="43"/>
      <c r="P46" s="43"/>
      <c r="Q46" s="234"/>
      <c r="R46" s="236"/>
      <c r="S46" s="236"/>
      <c r="T46" s="43"/>
      <c r="U46" s="43"/>
      <c r="V46" s="43"/>
      <c r="W46" s="234"/>
      <c r="X46" s="254"/>
      <c r="Y46" s="254"/>
      <c r="Z46" s="254"/>
      <c r="AA46" s="197"/>
      <c r="AB46" s="273"/>
      <c r="AC46" s="264"/>
      <c r="AD46" s="225"/>
      <c r="AE46" s="249"/>
      <c r="AF46" s="263"/>
    </row>
    <row r="47" spans="2:38" ht="21.75" customHeight="1" x14ac:dyDescent="0.5">
      <c r="B47" s="219"/>
      <c r="C47" s="239"/>
      <c r="D47" s="108"/>
      <c r="E47" s="114"/>
      <c r="F47" s="227"/>
      <c r="G47" s="227"/>
      <c r="H47" s="235"/>
      <c r="I47" s="279"/>
      <c r="J47" s="234"/>
      <c r="K47" s="234"/>
      <c r="L47" s="236"/>
      <c r="M47" s="236"/>
      <c r="N47" s="43"/>
      <c r="O47" s="43"/>
      <c r="P47" s="43"/>
      <c r="Q47" s="234"/>
      <c r="R47" s="236"/>
      <c r="S47" s="236"/>
      <c r="T47" s="43"/>
      <c r="U47" s="43"/>
      <c r="V47" s="43"/>
      <c r="W47" s="234"/>
      <c r="X47" s="254"/>
      <c r="Y47" s="254"/>
      <c r="Z47" s="254"/>
      <c r="AA47" s="254"/>
      <c r="AB47" s="273"/>
      <c r="AC47" s="46"/>
      <c r="AD47" s="225"/>
      <c r="AE47" s="6"/>
      <c r="AF47" s="263"/>
    </row>
    <row r="48" spans="2:38" ht="16.5" customHeight="1" x14ac:dyDescent="0.5">
      <c r="B48" s="219"/>
      <c r="C48" s="239"/>
      <c r="D48" s="108"/>
      <c r="E48" s="114"/>
      <c r="F48" s="227"/>
      <c r="G48" s="227"/>
      <c r="H48" s="112"/>
      <c r="I48" s="115"/>
      <c r="J48" s="234"/>
      <c r="K48" s="234"/>
      <c r="L48" s="80"/>
      <c r="M48" s="232" t="s">
        <v>38</v>
      </c>
      <c r="N48" s="80"/>
      <c r="O48" s="80"/>
      <c r="P48" s="150"/>
      <c r="Q48" s="234"/>
      <c r="R48" s="80"/>
      <c r="S48" s="232" t="s">
        <v>38</v>
      </c>
      <c r="T48" s="80"/>
      <c r="U48" s="80"/>
      <c r="V48" s="150"/>
      <c r="W48" s="234"/>
      <c r="X48" s="254"/>
      <c r="Y48" s="254"/>
      <c r="Z48" s="254"/>
      <c r="AA48" s="254"/>
      <c r="AB48" s="273"/>
      <c r="AC48" s="88"/>
      <c r="AD48" s="60"/>
      <c r="AE48" s="250"/>
      <c r="AF48" s="263"/>
    </row>
    <row r="49" spans="1:47" ht="15" customHeight="1" x14ac:dyDescent="0.35">
      <c r="B49" s="219"/>
      <c r="C49" s="239"/>
      <c r="D49" s="108"/>
      <c r="E49" s="141"/>
      <c r="F49" s="227"/>
      <c r="G49" s="80"/>
      <c r="H49" s="112"/>
      <c r="I49" s="115"/>
      <c r="J49" s="113"/>
      <c r="K49" s="113"/>
      <c r="L49" s="80"/>
      <c r="M49" s="232"/>
      <c r="N49" s="80"/>
      <c r="O49" s="80"/>
      <c r="P49" s="80"/>
      <c r="Q49" s="113"/>
      <c r="R49" s="80"/>
      <c r="S49" s="232"/>
      <c r="T49" s="80"/>
      <c r="U49" s="80"/>
      <c r="V49" s="80"/>
      <c r="W49" s="113"/>
      <c r="X49" s="194"/>
      <c r="Y49" s="194"/>
      <c r="Z49" s="194"/>
      <c r="AA49" s="189"/>
      <c r="AB49" s="273"/>
      <c r="AC49" s="252"/>
      <c r="AD49" s="246"/>
      <c r="AE49" s="250"/>
      <c r="AF49" s="263"/>
    </row>
    <row r="50" spans="1:47" ht="16.5" customHeight="1" x14ac:dyDescent="0.35">
      <c r="B50" s="219"/>
      <c r="C50" s="239"/>
      <c r="D50" s="109"/>
      <c r="E50" s="141"/>
      <c r="F50" s="227"/>
      <c r="G50" s="80"/>
      <c r="H50" s="112"/>
      <c r="I50" s="115"/>
      <c r="J50" s="113"/>
      <c r="K50" s="113"/>
      <c r="L50" s="80"/>
      <c r="M50" s="232"/>
      <c r="N50" s="80"/>
      <c r="O50" s="80"/>
      <c r="P50" s="80"/>
      <c r="Q50" s="113"/>
      <c r="R50" s="80"/>
      <c r="S50" s="232"/>
      <c r="T50" s="80"/>
      <c r="U50" s="80"/>
      <c r="V50" s="80"/>
      <c r="W50" s="113"/>
      <c r="X50" s="194"/>
      <c r="Y50" s="194"/>
      <c r="Z50" s="194"/>
      <c r="AA50" s="189"/>
      <c r="AB50" s="273"/>
      <c r="AC50" s="252"/>
      <c r="AD50" s="246"/>
      <c r="AE50" s="250"/>
      <c r="AF50" s="7"/>
    </row>
    <row r="51" spans="1:47" ht="48.2" customHeight="1" x14ac:dyDescent="0.5">
      <c r="B51" s="219"/>
      <c r="C51" s="239"/>
      <c r="D51" s="240" t="s">
        <v>70</v>
      </c>
      <c r="E51" s="80" t="s">
        <v>35</v>
      </c>
      <c r="F51" s="227"/>
      <c r="G51" s="257" t="s">
        <v>36</v>
      </c>
      <c r="H51" s="112"/>
      <c r="I51" s="115"/>
      <c r="J51" s="113"/>
      <c r="K51" s="113"/>
      <c r="L51" s="80"/>
      <c r="M51" s="232"/>
      <c r="N51" s="80"/>
      <c r="O51" s="80"/>
      <c r="P51" s="80"/>
      <c r="Q51" s="113"/>
      <c r="R51" s="80"/>
      <c r="S51" s="232"/>
      <c r="T51" s="80"/>
      <c r="U51" s="80"/>
      <c r="V51" s="80"/>
      <c r="W51" s="113"/>
      <c r="X51" s="193"/>
      <c r="Y51" s="195"/>
      <c r="Z51" s="193"/>
      <c r="AA51" s="256" t="s">
        <v>47</v>
      </c>
      <c r="AB51" s="177"/>
      <c r="AC51" s="252"/>
      <c r="AD51" s="246"/>
      <c r="AE51" s="250"/>
      <c r="AF51" s="7"/>
    </row>
    <row r="52" spans="1:47" ht="32.450000000000003" customHeight="1" x14ac:dyDescent="0.35">
      <c r="B52" s="219"/>
      <c r="C52" s="239"/>
      <c r="D52" s="240"/>
      <c r="E52" s="80"/>
      <c r="F52" s="241" t="s">
        <v>64</v>
      </c>
      <c r="G52" s="257"/>
      <c r="H52" s="112" t="s">
        <v>10</v>
      </c>
      <c r="I52" s="115" t="s">
        <v>10</v>
      </c>
      <c r="J52" s="113" t="s">
        <v>10</v>
      </c>
      <c r="K52" s="113" t="s">
        <v>10</v>
      </c>
      <c r="L52" s="80" t="s">
        <v>10</v>
      </c>
      <c r="M52" s="233"/>
      <c r="N52" s="80" t="s">
        <v>10</v>
      </c>
      <c r="O52" s="80" t="s">
        <v>10</v>
      </c>
      <c r="P52" s="80" t="s">
        <v>10</v>
      </c>
      <c r="Q52" s="113"/>
      <c r="R52" s="80" t="s">
        <v>10</v>
      </c>
      <c r="S52" s="233"/>
      <c r="T52" s="80" t="s">
        <v>10</v>
      </c>
      <c r="U52" s="80" t="s">
        <v>10</v>
      </c>
      <c r="V52" s="80" t="s">
        <v>10</v>
      </c>
      <c r="W52" s="113"/>
      <c r="X52" s="193" t="s">
        <v>10</v>
      </c>
      <c r="Y52" s="260" t="s">
        <v>66</v>
      </c>
      <c r="Z52" s="193" t="s">
        <v>10</v>
      </c>
      <c r="AA52" s="256"/>
      <c r="AB52" s="178"/>
      <c r="AC52" s="253"/>
      <c r="AD52" s="247"/>
      <c r="AE52" s="251"/>
      <c r="AF52" s="8"/>
    </row>
    <row r="53" spans="1:47" ht="18.95" customHeight="1" x14ac:dyDescent="0.35">
      <c r="B53" s="219"/>
      <c r="C53" s="239"/>
      <c r="D53" s="61"/>
      <c r="E53" s="116"/>
      <c r="F53" s="241"/>
      <c r="G53" s="257"/>
      <c r="H53" s="83"/>
      <c r="I53" s="102"/>
      <c r="J53" s="131"/>
      <c r="K53" s="129"/>
      <c r="L53" s="63"/>
      <c r="M53" s="43"/>
      <c r="N53" s="43"/>
      <c r="O53" s="43"/>
      <c r="P53" s="43"/>
      <c r="Q53" s="131"/>
      <c r="R53" s="63"/>
      <c r="S53" s="63"/>
      <c r="T53" s="43"/>
      <c r="U53" s="43"/>
      <c r="V53" s="43"/>
      <c r="W53" s="131"/>
      <c r="X53" s="193"/>
      <c r="Y53" s="260"/>
      <c r="Z53" s="193"/>
      <c r="AA53" s="65"/>
      <c r="AB53" s="178"/>
      <c r="AC53" s="89"/>
      <c r="AD53" s="64"/>
      <c r="AE53" s="14"/>
      <c r="AF53" s="15"/>
    </row>
    <row r="54" spans="1:47" ht="12" customHeight="1" x14ac:dyDescent="0.35">
      <c r="B54" s="219"/>
      <c r="C54" s="78"/>
      <c r="D54" s="61"/>
      <c r="E54" s="65"/>
      <c r="F54" s="84"/>
      <c r="G54" s="116"/>
      <c r="H54" s="83"/>
      <c r="I54" s="102"/>
      <c r="J54" s="131"/>
      <c r="K54" s="129"/>
      <c r="L54" s="63"/>
      <c r="M54" s="43"/>
      <c r="N54" s="43"/>
      <c r="O54" s="43"/>
      <c r="P54" s="43"/>
      <c r="Q54" s="131"/>
      <c r="R54" s="63"/>
      <c r="S54" s="63"/>
      <c r="T54" s="43"/>
      <c r="U54" s="43"/>
      <c r="V54" s="43"/>
      <c r="W54" s="131"/>
      <c r="X54" s="193"/>
      <c r="Y54" s="62"/>
      <c r="Z54" s="193"/>
      <c r="AA54" s="62"/>
      <c r="AB54" s="178"/>
      <c r="AC54" s="89"/>
      <c r="AD54" s="64"/>
      <c r="AE54" s="14"/>
      <c r="AF54" s="15"/>
    </row>
    <row r="55" spans="1:47" ht="9" customHeight="1" thickBot="1" x14ac:dyDescent="0.4">
      <c r="B55" s="219"/>
      <c r="C55" s="222" t="s">
        <v>13</v>
      </c>
      <c r="D55" s="66"/>
      <c r="E55" s="67"/>
      <c r="F55" s="85"/>
      <c r="G55" s="117"/>
      <c r="H55" s="103"/>
      <c r="I55" s="104"/>
      <c r="J55" s="132"/>
      <c r="K55" s="130"/>
      <c r="L55" s="69"/>
      <c r="M55" s="68"/>
      <c r="N55" s="68"/>
      <c r="O55" s="68"/>
      <c r="P55" s="68"/>
      <c r="Q55" s="168"/>
      <c r="R55" s="69"/>
      <c r="S55" s="111"/>
      <c r="T55" s="68"/>
      <c r="U55" s="68"/>
      <c r="V55" s="68"/>
      <c r="W55" s="168"/>
      <c r="X55" s="196"/>
      <c r="Y55" s="70"/>
      <c r="Z55" s="196"/>
      <c r="AA55" s="70"/>
      <c r="AB55" s="179"/>
      <c r="AC55" s="90"/>
      <c r="AD55" s="71"/>
      <c r="AE55" s="152"/>
      <c r="AF55" s="153"/>
      <c r="AG55" s="153"/>
    </row>
    <row r="56" spans="1:47" ht="12" customHeight="1" thickTop="1" x14ac:dyDescent="0.55000000000000004">
      <c r="A56" s="9"/>
      <c r="C56" s="222"/>
      <c r="D56" s="21"/>
      <c r="E56" s="21"/>
      <c r="F56" s="21"/>
      <c r="G56" s="21"/>
      <c r="H56" s="21"/>
      <c r="I56" s="21"/>
      <c r="J56" s="72"/>
      <c r="K56" s="72"/>
      <c r="L56" s="72"/>
      <c r="M56" s="21"/>
      <c r="N56" s="21"/>
      <c r="O56" s="21"/>
      <c r="P56" s="21"/>
      <c r="Q56" s="21"/>
      <c r="R56" s="21"/>
      <c r="S56" s="21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58" t="s">
        <v>17</v>
      </c>
      <c r="AE56" s="153"/>
      <c r="AF56" s="153"/>
      <c r="AG56" s="153"/>
    </row>
    <row r="57" spans="1:47" ht="37.5" x14ac:dyDescent="0.35">
      <c r="C57" s="20"/>
      <c r="D57" s="74">
        <v>134680</v>
      </c>
      <c r="E57" s="74">
        <v>34818.160000000003</v>
      </c>
      <c r="F57" s="74">
        <v>1327</v>
      </c>
      <c r="G57" s="74" t="s">
        <v>68</v>
      </c>
      <c r="H57" s="74">
        <v>89813</v>
      </c>
      <c r="I57" s="74">
        <v>3542</v>
      </c>
      <c r="J57" s="73" t="s">
        <v>3</v>
      </c>
      <c r="K57" s="73" t="s">
        <v>3</v>
      </c>
      <c r="L57" s="74">
        <v>21966</v>
      </c>
      <c r="M57" s="74">
        <v>3290</v>
      </c>
      <c r="N57" s="74"/>
      <c r="O57" s="74">
        <v>2500</v>
      </c>
      <c r="P57" s="74"/>
      <c r="Q57" s="74"/>
      <c r="R57" s="74">
        <v>105758</v>
      </c>
      <c r="S57" s="74">
        <v>708</v>
      </c>
      <c r="T57" s="74"/>
      <c r="U57" s="74">
        <v>4276</v>
      </c>
      <c r="V57" s="74"/>
      <c r="W57" s="74"/>
      <c r="X57" s="255">
        <v>59805.2</v>
      </c>
      <c r="Y57" s="255"/>
      <c r="Z57" s="255"/>
      <c r="AA57" s="110">
        <v>13476</v>
      </c>
      <c r="AB57" s="110">
        <v>3919</v>
      </c>
      <c r="AC57" s="22"/>
      <c r="AD57" s="259"/>
      <c r="AE57" s="154"/>
      <c r="AF57" s="24"/>
      <c r="AG57" s="10"/>
      <c r="AH57" s="11"/>
      <c r="AI57" s="11"/>
    </row>
    <row r="58" spans="1:47" x14ac:dyDescent="0.5">
      <c r="A58" s="12"/>
      <c r="B58" s="12"/>
      <c r="C58" s="12"/>
      <c r="D58" s="17"/>
      <c r="E58" s="17"/>
      <c r="F58" s="17"/>
      <c r="G58" s="17"/>
      <c r="H58" s="17"/>
      <c r="I58" s="17"/>
      <c r="J58" s="17"/>
      <c r="K58" s="17"/>
      <c r="L58" s="18"/>
      <c r="M58" s="18"/>
      <c r="N58" s="18"/>
      <c r="O58" s="18"/>
      <c r="P58" s="18"/>
      <c r="Q58" s="18"/>
      <c r="R58" s="17"/>
      <c r="S58" s="17"/>
      <c r="T58" s="17"/>
      <c r="U58" s="17"/>
      <c r="V58" s="17"/>
      <c r="W58" s="17"/>
      <c r="X58" s="18"/>
      <c r="Y58" s="17"/>
      <c r="Z58" s="17"/>
      <c r="AA58" s="17"/>
      <c r="AB58" s="17"/>
      <c r="AC58" s="17"/>
      <c r="AD58" s="17"/>
      <c r="AE58" s="13"/>
      <c r="AF58" s="13"/>
      <c r="AG58" s="13"/>
      <c r="AH58" s="13"/>
      <c r="AI58" s="13"/>
    </row>
    <row r="59" spans="1:47" ht="18" customHeight="1" x14ac:dyDescent="0.5">
      <c r="A59" s="26" t="s">
        <v>6</v>
      </c>
      <c r="B59" s="27">
        <f>SUM(D59:AH59)</f>
        <v>356540.16000000003</v>
      </c>
      <c r="C59" s="28">
        <f>B59/B70</f>
        <v>0.33866646818202706</v>
      </c>
      <c r="D59" s="32"/>
      <c r="E59" s="32">
        <f>E57</f>
        <v>34818.160000000003</v>
      </c>
      <c r="F59" s="32">
        <f>F57</f>
        <v>1327</v>
      </c>
      <c r="G59" s="32"/>
      <c r="H59" s="33">
        <f>H57</f>
        <v>89813</v>
      </c>
      <c r="I59" s="33">
        <f>I57</f>
        <v>3542</v>
      </c>
      <c r="J59" s="33"/>
      <c r="K59" s="33">
        <v>19225</v>
      </c>
      <c r="L59" s="33">
        <f>L57</f>
        <v>21966</v>
      </c>
      <c r="M59" s="33">
        <f>M57</f>
        <v>3290</v>
      </c>
      <c r="N59" s="33"/>
      <c r="O59" s="33">
        <f>O57</f>
        <v>2500</v>
      </c>
      <c r="P59" s="33"/>
      <c r="Q59" s="33"/>
      <c r="R59" s="33">
        <f>R57</f>
        <v>105758</v>
      </c>
      <c r="S59" s="33">
        <f>S57</f>
        <v>708</v>
      </c>
      <c r="T59" s="33"/>
      <c r="U59" s="33">
        <f>U57</f>
        <v>4276</v>
      </c>
      <c r="V59" s="33">
        <v>50817</v>
      </c>
      <c r="W59" s="33">
        <v>18500</v>
      </c>
      <c r="AA59" s="33"/>
      <c r="AB59" s="33"/>
      <c r="AC59" s="33"/>
      <c r="AD59" s="33"/>
      <c r="AE59" s="33"/>
      <c r="AF59" s="33"/>
      <c r="AG59" s="33"/>
      <c r="AH59" s="33"/>
      <c r="AI59" s="33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</row>
    <row r="60" spans="1:47" ht="18" customHeight="1" x14ac:dyDescent="0.35">
      <c r="A60" s="26" t="s">
        <v>58</v>
      </c>
      <c r="B60" s="27">
        <f>SUM(D60:AH60)</f>
        <v>121212</v>
      </c>
      <c r="C60" s="28">
        <f>B60/B70</f>
        <v>0.11513552902786563</v>
      </c>
      <c r="D60" s="34">
        <v>121212</v>
      </c>
      <c r="E60" s="34"/>
      <c r="F60" s="34"/>
      <c r="G60" s="34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</row>
    <row r="61" spans="1:47" ht="18" customHeight="1" x14ac:dyDescent="0.35">
      <c r="A61" s="29" t="s">
        <v>84</v>
      </c>
      <c r="B61" s="27">
        <f>SUM(D61:AG61)</f>
        <v>134680</v>
      </c>
      <c r="C61" s="28">
        <f>B61/B70</f>
        <v>0.12792836558651738</v>
      </c>
      <c r="D61" s="33">
        <f>D57</f>
        <v>134680</v>
      </c>
      <c r="E61" s="33"/>
      <c r="F61" s="33"/>
      <c r="G61" s="33"/>
      <c r="H61" s="243"/>
      <c r="I61" s="243"/>
      <c r="J61" s="244"/>
      <c r="K61" s="81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</row>
    <row r="62" spans="1:47" ht="18" customHeight="1" x14ac:dyDescent="0.35">
      <c r="A62" s="26" t="s">
        <v>69</v>
      </c>
      <c r="B62" s="27">
        <f>SUM(D62:AH62)</f>
        <v>45450</v>
      </c>
      <c r="C62" s="28">
        <f>B62/B70</f>
        <v>4.3171548974660044E-2</v>
      </c>
      <c r="D62" s="35">
        <v>20200</v>
      </c>
      <c r="E62" s="35"/>
      <c r="F62" s="35"/>
      <c r="G62" s="35"/>
      <c r="H62" s="35"/>
      <c r="I62" s="35"/>
      <c r="J62" s="35"/>
      <c r="K62" s="35">
        <v>25250</v>
      </c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6"/>
      <c r="AF62" s="37"/>
      <c r="AG62" s="36"/>
      <c r="AH62" s="36"/>
      <c r="AI62" s="36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</row>
    <row r="63" spans="1:47" ht="18" customHeight="1" x14ac:dyDescent="0.35">
      <c r="A63" s="26" t="s">
        <v>59</v>
      </c>
      <c r="B63" s="27">
        <f>SUM(D63:AH63)</f>
        <v>41600</v>
      </c>
      <c r="C63" s="28">
        <f>B63/B70</f>
        <v>3.9514553076916564E-2</v>
      </c>
      <c r="D63" s="33">
        <v>41600</v>
      </c>
      <c r="E63" s="243"/>
      <c r="F63" s="243"/>
      <c r="G63" s="243"/>
      <c r="H63" s="243"/>
      <c r="I63" s="243"/>
      <c r="J63" s="243"/>
      <c r="K63" s="243"/>
      <c r="L63" s="243"/>
      <c r="M63" s="243"/>
      <c r="N63" s="32"/>
      <c r="O63" s="32"/>
      <c r="P63" s="32"/>
      <c r="Q63" s="32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8"/>
      <c r="AD63" s="39"/>
      <c r="AE63" s="39"/>
      <c r="AF63" s="33"/>
      <c r="AG63" s="33"/>
      <c r="AH63" s="33"/>
      <c r="AI63" s="33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</row>
    <row r="64" spans="1:47" ht="18" customHeight="1" x14ac:dyDescent="0.35">
      <c r="A64" s="26" t="s">
        <v>34</v>
      </c>
      <c r="B64" s="27">
        <f>SUM(D64:AH64)</f>
        <v>73281.2</v>
      </c>
      <c r="C64" s="28">
        <f>B64/B70</f>
        <v>6.9607544878368705E-2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3">
        <f>X57</f>
        <v>59805.2</v>
      </c>
      <c r="Z64" s="35"/>
      <c r="AA64" s="35">
        <f>AA57</f>
        <v>13476</v>
      </c>
      <c r="AB64" s="35"/>
      <c r="AC64" s="248"/>
      <c r="AD64" s="248"/>
      <c r="AE64" s="248"/>
      <c r="AF64" s="36"/>
      <c r="AG64" s="35"/>
      <c r="AH64" s="35"/>
      <c r="AI64" s="35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</row>
    <row r="65" spans="1:47" ht="18" customHeight="1" x14ac:dyDescent="0.5">
      <c r="A65" s="26" t="s">
        <v>60</v>
      </c>
      <c r="B65" s="27">
        <f>SUM(D65:AC65)</f>
        <v>36138</v>
      </c>
      <c r="C65" s="28">
        <f>B65/B70</f>
        <v>3.4326368247442562E-2</v>
      </c>
      <c r="D65" s="33">
        <v>32219</v>
      </c>
      <c r="E65" s="33"/>
      <c r="F65" s="33"/>
      <c r="G65" s="33"/>
      <c r="H65" s="243"/>
      <c r="I65" s="243"/>
      <c r="J65" s="244"/>
      <c r="K65" s="81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Z65" s="33"/>
      <c r="AA65" s="33"/>
      <c r="AB65" s="33">
        <f>AB57</f>
        <v>3919</v>
      </c>
      <c r="AC65" s="32"/>
      <c r="AD65" s="33"/>
      <c r="AE65" s="33"/>
      <c r="AF65" s="33"/>
      <c r="AG65" s="33"/>
      <c r="AH65" s="33"/>
      <c r="AI65" s="33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</row>
    <row r="66" spans="1:47" ht="18" customHeight="1" x14ac:dyDescent="0.35">
      <c r="A66" s="26" t="s">
        <v>85</v>
      </c>
      <c r="B66" s="27">
        <f>SUM(D66:AC66)</f>
        <v>6500</v>
      </c>
      <c r="C66" s="28">
        <f>B66/B70</f>
        <v>6.1741489182682132E-3</v>
      </c>
      <c r="D66" s="35">
        <v>6500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6"/>
      <c r="AF66" s="36"/>
      <c r="AG66" s="35"/>
      <c r="AH66" s="35"/>
      <c r="AI66" s="35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</row>
    <row r="67" spans="1:47" ht="18" customHeight="1" x14ac:dyDescent="0.35">
      <c r="A67" s="26" t="s">
        <v>88</v>
      </c>
      <c r="B67" s="27">
        <f>SUM(D67:AH67)</f>
        <v>86690.240000000005</v>
      </c>
      <c r="C67" s="28">
        <f>B67/B70</f>
        <v>8.2344377156986434E-2</v>
      </c>
      <c r="D67" s="35">
        <v>86690.240000000005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6"/>
      <c r="AF67" s="36"/>
      <c r="AG67" s="35"/>
      <c r="AH67" s="35"/>
      <c r="AI67" s="35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</row>
    <row r="68" spans="1:47" ht="18" customHeight="1" x14ac:dyDescent="0.35">
      <c r="A68" s="26" t="s">
        <v>93</v>
      </c>
      <c r="B68" s="27">
        <f>SUM(D68:AH68)</f>
        <v>83150.080000000002</v>
      </c>
      <c r="C68" s="28">
        <f>B68/B70</f>
        <v>7.8981688690140828E-2</v>
      </c>
      <c r="D68" s="33">
        <v>83150.080000000002</v>
      </c>
      <c r="E68" s="33"/>
      <c r="F68" s="33"/>
      <c r="G68" s="33"/>
      <c r="H68" s="243"/>
      <c r="I68" s="243"/>
      <c r="J68" s="244"/>
      <c r="K68" s="81"/>
      <c r="L68" s="33"/>
      <c r="M68" s="33"/>
      <c r="N68" s="33"/>
      <c r="O68" s="33"/>
      <c r="P68" s="33"/>
      <c r="Q68" s="33"/>
      <c r="R68" s="243"/>
      <c r="S68" s="245"/>
      <c r="T68" s="158"/>
      <c r="U68" s="158"/>
      <c r="V68" s="158"/>
      <c r="W68" s="158"/>
      <c r="X68" s="33"/>
      <c r="Y68" s="33"/>
      <c r="Z68" s="33"/>
      <c r="AA68" s="33"/>
      <c r="AB68" s="33"/>
      <c r="AC68" s="32"/>
      <c r="AD68" s="33"/>
      <c r="AE68" s="33"/>
      <c r="AF68" s="33"/>
      <c r="AG68" s="33"/>
      <c r="AH68" s="33"/>
      <c r="AI68" s="33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</row>
    <row r="69" spans="1:47" ht="18" customHeight="1" x14ac:dyDescent="0.35">
      <c r="A69" s="26" t="s">
        <v>94</v>
      </c>
      <c r="B69" s="27">
        <f>SUM(D69:AH69)</f>
        <v>67535</v>
      </c>
      <c r="C69" s="30">
        <f>B69/B70</f>
        <v>6.4149407260806729E-2</v>
      </c>
      <c r="D69" s="35">
        <v>67535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6"/>
      <c r="AF69" s="36"/>
      <c r="AG69" s="35"/>
      <c r="AH69" s="35"/>
      <c r="AI69" s="35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</row>
    <row r="70" spans="1:47" ht="18" customHeight="1" x14ac:dyDescent="0.35">
      <c r="A70" s="31"/>
      <c r="B70" s="27">
        <f>SUM(B59:B69)</f>
        <v>1052776.68</v>
      </c>
      <c r="C70" s="28">
        <f>SUM(C59:C69)</f>
        <v>1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</row>
    <row r="71" spans="1:47" ht="18" customHeight="1" x14ac:dyDescent="0.35">
      <c r="A71" s="31"/>
      <c r="B71" s="31"/>
      <c r="C71" s="31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</row>
    <row r="72" spans="1:47" ht="18" customHeight="1" x14ac:dyDescent="0.35">
      <c r="A72" s="26"/>
      <c r="B72" s="27">
        <f>SUM(D72:AG72)</f>
        <v>0</v>
      </c>
      <c r="C72" s="28"/>
      <c r="D72" s="33"/>
      <c r="E72" s="33"/>
      <c r="F72" s="33"/>
      <c r="G72" s="33"/>
      <c r="H72" s="243"/>
      <c r="I72" s="243"/>
      <c r="J72" s="244"/>
      <c r="K72" s="81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243"/>
      <c r="AE72" s="245"/>
      <c r="AF72" s="33"/>
      <c r="AG72" s="33"/>
      <c r="AH72" s="33"/>
      <c r="AI72" s="33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</row>
    <row r="73" spans="1:47" ht="23.25" x14ac:dyDescent="0.3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</row>
    <row r="74" spans="1:47" ht="23.25" x14ac:dyDescent="0.35"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</row>
    <row r="75" spans="1:47" ht="23.25" x14ac:dyDescent="0.35"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</row>
    <row r="76" spans="1:47" ht="23.25" x14ac:dyDescent="0.35"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134"/>
      <c r="AA76" s="134"/>
      <c r="AB76" s="134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</row>
    <row r="77" spans="1:47" ht="23.25" x14ac:dyDescent="0.35"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</row>
    <row r="78" spans="1:47" ht="23.25" x14ac:dyDescent="0.35"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</row>
    <row r="79" spans="1:47" ht="23.25" x14ac:dyDescent="0.35"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</row>
    <row r="80" spans="1:47" ht="23.25" x14ac:dyDescent="0.35"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</row>
    <row r="81" spans="4:47" ht="23.25" x14ac:dyDescent="0.35"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</row>
    <row r="82" spans="4:47" ht="23.25" x14ac:dyDescent="0.35"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</row>
    <row r="83" spans="4:47" ht="23.25" x14ac:dyDescent="0.35"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</row>
    <row r="84" spans="4:47" ht="23.25" x14ac:dyDescent="0.35"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</row>
    <row r="85" spans="4:47" ht="23.25" x14ac:dyDescent="0.35"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</row>
    <row r="86" spans="4:47" ht="23.25" x14ac:dyDescent="0.35"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</row>
    <row r="87" spans="4:47" ht="23.25" x14ac:dyDescent="0.35"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</row>
    <row r="88" spans="4:47" ht="23.25" x14ac:dyDescent="0.35"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</row>
    <row r="89" spans="4:47" ht="23.25" x14ac:dyDescent="0.35"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</row>
    <row r="90" spans="4:47" ht="23.25" x14ac:dyDescent="0.35"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</row>
    <row r="91" spans="4:47" ht="23.25" x14ac:dyDescent="0.35"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</row>
    <row r="92" spans="4:47" ht="23.25" x14ac:dyDescent="0.35"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</row>
    <row r="93" spans="4:47" ht="23.25" x14ac:dyDescent="0.35"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</row>
  </sheetData>
  <mergeCells count="111">
    <mergeCell ref="L5:N5"/>
    <mergeCell ref="L6:N6"/>
    <mergeCell ref="L8:N8"/>
    <mergeCell ref="D17:D18"/>
    <mergeCell ref="D12:D13"/>
    <mergeCell ref="Y22:AC26"/>
    <mergeCell ref="R35:V35"/>
    <mergeCell ref="R32:V32"/>
    <mergeCell ref="R30:V30"/>
    <mergeCell ref="W7:W14"/>
    <mergeCell ref="R3:V5"/>
    <mergeCell ref="R18:V18"/>
    <mergeCell ref="R24:V24"/>
    <mergeCell ref="R25:V25"/>
    <mergeCell ref="S20:U20"/>
    <mergeCell ref="S22:U22"/>
    <mergeCell ref="S11:U15"/>
    <mergeCell ref="S6:U9"/>
    <mergeCell ref="T43:W43"/>
    <mergeCell ref="W45:W48"/>
    <mergeCell ref="Q45:Q48"/>
    <mergeCell ref="Y8:Z8"/>
    <mergeCell ref="AB45:AB50"/>
    <mergeCell ref="C22:C25"/>
    <mergeCell ref="C6:C7"/>
    <mergeCell ref="E42:E44"/>
    <mergeCell ref="N43:Q43"/>
    <mergeCell ref="Q7:Q14"/>
    <mergeCell ref="D30:D33"/>
    <mergeCell ref="D24:D25"/>
    <mergeCell ref="E35:E40"/>
    <mergeCell ref="X36:Z36"/>
    <mergeCell ref="X45:X46"/>
    <mergeCell ref="X47:X48"/>
    <mergeCell ref="K32:O32"/>
    <mergeCell ref="K29:O30"/>
    <mergeCell ref="K34:O35"/>
    <mergeCell ref="I45:I47"/>
    <mergeCell ref="D39:D44"/>
    <mergeCell ref="F46:F51"/>
    <mergeCell ref="G45:G48"/>
    <mergeCell ref="G51:G53"/>
    <mergeCell ref="M45:M47"/>
    <mergeCell ref="AD56:AD57"/>
    <mergeCell ref="Y52:Y53"/>
    <mergeCell ref="AI36:AL39"/>
    <mergeCell ref="AF45:AF49"/>
    <mergeCell ref="AE43:AE44"/>
    <mergeCell ref="S45:S47"/>
    <mergeCell ref="Y45:Y46"/>
    <mergeCell ref="AD43:AD44"/>
    <mergeCell ref="AD45:AD47"/>
    <mergeCell ref="Y47:Y48"/>
    <mergeCell ref="AC45:AC46"/>
    <mergeCell ref="AF43:AF44"/>
    <mergeCell ref="AB40:AB41"/>
    <mergeCell ref="R36:S36"/>
    <mergeCell ref="R37:S37"/>
    <mergeCell ref="Z45:Z46"/>
    <mergeCell ref="AC42:AC43"/>
    <mergeCell ref="X37:X39"/>
    <mergeCell ref="Y37:Y39"/>
    <mergeCell ref="Z37:Z39"/>
    <mergeCell ref="R38:S38"/>
    <mergeCell ref="R31:S31"/>
    <mergeCell ref="C45:C53"/>
    <mergeCell ref="D51:D52"/>
    <mergeCell ref="F52:F53"/>
    <mergeCell ref="D28:D29"/>
    <mergeCell ref="H72:J72"/>
    <mergeCell ref="AD72:AE72"/>
    <mergeCell ref="H61:J61"/>
    <mergeCell ref="AD49:AD52"/>
    <mergeCell ref="AC64:AE64"/>
    <mergeCell ref="AE45:AE46"/>
    <mergeCell ref="AE48:AE52"/>
    <mergeCell ref="AC49:AC52"/>
    <mergeCell ref="H65:J65"/>
    <mergeCell ref="H68:J68"/>
    <mergeCell ref="R68:S68"/>
    <mergeCell ref="J45:J48"/>
    <mergeCell ref="AA47:AA48"/>
    <mergeCell ref="Z47:Z48"/>
    <mergeCell ref="R45:R47"/>
    <mergeCell ref="X57:Z57"/>
    <mergeCell ref="E63:M63"/>
    <mergeCell ref="S48:S52"/>
    <mergeCell ref="AA51:AA52"/>
    <mergeCell ref="AA34:AA35"/>
    <mergeCell ref="AA28:AA30"/>
    <mergeCell ref="AA31:AA33"/>
    <mergeCell ref="R34:V34"/>
    <mergeCell ref="K33:O33"/>
    <mergeCell ref="R33:V33"/>
    <mergeCell ref="B10:B55"/>
    <mergeCell ref="R43:S43"/>
    <mergeCell ref="C55:C56"/>
    <mergeCell ref="J43:M43"/>
    <mergeCell ref="F38:F40"/>
    <mergeCell ref="C31:C32"/>
    <mergeCell ref="H22:H25"/>
    <mergeCell ref="D35:D37"/>
    <mergeCell ref="C28:C30"/>
    <mergeCell ref="C35:C36"/>
    <mergeCell ref="I7:I10"/>
    <mergeCell ref="H7:H10"/>
    <mergeCell ref="G43:G44"/>
    <mergeCell ref="M48:M52"/>
    <mergeCell ref="K45:K48"/>
    <mergeCell ref="H45:H47"/>
    <mergeCell ref="L45:L47"/>
  </mergeCells>
  <printOptions horizontalCentered="1" verticalCentered="1"/>
  <pageMargins left="7.8740157480315001E-2" right="7.8740157480315001E-2" top="0.78740157480314998" bottom="0.23622047244094499" header="0.118110236220472" footer="0.31496062992126"/>
  <pageSetup paperSize="3" scale="41" orientation="landscape" r:id="rId1"/>
  <headerFooter>
    <oddHeader>&amp;L&amp;G&amp;C&amp;28T5 Data Centers, LLC &amp;&amp; T5 Construction Services, LLC
Insurance Program  for 2022 - 2023
&amp;"-,Italic"&amp;22As of 2/23/23&amp;R&amp;G</oddHeader>
  </headerFooter>
  <rowBreaks count="1" manualBreakCount="1">
    <brk id="57" max="16383" man="1"/>
  </rowBreaks>
  <colBreaks count="1" manualBreakCount="1">
    <brk id="33" max="1048575" man="1"/>
  </colBreaks>
  <ignoredErrors>
    <ignoredError sqref="B61" formula="1"/>
  </ignoredError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</vt:lpstr>
      <vt:lpstr>Chart!Print_Area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Collings</dc:creator>
  <cp:lastModifiedBy>Nicole Larsen</cp:lastModifiedBy>
  <cp:lastPrinted>2021-07-02T15:20:27Z</cp:lastPrinted>
  <dcterms:created xsi:type="dcterms:W3CDTF">2015-07-11T02:37:57Z</dcterms:created>
  <dcterms:modified xsi:type="dcterms:W3CDTF">2023-02-23T19:39:57Z</dcterms:modified>
</cp:coreProperties>
</file>