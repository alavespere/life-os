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aron.lavespere\Documents\Aaron's Life &amp; Business OS\Brokerage\Finance\"/>
    </mc:Choice>
  </mc:AlternateContent>
  <xr:revisionPtr revIDLastSave="0" documentId="8_{C34CFE7C-91A6-4136-B4E6-8D3C5881CE72}" xr6:coauthVersionLast="47" xr6:coauthVersionMax="47" xr10:uidLastSave="{00000000-0000-0000-0000-000000000000}"/>
  <bookViews>
    <workbookView xWindow="-96" yWindow="-96" windowWidth="23232" windowHeight="13872" firstSheet="1" activeTab="2" xr2:uid="{00000000-000D-0000-FFFF-FFFF00000000}"/>
  </bookViews>
  <sheets>
    <sheet name="Cover &amp; Assumptions" sheetId="1" r:id="rId1"/>
    <sheet name="P&amp;L Summary (Annual)" sheetId="2" r:id="rId2"/>
    <sheet name="Cash on Hand" sheetId="3" r:id="rId3"/>
    <sheet name="Key Metrics (PE Dashboard)" sheetId="4" r:id="rId4"/>
    <sheet name="Revenue Detail" sheetId="5" r:id="rId5"/>
    <sheet name="JV Partner Illustration" sheetId="6" r:id="rId6"/>
    <sheet name="JV Compensation &amp; Exit" sheetId="7" r:id="rId7"/>
    <sheet name="Exit Valuation (Tiered)" sheetId="8" r:id="rId8"/>
    <sheet name="Scenario Analysis" sheetId="9" r:id="rId9"/>
    <sheet name="Headcount &amp; Cost Detail" sheetId="10" r:id="rId10"/>
    <sheet name="Client Mix Assumptions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3" l="1"/>
  <c r="E13" i="13"/>
  <c r="D13" i="13"/>
  <c r="C13" i="13"/>
  <c r="C14" i="13" s="1"/>
  <c r="B13" i="13"/>
  <c r="F14" i="13"/>
  <c r="E14" i="13"/>
  <c r="D14" i="13"/>
  <c r="B14" i="13"/>
  <c r="D8" i="13"/>
  <c r="C8" i="13"/>
  <c r="B8" i="13"/>
  <c r="D7" i="13"/>
  <c r="D6" i="13"/>
  <c r="D5" i="13"/>
  <c r="F22" i="3"/>
  <c r="E22" i="3"/>
  <c r="D22" i="3"/>
  <c r="C22" i="3"/>
  <c r="B22" i="3"/>
  <c r="G22" i="3" s="1"/>
  <c r="G21" i="3"/>
  <c r="G35" i="2"/>
  <c r="G28" i="2"/>
  <c r="F11" i="2"/>
  <c r="E11" i="2"/>
  <c r="D11" i="2"/>
  <c r="C11" i="2"/>
  <c r="B11" i="2"/>
  <c r="F10" i="2"/>
  <c r="E10" i="2"/>
  <c r="D10" i="2"/>
  <c r="C10" i="2"/>
  <c r="B10" i="2"/>
  <c r="G11" i="2" l="1"/>
</calcChain>
</file>

<file path=xl/sharedStrings.xml><?xml version="1.0" encoding="utf-8"?>
<sst xmlns="http://schemas.openxmlformats.org/spreadsheetml/2006/main" count="551" uniqueCount="420">
  <si>
    <t>P&amp;C INSURANCE BROKERAGE — FINANCIAL MODEL v8</t>
  </si>
  <si>
    <t>Solo Founder | No Outside Capital | 5-Year (2026-2030) | Milestone-Based Staffing | 6 JVs | Tiered Exit | PE-Ready</t>
  </si>
  <si>
    <t>REVENUE ASSUMPTIONS</t>
  </si>
  <si>
    <t>Blended Commission Rate</t>
  </si>
  <si>
    <t>12.0%</t>
  </si>
  <si>
    <t>Avg Annual Commission per Client (Blended)</t>
  </si>
  <si>
    <t>$18,000</t>
  </si>
  <si>
    <t>Avg Annual Premium per Client (Implied)</t>
  </si>
  <si>
    <t>$150,000</t>
  </si>
  <si>
    <t>DIRECT PRODUCTION — AARON</t>
  </si>
  <si>
    <t>Y1 New Commission Revenue</t>
  </si>
  <si>
    <t>$400,000</t>
  </si>
  <si>
    <t>New Production Annual Growth Rate (Y2+)</t>
  </si>
  <si>
    <t>15% per year (1.15x)</t>
  </si>
  <si>
    <t>Organic Growth on Existing Book</t>
  </si>
  <si>
    <t>7% per year</t>
  </si>
  <si>
    <t>Direct Client Churn Y1-Y2 / Y3-Y4 / Y5</t>
  </si>
  <si>
    <t>5% / 4% / 3%</t>
  </si>
  <si>
    <t>JV PARTNER NETWORK</t>
  </si>
  <si>
    <t>Y1 JV Partners (Full Year)</t>
  </si>
  <si>
    <t>1</t>
  </si>
  <si>
    <t>Y1 — 2nd JV Partner (Late Q4 Join)</t>
  </si>
  <si>
    <t>25% partial year revenue</t>
  </si>
  <si>
    <t>Y2 JV Partners</t>
  </si>
  <si>
    <t>4</t>
  </si>
  <si>
    <t>Y3-Y5 JV Partners</t>
  </si>
  <si>
    <t>6</t>
  </si>
  <si>
    <t>New Clients per JV Partner per Year</t>
  </si>
  <si>
    <t>8 (Y1) → 15 (Y5)</t>
  </si>
  <si>
    <t>Aaron's Share of JV Revenue</t>
  </si>
  <si>
    <t>80%</t>
  </si>
  <si>
    <t>JV Partner Commission (Producer Rate)</t>
  </si>
  <si>
    <t>20% of gross book revenue</t>
  </si>
  <si>
    <t>JV Client Churn Rate</t>
  </si>
  <si>
    <t>6.0%</t>
  </si>
  <si>
    <t>CONTINGENT INCOME</t>
  </si>
  <si>
    <t>Premium Threshold to Qualify</t>
  </si>
  <si>
    <t>$500,000 NWP</t>
  </si>
  <si>
    <t>Contingency Rate (Blended)</t>
  </si>
  <si>
    <t>3.5% of Net Written Premium</t>
  </si>
  <si>
    <t>AARON'S COMPENSATION</t>
  </si>
  <si>
    <t>Y1 Salary</t>
  </si>
  <si>
    <t>$0 (reinvesting into growth)</t>
  </si>
  <si>
    <t>Y2-Y5 Annual Salary</t>
  </si>
  <si>
    <t>$185,000</t>
  </si>
  <si>
    <t>Admin Burden on Salary (Benefits + Taxes)</t>
  </si>
  <si>
    <t>23% of base salary</t>
  </si>
  <si>
    <t>COLD CALLERS — DIRECT BOOK (MILESTONE-TRIGGERED)</t>
  </si>
  <si>
    <t>First 2 Callers Trigger</t>
  </si>
  <si>
    <t>When cumulative cash profit &gt;= $80,000</t>
  </si>
  <si>
    <t>Additional Callers</t>
  </si>
  <si>
    <t>1 per additional $80K cumulative cash profit</t>
  </si>
  <si>
    <t>Cost per Cold Caller (1099)</t>
  </si>
  <si>
    <t>$40,000/year</t>
  </si>
  <si>
    <t>RESOURCEPRO (OUTSOURCED SERVICE STAFF)</t>
  </si>
  <si>
    <t>First Hire Trigger</t>
  </si>
  <si>
    <t>10 total clients</t>
  </si>
  <si>
    <t>Ongoing Ratio</t>
  </si>
  <si>
    <t>1 person per 14 clients</t>
  </si>
  <si>
    <t>Cost per Head</t>
  </si>
  <si>
    <t>$40,000 (no admin burden — outsourced)</t>
  </si>
  <si>
    <t>ACCOUNT MANAGERS (W-2)</t>
  </si>
  <si>
    <t>20 total clients</t>
  </si>
  <si>
    <t>1 AM per 20 clients</t>
  </si>
  <si>
    <t>Base Salary (Y1 Rate)</t>
  </si>
  <si>
    <t>$140,000</t>
  </si>
  <si>
    <t>Annual Salary Escalation</t>
  </si>
  <si>
    <t>3% per year</t>
  </si>
  <si>
    <t>Admin Burden (Benefits + Taxes)</t>
  </si>
  <si>
    <t>TECHNOLOGY — MILESTONE TRIGGER</t>
  </si>
  <si>
    <t>Agency Management System</t>
  </si>
  <si>
    <t>$35,000/year — activates at 10 total clients</t>
  </si>
  <si>
    <t>OTHER OPERATING EXPENSES</t>
  </si>
  <si>
    <t>E&amp;O Insurance</t>
  </si>
  <si>
    <t>$6,500 per $650K revenue band</t>
  </si>
  <si>
    <t>Marketing (Y1→Y5)</t>
  </si>
  <si>
    <t>$5K → $18K</t>
  </si>
  <si>
    <t>Professional Services (Y1→Y5)</t>
  </si>
  <si>
    <t>$3K → $6K</t>
  </si>
  <si>
    <t>Misc / Admin (Y1→Y5)</t>
  </si>
  <si>
    <t>$2,400 → $3,600</t>
  </si>
  <si>
    <t>Office Space</t>
  </si>
  <si>
    <t>Home-based ($0)</t>
  </si>
  <si>
    <t>EXIT ASSUMPTIONS</t>
  </si>
  <si>
    <t>Exit Multiple</t>
  </si>
  <si>
    <t>Tiered by EBITDA size — industry best practice</t>
  </si>
  <si>
    <t xml:space="preserve">  Tier 1: &lt;$500K EBITDA</t>
  </si>
  <si>
    <t>4x - 6x (midpoint 5x)</t>
  </si>
  <si>
    <t xml:space="preserve">  Tier 2: $500K-$1M EBITDA</t>
  </si>
  <si>
    <t>6x - 8x (midpoint 7x)</t>
  </si>
  <si>
    <t xml:space="preserve">  Tier 3: $1M-$3M EBITDA</t>
  </si>
  <si>
    <t>8x - 10x (midpoint 9x)</t>
  </si>
  <si>
    <t xml:space="preserve">  Tier 4: $3M-$7M EBITDA</t>
  </si>
  <si>
    <t>10x - 13x (midpoint 11.5x)</t>
  </si>
  <si>
    <t xml:space="preserve">  Tier 5: $7M+ EBITDA</t>
  </si>
  <si>
    <t>13x - 17x (midpoint 15x)</t>
  </si>
  <si>
    <t>Exit Trigger</t>
  </si>
  <si>
    <t>When the number is right (modeled at each year)</t>
  </si>
  <si>
    <t>KEY METRICS ASSUMPTIONS</t>
  </si>
  <si>
    <t>Avg Client Tenure (for LTV)</t>
  </si>
  <si>
    <t>7 years</t>
  </si>
  <si>
    <t>LTV per Client</t>
  </si>
  <si>
    <t>$126,000 (avg commission x tenure)</t>
  </si>
  <si>
    <t>Tax Rate</t>
  </si>
  <si>
    <t>25% on positive EBITDA</t>
  </si>
  <si>
    <t>P&amp;L SUMMARY — 5-YEAR ANNUAL (2026-2030)</t>
  </si>
  <si>
    <t>Aaron's Production + JV Network + Contingent Income | Milestone Staffing | Tiered Exit | PE-Ready v8</t>
  </si>
  <si>
    <t>Line Item</t>
  </si>
  <si>
    <t>Y1 2026</t>
  </si>
  <si>
    <t>Y2 2027</t>
  </si>
  <si>
    <t>Y3 2028</t>
  </si>
  <si>
    <t>Y4 2029</t>
  </si>
  <si>
    <t>Y5 2030</t>
  </si>
  <si>
    <t>5-Yr Total</t>
  </si>
  <si>
    <t>Notes</t>
  </si>
  <si>
    <t>REVENUE</t>
  </si>
  <si>
    <t xml:space="preserve">    Direct Book — Aaron's Production</t>
  </si>
  <si>
    <t>$400K Y1 new prod; 15% growth; 7% organic uplift on book</t>
  </si>
  <si>
    <t xml:space="preserve">    JV Network — Aaron's 80% Share</t>
  </si>
  <si>
    <t>1 JV Y1 (+1 late Q4) → 4 Y2 → 6 Y3+</t>
  </si>
  <si>
    <t xml:space="preserve">    Contingent Income (Carrier Profit Share)</t>
  </si>
  <si>
    <t>3.5% of NWP; activates at $500K premium threshold</t>
  </si>
  <si>
    <t>TOTAL REVENUE</t>
  </si>
  <si>
    <t>DIRECT BOOK COLD CALLERS (1099 — MILESTONE-TRIGGERED)</t>
  </si>
  <si>
    <t xml:space="preserve">    Cold Caller Heads (Direct Book)</t>
  </si>
  <si>
    <t>Trigger: 2 callers at $80K cumulative cash profit</t>
  </si>
  <si>
    <t>TOTAL COLD CALLER COST</t>
  </si>
  <si>
    <t>$40K/head — 1099, no admin burden</t>
  </si>
  <si>
    <t>STAFFING COSTS — MILESTONE-TRIGGERED</t>
  </si>
  <si>
    <t xml:space="preserve">    Total Active Clients</t>
  </si>
  <si>
    <t>RP trigger: 10 | AM trigger: 20</t>
  </si>
  <si>
    <t xml:space="preserve">    Aaron's Base Salary</t>
  </si>
  <si>
    <t>$0 Y1; $185K Y2+</t>
  </si>
  <si>
    <t xml:space="preserve">    Aaron's Admin Burden (23%)</t>
  </si>
  <si>
    <t xml:space="preserve">    Aaron's Total Loaded Comp</t>
  </si>
  <si>
    <t xml:space="preserve">    ResourcePro Heads</t>
  </si>
  <si>
    <t>0 until 10 clients; 1-per-14 after</t>
  </si>
  <si>
    <t xml:space="preserve">    ResourcePro Cost</t>
  </si>
  <si>
    <t>$40K/head — outsourced, no admin burden</t>
  </si>
  <si>
    <t xml:space="preserve">    Account Manager Heads</t>
  </si>
  <si>
    <t>0 until 20 clients; 1-per-20 after</t>
  </si>
  <si>
    <t xml:space="preserve">    AM Base Salary (3% annual escalation)</t>
  </si>
  <si>
    <t xml:space="preserve">    AM Admin Burden (23%)</t>
  </si>
  <si>
    <t xml:space="preserve">    AM Total Loaded Cost</t>
  </si>
  <si>
    <t>TOTAL STAFFING COSTS</t>
  </si>
  <si>
    <t>GROSS PROFIT</t>
  </si>
  <si>
    <t xml:space="preserve">  Gross Margin %</t>
  </si>
  <si>
    <t>FIXED OPERATING EXPENSES</t>
  </si>
  <si>
    <t xml:space="preserve">    E&amp;O Insurance</t>
  </si>
  <si>
    <t xml:space="preserve">    Agency Management System (Tech)</t>
  </si>
  <si>
    <t>$35K/yr — activates at 10 total clients</t>
  </si>
  <si>
    <t xml:space="preserve">    Marketing &amp; Business Development</t>
  </si>
  <si>
    <t xml:space="preserve">    Professional Services</t>
  </si>
  <si>
    <t xml:space="preserve">    Misc / Admin</t>
  </si>
  <si>
    <t>TOTAL FIXED OPEX</t>
  </si>
  <si>
    <t>PROFITABILITY</t>
  </si>
  <si>
    <t>EBITDA</t>
  </si>
  <si>
    <t xml:space="preserve">  EBITDA Margin %</t>
  </si>
  <si>
    <t xml:space="preserve">    Tax Provision (25%)</t>
  </si>
  <si>
    <t>NET INCOME</t>
  </si>
  <si>
    <t xml:space="preserve">  Net Margin %</t>
  </si>
  <si>
    <t>CUMULATIVE RETAINED CASH</t>
  </si>
  <si>
    <t>Reinvested for growth; Aaron's salary already expensed above</t>
  </si>
  <si>
    <t>EXIT VALUATION — TIERED EBITDA MULTIPLE</t>
  </si>
  <si>
    <t xml:space="preserve">    Exit Multiple Applied (Base — Midpoint)</t>
  </si>
  <si>
    <t>Y1 2026: Sub-Scale (&lt;$500K EBITDA) | Y2 2027: Sub-Scale (&lt;$500K EBITDA) | Y3 2028: Mid-Market ($1M-$3M EBITDA) | Y4 2029: Mid-Market ($1M-$3M EBITDA) | Y5 2030: Strong Mid-Market ($3M-$7M EBITDA)</t>
  </si>
  <si>
    <t xml:space="preserve">    Exit Value — Low</t>
  </si>
  <si>
    <t>EXIT VALUE — BASE (MIDPOINT)</t>
  </si>
  <si>
    <t>Pre-tax. Point-in-time if sold in that year.</t>
  </si>
  <si>
    <t xml:space="preserve">    Exit Value — High</t>
  </si>
  <si>
    <t>CASH ON HAND — OWNER COMPENSATION &amp; RETAINED CAPITAL</t>
  </si>
  <si>
    <t>Aaron's salary expensed in P&amp;L | Retained cash reinvested for growth | JV revenue accelerates expansion</t>
  </si>
  <si>
    <t>INCOME SOURCES</t>
  </si>
  <si>
    <t xml:space="preserve">    Total Revenue</t>
  </si>
  <si>
    <t xml:space="preserve">    Direct Book Revenue (Aaron's Production)</t>
  </si>
  <si>
    <t>Primary growth engine</t>
  </si>
  <si>
    <t xml:space="preserve">    JV Network Revenue (Aaron's 80%)</t>
  </si>
  <si>
    <t>Accelerates growth without additional direct effort</t>
  </si>
  <si>
    <t xml:space="preserve">    Contingent Income</t>
  </si>
  <si>
    <t>AARON'S COMPENSATION (EXPENSED IN P&amp;L)</t>
  </si>
  <si>
    <t>$0 Y1 — reinvesting; $185K Y2+</t>
  </si>
  <si>
    <t xml:space="preserve">    Admin Burden (23%)</t>
  </si>
  <si>
    <t>TOTAL OWNER COMPENSATION (LOADED)</t>
  </si>
  <si>
    <t>Already deducted in EBITDA — shown here for clarity</t>
  </si>
  <si>
    <t>BUSINESS PROFITABILITY &amp; RETAINED CASH</t>
  </si>
  <si>
    <t>NET INCOME (Annual)</t>
  </si>
  <si>
    <t>CUMULATIVE RETAINED CASH (Year-End Balance)</t>
  </si>
  <si>
    <t>War chest for hiring, growth, and operations</t>
  </si>
  <si>
    <t>COLD CALLER INVESTMENT (FUNDED FROM RETAINED CASH)</t>
  </si>
  <si>
    <t xml:space="preserve">    Cold Caller Heads Hired</t>
  </si>
  <si>
    <t>Trigger: 2 callers when cumulative cash &gt;= $80K</t>
  </si>
  <si>
    <t xml:space="preserve">    Cold Caller Annual Cost</t>
  </si>
  <si>
    <t>$40K/head — funded from retained cash</t>
  </si>
  <si>
    <t xml:space="preserve">    Cumulative Cold Caller Investment</t>
  </si>
  <si>
    <t>JV REVENUE AS GROWTH ACCELERATOR</t>
  </si>
  <si>
    <t xml:space="preserve">    JV Revenue as % of Total Revenue</t>
  </si>
  <si>
    <t>JV channel grows faster than direct book over time</t>
  </si>
  <si>
    <t>Cumulative JV Revenue Earned</t>
  </si>
  <si>
    <t>JV income funds expansion without dilution</t>
  </si>
  <si>
    <t>PLAIN ENGLISH CASH SUMMARY</t>
  </si>
  <si>
    <t>CAC | LTV | LTV:CAC | Payback Period | Net Revenue Retention | EBITDA Margin | Exit Multiple</t>
  </si>
  <si>
    <t>UNIT ECONOMICS</t>
  </si>
  <si>
    <t xml:space="preserve">    Avg Annual Commission per Client</t>
  </si>
  <si>
    <t>Blended across all P&amp;C lines at 12% commission rate</t>
  </si>
  <si>
    <t xml:space="preserve">    Avg Client Tenure (Years)</t>
  </si>
  <si>
    <t>Industry avg for commercial P&amp;C brokerage</t>
  </si>
  <si>
    <t>Client Lifetime Value (LTV)</t>
  </si>
  <si>
    <t>Avg commission x avg tenure = $126K per client</t>
  </si>
  <si>
    <t>CUSTOMER ACQUISITION COST (CAC)</t>
  </si>
  <si>
    <t xml:space="preserve">    Cold Caller Cost (Direct Book)</t>
  </si>
  <si>
    <t>Milestone-triggered; $40K/head</t>
  </si>
  <si>
    <t xml:space="preserve">    New Direct Clients Added</t>
  </si>
  <si>
    <t>CAC — Direct Book (Cost / New Client)</t>
  </si>
  <si>
    <t>$0 in Y1 (no callers yet); improves as callers scale</t>
  </si>
  <si>
    <t>LTV:CAC &amp; PAYBACK PERIOD</t>
  </si>
  <si>
    <t>LTV:CAC Ratio</t>
  </si>
  <si>
    <t>PE benchmark: &gt;3x is good; &gt;5x is excellent</t>
  </si>
  <si>
    <t xml:space="preserve">    Payback Period (Months)</t>
  </si>
  <si>
    <t>Months to recoup CAC from monthly commission; &lt;18 months is strong</t>
  </si>
  <si>
    <t>REVENUE RETENTION &amp; GROWTH</t>
  </si>
  <si>
    <t>Net Revenue Retention — Direct Book</t>
  </si>
  <si>
    <t>&gt;100% = book growing organically even without new clients</t>
  </si>
  <si>
    <t xml:space="preserve">    Direct Book Churn Rate</t>
  </si>
  <si>
    <t>Conservative vs. industry avg of 8-12%</t>
  </si>
  <si>
    <t xml:space="preserve">    Total Active Clients (Direct + JV)</t>
  </si>
  <si>
    <t xml:space="preserve">    Year-over-Year Revenue Growth</t>
  </si>
  <si>
    <t>PROFITABILITY METRICS</t>
  </si>
  <si>
    <t>EBITDA Margin %</t>
  </si>
  <si>
    <t xml:space="preserve">    Net Income</t>
  </si>
  <si>
    <t xml:space="preserve">    Net Margin %</t>
  </si>
  <si>
    <t>Cumulative Retained Cash</t>
  </si>
  <si>
    <t>EXIT METRICS</t>
  </si>
  <si>
    <t xml:space="preserve">    Exit Multiple Applied (Base)</t>
  </si>
  <si>
    <t xml:space="preserve">    Exit Tier</t>
  </si>
  <si>
    <t>EXIT VALUE — BASE</t>
  </si>
  <si>
    <t>REVENUE DETAIL — CLIENT COUNTS, PREMIUM &amp; CHANNEL BREAKDOWN</t>
  </si>
  <si>
    <t>DIRECT BOOK — AARON'S PRODUCTION</t>
  </si>
  <si>
    <t xml:space="preserve">    New Commission Revenue (Production)</t>
  </si>
  <si>
    <t>$400K Y1; 15% growth Y2+</t>
  </si>
  <si>
    <t xml:space="preserve">    New Clients Added</t>
  </si>
  <si>
    <t xml:space="preserve">    Organic Growth Revenue (7% on existing book)</t>
  </si>
  <si>
    <t>Existing clients renewing at higher premiums</t>
  </si>
  <si>
    <t xml:space="preserve">    Active Clients (End of Year)</t>
  </si>
  <si>
    <t>Direct Book Total Revenue</t>
  </si>
  <si>
    <t xml:space="preserve">    Implied Net Written Premium (Direct)</t>
  </si>
  <si>
    <t>JV PARTNER NETWORK (Aaron 80% / Partner 20%)</t>
  </si>
  <si>
    <t xml:space="preserve">    Full-Year JV Partners Active</t>
  </si>
  <si>
    <t>Y1: 1 full + 1 late Q4 partial</t>
  </si>
  <si>
    <t xml:space="preserve">    Total JV Active Clients</t>
  </si>
  <si>
    <t xml:space="preserve">    JV Network Gross Revenue (100%)</t>
  </si>
  <si>
    <t xml:space="preserve">    JV Partner Commissions Paid (20%)</t>
  </si>
  <si>
    <t>Aaron's JV Revenue (80%)</t>
  </si>
  <si>
    <t xml:space="preserve">    Total Net Written Premium</t>
  </si>
  <si>
    <t>Threshold: $500K to qualify</t>
  </si>
  <si>
    <t>Contingent Income Earned</t>
  </si>
  <si>
    <t>3.5% of NWP when threshold met</t>
  </si>
  <si>
    <t>TOTAL REVENUE SUMMARY</t>
  </si>
  <si>
    <t xml:space="preserve">    Direct Book Revenue</t>
  </si>
  <si>
    <t xml:space="preserve">    JV Network Revenue (Aaron 80%)</t>
  </si>
  <si>
    <t>JV PARTNER ILLUSTRATION — REVENUE SHARE OVERVIEW</t>
  </si>
  <si>
    <t>Aaron earns 80% | Partner earns 20% producer commission | Y1: 1 JV full year + 1 late Q4 join</t>
  </si>
  <si>
    <t>AVERAGE PER-PARTNER ECONOMICS</t>
  </si>
  <si>
    <t xml:space="preserve">    Active JV Partners (Full Year)</t>
  </si>
  <si>
    <t xml:space="preserve">    Avg Active Clients per Partner</t>
  </si>
  <si>
    <t xml:space="preserve">    Avg Gross Revenue per Partner (100%)</t>
  </si>
  <si>
    <t xml:space="preserve">    Avg Partner Commission (20%)</t>
  </si>
  <si>
    <t>Paid as 1099 producer commission</t>
  </si>
  <si>
    <t xml:space="preserve">    Avg Aaron's Earnings per Partner (80%)</t>
  </si>
  <si>
    <t>FULL JV NETWORK — COMBINED VIEW</t>
  </si>
  <si>
    <t xml:space="preserve">    Total Partner Commissions Paid (20%)</t>
  </si>
  <si>
    <t>Aaron's Total JV Revenue (80%)</t>
  </si>
  <si>
    <t>CUMULATIVE EARNINGS</t>
  </si>
  <si>
    <t xml:space="preserve">    JV Partner Cumulative Commissions (20%)</t>
  </si>
  <si>
    <t>Aaron's Cumulative JV Earnings (80%)</t>
  </si>
  <si>
    <t>JV PARTNER COMPENSATION &amp; EXIT ILLUSTRATION</t>
  </si>
  <si>
    <t>No investment required. Refer your book. Earn 20% commission every year. Get paid on the exit.</t>
  </si>
  <si>
    <t>HOW IT WORKS — JV PARTNER ECONOMICS</t>
  </si>
  <si>
    <t>Your book = 1 equal share of the JV network</t>
  </si>
  <si>
    <t xml:space="preserve">    Avg Gross Revenue — Your Book (100%)</t>
  </si>
  <si>
    <t>Total commission value of your referred clients</t>
  </si>
  <si>
    <t>ANNUAL COMMISSION INCOME (20% PRODUCER RATE — 1099)</t>
  </si>
  <si>
    <t>Annual Commission — Pre-Tax (20%)</t>
  </si>
  <si>
    <t>Straight producer commission — paid as 1099</t>
  </si>
  <si>
    <t xml:space="preserve">    Est. After-Tax (~32% effective rate)</t>
  </si>
  <si>
    <t>Estimate only — consult your tax advisor</t>
  </si>
  <si>
    <t>Cumulative Commissions Earned — Pre-Tax</t>
  </si>
  <si>
    <t>Running total of income pocketed to date</t>
  </si>
  <si>
    <t xml:space="preserve">    Cumulative Commissions — Est. After-Tax</t>
  </si>
  <si>
    <t>EXIT PAYOUT — YOUR SLICE OF THE BOOK SALE (POINT-IN-TIME)</t>
  </si>
  <si>
    <t xml:space="preserve">    Your Book as % of Total Brokerage Revenue</t>
  </si>
  <si>
    <t>Proportional ownership — based on your book's share of total revenue</t>
  </si>
  <si>
    <t xml:space="preserve">    Total Brokerage Exit Value — Low</t>
  </si>
  <si>
    <t xml:space="preserve">    Total Brokerage Exit Value — Base</t>
  </si>
  <si>
    <t xml:space="preserve">    Total Brokerage Exit Value — High</t>
  </si>
  <si>
    <t xml:space="preserve">    YOUR EXIT PAYOUT — Low (if sold this year)</t>
  </si>
  <si>
    <t>Point-in-time — what you receive if Aaron sells in that year</t>
  </si>
  <si>
    <t>YOUR EXIT PAYOUT — Base (if sold this year)</t>
  </si>
  <si>
    <t>Pre-tax. Your % of book x exit value. One-time event.</t>
  </si>
  <si>
    <t xml:space="preserve">    YOUR EXIT PAYOUT — High (if sold this year)</t>
  </si>
  <si>
    <t xml:space="preserve">    Est. After-Tax Exit Payout (Base, ~32%)</t>
  </si>
  <si>
    <t>TOTAL WEALTH CREATED — IF AARON SELLS IN THAT YEAR</t>
  </si>
  <si>
    <t xml:space="preserve">    Cumulative Commissions Earned to Date (Pre-Tax)</t>
  </si>
  <si>
    <t>All commissions earned from Y1 through that year</t>
  </si>
  <si>
    <t xml:space="preserve">    Exit Payout in That Year — Low</t>
  </si>
  <si>
    <t>TOTAL WEALTH — Low (Commissions + Exit)</t>
  </si>
  <si>
    <t>TOTAL WEALTH — Base (Commissions + Exit)</t>
  </si>
  <si>
    <t>Cumulative commissions + one-time exit check</t>
  </si>
  <si>
    <t>TOTAL WEALTH — High (Commissions + Exit)</t>
  </si>
  <si>
    <t>WHAT THIS MEANS IN PLAIN ENGLISH</t>
  </si>
  <si>
    <t>Y3 2028: You have earned $149,400 in commissions (pre-tax). If Aaron sells this year, your exit check is ~$918,736 (base case). Total in your pocket: ~$1,068,136 pre-tax.</t>
  </si>
  <si>
    <t>Y4 2029: You have earned $265,800 in commissions (pre-tax). If Aaron sells this year, your exit check is ~$1,786,029 (base case). Total in your pocket: ~$2,051,829 pre-tax.</t>
  </si>
  <si>
    <t>Y5 2030: You have earned $429,000 in commissions (pre-tax). If Aaron sells this year, your exit check is ~$3,297,675 (base case). Total in your pocket: ~$3,726,675 pre-tax.</t>
  </si>
  <si>
    <t>EXIT VALUATION — TIERED EBITDA MULTIPLES (INDUSTRY BEST PRACTICE)</t>
  </si>
  <si>
    <t>Multiple scales with EBITDA size | Sub-scale 4-6x | Mid-Market 8-10x | Platform $7M+ = 13-17x</t>
  </si>
  <si>
    <t>EBITDA &amp; TIERED EXIT VALUE BY YEAR</t>
  </si>
  <si>
    <t xml:space="preserve">    Total All-In Costs</t>
  </si>
  <si>
    <t xml:space="preserve">    Exit Tier Applied</t>
  </si>
  <si>
    <t xml:space="preserve">    Exit Multiple — Low</t>
  </si>
  <si>
    <t xml:space="preserve">    Exit Multiple — Mid (Base Case)</t>
  </si>
  <si>
    <t xml:space="preserve">    Exit Multiple — High</t>
  </si>
  <si>
    <t>Pre-tax gross proceeds — point-in-time if sold in that year</t>
  </si>
  <si>
    <t xml:space="preserve">    Cumulative Net Income to Date</t>
  </si>
  <si>
    <t>TOTAL WEALTH CREATED — Base (Exit + Retained Cash)</t>
  </si>
  <si>
    <t>EXIT TIER REFERENCE TABLE</t>
  </si>
  <si>
    <t xml:space="preserve">      Sub-Scale (&lt;$500K EBITDA)</t>
  </si>
  <si>
    <t>EBITDA &lt;$0.5M → 4x / 5x / 6x (Low / Mid / High)</t>
  </si>
  <si>
    <t xml:space="preserve">      Emerging ($500K-$1M EBITDA)</t>
  </si>
  <si>
    <t>EBITDA &lt;$1.0M → 6x / 7x / 8x (Low / Mid / High)</t>
  </si>
  <si>
    <t xml:space="preserve">      Mid-Market ($1M-$3M EBITDA)</t>
  </si>
  <si>
    <t>EBITDA &lt;$3.0M → 8x / 9x / 10x (Low / Mid / High)</t>
  </si>
  <si>
    <t xml:space="preserve">      Strong Mid-Market ($3M-$7M EBITDA)</t>
  </si>
  <si>
    <t>EBITDA &lt;$7.0M → 10x / 11.5x / 13x (Low / Mid / High)</t>
  </si>
  <si>
    <t xml:space="preserve">      Platform-Level ($7M+ EBITDA)</t>
  </si>
  <si>
    <t>EBITDA $7M+ → 13x / 15x / 17x (Low / Mid / High)</t>
  </si>
  <si>
    <t>SCENARIO ANALYSIS — CONSERVATIVE / BASE / UPSIDE</t>
  </si>
  <si>
    <t>Revenue and EBITDA stress-tested at 70% (Conservative), 100% (Base), 130% (Upside)</t>
  </si>
  <si>
    <t>SCENARIO: CONSERVATIVE (70%)</t>
  </si>
  <si>
    <t>Total Revenue</t>
  </si>
  <si>
    <t xml:space="preserve">    Net Income (est.)</t>
  </si>
  <si>
    <t>Exit Value — Base</t>
  </si>
  <si>
    <t>SCENARIO: BASE CASE (100%)</t>
  </si>
  <si>
    <t>SCENARIO: UPSIDE (130%)</t>
  </si>
  <si>
    <t>SCENARIO COMPARISON — Y5 SUMMARY</t>
  </si>
  <si>
    <t>Metric</t>
  </si>
  <si>
    <t>Conservative</t>
  </si>
  <si>
    <t>Base Case</t>
  </si>
  <si>
    <t>Upside</t>
  </si>
  <si>
    <t>Y5 Revenue</t>
  </si>
  <si>
    <t>Y5 EBITDA</t>
  </si>
  <si>
    <t>Y5 EBITDA Margin</t>
  </si>
  <si>
    <t>Y5 Exit Value (Base Multiple)</t>
  </si>
  <si>
    <t>HEADCOUNT &amp; COST DETAIL — ALL CATEGORIES</t>
  </si>
  <si>
    <t xml:space="preserve">    Base Salary</t>
  </si>
  <si>
    <t>TOTAL OWNER COMP (LOADED)</t>
  </si>
  <si>
    <t xml:space="preserve">    Heads</t>
  </si>
  <si>
    <t>2 callers at $80K cumulative cash; +1 per additional $80K</t>
  </si>
  <si>
    <t>$40K/head — 1099</t>
  </si>
  <si>
    <t>RESOURCEPRO (OUTSOURCED)</t>
  </si>
  <si>
    <t>0 until 10 clients</t>
  </si>
  <si>
    <t>TOTAL RESOURCEPRO COST</t>
  </si>
  <si>
    <t>ACCOUNT MANAGERS (W-2, 3% ANNUAL ESCALATION)</t>
  </si>
  <si>
    <t>0 until 20 clients</t>
  </si>
  <si>
    <t xml:space="preserve">    Salary Rate per AM</t>
  </si>
  <si>
    <t>$140K Y1; 3% annual increase</t>
  </si>
  <si>
    <t xml:space="preserve">    AM Base Salary (Total)</t>
  </si>
  <si>
    <t>TOTAL AM LOADED COST</t>
  </si>
  <si>
    <t xml:space="preserve">    Agency Management System</t>
  </si>
  <si>
    <t>$35K/yr at 10 clients</t>
  </si>
  <si>
    <t xml:space="preserve">    Marketing</t>
  </si>
  <si>
    <t>TOTAL ALL-IN COST SUMMARY</t>
  </si>
  <si>
    <t xml:space="preserve">    Owner Compensation (Loaded)</t>
  </si>
  <si>
    <t xml:space="preserve">    Cold Caller Costs</t>
  </si>
  <si>
    <t xml:space="preserve">    ResourcePro Costs</t>
  </si>
  <si>
    <t xml:space="preserve">    Account Manager Costs (Loaded)</t>
  </si>
  <si>
    <t xml:space="preserve">    Fixed OpEx</t>
  </si>
  <si>
    <t>TOTAL ALL-IN COSTS</t>
  </si>
  <si>
    <t>Total Costs as % of Revenue</t>
  </si>
  <si>
    <t>Year 1</t>
  </si>
  <si>
    <t>Year 2</t>
  </si>
  <si>
    <t>Year 3</t>
  </si>
  <si>
    <t>Year 4</t>
  </si>
  <si>
    <t>Year 5</t>
  </si>
  <si>
    <t>CLIENT MIX ASSUMPTIONS</t>
  </si>
  <si>
    <t>CLIENT TIER MIX</t>
  </si>
  <si>
    <t>Tier</t>
  </si>
  <si>
    <t>Mix %</t>
  </si>
  <si>
    <t>Avg Premium</t>
  </si>
  <si>
    <t>Commission (12%)</t>
  </si>
  <si>
    <t>Small Commercial</t>
  </si>
  <si>
    <t>Mid-Market</t>
  </si>
  <si>
    <t>Large / Complex</t>
  </si>
  <si>
    <t>Blended Average</t>
  </si>
  <si>
    <t>GRADUATING COMMISSION RATES</t>
  </si>
  <si>
    <t>Commission Rate</t>
  </si>
  <si>
    <t>Blended Comm / Client</t>
  </si>
  <si>
    <t>Scale vs Old ($18K)</t>
  </si>
  <si>
    <t>PREMIUM SERVICE COST</t>
  </si>
  <si>
    <t>Service Cost % of Revenue</t>
  </si>
  <si>
    <t>Rationale</t>
  </si>
  <si>
    <t>Onboarding</t>
  </si>
  <si>
    <t>Growing complexity</t>
  </si>
  <si>
    <t>Full service</t>
  </si>
  <si>
    <t>Deepening service</t>
  </si>
  <si>
    <t>Mature book</t>
  </si>
  <si>
    <t>Notes:</t>
  </si>
  <si>
    <t>• Blue values are adjustable inputs</t>
  </si>
  <si>
    <t>• Commission rate graduates as book matures and service offerings expand</t>
  </si>
  <si>
    <t>• Service cost covers: stewardship reports, claims advocacy, dedicated AMs for large accounts</t>
  </si>
  <si>
    <t>• Target EBITDA margin range: 35-45% (industry benchmark for upmarket P&amp;C brokerage)</t>
  </si>
  <si>
    <t>PREMIUM CLIENT SERVICE COSTS</t>
  </si>
  <si>
    <t xml:space="preserve">    Service Cost (% of Revenue)</t>
  </si>
  <si>
    <t xml:space="preserve">    Total Service Cost</t>
  </si>
  <si>
    <t>Y1 2026: You have earned $60,480 in commissions (pre-tax). If Aaron sells this year, your exit check is ~$565,242 (base case). Total in your pocket: ~$625,722 pre-tax.</t>
  </si>
  <si>
    <t>Y5 2030: You have earned $749,283 in cumulative commissions (pre-tax). If Aaron sells in Year 5, your exit check is ~$9,522,797 (base case). Total wealth created: ~$10,272,081 pre-tax.</t>
  </si>
  <si>
    <t>Y1 2026: Aaron earns $0 salary. Business nets $347,644 after tax. Cumulative cash in business: $347,644. Cold callers on payroll: 2.</t>
  </si>
  <si>
    <t>Y2 2027: Aaron earns $185,000 salary. Business nets $1,135,638 after tax. Cumulative cash in business: $1,483,282. Cold callers on payroll: 2.</t>
  </si>
  <si>
    <t>Y3 2028: Aaron earns $185,000 salary. Business nets $2,328,266 after tax. Cumulative cash in business: $3,811,548. Cold callers on payroll: 2.</t>
  </si>
  <si>
    <t>Y4 2029: Aaron earns $185,000 salary. Business nets $3,687,229 after tax. Cumulative cash in business: $7,498,777. Cold callers on payroll: 2.</t>
  </si>
  <si>
    <t>Y5 2030: Aaron earns $185,000 salary. Business nets $5,294,507 after tax. Cumulative cash in business: $12,793,283. Cold callers on payroll: 2.</t>
  </si>
  <si>
    <t>KEY METRICS — INVESTOR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</si>
</sst>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164" formatCode="0.0%"/>
    <numFmt numFmtId="165" formatCode="#,##0.0"/>
    <numFmt numFmtId="166" formatCode="&quot;$&quot;#,##0"/>
    <numFmt numFmtId="167" formatCode="0.000&quot;x&quot;"/>
    <numFmt numFmtId="168" formatCode="0.0"/>
  </numFmts>
  <fonts count="21" x14ac:knownFonts="1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sz val="10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13"/>
      <color rgb="FFFFFFFF"/>
      <name val="Calibri"/>
    </font>
    <font>
      <b/>
      <sz val="11"/>
      <color rgb="FFFFFFFF"/>
      <name val="Calibri"/>
    </font>
    <font>
      <i/>
      <sz val="9"/>
      <color rgb="FF595959"/>
      <name val="Calibri"/>
    </font>
    <font>
      <i/>
      <sz val="9"/>
      <color rgb="FF1F3864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4"/>
      <color rgb="FF1F4E79"/>
      <name val="Calibri"/>
      <scheme val="minor"/>
    </font>
    <font>
      <sz val="11"/>
      <color rgb="FF0000FF"/>
      <name val="Calibri"/>
      <scheme val="minor"/>
    </font>
    <font>
      <b/>
      <sz val="11"/>
      <color rgb="FF0000FF"/>
      <name val="Calibri"/>
      <scheme val="minor"/>
    </font>
    <font>
      <i/>
      <sz val="11"/>
      <color rgb="FF808080"/>
      <name val="Calibri"/>
      <scheme val="minor"/>
    </font>
    <font>
      <b/>
      <sz val="11"/>
      <color rgb="FF808080"/>
      <name val="Calibri"/>
      <scheme val="minor"/>
    </font>
    <font>
      <sz val="9"/>
      <color rgb="FF0000FF"/>
      <name val="Calibri"/>
      <scheme val="minor"/>
    </font>
    <font>
      <sz val="9"/>
      <color rgb="FF808080"/>
      <name val="Calibri"/>
      <scheme val="minor"/>
    </font>
    <font>
      <b/>
      <sz val="10"/>
      <color rgb="FF0000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5FA3"/>
        <bgColor rgb="FF2E5FA3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C9A84C"/>
        <bgColor rgb="FFC9A84C"/>
      </patternFill>
    </fill>
    <fill>
      <patternFill patternType="solid">
        <fgColor rgb="FFE2EFDA"/>
        <bgColor rgb="FFE2EFDA"/>
      </patternFill>
    </fill>
    <fill>
      <patternFill patternType="solid">
        <fgColor rgb="FF1E7145"/>
        <bgColor rgb="FF1E7145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5" fillId="0" borderId="3" xfId="0" applyFont="1" applyBorder="1"/>
    <xf numFmtId="0" fontId="6" fillId="0" borderId="3" xfId="0" applyFont="1" applyBorder="1" applyAlignment="1">
      <alignment horizontal="right"/>
    </xf>
    <xf numFmtId="0" fontId="5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left"/>
    </xf>
    <xf numFmtId="42" fontId="5" fillId="0" borderId="3" xfId="0" applyNumberFormat="1" applyFont="1" applyBorder="1" applyAlignment="1">
      <alignment horizontal="right"/>
    </xf>
    <xf numFmtId="0" fontId="9" fillId="0" borderId="3" xfId="0" applyFont="1" applyBorder="1" applyAlignment="1">
      <alignment horizontal="left" wrapText="1"/>
    </xf>
    <xf numFmtId="0" fontId="6" fillId="5" borderId="3" xfId="0" applyFont="1" applyFill="1" applyBorder="1" applyAlignment="1">
      <alignment horizontal="left"/>
    </xf>
    <xf numFmtId="42" fontId="6" fillId="5" borderId="3" xfId="0" applyNumberFormat="1" applyFont="1" applyFill="1" applyBorder="1" applyAlignment="1">
      <alignment horizontal="right"/>
    </xf>
    <xf numFmtId="3" fontId="5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0" fontId="6" fillId="7" borderId="3" xfId="0" applyFont="1" applyFill="1" applyBorder="1" applyAlignment="1">
      <alignment horizontal="left"/>
    </xf>
    <xf numFmtId="42" fontId="6" fillId="7" borderId="3" xfId="0" applyNumberFormat="1" applyFont="1" applyFill="1" applyBorder="1" applyAlignment="1">
      <alignment horizontal="right"/>
    </xf>
    <xf numFmtId="165" fontId="6" fillId="7" borderId="3" xfId="0" applyNumberFormat="1" applyFont="1" applyFill="1" applyBorder="1" applyAlignment="1">
      <alignment horizontal="right"/>
    </xf>
    <xf numFmtId="165" fontId="5" fillId="0" borderId="3" xfId="0" applyNumberFormat="1" applyFont="1" applyBorder="1" applyAlignment="1">
      <alignment horizontal="right"/>
    </xf>
    <xf numFmtId="164" fontId="6" fillId="7" borderId="3" xfId="0" applyNumberFormat="1" applyFont="1" applyFill="1" applyBorder="1" applyAlignment="1">
      <alignment horizontal="right"/>
    </xf>
    <xf numFmtId="164" fontId="6" fillId="5" borderId="3" xfId="0" applyNumberFormat="1" applyFont="1" applyFill="1" applyBorder="1" applyAlignment="1">
      <alignment horizontal="right"/>
    </xf>
    <xf numFmtId="0" fontId="6" fillId="0" borderId="3" xfId="0" applyFont="1" applyBorder="1" applyAlignment="1">
      <alignment horizontal="left"/>
    </xf>
    <xf numFmtId="3" fontId="6" fillId="0" borderId="3" xfId="0" applyNumberFormat="1" applyFont="1" applyBorder="1" applyAlignment="1">
      <alignment horizontal="right"/>
    </xf>
    <xf numFmtId="0" fontId="6" fillId="9" borderId="3" xfId="0" applyFont="1" applyFill="1" applyBorder="1" applyAlignment="1">
      <alignment horizontal="left"/>
    </xf>
    <xf numFmtId="42" fontId="6" fillId="9" borderId="3" xfId="0" applyNumberFormat="1" applyFont="1" applyFill="1" applyBorder="1" applyAlignment="1">
      <alignment horizontal="right"/>
    </xf>
    <xf numFmtId="0" fontId="5" fillId="9" borderId="3" xfId="0" applyFont="1" applyFill="1" applyBorder="1" applyAlignment="1">
      <alignment horizontal="left"/>
    </xf>
    <xf numFmtId="164" fontId="5" fillId="9" borderId="3" xfId="0" applyNumberFormat="1" applyFont="1" applyFill="1" applyBorder="1" applyAlignment="1">
      <alignment horizontal="right"/>
    </xf>
    <xf numFmtId="0" fontId="5" fillId="5" borderId="3" xfId="0" applyFont="1" applyFill="1" applyBorder="1" applyAlignment="1">
      <alignment horizontal="left"/>
    </xf>
    <xf numFmtId="164" fontId="5" fillId="5" borderId="3" xfId="0" applyNumberFormat="1" applyFont="1" applyFill="1" applyBorder="1" applyAlignment="1">
      <alignment horizontal="right"/>
    </xf>
    <xf numFmtId="0" fontId="5" fillId="7" borderId="3" xfId="0" applyFont="1" applyFill="1" applyBorder="1" applyAlignment="1">
      <alignment horizontal="left"/>
    </xf>
    <xf numFmtId="164" fontId="5" fillId="7" borderId="3" xfId="0" applyNumberFormat="1" applyFont="1" applyFill="1" applyBorder="1" applyAlignment="1">
      <alignment horizontal="right"/>
    </xf>
    <xf numFmtId="0" fontId="6" fillId="4" borderId="3" xfId="0" applyFont="1" applyFill="1" applyBorder="1" applyAlignment="1">
      <alignment horizontal="left"/>
    </xf>
    <xf numFmtId="42" fontId="6" fillId="0" borderId="3" xfId="0" applyNumberFormat="1" applyFont="1" applyBorder="1" applyAlignment="1">
      <alignment horizontal="right"/>
    </xf>
    <xf numFmtId="164" fontId="6" fillId="0" borderId="3" xfId="0" applyNumberFormat="1" applyFont="1" applyBorder="1" applyAlignment="1">
      <alignment horizontal="right"/>
    </xf>
    <xf numFmtId="0" fontId="0" fillId="10" borderId="0" xfId="0" applyFill="1"/>
    <xf numFmtId="0" fontId="12" fillId="0" borderId="0" xfId="0" applyFont="1"/>
    <xf numFmtId="0" fontId="12" fillId="10" borderId="0" xfId="0" applyFont="1" applyFill="1"/>
    <xf numFmtId="0" fontId="13" fillId="0" borderId="0" xfId="0" applyFont="1"/>
    <xf numFmtId="0" fontId="12" fillId="0" borderId="0" xfId="0" applyFont="1" applyAlignment="1">
      <alignment horizontal="center"/>
    </xf>
    <xf numFmtId="0" fontId="14" fillId="0" borderId="0" xfId="0" applyFont="1"/>
    <xf numFmtId="9" fontId="14" fillId="0" borderId="0" xfId="0" applyNumberFormat="1" applyFont="1" applyAlignment="1">
      <alignment horizontal="center"/>
    </xf>
    <xf numFmtId="166" fontId="14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5" fillId="0" borderId="0" xfId="0" applyFont="1"/>
    <xf numFmtId="9" fontId="12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15" fillId="10" borderId="0" xfId="0" applyFont="1" applyFill="1"/>
    <xf numFmtId="10" fontId="14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/>
    <xf numFmtId="0" fontId="18" fillId="0" borderId="0" xfId="0" applyFont="1"/>
    <xf numFmtId="0" fontId="19" fillId="0" borderId="0" xfId="0" applyFont="1"/>
    <xf numFmtId="42" fontId="20" fillId="5" borderId="3" xfId="0" applyNumberFormat="1" applyFont="1" applyFill="1" applyBorder="1" applyAlignment="1">
      <alignment horizontal="right"/>
    </xf>
    <xf numFmtId="9" fontId="20" fillId="5" borderId="3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2" fillId="0" borderId="4" xfId="0" applyFont="1" applyBorder="1"/>
    <xf numFmtId="0" fontId="8" fillId="6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left" wrapText="1"/>
    </xf>
    <xf numFmtId="0" fontId="2" fillId="0" borderId="6" xfId="0" applyFont="1" applyBorder="1"/>
    <xf numFmtId="0" fontId="2" fillId="0" borderId="7" xfId="0" applyFont="1" applyBorder="1"/>
    <xf numFmtId="0" fontId="8" fillId="3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168" fontId="2" fillId="0" borderId="4" xfId="0" applyNumberFormat="1" applyFont="1" applyBorder="1"/>
    <xf numFmtId="0" fontId="11" fillId="0" borderId="5" xfId="0" applyFont="1" applyBorder="1"/>
    <xf numFmtId="0" fontId="4" fillId="3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AF609FE-862A-477F-9739-E13215D46F5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e658e38-a051-451e-9097-c7f617ae585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showGridLines="0" topLeftCell="A18" zoomScale="120" zoomScaleNormal="120" workbookViewId="0">
      <selection sqref="A1:B1"/>
    </sheetView>
  </sheetViews>
  <sheetFormatPr defaultColWidth="14.42578125" defaultRowHeight="15" customHeight="1" x14ac:dyDescent="0.25"/>
  <cols>
    <col min="1" max="1" width="52" customWidth="1"/>
    <col min="2" max="2" width="32" customWidth="1"/>
    <col min="3" max="26" width="8.7109375" customWidth="1"/>
  </cols>
  <sheetData>
    <row r="1" spans="1:2" ht="30" customHeight="1" x14ac:dyDescent="0.25">
      <c r="A1" s="57" t="s">
        <v>0</v>
      </c>
      <c r="B1" s="56"/>
    </row>
    <row r="2" spans="1:2" ht="18" customHeight="1" x14ac:dyDescent="0.25">
      <c r="A2" s="58" t="s">
        <v>1</v>
      </c>
      <c r="B2" s="56"/>
    </row>
    <row r="4" spans="1:2" ht="15.75" customHeight="1" x14ac:dyDescent="0.25">
      <c r="A4" s="55" t="s">
        <v>2</v>
      </c>
      <c r="B4" s="56"/>
    </row>
    <row r="5" spans="1:2" x14ac:dyDescent="0.25">
      <c r="A5" s="1" t="s">
        <v>3</v>
      </c>
      <c r="B5" s="2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1" t="s">
        <v>7</v>
      </c>
      <c r="B7" s="2" t="s">
        <v>8</v>
      </c>
    </row>
    <row r="8" spans="1:2" ht="6" customHeight="1" x14ac:dyDescent="0.25"/>
    <row r="9" spans="1:2" ht="15.75" customHeight="1" x14ac:dyDescent="0.25">
      <c r="A9" s="55" t="s">
        <v>9</v>
      </c>
      <c r="B9" s="56"/>
    </row>
    <row r="10" spans="1:2" x14ac:dyDescent="0.25">
      <c r="A10" s="3" t="s">
        <v>10</v>
      </c>
      <c r="B10" s="4" t="s">
        <v>11</v>
      </c>
    </row>
    <row r="11" spans="1:2" x14ac:dyDescent="0.25">
      <c r="A11" s="1" t="s">
        <v>12</v>
      </c>
      <c r="B11" s="2" t="s">
        <v>13</v>
      </c>
    </row>
    <row r="12" spans="1:2" x14ac:dyDescent="0.25">
      <c r="A12" s="3" t="s">
        <v>14</v>
      </c>
      <c r="B12" s="4" t="s">
        <v>15</v>
      </c>
    </row>
    <row r="13" spans="1:2" x14ac:dyDescent="0.25">
      <c r="A13" s="1" t="s">
        <v>16</v>
      </c>
      <c r="B13" s="2" t="s">
        <v>17</v>
      </c>
    </row>
    <row r="14" spans="1:2" ht="6" customHeight="1" x14ac:dyDescent="0.25"/>
    <row r="15" spans="1:2" ht="15.75" customHeight="1" x14ac:dyDescent="0.25">
      <c r="A15" s="55" t="s">
        <v>18</v>
      </c>
      <c r="B15" s="56"/>
    </row>
    <row r="16" spans="1:2" x14ac:dyDescent="0.25">
      <c r="A16" s="3" t="s">
        <v>19</v>
      </c>
      <c r="B16" s="4" t="s">
        <v>20</v>
      </c>
    </row>
    <row r="17" spans="1:2" x14ac:dyDescent="0.25">
      <c r="A17" s="1" t="s">
        <v>21</v>
      </c>
      <c r="B17" s="2" t="s">
        <v>22</v>
      </c>
    </row>
    <row r="18" spans="1:2" x14ac:dyDescent="0.25">
      <c r="A18" s="3" t="s">
        <v>23</v>
      </c>
      <c r="B18" s="4" t="s">
        <v>24</v>
      </c>
    </row>
    <row r="19" spans="1:2" x14ac:dyDescent="0.25">
      <c r="A19" s="1" t="s">
        <v>25</v>
      </c>
      <c r="B19" s="2" t="s">
        <v>26</v>
      </c>
    </row>
    <row r="20" spans="1:2" x14ac:dyDescent="0.25">
      <c r="A20" s="3" t="s">
        <v>27</v>
      </c>
      <c r="B20" s="4" t="s">
        <v>28</v>
      </c>
    </row>
    <row r="21" spans="1:2" ht="15.75" customHeight="1" x14ac:dyDescent="0.25">
      <c r="A21" s="1" t="s">
        <v>29</v>
      </c>
      <c r="B21" s="2" t="s">
        <v>30</v>
      </c>
    </row>
    <row r="22" spans="1:2" ht="15.75" customHeight="1" x14ac:dyDescent="0.25">
      <c r="A22" s="3" t="s">
        <v>31</v>
      </c>
      <c r="B22" s="4" t="s">
        <v>32</v>
      </c>
    </row>
    <row r="23" spans="1:2" ht="15.75" customHeight="1" x14ac:dyDescent="0.25">
      <c r="A23" s="1" t="s">
        <v>33</v>
      </c>
      <c r="B23" s="2" t="s">
        <v>34</v>
      </c>
    </row>
    <row r="24" spans="1:2" ht="6" customHeight="1" x14ac:dyDescent="0.25"/>
    <row r="25" spans="1:2" ht="15.75" customHeight="1" x14ac:dyDescent="0.25">
      <c r="A25" s="55" t="s">
        <v>35</v>
      </c>
      <c r="B25" s="56"/>
    </row>
    <row r="26" spans="1:2" ht="15.75" customHeight="1" x14ac:dyDescent="0.25">
      <c r="A26" s="3" t="s">
        <v>36</v>
      </c>
      <c r="B26" s="4" t="s">
        <v>37</v>
      </c>
    </row>
    <row r="27" spans="1:2" ht="15.75" customHeight="1" x14ac:dyDescent="0.25">
      <c r="A27" s="1" t="s">
        <v>38</v>
      </c>
      <c r="B27" s="2" t="s">
        <v>39</v>
      </c>
    </row>
    <row r="28" spans="1:2" ht="6" customHeight="1" x14ac:dyDescent="0.25"/>
    <row r="29" spans="1:2" ht="15.75" customHeight="1" x14ac:dyDescent="0.25">
      <c r="A29" s="55" t="s">
        <v>40</v>
      </c>
      <c r="B29" s="56"/>
    </row>
    <row r="30" spans="1:2" ht="15.75" customHeight="1" x14ac:dyDescent="0.25">
      <c r="A30" s="3" t="s">
        <v>41</v>
      </c>
      <c r="B30" s="4" t="s">
        <v>42</v>
      </c>
    </row>
    <row r="31" spans="1:2" ht="15.75" customHeight="1" x14ac:dyDescent="0.25">
      <c r="A31" s="1" t="s">
        <v>43</v>
      </c>
      <c r="B31" s="2" t="s">
        <v>44</v>
      </c>
    </row>
    <row r="32" spans="1:2" ht="15.75" customHeight="1" x14ac:dyDescent="0.25">
      <c r="A32" s="3" t="s">
        <v>45</v>
      </c>
      <c r="B32" s="4" t="s">
        <v>46</v>
      </c>
    </row>
    <row r="33" spans="1:2" ht="6" customHeight="1" x14ac:dyDescent="0.25"/>
    <row r="34" spans="1:2" ht="15.75" customHeight="1" x14ac:dyDescent="0.25">
      <c r="A34" s="55" t="s">
        <v>47</v>
      </c>
      <c r="B34" s="56"/>
    </row>
    <row r="35" spans="1:2" ht="15.75" customHeight="1" x14ac:dyDescent="0.25">
      <c r="A35" s="1" t="s">
        <v>48</v>
      </c>
      <c r="B35" s="2" t="s">
        <v>49</v>
      </c>
    </row>
    <row r="36" spans="1:2" ht="15.75" customHeight="1" x14ac:dyDescent="0.25">
      <c r="A36" s="3" t="s">
        <v>50</v>
      </c>
      <c r="B36" s="4" t="s">
        <v>51</v>
      </c>
    </row>
    <row r="37" spans="1:2" ht="15.75" customHeight="1" x14ac:dyDescent="0.25">
      <c r="A37" s="1" t="s">
        <v>52</v>
      </c>
      <c r="B37" s="2" t="s">
        <v>53</v>
      </c>
    </row>
    <row r="38" spans="1:2" ht="6" customHeight="1" x14ac:dyDescent="0.25"/>
    <row r="39" spans="1:2" ht="15.75" customHeight="1" x14ac:dyDescent="0.25">
      <c r="A39" s="55" t="s">
        <v>54</v>
      </c>
      <c r="B39" s="56"/>
    </row>
    <row r="40" spans="1:2" ht="15.75" customHeight="1" x14ac:dyDescent="0.25">
      <c r="A40" s="3" t="s">
        <v>55</v>
      </c>
      <c r="B40" s="4" t="s">
        <v>56</v>
      </c>
    </row>
    <row r="41" spans="1:2" ht="15.75" customHeight="1" x14ac:dyDescent="0.25">
      <c r="A41" s="1" t="s">
        <v>57</v>
      </c>
      <c r="B41" s="2" t="s">
        <v>58</v>
      </c>
    </row>
    <row r="42" spans="1:2" ht="15.75" customHeight="1" x14ac:dyDescent="0.25">
      <c r="A42" s="3" t="s">
        <v>59</v>
      </c>
      <c r="B42" s="4" t="s">
        <v>60</v>
      </c>
    </row>
    <row r="43" spans="1:2" ht="6" customHeight="1" x14ac:dyDescent="0.25"/>
    <row r="44" spans="1:2" ht="15.75" customHeight="1" x14ac:dyDescent="0.25">
      <c r="A44" s="55" t="s">
        <v>61</v>
      </c>
      <c r="B44" s="56"/>
    </row>
    <row r="45" spans="1:2" ht="15.75" customHeight="1" x14ac:dyDescent="0.25">
      <c r="A45" s="1" t="s">
        <v>55</v>
      </c>
      <c r="B45" s="2" t="s">
        <v>62</v>
      </c>
    </row>
    <row r="46" spans="1:2" ht="15.75" customHeight="1" x14ac:dyDescent="0.25">
      <c r="A46" s="3" t="s">
        <v>57</v>
      </c>
      <c r="B46" s="4" t="s">
        <v>63</v>
      </c>
    </row>
    <row r="47" spans="1:2" ht="15.75" customHeight="1" x14ac:dyDescent="0.25">
      <c r="A47" s="1" t="s">
        <v>64</v>
      </c>
      <c r="B47" s="2" t="s">
        <v>65</v>
      </c>
    </row>
    <row r="48" spans="1:2" ht="15.75" customHeight="1" x14ac:dyDescent="0.25">
      <c r="A48" s="3" t="s">
        <v>66</v>
      </c>
      <c r="B48" s="4" t="s">
        <v>67</v>
      </c>
    </row>
    <row r="49" spans="1:2" ht="15.75" customHeight="1" x14ac:dyDescent="0.25">
      <c r="A49" s="1" t="s">
        <v>68</v>
      </c>
      <c r="B49" s="2" t="s">
        <v>46</v>
      </c>
    </row>
    <row r="50" spans="1:2" ht="6" customHeight="1" x14ac:dyDescent="0.25"/>
    <row r="51" spans="1:2" ht="15.75" customHeight="1" x14ac:dyDescent="0.25">
      <c r="A51" s="55" t="s">
        <v>69</v>
      </c>
      <c r="B51" s="56"/>
    </row>
    <row r="52" spans="1:2" ht="15.75" customHeight="1" x14ac:dyDescent="0.25">
      <c r="A52" s="3" t="s">
        <v>70</v>
      </c>
      <c r="B52" s="4" t="s">
        <v>71</v>
      </c>
    </row>
    <row r="53" spans="1:2" ht="6" customHeight="1" x14ac:dyDescent="0.25"/>
    <row r="54" spans="1:2" ht="15.75" customHeight="1" x14ac:dyDescent="0.25">
      <c r="A54" s="55" t="s">
        <v>72</v>
      </c>
      <c r="B54" s="56"/>
    </row>
    <row r="55" spans="1:2" ht="15.75" customHeight="1" x14ac:dyDescent="0.25">
      <c r="A55" s="1" t="s">
        <v>73</v>
      </c>
      <c r="B55" s="2" t="s">
        <v>74</v>
      </c>
    </row>
    <row r="56" spans="1:2" ht="15.75" customHeight="1" x14ac:dyDescent="0.25">
      <c r="A56" s="3" t="s">
        <v>75</v>
      </c>
      <c r="B56" s="4" t="s">
        <v>76</v>
      </c>
    </row>
    <row r="57" spans="1:2" ht="15.75" customHeight="1" x14ac:dyDescent="0.25">
      <c r="A57" s="1" t="s">
        <v>77</v>
      </c>
      <c r="B57" s="2" t="s">
        <v>78</v>
      </c>
    </row>
    <row r="58" spans="1:2" ht="15.75" customHeight="1" x14ac:dyDescent="0.25">
      <c r="A58" s="3" t="s">
        <v>79</v>
      </c>
      <c r="B58" s="4" t="s">
        <v>80</v>
      </c>
    </row>
    <row r="59" spans="1:2" ht="15.75" customHeight="1" x14ac:dyDescent="0.25">
      <c r="A59" s="1" t="s">
        <v>81</v>
      </c>
      <c r="B59" s="2" t="s">
        <v>82</v>
      </c>
    </row>
    <row r="60" spans="1:2" ht="6" customHeight="1" x14ac:dyDescent="0.25"/>
    <row r="61" spans="1:2" ht="15.75" customHeight="1" x14ac:dyDescent="0.25">
      <c r="A61" s="55" t="s">
        <v>83</v>
      </c>
      <c r="B61" s="56"/>
    </row>
    <row r="62" spans="1:2" ht="15.75" customHeight="1" x14ac:dyDescent="0.25">
      <c r="A62" s="3" t="s">
        <v>84</v>
      </c>
      <c r="B62" s="4" t="s">
        <v>85</v>
      </c>
    </row>
    <row r="63" spans="1:2" ht="15.75" customHeight="1" x14ac:dyDescent="0.25">
      <c r="A63" s="1" t="s">
        <v>86</v>
      </c>
      <c r="B63" s="2" t="s">
        <v>87</v>
      </c>
    </row>
    <row r="64" spans="1:2" ht="15.75" customHeight="1" x14ac:dyDescent="0.25">
      <c r="A64" s="3" t="s">
        <v>88</v>
      </c>
      <c r="B64" s="4" t="s">
        <v>89</v>
      </c>
    </row>
    <row r="65" spans="1:2" ht="15.75" customHeight="1" x14ac:dyDescent="0.25">
      <c r="A65" s="1" t="s">
        <v>90</v>
      </c>
      <c r="B65" s="2" t="s">
        <v>91</v>
      </c>
    </row>
    <row r="66" spans="1:2" ht="15.75" customHeight="1" x14ac:dyDescent="0.25">
      <c r="A66" s="3" t="s">
        <v>92</v>
      </c>
      <c r="B66" s="4" t="s">
        <v>93</v>
      </c>
    </row>
    <row r="67" spans="1:2" ht="15.75" customHeight="1" x14ac:dyDescent="0.25">
      <c r="A67" s="1" t="s">
        <v>94</v>
      </c>
      <c r="B67" s="2" t="s">
        <v>95</v>
      </c>
    </row>
    <row r="68" spans="1:2" ht="15.75" customHeight="1" x14ac:dyDescent="0.25">
      <c r="A68" s="3" t="s">
        <v>96</v>
      </c>
      <c r="B68" s="4" t="s">
        <v>97</v>
      </c>
    </row>
    <row r="69" spans="1:2" ht="6" customHeight="1" x14ac:dyDescent="0.25"/>
    <row r="70" spans="1:2" ht="15.75" customHeight="1" x14ac:dyDescent="0.25">
      <c r="A70" s="55" t="s">
        <v>98</v>
      </c>
      <c r="B70" s="56"/>
    </row>
    <row r="71" spans="1:2" ht="15.75" customHeight="1" x14ac:dyDescent="0.25">
      <c r="A71" s="1" t="s">
        <v>99</v>
      </c>
      <c r="B71" s="2" t="s">
        <v>100</v>
      </c>
    </row>
    <row r="72" spans="1:2" ht="15.75" customHeight="1" x14ac:dyDescent="0.25">
      <c r="A72" s="3" t="s">
        <v>101</v>
      </c>
      <c r="B72" s="4" t="s">
        <v>102</v>
      </c>
    </row>
    <row r="73" spans="1:2" ht="15.75" customHeight="1" x14ac:dyDescent="0.25">
      <c r="A73" s="1" t="s">
        <v>103</v>
      </c>
      <c r="B73" s="2" t="s">
        <v>104</v>
      </c>
    </row>
    <row r="74" spans="1:2" ht="15.75" customHeight="1" x14ac:dyDescent="0.25"/>
    <row r="75" spans="1:2" ht="15.75" customHeight="1" x14ac:dyDescent="0.25"/>
    <row r="76" spans="1:2" ht="15.75" customHeight="1" x14ac:dyDescent="0.25"/>
    <row r="77" spans="1:2" ht="15.75" customHeight="1" x14ac:dyDescent="0.25"/>
    <row r="78" spans="1:2" ht="15.75" customHeight="1" x14ac:dyDescent="0.25"/>
    <row r="79" spans="1:2" ht="15.75" customHeight="1" x14ac:dyDescent="0.25"/>
    <row r="80" spans="1:2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4">
    <mergeCell ref="A61:B61"/>
    <mergeCell ref="A70:B70"/>
    <mergeCell ref="A1:B1"/>
    <mergeCell ref="A2:B2"/>
    <mergeCell ref="A4:B4"/>
    <mergeCell ref="A9:B9"/>
    <mergeCell ref="A15:B15"/>
    <mergeCell ref="A25:B25"/>
    <mergeCell ref="A29:B29"/>
    <mergeCell ref="A34:B34"/>
    <mergeCell ref="A39:B39"/>
    <mergeCell ref="A44:B44"/>
    <mergeCell ref="A51:B51"/>
    <mergeCell ref="A54:B5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3"/>
  <sheetViews>
    <sheetView showGridLines="0" workbookViewId="0">
      <selection activeCell="F13" sqref="F13"/>
    </sheetView>
  </sheetViews>
  <sheetFormatPr defaultColWidth="14.42578125" defaultRowHeight="15" customHeight="1" x14ac:dyDescent="0.25"/>
  <cols>
    <col min="1" max="1" width="42" customWidth="1"/>
    <col min="2" max="7" width="14" customWidth="1"/>
    <col min="8" max="8" width="53.7109375" customWidth="1"/>
    <col min="9" max="26" width="8.7109375" customWidth="1"/>
  </cols>
  <sheetData>
    <row r="1" spans="1:8" ht="27.75" customHeight="1" x14ac:dyDescent="0.25">
      <c r="A1" s="62" t="s">
        <v>105</v>
      </c>
      <c r="B1" s="60"/>
      <c r="C1" s="60"/>
      <c r="D1" s="60"/>
      <c r="E1" s="60"/>
      <c r="F1" s="60"/>
      <c r="G1" s="60"/>
      <c r="H1" s="56"/>
    </row>
    <row r="2" spans="1:8" ht="18" customHeight="1" x14ac:dyDescent="0.25">
      <c r="A2" s="58" t="s">
        <v>106</v>
      </c>
      <c r="B2" s="60"/>
      <c r="C2" s="60"/>
      <c r="D2" s="60"/>
      <c r="E2" s="60"/>
      <c r="F2" s="60"/>
      <c r="G2" s="60"/>
      <c r="H2" s="56"/>
    </row>
    <row r="3" spans="1:8" ht="19.5" customHeight="1" x14ac:dyDescent="0.25">
      <c r="A3" s="5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</row>
    <row r="4" spans="1:8" ht="18" customHeight="1" x14ac:dyDescent="0.25">
      <c r="A4" s="59" t="s">
        <v>115</v>
      </c>
      <c r="B4" s="60"/>
      <c r="C4" s="60"/>
      <c r="D4" s="60"/>
      <c r="E4" s="60"/>
      <c r="F4" s="60"/>
      <c r="G4" s="60"/>
      <c r="H4" s="56"/>
    </row>
    <row r="5" spans="1:8" ht="15.75" customHeight="1" x14ac:dyDescent="0.25">
      <c r="A5" s="7" t="s">
        <v>116</v>
      </c>
      <c r="B5" s="8">
        <v>704357</v>
      </c>
      <c r="C5" s="8">
        <v>1527393</v>
      </c>
      <c r="D5" s="8">
        <v>2581022</v>
      </c>
      <c r="E5" s="8">
        <v>3824762</v>
      </c>
      <c r="F5" s="8">
        <v>5470087</v>
      </c>
      <c r="G5" s="8">
        <v>7751562.343332598</v>
      </c>
      <c r="H5" s="9" t="s">
        <v>117</v>
      </c>
    </row>
    <row r="6" spans="1:8" ht="15.75" customHeight="1" x14ac:dyDescent="0.25">
      <c r="A6" s="7" t="s">
        <v>118</v>
      </c>
      <c r="B6" s="8">
        <v>241920</v>
      </c>
      <c r="C6" s="8">
        <v>1252087</v>
      </c>
      <c r="D6" s="8">
        <v>2936656</v>
      </c>
      <c r="E6" s="8">
        <v>4776314</v>
      </c>
      <c r="F6" s="8">
        <v>6940180</v>
      </c>
      <c r="G6" s="8">
        <v>9230400</v>
      </c>
      <c r="H6" s="9" t="s">
        <v>119</v>
      </c>
    </row>
    <row r="7" spans="1:8" ht="15.75" customHeight="1" x14ac:dyDescent="0.25">
      <c r="A7" s="7" t="s">
        <v>120</v>
      </c>
      <c r="B7" s="8">
        <v>293637</v>
      </c>
      <c r="C7" s="8">
        <v>883572</v>
      </c>
      <c r="D7" s="8">
        <v>1716192</v>
      </c>
      <c r="E7" s="8">
        <v>2637157</v>
      </c>
      <c r="F7" s="8">
        <v>3667303</v>
      </c>
      <c r="G7" s="8">
        <v>5626122.3501386754</v>
      </c>
      <c r="H7" s="9" t="s">
        <v>121</v>
      </c>
    </row>
    <row r="8" spans="1:8" ht="15.75" customHeight="1" x14ac:dyDescent="0.25">
      <c r="A8" s="10" t="s">
        <v>122</v>
      </c>
      <c r="B8" s="11">
        <v>1239914</v>
      </c>
      <c r="C8" s="11">
        <v>3663052</v>
      </c>
      <c r="D8" s="11">
        <v>7233870</v>
      </c>
      <c r="E8" s="11">
        <v>11238233</v>
      </c>
      <c r="F8" s="11">
        <v>16077571</v>
      </c>
      <c r="G8" s="11">
        <v>22608084.693471279</v>
      </c>
      <c r="H8" s="9"/>
    </row>
    <row r="9" spans="1:8" ht="18" customHeight="1" x14ac:dyDescent="0.25">
      <c r="A9" s="59" t="s">
        <v>123</v>
      </c>
      <c r="B9" s="60"/>
      <c r="C9" s="60"/>
      <c r="D9" s="60"/>
      <c r="E9" s="60"/>
      <c r="F9" s="60"/>
      <c r="G9" s="60"/>
      <c r="H9" s="56"/>
    </row>
    <row r="10" spans="1:8" ht="15.75" customHeight="1" x14ac:dyDescent="0.25">
      <c r="A10" s="7" t="s">
        <v>124</v>
      </c>
      <c r="B10" s="12">
        <f>'Cash on Hand'!B20</f>
        <v>2</v>
      </c>
      <c r="C10" s="12">
        <f>'Cash on Hand'!C20</f>
        <v>2</v>
      </c>
      <c r="D10" s="12">
        <f>'Cash on Hand'!D20</f>
        <v>2</v>
      </c>
      <c r="E10" s="12">
        <f>'Cash on Hand'!E20</f>
        <v>2</v>
      </c>
      <c r="F10" s="12">
        <f>'Cash on Hand'!F20</f>
        <v>2</v>
      </c>
      <c r="G10" s="12">
        <v>2</v>
      </c>
      <c r="H10" s="9" t="s">
        <v>125</v>
      </c>
    </row>
    <row r="11" spans="1:8" ht="15.75" customHeight="1" x14ac:dyDescent="0.25">
      <c r="A11" s="10" t="s">
        <v>126</v>
      </c>
      <c r="B11" s="11">
        <f>'Cash on Hand'!B22</f>
        <v>80000</v>
      </c>
      <c r="C11" s="11">
        <f>'Cash on Hand'!C22</f>
        <v>80000</v>
      </c>
      <c r="D11" s="11">
        <f>'Cash on Hand'!D22</f>
        <v>80000</v>
      </c>
      <c r="E11" s="11">
        <f>'Cash on Hand'!E22</f>
        <v>80000</v>
      </c>
      <c r="F11" s="11">
        <f>'Cash on Hand'!F22</f>
        <v>80000</v>
      </c>
      <c r="G11" s="11">
        <f>SUM(B11:F11)</f>
        <v>400000</v>
      </c>
      <c r="H11" s="9" t="s">
        <v>127</v>
      </c>
    </row>
    <row r="12" spans="1:8" ht="18" customHeight="1" x14ac:dyDescent="0.25">
      <c r="A12" s="59" t="s">
        <v>128</v>
      </c>
      <c r="B12" s="60"/>
      <c r="C12" s="60"/>
      <c r="D12" s="60"/>
      <c r="E12" s="60"/>
      <c r="F12" s="60"/>
      <c r="G12" s="60"/>
      <c r="H12" s="56"/>
    </row>
    <row r="13" spans="1:8" ht="15.75" customHeight="1" x14ac:dyDescent="0.25">
      <c r="A13" s="7" t="s">
        <v>129</v>
      </c>
      <c r="B13" s="12">
        <v>31</v>
      </c>
      <c r="C13" s="12">
        <v>96</v>
      </c>
      <c r="D13" s="12">
        <v>192</v>
      </c>
      <c r="E13" s="12">
        <v>300</v>
      </c>
      <c r="F13" s="12">
        <v>414</v>
      </c>
      <c r="G13" s="12">
        <v>1033</v>
      </c>
      <c r="H13" s="9" t="s">
        <v>130</v>
      </c>
    </row>
    <row r="14" spans="1:8" ht="15.75" customHeight="1" x14ac:dyDescent="0.25">
      <c r="A14" s="7" t="s">
        <v>131</v>
      </c>
      <c r="B14" s="8">
        <v>0</v>
      </c>
      <c r="C14" s="8">
        <v>185000</v>
      </c>
      <c r="D14" s="8">
        <v>185000</v>
      </c>
      <c r="E14" s="8">
        <v>185000</v>
      </c>
      <c r="F14" s="8">
        <v>185000</v>
      </c>
      <c r="G14" s="8">
        <v>740000</v>
      </c>
      <c r="H14" s="9" t="s">
        <v>132</v>
      </c>
    </row>
    <row r="15" spans="1:8" ht="15.75" customHeight="1" x14ac:dyDescent="0.25">
      <c r="A15" s="7" t="s">
        <v>133</v>
      </c>
      <c r="B15" s="8">
        <v>0</v>
      </c>
      <c r="C15" s="8">
        <v>42550</v>
      </c>
      <c r="D15" s="8">
        <v>42550</v>
      </c>
      <c r="E15" s="8">
        <v>42550</v>
      </c>
      <c r="F15" s="8">
        <v>42550</v>
      </c>
      <c r="G15" s="8">
        <v>170200</v>
      </c>
      <c r="H15" s="9"/>
    </row>
    <row r="16" spans="1:8" ht="15.75" customHeight="1" x14ac:dyDescent="0.25">
      <c r="A16" s="7" t="s">
        <v>134</v>
      </c>
      <c r="B16" s="8">
        <v>0</v>
      </c>
      <c r="C16" s="8">
        <v>227550</v>
      </c>
      <c r="D16" s="8">
        <v>227550</v>
      </c>
      <c r="E16" s="8">
        <v>227550</v>
      </c>
      <c r="F16" s="8">
        <v>227550</v>
      </c>
      <c r="G16" s="8">
        <v>910200</v>
      </c>
      <c r="H16" s="9"/>
    </row>
    <row r="17" spans="1:8" ht="15.75" customHeight="1" x14ac:dyDescent="0.25">
      <c r="A17" s="7" t="s">
        <v>135</v>
      </c>
      <c r="B17" s="12">
        <v>3</v>
      </c>
      <c r="C17" s="12">
        <v>7</v>
      </c>
      <c r="D17" s="12">
        <v>14</v>
      </c>
      <c r="E17" s="12">
        <v>22</v>
      </c>
      <c r="F17" s="12">
        <v>30</v>
      </c>
      <c r="G17" s="12">
        <v>76</v>
      </c>
      <c r="H17" s="9" t="s">
        <v>136</v>
      </c>
    </row>
    <row r="18" spans="1:8" ht="15.75" customHeight="1" x14ac:dyDescent="0.25">
      <c r="A18" s="7" t="s">
        <v>137</v>
      </c>
      <c r="B18" s="8">
        <v>120000</v>
      </c>
      <c r="C18" s="8">
        <v>280000</v>
      </c>
      <c r="D18" s="8">
        <v>560000</v>
      </c>
      <c r="E18" s="8">
        <v>880000</v>
      </c>
      <c r="F18" s="8">
        <v>1200000</v>
      </c>
      <c r="G18" s="8">
        <v>3040000</v>
      </c>
      <c r="H18" s="9" t="s">
        <v>138</v>
      </c>
    </row>
    <row r="19" spans="1:8" ht="15.75" customHeight="1" x14ac:dyDescent="0.25">
      <c r="A19" s="7" t="s">
        <v>139</v>
      </c>
      <c r="B19" s="12">
        <v>2</v>
      </c>
      <c r="C19" s="12">
        <v>5</v>
      </c>
      <c r="D19" s="12">
        <v>10</v>
      </c>
      <c r="E19" s="12">
        <v>15</v>
      </c>
      <c r="F19" s="12">
        <v>21</v>
      </c>
      <c r="G19" s="12">
        <v>53</v>
      </c>
      <c r="H19" s="9" t="s">
        <v>140</v>
      </c>
    </row>
    <row r="20" spans="1:8" ht="15.75" customHeight="1" x14ac:dyDescent="0.25">
      <c r="A20" s="7" t="s">
        <v>141</v>
      </c>
      <c r="B20" s="8">
        <v>280000</v>
      </c>
      <c r="C20" s="8">
        <v>721000</v>
      </c>
      <c r="D20" s="8">
        <v>1485260</v>
      </c>
      <c r="E20" s="8">
        <v>2294726.7000000002</v>
      </c>
      <c r="F20" s="8">
        <v>3308995.9014000008</v>
      </c>
      <c r="G20" s="8">
        <v>8089982.601400001</v>
      </c>
      <c r="H20" s="9"/>
    </row>
    <row r="21" spans="1:8" ht="15.75" customHeight="1" x14ac:dyDescent="0.25">
      <c r="A21" s="7" t="s">
        <v>142</v>
      </c>
      <c r="B21" s="8">
        <v>64400</v>
      </c>
      <c r="C21" s="8">
        <v>165830</v>
      </c>
      <c r="D21" s="8">
        <v>341609.8</v>
      </c>
      <c r="E21" s="8">
        <v>527787.14100000006</v>
      </c>
      <c r="F21" s="8">
        <v>761069.05732200027</v>
      </c>
      <c r="G21" s="8">
        <v>1860695.998322</v>
      </c>
      <c r="H21" s="9"/>
    </row>
    <row r="22" spans="1:8" ht="15.75" customHeight="1" x14ac:dyDescent="0.25">
      <c r="A22" s="7" t="s">
        <v>143</v>
      </c>
      <c r="B22" s="8">
        <v>344400</v>
      </c>
      <c r="C22" s="8">
        <v>886830</v>
      </c>
      <c r="D22" s="8">
        <v>1826869.8</v>
      </c>
      <c r="E22" s="8">
        <v>2822513.841</v>
      </c>
      <c r="F22" s="8">
        <v>4070064.9587220009</v>
      </c>
      <c r="G22" s="8">
        <v>9950678.5997220017</v>
      </c>
      <c r="H22" s="9"/>
    </row>
    <row r="23" spans="1:8" ht="15.75" customHeight="1" x14ac:dyDescent="0.25">
      <c r="A23" s="10" t="s">
        <v>144</v>
      </c>
      <c r="B23" s="11">
        <v>464400</v>
      </c>
      <c r="C23" s="11">
        <v>1394380</v>
      </c>
      <c r="D23" s="11">
        <v>2614419.7999999998</v>
      </c>
      <c r="E23" s="11">
        <v>3930063.841</v>
      </c>
      <c r="F23" s="11">
        <v>5497614.9587220009</v>
      </c>
      <c r="G23" s="11">
        <v>13900878.599722</v>
      </c>
      <c r="H23" s="9"/>
    </row>
    <row r="24" spans="1:8" ht="15.75" customHeight="1" x14ac:dyDescent="0.25">
      <c r="A24" s="10" t="s">
        <v>409</v>
      </c>
      <c r="B24" s="11" t="s">
        <v>377</v>
      </c>
      <c r="C24" s="11" t="s">
        <v>378</v>
      </c>
      <c r="D24" s="11" t="s">
        <v>379</v>
      </c>
      <c r="E24" s="11" t="s">
        <v>380</v>
      </c>
      <c r="F24" s="11" t="s">
        <v>381</v>
      </c>
      <c r="G24" s="11"/>
      <c r="H24" s="9"/>
    </row>
    <row r="25" spans="1:8" ht="15.75" customHeight="1" x14ac:dyDescent="0.25">
      <c r="A25" s="10" t="s">
        <v>410</v>
      </c>
      <c r="B25" s="54">
        <v>0.14000000000000001</v>
      </c>
      <c r="C25" s="54">
        <v>0.16</v>
      </c>
      <c r="D25" s="54">
        <v>0.18</v>
      </c>
      <c r="E25" s="54">
        <v>0.19</v>
      </c>
      <c r="F25" s="54">
        <v>0.2</v>
      </c>
      <c r="G25" s="11"/>
      <c r="H25" s="9"/>
    </row>
    <row r="26" spans="1:8" ht="15.75" customHeight="1" x14ac:dyDescent="0.25">
      <c r="A26" s="10" t="s">
        <v>411</v>
      </c>
      <c r="B26" s="53">
        <v>173588</v>
      </c>
      <c r="C26" s="53">
        <v>586088</v>
      </c>
      <c r="D26" s="53">
        <v>1302097</v>
      </c>
      <c r="E26" s="53">
        <v>2135264</v>
      </c>
      <c r="F26" s="53">
        <v>3215514</v>
      </c>
      <c r="G26" s="11"/>
      <c r="H26" s="9"/>
    </row>
    <row r="27" spans="1:8" ht="15.75" customHeight="1" x14ac:dyDescent="0.25">
      <c r="A27" s="10" t="s">
        <v>145</v>
      </c>
      <c r="B27" s="11">
        <v>521926</v>
      </c>
      <c r="C27" s="11">
        <v>1602584</v>
      </c>
      <c r="D27" s="11">
        <v>3237354</v>
      </c>
      <c r="E27" s="11">
        <v>5092905</v>
      </c>
      <c r="F27" s="11">
        <v>7284442</v>
      </c>
      <c r="G27" s="11">
        <v>7627206.0937492726</v>
      </c>
      <c r="H27" s="9"/>
    </row>
    <row r="28" spans="1:8" ht="15.75" customHeight="1" x14ac:dyDescent="0.25">
      <c r="A28" s="7" t="s">
        <v>146</v>
      </c>
      <c r="B28" s="13">
        <v>0.4209</v>
      </c>
      <c r="C28" s="13">
        <v>0.43740000000000001</v>
      </c>
      <c r="D28" s="13">
        <v>0.44750000000000001</v>
      </c>
      <c r="E28" s="13">
        <v>0.45319999999999999</v>
      </c>
      <c r="F28" s="13">
        <v>0.4531</v>
      </c>
      <c r="G28" s="13">
        <f>G27/G8</f>
        <v>0.33736630931641209</v>
      </c>
      <c r="H28" s="9"/>
    </row>
    <row r="29" spans="1:8" ht="18" customHeight="1" x14ac:dyDescent="0.25">
      <c r="A29" s="59" t="s">
        <v>147</v>
      </c>
      <c r="B29" s="60"/>
      <c r="C29" s="60"/>
      <c r="D29" s="60"/>
      <c r="E29" s="60"/>
      <c r="F29" s="60"/>
      <c r="G29" s="60"/>
      <c r="H29" s="56"/>
    </row>
    <row r="30" spans="1:8" ht="15.75" customHeight="1" x14ac:dyDescent="0.25">
      <c r="A30" s="7" t="s">
        <v>148</v>
      </c>
      <c r="B30" s="8">
        <v>13000</v>
      </c>
      <c r="C30" s="8">
        <v>39000</v>
      </c>
      <c r="D30" s="8">
        <v>78000</v>
      </c>
      <c r="E30" s="8">
        <v>117000</v>
      </c>
      <c r="F30" s="8">
        <v>162500</v>
      </c>
      <c r="G30" s="8">
        <v>247000</v>
      </c>
      <c r="H30" s="9" t="s">
        <v>74</v>
      </c>
    </row>
    <row r="31" spans="1:8" ht="15.75" customHeight="1" x14ac:dyDescent="0.25">
      <c r="A31" s="7" t="s">
        <v>149</v>
      </c>
      <c r="B31" s="8">
        <v>35000</v>
      </c>
      <c r="C31" s="8">
        <v>35000</v>
      </c>
      <c r="D31" s="8">
        <v>35000</v>
      </c>
      <c r="E31" s="8">
        <v>35000</v>
      </c>
      <c r="F31" s="8">
        <v>35000</v>
      </c>
      <c r="G31" s="8">
        <v>175000</v>
      </c>
      <c r="H31" s="9" t="s">
        <v>150</v>
      </c>
    </row>
    <row r="32" spans="1:8" ht="15.75" customHeight="1" x14ac:dyDescent="0.25">
      <c r="A32" s="7" t="s">
        <v>151</v>
      </c>
      <c r="B32" s="8">
        <v>5000</v>
      </c>
      <c r="C32" s="8">
        <v>8000</v>
      </c>
      <c r="D32" s="8">
        <v>12000</v>
      </c>
      <c r="E32" s="8">
        <v>15000</v>
      </c>
      <c r="F32" s="8">
        <v>18000</v>
      </c>
      <c r="G32" s="8">
        <v>58000</v>
      </c>
      <c r="H32" s="9"/>
    </row>
    <row r="33" spans="1:8" ht="15.75" customHeight="1" x14ac:dyDescent="0.25">
      <c r="A33" s="7" t="s">
        <v>152</v>
      </c>
      <c r="B33" s="8">
        <v>3000</v>
      </c>
      <c r="C33" s="8">
        <v>4000</v>
      </c>
      <c r="D33" s="8">
        <v>5000</v>
      </c>
      <c r="E33" s="8">
        <v>6000</v>
      </c>
      <c r="F33" s="8">
        <v>6000</v>
      </c>
      <c r="G33" s="8">
        <v>24000</v>
      </c>
      <c r="H33" s="9"/>
    </row>
    <row r="34" spans="1:8" ht="15.75" customHeight="1" x14ac:dyDescent="0.25">
      <c r="A34" s="7" t="s">
        <v>153</v>
      </c>
      <c r="B34" s="8">
        <v>2400</v>
      </c>
      <c r="C34" s="8">
        <v>2400</v>
      </c>
      <c r="D34" s="8">
        <v>3000</v>
      </c>
      <c r="E34" s="8">
        <v>3600</v>
      </c>
      <c r="F34" s="8">
        <v>3600</v>
      </c>
      <c r="G34" s="8">
        <v>15000</v>
      </c>
      <c r="H34" s="9"/>
    </row>
    <row r="35" spans="1:8" ht="15.75" customHeight="1" x14ac:dyDescent="0.25">
      <c r="A35" s="10" t="s">
        <v>154</v>
      </c>
      <c r="B35" s="11">
        <v>58400</v>
      </c>
      <c r="C35" s="11">
        <v>88400</v>
      </c>
      <c r="D35" s="11">
        <v>133000</v>
      </c>
      <c r="E35" s="11">
        <v>176600</v>
      </c>
      <c r="F35" s="11">
        <v>225100</v>
      </c>
      <c r="G35" s="11">
        <f t="shared" ref="G35" si="0">SUM(G30:G34)</f>
        <v>519000</v>
      </c>
      <c r="H35" s="9"/>
    </row>
    <row r="36" spans="1:8" ht="18" customHeight="1" x14ac:dyDescent="0.25">
      <c r="A36" s="59" t="s">
        <v>155</v>
      </c>
      <c r="B36" s="60"/>
      <c r="C36" s="60"/>
      <c r="D36" s="60"/>
      <c r="E36" s="60"/>
      <c r="F36" s="60"/>
      <c r="G36" s="60"/>
      <c r="H36" s="56"/>
    </row>
    <row r="37" spans="1:8" ht="15.75" customHeight="1" x14ac:dyDescent="0.25">
      <c r="A37" s="10" t="s">
        <v>156</v>
      </c>
      <c r="B37" s="11">
        <v>463526</v>
      </c>
      <c r="C37" s="11">
        <v>1514184</v>
      </c>
      <c r="D37" s="11">
        <v>3104354</v>
      </c>
      <c r="E37" s="11">
        <v>4916305</v>
      </c>
      <c r="F37" s="11">
        <v>7059342</v>
      </c>
      <c r="G37" s="11">
        <v>7788206.0937492698</v>
      </c>
      <c r="H37" s="9"/>
    </row>
    <row r="38" spans="1:8" ht="15.75" customHeight="1" x14ac:dyDescent="0.25">
      <c r="A38" s="7" t="s">
        <v>157</v>
      </c>
      <c r="B38" s="13">
        <v>0.37380000000000002</v>
      </c>
      <c r="C38" s="13">
        <v>0.41339999999999999</v>
      </c>
      <c r="D38" s="13">
        <v>0.42909999999999998</v>
      </c>
      <c r="E38" s="13">
        <v>0.4375</v>
      </c>
      <c r="F38" s="13">
        <v>0.43909999999999999</v>
      </c>
      <c r="G38" s="13">
        <v>0.34457100000000002</v>
      </c>
      <c r="H38" s="9"/>
    </row>
    <row r="39" spans="1:8" ht="15.75" customHeight="1" x14ac:dyDescent="0.25">
      <c r="A39" s="7" t="s">
        <v>158</v>
      </c>
      <c r="B39" s="8">
        <v>115881.5</v>
      </c>
      <c r="C39" s="8">
        <v>378546</v>
      </c>
      <c r="D39" s="8">
        <v>776088.5</v>
      </c>
      <c r="E39" s="8">
        <v>1229076.25</v>
      </c>
      <c r="F39" s="8">
        <v>1764835.5</v>
      </c>
      <c r="G39" s="8">
        <v>1947051.52343732</v>
      </c>
      <c r="H39" s="9"/>
    </row>
    <row r="40" spans="1:8" ht="15.75" customHeight="1" x14ac:dyDescent="0.25">
      <c r="A40" s="10" t="s">
        <v>159</v>
      </c>
      <c r="B40" s="11">
        <v>347644.5</v>
      </c>
      <c r="C40" s="11">
        <v>1135638</v>
      </c>
      <c r="D40" s="11">
        <v>2328265.5</v>
      </c>
      <c r="E40" s="11">
        <v>3687228.75</v>
      </c>
      <c r="F40" s="11">
        <v>5294506.5</v>
      </c>
      <c r="G40" s="11">
        <v>5841154.5703119496</v>
      </c>
      <c r="H40" s="9"/>
    </row>
    <row r="41" spans="1:8" ht="15.75" customHeight="1" x14ac:dyDescent="0.25">
      <c r="A41" s="7" t="s">
        <v>160</v>
      </c>
      <c r="B41" s="13">
        <v>0.28039999999999998</v>
      </c>
      <c r="C41" s="13">
        <v>0.31</v>
      </c>
      <c r="D41" s="13">
        <v>0.32190000000000002</v>
      </c>
      <c r="E41" s="13">
        <v>0.3281</v>
      </c>
      <c r="F41" s="13">
        <v>0.32940000000000003</v>
      </c>
      <c r="G41" s="13">
        <v>0.25842799999999999</v>
      </c>
      <c r="H41" s="9"/>
    </row>
    <row r="42" spans="1:8" ht="15.75" customHeight="1" x14ac:dyDescent="0.25">
      <c r="A42" s="10" t="s">
        <v>161</v>
      </c>
      <c r="B42" s="11">
        <v>347644.5</v>
      </c>
      <c r="C42" s="11">
        <v>1483282.5</v>
      </c>
      <c r="D42" s="11">
        <v>3811548</v>
      </c>
      <c r="E42" s="11">
        <v>7498776.75</v>
      </c>
      <c r="F42" s="11">
        <v>12793283.25</v>
      </c>
      <c r="G42" s="11">
        <v>5841154.5703119496</v>
      </c>
      <c r="H42" s="9" t="s">
        <v>162</v>
      </c>
    </row>
    <row r="43" spans="1:8" ht="18" customHeight="1" x14ac:dyDescent="0.25">
      <c r="A43" s="61" t="s">
        <v>163</v>
      </c>
      <c r="B43" s="60"/>
      <c r="C43" s="60"/>
      <c r="D43" s="60"/>
      <c r="E43" s="60"/>
      <c r="F43" s="60"/>
      <c r="G43" s="60"/>
      <c r="H43" s="56"/>
    </row>
    <row r="44" spans="1:8" ht="15.75" customHeight="1" x14ac:dyDescent="0.25">
      <c r="A44" s="7" t="s">
        <v>164</v>
      </c>
      <c r="B44" s="12">
        <v>5</v>
      </c>
      <c r="C44" s="12">
        <v>6</v>
      </c>
      <c r="D44" s="12">
        <v>8</v>
      </c>
      <c r="E44" s="12">
        <v>8</v>
      </c>
      <c r="F44" s="12">
        <v>10</v>
      </c>
      <c r="G44" s="12"/>
      <c r="H44" s="9" t="s">
        <v>165</v>
      </c>
    </row>
    <row r="45" spans="1:8" ht="15.75" customHeight="1" x14ac:dyDescent="0.25">
      <c r="A45" s="7" t="s">
        <v>166</v>
      </c>
      <c r="B45" s="8">
        <v>540976.66666666698</v>
      </c>
      <c r="C45" s="8">
        <v>3581063.55</v>
      </c>
      <c r="D45" s="8">
        <v>10542075.73</v>
      </c>
      <c r="E45" s="8">
        <v>17287507.129999999</v>
      </c>
      <c r="F45" s="8">
        <v>30179826.579999998</v>
      </c>
      <c r="G45" s="8"/>
      <c r="H45" s="9"/>
    </row>
    <row r="46" spans="1:8" ht="15.75" customHeight="1" x14ac:dyDescent="0.25">
      <c r="A46" s="14" t="s">
        <v>167</v>
      </c>
      <c r="B46" s="15">
        <v>676220.83333333395</v>
      </c>
      <c r="C46" s="15">
        <v>4177907.47</v>
      </c>
      <c r="D46" s="15">
        <v>11859835.199999999</v>
      </c>
      <c r="E46" s="15">
        <v>19448445.52</v>
      </c>
      <c r="F46" s="15">
        <v>34706800.57</v>
      </c>
      <c r="G46" s="15"/>
      <c r="H46" s="9" t="s">
        <v>168</v>
      </c>
    </row>
    <row r="47" spans="1:8" ht="15.75" customHeight="1" x14ac:dyDescent="0.25">
      <c r="A47" s="7" t="s">
        <v>169</v>
      </c>
      <c r="B47" s="8">
        <v>811465</v>
      </c>
      <c r="C47" s="8">
        <v>4774751.4000000004</v>
      </c>
      <c r="D47" s="8">
        <v>13177594.66</v>
      </c>
      <c r="E47" s="8">
        <v>21609383.91</v>
      </c>
      <c r="F47" s="8">
        <v>39233774.560000002</v>
      </c>
      <c r="G47" s="8"/>
      <c r="H47" s="9"/>
    </row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8">
    <mergeCell ref="A29:H29"/>
    <mergeCell ref="A36:H36"/>
    <mergeCell ref="A43:H43"/>
    <mergeCell ref="A1:H1"/>
    <mergeCell ref="A2:H2"/>
    <mergeCell ref="A4:H4"/>
    <mergeCell ref="A9:H9"/>
    <mergeCell ref="A12:H1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showGridLines="0" tabSelected="1" workbookViewId="0">
      <selection activeCell="K19" sqref="K19"/>
    </sheetView>
  </sheetViews>
  <sheetFormatPr defaultColWidth="14.42578125" defaultRowHeight="15" customHeight="1" x14ac:dyDescent="0.25"/>
  <cols>
    <col min="1" max="1" width="48" customWidth="1"/>
    <col min="2" max="7" width="14" customWidth="1"/>
    <col min="8" max="8" width="28" customWidth="1"/>
    <col min="9" max="26" width="8.7109375" customWidth="1"/>
  </cols>
  <sheetData>
    <row r="1" spans="1:8" ht="27.75" customHeight="1" x14ac:dyDescent="0.25">
      <c r="A1" s="62" t="s">
        <v>170</v>
      </c>
      <c r="B1" s="60"/>
      <c r="C1" s="60"/>
      <c r="D1" s="60"/>
      <c r="E1" s="60"/>
      <c r="F1" s="60"/>
      <c r="G1" s="60"/>
      <c r="H1" s="56"/>
    </row>
    <row r="2" spans="1:8" ht="18" customHeight="1" x14ac:dyDescent="0.25">
      <c r="A2" s="58" t="s">
        <v>171</v>
      </c>
      <c r="B2" s="60"/>
      <c r="C2" s="60"/>
      <c r="D2" s="60"/>
      <c r="E2" s="60"/>
      <c r="F2" s="60"/>
      <c r="G2" s="60"/>
      <c r="H2" s="56"/>
    </row>
    <row r="3" spans="1:8" ht="19.5" customHeight="1" x14ac:dyDescent="0.25">
      <c r="A3" s="5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</row>
    <row r="4" spans="1:8" ht="18" customHeight="1" x14ac:dyDescent="0.25">
      <c r="A4" s="59" t="s">
        <v>172</v>
      </c>
      <c r="B4" s="60"/>
      <c r="C4" s="60"/>
      <c r="D4" s="60"/>
      <c r="E4" s="60"/>
      <c r="F4" s="60"/>
      <c r="G4" s="60"/>
      <c r="H4" s="56"/>
    </row>
    <row r="5" spans="1:8" ht="15.75" customHeight="1" x14ac:dyDescent="0.25">
      <c r="A5" s="7" t="s">
        <v>173</v>
      </c>
      <c r="B5" s="8">
        <v>1239914</v>
      </c>
      <c r="C5" s="8">
        <v>3663052</v>
      </c>
      <c r="D5" s="8">
        <v>7233870</v>
      </c>
      <c r="E5" s="8">
        <v>11238233</v>
      </c>
      <c r="F5" s="8">
        <v>16077571</v>
      </c>
      <c r="G5" s="8">
        <v>22608084.693471279</v>
      </c>
      <c r="H5" s="9"/>
    </row>
    <row r="6" spans="1:8" ht="15.75" customHeight="1" x14ac:dyDescent="0.25">
      <c r="A6" s="7" t="s">
        <v>174</v>
      </c>
      <c r="B6" s="8">
        <v>704357</v>
      </c>
      <c r="C6" s="8">
        <v>1527393</v>
      </c>
      <c r="D6" s="8">
        <v>2581022</v>
      </c>
      <c r="E6" s="8">
        <v>3824762</v>
      </c>
      <c r="F6" s="8">
        <v>5470087</v>
      </c>
      <c r="G6" s="8">
        <v>7751562.343332598</v>
      </c>
      <c r="H6" s="9" t="s">
        <v>175</v>
      </c>
    </row>
    <row r="7" spans="1:8" ht="15.75" customHeight="1" x14ac:dyDescent="0.25">
      <c r="A7" s="7" t="s">
        <v>176</v>
      </c>
      <c r="B7" s="8">
        <v>241920</v>
      </c>
      <c r="C7" s="8">
        <v>1252087</v>
      </c>
      <c r="D7" s="8">
        <v>2936656</v>
      </c>
      <c r="E7" s="8">
        <v>4776314</v>
      </c>
      <c r="F7" s="8">
        <v>6940180</v>
      </c>
      <c r="G7" s="8">
        <v>9230400</v>
      </c>
      <c r="H7" s="9" t="s">
        <v>177</v>
      </c>
    </row>
    <row r="8" spans="1:8" ht="15.75" customHeight="1" x14ac:dyDescent="0.25">
      <c r="A8" s="7" t="s">
        <v>178</v>
      </c>
      <c r="B8" s="8">
        <v>293637</v>
      </c>
      <c r="C8" s="8">
        <v>883572</v>
      </c>
      <c r="D8" s="8">
        <v>1716192</v>
      </c>
      <c r="E8" s="8">
        <v>2637157</v>
      </c>
      <c r="F8" s="8">
        <v>3667303</v>
      </c>
      <c r="G8" s="8">
        <v>5626122.3501386754</v>
      </c>
      <c r="H8" s="9"/>
    </row>
    <row r="9" spans="1:8" ht="18" customHeight="1" x14ac:dyDescent="0.25">
      <c r="A9" s="66" t="s">
        <v>179</v>
      </c>
      <c r="B9" s="60"/>
      <c r="C9" s="60"/>
      <c r="D9" s="60"/>
      <c r="E9" s="60"/>
      <c r="F9" s="60"/>
      <c r="G9" s="60"/>
      <c r="H9" s="56"/>
    </row>
    <row r="10" spans="1:8" ht="15.75" customHeight="1" x14ac:dyDescent="0.25">
      <c r="A10" s="7" t="s">
        <v>131</v>
      </c>
      <c r="B10" s="8">
        <v>0</v>
      </c>
      <c r="C10" s="8">
        <v>185000</v>
      </c>
      <c r="D10" s="8">
        <v>185000</v>
      </c>
      <c r="E10" s="8">
        <v>185000</v>
      </c>
      <c r="F10" s="8">
        <v>185000</v>
      </c>
      <c r="G10" s="8">
        <v>740000</v>
      </c>
      <c r="H10" s="9" t="s">
        <v>180</v>
      </c>
    </row>
    <row r="11" spans="1:8" ht="15.75" customHeight="1" x14ac:dyDescent="0.25">
      <c r="A11" s="7" t="s">
        <v>181</v>
      </c>
      <c r="B11" s="8">
        <v>0</v>
      </c>
      <c r="C11" s="8">
        <v>42550</v>
      </c>
      <c r="D11" s="8">
        <v>42550</v>
      </c>
      <c r="E11" s="8">
        <v>42550</v>
      </c>
      <c r="F11" s="8">
        <v>42550</v>
      </c>
      <c r="G11" s="8">
        <v>170200</v>
      </c>
      <c r="H11" s="9"/>
    </row>
    <row r="12" spans="1:8" ht="15.75" customHeight="1" x14ac:dyDescent="0.25">
      <c r="A12" s="10" t="s">
        <v>182</v>
      </c>
      <c r="B12" s="11">
        <v>0</v>
      </c>
      <c r="C12" s="11">
        <v>227550</v>
      </c>
      <c r="D12" s="11">
        <v>227550</v>
      </c>
      <c r="E12" s="11">
        <v>227550</v>
      </c>
      <c r="F12" s="11">
        <v>227550</v>
      </c>
      <c r="G12" s="11">
        <v>910200</v>
      </c>
      <c r="H12" s="9" t="s">
        <v>183</v>
      </c>
    </row>
    <row r="13" spans="1:8" ht="18" customHeight="1" x14ac:dyDescent="0.25">
      <c r="A13" s="59" t="s">
        <v>184</v>
      </c>
      <c r="B13" s="60"/>
      <c r="C13" s="60"/>
      <c r="D13" s="60"/>
      <c r="E13" s="60"/>
      <c r="F13" s="60"/>
      <c r="G13" s="60"/>
      <c r="H13" s="56"/>
    </row>
    <row r="14" spans="1:8" ht="15.75" customHeight="1" x14ac:dyDescent="0.25">
      <c r="A14" s="10" t="s">
        <v>156</v>
      </c>
      <c r="B14" s="11">
        <v>463526</v>
      </c>
      <c r="C14" s="11">
        <v>1514184</v>
      </c>
      <c r="D14" s="11">
        <v>3104354</v>
      </c>
      <c r="E14" s="11">
        <v>4916305</v>
      </c>
      <c r="F14" s="11">
        <v>7059342</v>
      </c>
      <c r="G14" s="11">
        <v>7788206.0937492698</v>
      </c>
      <c r="H14" s="9"/>
    </row>
    <row r="15" spans="1:8" ht="15.75" customHeight="1" x14ac:dyDescent="0.25">
      <c r="A15" s="7" t="s">
        <v>157</v>
      </c>
      <c r="B15" s="13">
        <v>0.37380000000000002</v>
      </c>
      <c r="C15" s="13">
        <v>0.41339999999999999</v>
      </c>
      <c r="D15" s="13">
        <v>0.42909999999999998</v>
      </c>
      <c r="E15" s="13">
        <v>0.4375</v>
      </c>
      <c r="F15" s="13">
        <v>0.43909999999999999</v>
      </c>
      <c r="G15" s="13">
        <v>0.34457100000000002</v>
      </c>
      <c r="H15" s="9"/>
    </row>
    <row r="16" spans="1:8" ht="15.75" customHeight="1" x14ac:dyDescent="0.25">
      <c r="A16" s="7" t="s">
        <v>158</v>
      </c>
      <c r="B16" s="8">
        <v>115882</v>
      </c>
      <c r="C16" s="8">
        <v>378546</v>
      </c>
      <c r="D16" s="8">
        <v>776089</v>
      </c>
      <c r="E16" s="8">
        <v>1229076</v>
      </c>
      <c r="F16" s="8">
        <v>1764836</v>
      </c>
      <c r="G16" s="8">
        <v>1947051.52343732</v>
      </c>
      <c r="H16" s="9"/>
    </row>
    <row r="17" spans="1:8" ht="15.75" customHeight="1" x14ac:dyDescent="0.25">
      <c r="A17" s="10" t="s">
        <v>185</v>
      </c>
      <c r="B17" s="11">
        <v>347645</v>
      </c>
      <c r="C17" s="11">
        <v>1135638</v>
      </c>
      <c r="D17" s="11">
        <v>2328266</v>
      </c>
      <c r="E17" s="11">
        <v>3687229</v>
      </c>
      <c r="F17" s="11">
        <v>5294506</v>
      </c>
      <c r="G17" s="11">
        <v>5841154.5703119496</v>
      </c>
      <c r="H17" s="9"/>
    </row>
    <row r="18" spans="1:8" ht="15.75" customHeight="1" x14ac:dyDescent="0.25">
      <c r="A18" s="14" t="s">
        <v>186</v>
      </c>
      <c r="B18" s="15">
        <v>347645</v>
      </c>
      <c r="C18" s="15">
        <v>1483283</v>
      </c>
      <c r="D18" s="15">
        <v>3811548</v>
      </c>
      <c r="E18" s="15">
        <v>7498777</v>
      </c>
      <c r="F18" s="15">
        <v>12793283</v>
      </c>
      <c r="G18" s="15">
        <v>5841154.5703119496</v>
      </c>
      <c r="H18" s="9" t="s">
        <v>187</v>
      </c>
    </row>
    <row r="19" spans="1:8" ht="18" customHeight="1" x14ac:dyDescent="0.25">
      <c r="A19" s="61" t="s">
        <v>188</v>
      </c>
      <c r="B19" s="60"/>
      <c r="C19" s="60"/>
      <c r="D19" s="60"/>
      <c r="E19" s="60"/>
      <c r="F19" s="60"/>
      <c r="G19" s="60"/>
      <c r="H19" s="56"/>
    </row>
    <row r="20" spans="1:8" ht="15.75" customHeight="1" x14ac:dyDescent="0.25">
      <c r="A20" s="7" t="s">
        <v>189</v>
      </c>
      <c r="B20" s="12">
        <v>2</v>
      </c>
      <c r="C20" s="12">
        <v>2</v>
      </c>
      <c r="D20" s="12">
        <v>2</v>
      </c>
      <c r="E20" s="12">
        <v>2</v>
      </c>
      <c r="F20" s="12">
        <v>2</v>
      </c>
      <c r="G20" s="12">
        <v>2</v>
      </c>
      <c r="H20" s="9" t="s">
        <v>190</v>
      </c>
    </row>
    <row r="21" spans="1:8" ht="15.75" customHeight="1" x14ac:dyDescent="0.25">
      <c r="A21" s="7" t="s">
        <v>191</v>
      </c>
      <c r="B21" s="8">
        <v>40000</v>
      </c>
      <c r="C21" s="8">
        <v>40000</v>
      </c>
      <c r="D21" s="8">
        <v>40000</v>
      </c>
      <c r="E21" s="8">
        <v>40000</v>
      </c>
      <c r="F21" s="8">
        <v>40000</v>
      </c>
      <c r="G21" s="8">
        <f t="shared" ref="G21:G22" si="0">SUM(B21:F21)</f>
        <v>200000</v>
      </c>
      <c r="H21" s="9" t="s">
        <v>192</v>
      </c>
    </row>
    <row r="22" spans="1:8" ht="15.75" customHeight="1" x14ac:dyDescent="0.25">
      <c r="A22" s="7" t="s">
        <v>193</v>
      </c>
      <c r="B22" s="8">
        <f t="shared" ref="B22:F22" si="1">B20*B21</f>
        <v>80000</v>
      </c>
      <c r="C22" s="8">
        <f t="shared" si="1"/>
        <v>80000</v>
      </c>
      <c r="D22" s="8">
        <f t="shared" si="1"/>
        <v>80000</v>
      </c>
      <c r="E22" s="8">
        <f t="shared" si="1"/>
        <v>80000</v>
      </c>
      <c r="F22" s="8">
        <f t="shared" si="1"/>
        <v>80000</v>
      </c>
      <c r="G22" s="8">
        <f t="shared" si="0"/>
        <v>400000</v>
      </c>
      <c r="H22" s="9"/>
    </row>
    <row r="23" spans="1:8" ht="18" customHeight="1" x14ac:dyDescent="0.25">
      <c r="A23" s="67" t="s">
        <v>194</v>
      </c>
      <c r="B23" s="60"/>
      <c r="C23" s="60"/>
      <c r="D23" s="60"/>
      <c r="E23" s="60"/>
      <c r="F23" s="60"/>
      <c r="G23" s="60"/>
      <c r="H23" s="56"/>
    </row>
    <row r="24" spans="1:8" ht="15.75" customHeight="1" x14ac:dyDescent="0.25">
      <c r="A24" s="7" t="s">
        <v>176</v>
      </c>
      <c r="B24" s="13">
        <v>241920</v>
      </c>
      <c r="C24" s="13">
        <v>1252087</v>
      </c>
      <c r="D24" s="13">
        <v>2936656</v>
      </c>
      <c r="E24" s="13">
        <v>4776314</v>
      </c>
      <c r="F24" s="13">
        <v>6940180</v>
      </c>
      <c r="G24" s="8">
        <v>9230400</v>
      </c>
      <c r="H24" s="9"/>
    </row>
    <row r="25" spans="1:8" ht="15.75" customHeight="1" x14ac:dyDescent="0.25">
      <c r="A25" s="7" t="s">
        <v>195</v>
      </c>
      <c r="B25" s="13">
        <v>0.1951</v>
      </c>
      <c r="C25" s="13">
        <v>0.34179999999999999</v>
      </c>
      <c r="D25" s="13">
        <v>0.40600000000000003</v>
      </c>
      <c r="E25" s="13">
        <v>0.42499999999999999</v>
      </c>
      <c r="F25" s="13">
        <v>0.43169999999999997</v>
      </c>
      <c r="G25" s="13">
        <v>0.35777197546742301</v>
      </c>
      <c r="H25" s="9" t="s">
        <v>196</v>
      </c>
    </row>
    <row r="26" spans="1:8" ht="15.75" customHeight="1" x14ac:dyDescent="0.25">
      <c r="A26" s="14" t="s">
        <v>197</v>
      </c>
      <c r="B26" s="15">
        <v>241920</v>
      </c>
      <c r="C26" s="15">
        <v>1494007</v>
      </c>
      <c r="D26" s="15">
        <v>4430663</v>
      </c>
      <c r="E26" s="15">
        <v>9206977</v>
      </c>
      <c r="F26" s="15">
        <v>16147157</v>
      </c>
      <c r="G26" s="15">
        <v>18043200</v>
      </c>
      <c r="H26" s="9" t="s">
        <v>198</v>
      </c>
    </row>
    <row r="27" spans="1:8" ht="18" customHeight="1" x14ac:dyDescent="0.25">
      <c r="A27" s="66" t="s">
        <v>199</v>
      </c>
      <c r="B27" s="60"/>
      <c r="C27" s="60"/>
      <c r="D27" s="60"/>
      <c r="E27" s="60"/>
      <c r="F27" s="60"/>
      <c r="G27" s="60"/>
      <c r="H27" s="56"/>
    </row>
    <row r="28" spans="1:8" ht="27.75" customHeight="1" x14ac:dyDescent="0.25">
      <c r="A28" s="63" t="s">
        <v>414</v>
      </c>
      <c r="B28" s="64"/>
      <c r="C28" s="64"/>
      <c r="D28" s="64"/>
      <c r="E28" s="64"/>
      <c r="F28" s="64"/>
      <c r="G28" s="64"/>
      <c r="H28" s="65"/>
    </row>
    <row r="29" spans="1:8" ht="27.75" customHeight="1" x14ac:dyDescent="0.25">
      <c r="A29" s="63" t="s">
        <v>415</v>
      </c>
      <c r="B29" s="64"/>
      <c r="C29" s="64"/>
      <c r="D29" s="64"/>
      <c r="E29" s="64"/>
      <c r="F29" s="64"/>
      <c r="G29" s="64"/>
      <c r="H29" s="65"/>
    </row>
    <row r="30" spans="1:8" ht="27.75" customHeight="1" x14ac:dyDescent="0.25">
      <c r="A30" s="63" t="s">
        <v>416</v>
      </c>
      <c r="B30" s="64"/>
      <c r="C30" s="64"/>
      <c r="D30" s="64"/>
      <c r="E30" s="64"/>
      <c r="F30" s="64"/>
      <c r="G30" s="64"/>
      <c r="H30" s="65"/>
    </row>
    <row r="31" spans="1:8" ht="27.75" customHeight="1" x14ac:dyDescent="0.25">
      <c r="A31" s="63" t="s">
        <v>417</v>
      </c>
      <c r="B31" s="64"/>
      <c r="C31" s="64"/>
      <c r="D31" s="64"/>
      <c r="E31" s="64"/>
      <c r="F31" s="64"/>
      <c r="G31" s="64"/>
      <c r="H31" s="65"/>
    </row>
    <row r="32" spans="1:8" ht="27.75" customHeight="1" x14ac:dyDescent="0.25">
      <c r="A32" s="63" t="s">
        <v>418</v>
      </c>
      <c r="B32" s="64"/>
      <c r="C32" s="64"/>
      <c r="D32" s="64"/>
      <c r="E32" s="64"/>
      <c r="F32" s="64"/>
      <c r="G32" s="64"/>
      <c r="H32" s="6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A32:H32"/>
    <mergeCell ref="A1:H1"/>
    <mergeCell ref="A2:H2"/>
    <mergeCell ref="A4:H4"/>
    <mergeCell ref="A9:H9"/>
    <mergeCell ref="A13:H13"/>
    <mergeCell ref="A19:H19"/>
    <mergeCell ref="A23:H23"/>
    <mergeCell ref="A27:H27"/>
    <mergeCell ref="A28:H28"/>
    <mergeCell ref="A29:H29"/>
    <mergeCell ref="A30:H30"/>
    <mergeCell ref="A31:H31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showGridLines="0" workbookViewId="0">
      <selection sqref="A1:H1"/>
    </sheetView>
  </sheetViews>
  <sheetFormatPr defaultColWidth="14.42578125" defaultRowHeight="15" customHeight="1" x14ac:dyDescent="0.25"/>
  <cols>
    <col min="1" max="1" width="48" customWidth="1"/>
    <col min="2" max="7" width="14" customWidth="1"/>
    <col min="8" max="8" width="28" customWidth="1"/>
    <col min="9" max="26" width="8.7109375" customWidth="1"/>
  </cols>
  <sheetData>
    <row r="1" spans="1:8" ht="27.75" customHeight="1" x14ac:dyDescent="0.25">
      <c r="A1" s="62" t="s">
        <v>419</v>
      </c>
      <c r="B1" s="60"/>
      <c r="C1" s="60"/>
      <c r="D1" s="60"/>
      <c r="E1" s="60"/>
      <c r="F1" s="60"/>
      <c r="G1" s="60"/>
      <c r="H1" s="56"/>
    </row>
    <row r="2" spans="1:8" ht="18" customHeight="1" x14ac:dyDescent="0.25">
      <c r="A2" s="58" t="s">
        <v>200</v>
      </c>
      <c r="B2" s="60"/>
      <c r="C2" s="60"/>
      <c r="D2" s="60"/>
      <c r="E2" s="60"/>
      <c r="F2" s="60"/>
      <c r="G2" s="60"/>
      <c r="H2" s="56"/>
    </row>
    <row r="3" spans="1:8" ht="19.5" customHeight="1" x14ac:dyDescent="0.25">
      <c r="A3" s="5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</row>
    <row r="4" spans="1:8" ht="18" customHeight="1" x14ac:dyDescent="0.25">
      <c r="A4" s="59" t="s">
        <v>201</v>
      </c>
      <c r="B4" s="60"/>
      <c r="C4" s="60"/>
      <c r="D4" s="60"/>
      <c r="E4" s="60"/>
      <c r="F4" s="60"/>
      <c r="G4" s="60"/>
      <c r="H4" s="56"/>
    </row>
    <row r="5" spans="1:8" ht="15.75" customHeight="1" x14ac:dyDescent="0.25">
      <c r="A5" s="7" t="s">
        <v>202</v>
      </c>
      <c r="B5" s="8">
        <v>30240</v>
      </c>
      <c r="C5" s="8">
        <v>30870</v>
      </c>
      <c r="D5" s="8">
        <v>32130</v>
      </c>
      <c r="E5" s="8">
        <v>32760</v>
      </c>
      <c r="F5" s="8">
        <v>34020</v>
      </c>
      <c r="G5" s="8">
        <v>90000</v>
      </c>
      <c r="H5" s="9" t="s">
        <v>203</v>
      </c>
    </row>
    <row r="6" spans="1:8" ht="15.75" customHeight="1" x14ac:dyDescent="0.25">
      <c r="A6" s="7" t="s">
        <v>204</v>
      </c>
      <c r="B6" s="12">
        <v>7</v>
      </c>
      <c r="C6" s="12">
        <v>7</v>
      </c>
      <c r="D6" s="12">
        <v>7</v>
      </c>
      <c r="E6" s="12">
        <v>7</v>
      </c>
      <c r="F6" s="12">
        <v>7</v>
      </c>
      <c r="G6" s="12">
        <v>35</v>
      </c>
      <c r="H6" s="9" t="s">
        <v>205</v>
      </c>
    </row>
    <row r="7" spans="1:8" ht="15.75" customHeight="1" x14ac:dyDescent="0.25">
      <c r="A7" s="10" t="s">
        <v>206</v>
      </c>
      <c r="B7" s="11">
        <v>211680</v>
      </c>
      <c r="C7" s="11">
        <v>216090</v>
      </c>
      <c r="D7" s="11">
        <v>224910</v>
      </c>
      <c r="E7" s="11">
        <v>229320</v>
      </c>
      <c r="F7" s="11">
        <v>238140</v>
      </c>
      <c r="G7" s="11">
        <v>630000</v>
      </c>
      <c r="H7" s="9" t="s">
        <v>207</v>
      </c>
    </row>
    <row r="8" spans="1:8" ht="18" customHeight="1" x14ac:dyDescent="0.25">
      <c r="A8" s="66" t="s">
        <v>208</v>
      </c>
      <c r="B8" s="60"/>
      <c r="C8" s="60"/>
      <c r="D8" s="60"/>
      <c r="E8" s="60"/>
      <c r="F8" s="60"/>
      <c r="G8" s="60"/>
      <c r="H8" s="56"/>
    </row>
    <row r="9" spans="1:8" ht="15.75" customHeight="1" x14ac:dyDescent="0.25">
      <c r="A9" s="7" t="s">
        <v>209</v>
      </c>
      <c r="B9" s="8">
        <v>80000</v>
      </c>
      <c r="C9" s="8">
        <v>80000</v>
      </c>
      <c r="D9" s="8">
        <v>80000</v>
      </c>
      <c r="E9" s="8">
        <v>80000</v>
      </c>
      <c r="F9" s="8">
        <v>80000</v>
      </c>
      <c r="G9" s="8">
        <v>400000</v>
      </c>
      <c r="H9" s="9" t="s">
        <v>210</v>
      </c>
    </row>
    <row r="10" spans="1:8" ht="15.75" customHeight="1" x14ac:dyDescent="0.25">
      <c r="A10" s="7" t="s">
        <v>211</v>
      </c>
      <c r="B10" s="12">
        <v>22</v>
      </c>
      <c r="C10" s="12">
        <v>26</v>
      </c>
      <c r="D10" s="12">
        <v>29</v>
      </c>
      <c r="E10" s="12">
        <v>34</v>
      </c>
      <c r="F10" s="12">
        <v>39</v>
      </c>
      <c r="G10" s="12">
        <v>150</v>
      </c>
      <c r="H10" s="9"/>
    </row>
    <row r="11" spans="1:8" ht="15.75" customHeight="1" x14ac:dyDescent="0.25">
      <c r="A11" s="10" t="s">
        <v>212</v>
      </c>
      <c r="B11" s="11">
        <v>3636.36</v>
      </c>
      <c r="C11" s="11">
        <v>3076.92</v>
      </c>
      <c r="D11" s="11">
        <v>2758.62</v>
      </c>
      <c r="E11" s="11">
        <v>2352.94</v>
      </c>
      <c r="F11" s="11">
        <v>2051.2800000000002</v>
      </c>
      <c r="G11" s="11">
        <v>14875.931012728701</v>
      </c>
      <c r="H11" s="9" t="s">
        <v>213</v>
      </c>
    </row>
    <row r="12" spans="1:8" ht="18" customHeight="1" x14ac:dyDescent="0.25">
      <c r="A12" s="66" t="s">
        <v>214</v>
      </c>
      <c r="B12" s="60"/>
      <c r="C12" s="60"/>
      <c r="D12" s="60"/>
      <c r="E12" s="60"/>
      <c r="F12" s="60"/>
      <c r="G12" s="60"/>
      <c r="H12" s="56"/>
    </row>
    <row r="13" spans="1:8" ht="15.75" customHeight="1" x14ac:dyDescent="0.25">
      <c r="A13" s="14" t="s">
        <v>215</v>
      </c>
      <c r="B13" s="16">
        <v>58.2</v>
      </c>
      <c r="C13" s="16">
        <v>70.2</v>
      </c>
      <c r="D13" s="16">
        <v>81.5</v>
      </c>
      <c r="E13" s="16">
        <v>97.5</v>
      </c>
      <c r="F13" s="16">
        <v>116.1</v>
      </c>
      <c r="G13" s="16">
        <v>47.25</v>
      </c>
      <c r="H13" s="9" t="s">
        <v>216</v>
      </c>
    </row>
    <row r="14" spans="1:8" ht="15.75" customHeight="1" x14ac:dyDescent="0.25">
      <c r="A14" s="7" t="s">
        <v>217</v>
      </c>
      <c r="B14" s="17">
        <v>1.4</v>
      </c>
      <c r="C14" s="17">
        <v>1.2</v>
      </c>
      <c r="D14" s="17">
        <v>1</v>
      </c>
      <c r="E14" s="17">
        <v>0.9</v>
      </c>
      <c r="F14" s="17">
        <v>0.7</v>
      </c>
      <c r="G14" s="17">
        <v>1.85015075075127</v>
      </c>
      <c r="H14" s="9" t="s">
        <v>218</v>
      </c>
    </row>
    <row r="15" spans="1:8" ht="18" customHeight="1" x14ac:dyDescent="0.25">
      <c r="A15" s="66" t="s">
        <v>219</v>
      </c>
      <c r="B15" s="68"/>
      <c r="C15" s="68"/>
      <c r="D15" s="68"/>
      <c r="E15" s="68"/>
      <c r="F15" s="68"/>
      <c r="G15" s="60"/>
      <c r="H15" s="56"/>
    </row>
    <row r="16" spans="1:8" ht="15.75" customHeight="1" x14ac:dyDescent="0.25">
      <c r="A16" s="14" t="s">
        <v>220</v>
      </c>
      <c r="B16" s="18">
        <v>1</v>
      </c>
      <c r="C16" s="18">
        <v>2.9540000000000002</v>
      </c>
      <c r="D16" s="18">
        <v>1.9750000000000001</v>
      </c>
      <c r="E16" s="18">
        <v>1.554</v>
      </c>
      <c r="F16" s="18">
        <v>1.431</v>
      </c>
      <c r="G16" s="18">
        <v>1.515676295442635</v>
      </c>
      <c r="H16" s="9" t="s">
        <v>221</v>
      </c>
    </row>
    <row r="17" spans="1:8" ht="15.75" customHeight="1" x14ac:dyDescent="0.25">
      <c r="A17" s="7" t="s">
        <v>222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4.2000000000000003E-2</v>
      </c>
      <c r="H17" s="9" t="s">
        <v>223</v>
      </c>
    </row>
    <row r="18" spans="1:8" ht="15.75" customHeight="1" x14ac:dyDescent="0.25">
      <c r="A18" s="7" t="s">
        <v>224</v>
      </c>
      <c r="B18" s="12">
        <v>31</v>
      </c>
      <c r="C18" s="12">
        <v>96</v>
      </c>
      <c r="D18" s="12">
        <v>192</v>
      </c>
      <c r="E18" s="12">
        <v>300</v>
      </c>
      <c r="F18" s="12">
        <v>414</v>
      </c>
      <c r="G18" s="12">
        <v>1033</v>
      </c>
      <c r="H18" s="9"/>
    </row>
    <row r="19" spans="1:8" ht="15.75" customHeight="1" x14ac:dyDescent="0.25">
      <c r="A19" s="7" t="s">
        <v>225</v>
      </c>
      <c r="B19" s="13">
        <v>0</v>
      </c>
      <c r="C19" s="13">
        <v>1.954</v>
      </c>
      <c r="D19" s="13">
        <v>0.97499999999999998</v>
      </c>
      <c r="E19" s="13">
        <v>0.55400000000000005</v>
      </c>
      <c r="F19" s="13">
        <v>0.43099999999999999</v>
      </c>
      <c r="G19" s="13">
        <v>0.7569945294439353</v>
      </c>
      <c r="H19" s="9"/>
    </row>
    <row r="20" spans="1:8" ht="18" customHeight="1" x14ac:dyDescent="0.25">
      <c r="A20" s="66" t="s">
        <v>226</v>
      </c>
      <c r="B20" s="60"/>
      <c r="C20" s="60"/>
      <c r="D20" s="60"/>
      <c r="E20" s="60"/>
      <c r="F20" s="60"/>
      <c r="G20" s="60"/>
      <c r="H20" s="56"/>
    </row>
    <row r="21" spans="1:8" ht="15.75" customHeight="1" x14ac:dyDescent="0.25">
      <c r="A21" s="10" t="s">
        <v>156</v>
      </c>
      <c r="B21" s="19">
        <v>463526</v>
      </c>
      <c r="C21" s="19">
        <v>1514184</v>
      </c>
      <c r="D21" s="19">
        <v>3104354</v>
      </c>
      <c r="E21" s="19">
        <v>4916305</v>
      </c>
      <c r="F21" s="19">
        <v>7059342</v>
      </c>
      <c r="G21" s="11">
        <v>7108206.0937492726</v>
      </c>
      <c r="H21" s="9"/>
    </row>
    <row r="22" spans="1:8" ht="15.75" customHeight="1" x14ac:dyDescent="0.25">
      <c r="A22" s="10" t="s">
        <v>227</v>
      </c>
      <c r="B22" s="19">
        <v>0.37380000000000002</v>
      </c>
      <c r="C22" s="19">
        <v>0.41339999999999999</v>
      </c>
      <c r="D22" s="19">
        <v>0.42909999999999998</v>
      </c>
      <c r="E22" s="19">
        <v>0.4375</v>
      </c>
      <c r="F22" s="19">
        <v>0.43909999999999999</v>
      </c>
      <c r="G22" s="19">
        <v>0.25911770042738369</v>
      </c>
      <c r="H22" s="9"/>
    </row>
    <row r="23" spans="1:8" ht="15.75" customHeight="1" x14ac:dyDescent="0.25">
      <c r="A23" s="7" t="s">
        <v>228</v>
      </c>
      <c r="B23" s="8">
        <v>347644.5</v>
      </c>
      <c r="C23" s="8">
        <v>1135638</v>
      </c>
      <c r="D23" s="8">
        <v>2328265.5</v>
      </c>
      <c r="E23" s="8">
        <v>3687228.75</v>
      </c>
      <c r="F23" s="8">
        <v>5294506.5</v>
      </c>
      <c r="G23" s="8">
        <v>5331154.5703119542</v>
      </c>
      <c r="H23" s="9"/>
    </row>
    <row r="24" spans="1:8" ht="15.75" customHeight="1" x14ac:dyDescent="0.25">
      <c r="A24" s="7" t="s">
        <v>229</v>
      </c>
      <c r="B24" s="13">
        <v>0.28039999999999998</v>
      </c>
      <c r="C24" s="13">
        <v>0.31</v>
      </c>
      <c r="D24" s="13">
        <v>0.32190000000000002</v>
      </c>
      <c r="E24" s="13">
        <v>0.3281</v>
      </c>
      <c r="F24" s="13">
        <v>0.32940000000000003</v>
      </c>
      <c r="G24" s="13">
        <v>0.1943382753205378</v>
      </c>
      <c r="H24" s="9"/>
    </row>
    <row r="25" spans="1:8" ht="15.75" customHeight="1" x14ac:dyDescent="0.25">
      <c r="A25" s="14" t="s">
        <v>230</v>
      </c>
      <c r="B25" s="15">
        <v>347644.5</v>
      </c>
      <c r="C25" s="15">
        <v>1483282.5</v>
      </c>
      <c r="D25" s="15">
        <v>3811548</v>
      </c>
      <c r="E25" s="15">
        <v>7498776.75</v>
      </c>
      <c r="F25" s="15">
        <v>12793283.25</v>
      </c>
      <c r="G25" s="15">
        <v>9967184.1071113292</v>
      </c>
      <c r="H25" s="9"/>
    </row>
    <row r="26" spans="1:8" ht="18" customHeight="1" x14ac:dyDescent="0.25">
      <c r="A26" s="61" t="s">
        <v>231</v>
      </c>
      <c r="B26" s="60"/>
      <c r="C26" s="60"/>
      <c r="D26" s="60"/>
      <c r="E26" s="60"/>
      <c r="F26" s="60"/>
      <c r="G26" s="60"/>
      <c r="H26" s="56"/>
    </row>
    <row r="27" spans="1:8" ht="15.75" customHeight="1" x14ac:dyDescent="0.25">
      <c r="A27" s="7" t="s">
        <v>232</v>
      </c>
      <c r="B27" s="12">
        <v>5</v>
      </c>
      <c r="C27" s="12">
        <v>9</v>
      </c>
      <c r="D27" s="12">
        <v>11.5</v>
      </c>
      <c r="E27" s="12">
        <v>11.5</v>
      </c>
      <c r="F27" s="12">
        <v>15</v>
      </c>
      <c r="G27" s="12">
        <v>39.5</v>
      </c>
      <c r="H27" s="9" t="s">
        <v>85</v>
      </c>
    </row>
    <row r="28" spans="1:8" ht="15.75" customHeight="1" x14ac:dyDescent="0.25">
      <c r="A28" s="7" t="s">
        <v>233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9" t="s">
        <v>165</v>
      </c>
    </row>
    <row r="29" spans="1:8" ht="15.75" customHeight="1" x14ac:dyDescent="0.25">
      <c r="A29" s="7" t="s">
        <v>166</v>
      </c>
      <c r="B29" s="8">
        <v>1854105</v>
      </c>
      <c r="C29" s="8">
        <v>12113471</v>
      </c>
      <c r="D29" s="8">
        <v>31043540</v>
      </c>
      <c r="E29" s="8">
        <v>49163049</v>
      </c>
      <c r="F29" s="8">
        <v>91771440</v>
      </c>
      <c r="G29" s="8">
        <v>61333437.072194397</v>
      </c>
      <c r="H29" s="9"/>
    </row>
    <row r="30" spans="1:8" ht="15.75" customHeight="1" x14ac:dyDescent="0.25">
      <c r="A30" s="14" t="s">
        <v>234</v>
      </c>
      <c r="B30" s="15">
        <v>2317631</v>
      </c>
      <c r="C30" s="15">
        <v>13627655</v>
      </c>
      <c r="D30" s="15">
        <v>35700071</v>
      </c>
      <c r="E30" s="15">
        <v>56537506</v>
      </c>
      <c r="F30" s="15">
        <v>105890123</v>
      </c>
      <c r="G30" s="15">
        <v>70037623.338160396</v>
      </c>
      <c r="H30" s="9"/>
    </row>
    <row r="31" spans="1:8" ht="15.75" customHeight="1" x14ac:dyDescent="0.25">
      <c r="A31" s="7" t="s">
        <v>169</v>
      </c>
      <c r="B31" s="8">
        <v>2781157</v>
      </c>
      <c r="C31" s="8">
        <v>15141839</v>
      </c>
      <c r="D31" s="8">
        <v>40356602</v>
      </c>
      <c r="E31" s="8">
        <v>63911963</v>
      </c>
      <c r="F31" s="8">
        <v>120008806</v>
      </c>
      <c r="G31" s="8">
        <v>78741809.604126394</v>
      </c>
      <c r="H31" s="9"/>
    </row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15:H15"/>
    <mergeCell ref="A20:H20"/>
    <mergeCell ref="A26:H26"/>
    <mergeCell ref="A1:H1"/>
    <mergeCell ref="A2:H2"/>
    <mergeCell ref="A4:H4"/>
    <mergeCell ref="A8:H8"/>
    <mergeCell ref="A12:H1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showGridLines="0" workbookViewId="0">
      <selection activeCell="F14" sqref="F14"/>
    </sheetView>
  </sheetViews>
  <sheetFormatPr defaultColWidth="14.42578125" defaultRowHeight="15" customHeight="1" x14ac:dyDescent="0.25"/>
  <cols>
    <col min="1" max="1" width="42" customWidth="1"/>
    <col min="2" max="7" width="14" customWidth="1"/>
    <col min="8" max="8" width="28" customWidth="1"/>
    <col min="9" max="26" width="8.7109375" customWidth="1"/>
  </cols>
  <sheetData>
    <row r="1" spans="1:8" ht="27.75" customHeight="1" x14ac:dyDescent="0.25">
      <c r="A1" s="62" t="s">
        <v>235</v>
      </c>
      <c r="B1" s="60"/>
      <c r="C1" s="60"/>
      <c r="D1" s="60"/>
      <c r="E1" s="60"/>
      <c r="F1" s="60"/>
      <c r="G1" s="60"/>
      <c r="H1" s="56"/>
    </row>
    <row r="3" spans="1:8" ht="19.5" customHeight="1" x14ac:dyDescent="0.25">
      <c r="A3" s="5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</row>
    <row r="4" spans="1:8" ht="18" customHeight="1" x14ac:dyDescent="0.25">
      <c r="A4" s="59" t="s">
        <v>236</v>
      </c>
      <c r="B4" s="60"/>
      <c r="C4" s="60"/>
      <c r="D4" s="60"/>
      <c r="E4" s="60"/>
      <c r="F4" s="60"/>
      <c r="G4" s="60"/>
      <c r="H4" s="56"/>
    </row>
    <row r="5" spans="1:8" ht="15.75" customHeight="1" x14ac:dyDescent="0.25">
      <c r="A5" s="7" t="s">
        <v>237</v>
      </c>
      <c r="B5" s="8">
        <v>672000</v>
      </c>
      <c r="C5" s="8">
        <v>788900</v>
      </c>
      <c r="D5" s="8">
        <v>944265</v>
      </c>
      <c r="E5" s="8">
        <v>1107197</v>
      </c>
      <c r="F5" s="8">
        <v>1322249</v>
      </c>
      <c r="G5" s="8">
        <v>2696952.5</v>
      </c>
      <c r="H5" s="9" t="s">
        <v>238</v>
      </c>
    </row>
    <row r="6" spans="1:8" ht="15.75" customHeight="1" x14ac:dyDescent="0.25">
      <c r="A6" s="7" t="s">
        <v>239</v>
      </c>
      <c r="B6" s="12">
        <v>22</v>
      </c>
      <c r="C6" s="12">
        <v>26</v>
      </c>
      <c r="D6" s="12">
        <v>29</v>
      </c>
      <c r="E6" s="12">
        <v>34</v>
      </c>
      <c r="F6" s="12">
        <v>39</v>
      </c>
      <c r="G6" s="12">
        <v>150</v>
      </c>
      <c r="H6" s="9"/>
    </row>
    <row r="7" spans="1:8" ht="15.75" customHeight="1" x14ac:dyDescent="0.25">
      <c r="A7" s="7" t="s">
        <v>240</v>
      </c>
      <c r="B7" s="8">
        <v>2117</v>
      </c>
      <c r="C7" s="8">
        <v>19462</v>
      </c>
      <c r="D7" s="8">
        <v>47021</v>
      </c>
      <c r="E7" s="8">
        <v>85934</v>
      </c>
      <c r="F7" s="8">
        <v>175971</v>
      </c>
      <c r="G7" s="8">
        <v>179273.5411525997</v>
      </c>
      <c r="H7" s="9" t="s">
        <v>241</v>
      </c>
    </row>
    <row r="8" spans="1:8" ht="15.75" customHeight="1" x14ac:dyDescent="0.25">
      <c r="A8" s="20" t="s">
        <v>242</v>
      </c>
      <c r="B8" s="21">
        <v>23</v>
      </c>
      <c r="C8" s="21">
        <v>48</v>
      </c>
      <c r="D8" s="21">
        <v>75</v>
      </c>
      <c r="E8" s="21">
        <v>106</v>
      </c>
      <c r="F8" s="21">
        <v>142</v>
      </c>
      <c r="G8" s="21">
        <v>394</v>
      </c>
      <c r="H8" s="9"/>
    </row>
    <row r="9" spans="1:8" ht="15.75" customHeight="1" x14ac:dyDescent="0.25">
      <c r="A9" s="10" t="s">
        <v>243</v>
      </c>
      <c r="B9" s="11">
        <v>704357</v>
      </c>
      <c r="C9" s="11">
        <v>1527393</v>
      </c>
      <c r="D9" s="11">
        <v>2581022</v>
      </c>
      <c r="E9" s="11">
        <v>3824762</v>
      </c>
      <c r="F9" s="11">
        <v>5470087</v>
      </c>
      <c r="G9" s="11">
        <v>7751562.343332598</v>
      </c>
      <c r="H9" s="9"/>
    </row>
    <row r="10" spans="1:8" ht="15.75" customHeight="1" x14ac:dyDescent="0.25">
      <c r="A10" s="7" t="s">
        <v>244</v>
      </c>
      <c r="B10" s="8">
        <v>5869640</v>
      </c>
      <c r="C10" s="8">
        <v>12468515</v>
      </c>
      <c r="D10" s="8">
        <v>20243311</v>
      </c>
      <c r="E10" s="8">
        <v>29421243</v>
      </c>
      <c r="F10" s="8">
        <v>40519165</v>
      </c>
      <c r="G10" s="8">
        <v>64596352.86110498</v>
      </c>
      <c r="H10" s="9"/>
    </row>
    <row r="11" spans="1:8" ht="18" customHeight="1" x14ac:dyDescent="0.25">
      <c r="A11" s="59" t="s">
        <v>245</v>
      </c>
      <c r="B11" s="60"/>
      <c r="C11" s="60"/>
      <c r="D11" s="60"/>
      <c r="E11" s="60"/>
      <c r="F11" s="60"/>
      <c r="G11" s="60"/>
      <c r="H11" s="56"/>
    </row>
    <row r="12" spans="1:8" ht="15.75" customHeight="1" x14ac:dyDescent="0.25">
      <c r="A12" s="7" t="s">
        <v>246</v>
      </c>
      <c r="B12" s="12">
        <v>1</v>
      </c>
      <c r="C12" s="12">
        <v>4</v>
      </c>
      <c r="D12" s="12">
        <v>6</v>
      </c>
      <c r="E12" s="12">
        <v>6</v>
      </c>
      <c r="F12" s="12">
        <v>6</v>
      </c>
      <c r="G12" s="12">
        <v>23</v>
      </c>
      <c r="H12" s="9" t="s">
        <v>247</v>
      </c>
    </row>
    <row r="13" spans="1:8" ht="15.75" customHeight="1" x14ac:dyDescent="0.25">
      <c r="A13" s="20" t="s">
        <v>248</v>
      </c>
      <c r="B13" s="21">
        <v>8</v>
      </c>
      <c r="C13" s="21">
        <v>48</v>
      </c>
      <c r="D13" s="21">
        <v>117</v>
      </c>
      <c r="E13" s="21">
        <v>194</v>
      </c>
      <c r="F13" s="21">
        <v>272</v>
      </c>
      <c r="G13" s="21">
        <v>639</v>
      </c>
      <c r="H13" s="9"/>
    </row>
    <row r="14" spans="1:8" ht="15.75" customHeight="1" x14ac:dyDescent="0.25">
      <c r="A14" s="7" t="s">
        <v>249</v>
      </c>
      <c r="B14" s="8">
        <v>302400</v>
      </c>
      <c r="C14" s="8">
        <v>1565109</v>
      </c>
      <c r="D14" s="8">
        <v>3670820</v>
      </c>
      <c r="E14" s="8">
        <v>5970393</v>
      </c>
      <c r="F14" s="8">
        <v>8675225</v>
      </c>
      <c r="G14" s="8">
        <v>11538000</v>
      </c>
      <c r="H14" s="9"/>
    </row>
    <row r="15" spans="1:8" ht="15.75" customHeight="1" x14ac:dyDescent="0.25">
      <c r="A15" s="7" t="s">
        <v>250</v>
      </c>
      <c r="B15" s="8">
        <v>60480</v>
      </c>
      <c r="C15" s="8">
        <v>313022</v>
      </c>
      <c r="D15" s="8">
        <v>734164</v>
      </c>
      <c r="E15" s="8">
        <v>1194079</v>
      </c>
      <c r="F15" s="8">
        <v>1735045</v>
      </c>
      <c r="G15" s="8">
        <v>2307600</v>
      </c>
      <c r="H15" s="9"/>
    </row>
    <row r="16" spans="1:8" ht="15.75" customHeight="1" x14ac:dyDescent="0.25">
      <c r="A16" s="10" t="s">
        <v>251</v>
      </c>
      <c r="B16" s="11">
        <v>241920</v>
      </c>
      <c r="C16" s="11">
        <v>1252087</v>
      </c>
      <c r="D16" s="11">
        <v>2936656</v>
      </c>
      <c r="E16" s="11">
        <v>4776314</v>
      </c>
      <c r="F16" s="11">
        <v>6940180</v>
      </c>
      <c r="G16" s="11">
        <v>9230400</v>
      </c>
      <c r="H16" s="9"/>
    </row>
    <row r="17" spans="1:8" ht="18" customHeight="1" x14ac:dyDescent="0.25">
      <c r="A17" s="59" t="s">
        <v>35</v>
      </c>
      <c r="B17" s="60"/>
      <c r="C17" s="60"/>
      <c r="D17" s="60"/>
      <c r="E17" s="60"/>
      <c r="F17" s="60"/>
      <c r="G17" s="60"/>
      <c r="H17" s="56"/>
    </row>
    <row r="18" spans="1:8" ht="15.75" customHeight="1" x14ac:dyDescent="0.25">
      <c r="A18" s="7" t="s">
        <v>252</v>
      </c>
      <c r="B18" s="8">
        <v>8389640</v>
      </c>
      <c r="C18" s="8">
        <v>25244915</v>
      </c>
      <c r="D18" s="8">
        <v>49034059</v>
      </c>
      <c r="E18" s="8">
        <v>75347343</v>
      </c>
      <c r="F18" s="8">
        <v>104780092</v>
      </c>
      <c r="G18" s="8">
        <v>160746352.861105</v>
      </c>
      <c r="H18" s="9" t="s">
        <v>253</v>
      </c>
    </row>
    <row r="19" spans="1:8" ht="15.75" customHeight="1" x14ac:dyDescent="0.25">
      <c r="A19" s="10" t="s">
        <v>254</v>
      </c>
      <c r="B19" s="11">
        <v>293637</v>
      </c>
      <c r="C19" s="11">
        <v>883572</v>
      </c>
      <c r="D19" s="11">
        <v>1716192</v>
      </c>
      <c r="E19" s="11">
        <v>2637157</v>
      </c>
      <c r="F19" s="11">
        <v>3667303</v>
      </c>
      <c r="G19" s="11">
        <v>5626122.3501386754</v>
      </c>
      <c r="H19" s="9" t="s">
        <v>255</v>
      </c>
    </row>
    <row r="20" spans="1:8" ht="18" customHeight="1" x14ac:dyDescent="0.25">
      <c r="A20" s="59" t="s">
        <v>256</v>
      </c>
      <c r="B20" s="60"/>
      <c r="C20" s="60"/>
      <c r="D20" s="60"/>
      <c r="E20" s="60"/>
      <c r="F20" s="60"/>
      <c r="G20" s="60"/>
      <c r="H20" s="56"/>
    </row>
    <row r="21" spans="1:8" ht="15.75" customHeight="1" x14ac:dyDescent="0.25">
      <c r="A21" s="7" t="s">
        <v>257</v>
      </c>
      <c r="B21" s="8">
        <v>704357</v>
      </c>
      <c r="C21" s="8">
        <v>1527393</v>
      </c>
      <c r="D21" s="8">
        <v>2581022</v>
      </c>
      <c r="E21" s="8">
        <v>3824762</v>
      </c>
      <c r="F21" s="8">
        <v>5470087</v>
      </c>
      <c r="G21" s="8">
        <v>7751562.343332598</v>
      </c>
      <c r="H21" s="9"/>
    </row>
    <row r="22" spans="1:8" ht="15.75" customHeight="1" x14ac:dyDescent="0.25">
      <c r="A22" s="7" t="s">
        <v>258</v>
      </c>
      <c r="B22" s="8">
        <v>241920</v>
      </c>
      <c r="C22" s="8">
        <v>1252087</v>
      </c>
      <c r="D22" s="8">
        <v>2936656</v>
      </c>
      <c r="E22" s="8">
        <v>4776314</v>
      </c>
      <c r="F22" s="8">
        <v>6940180</v>
      </c>
      <c r="G22" s="8">
        <v>9230400</v>
      </c>
      <c r="H22" s="9"/>
    </row>
    <row r="23" spans="1:8" ht="15.75" customHeight="1" x14ac:dyDescent="0.25">
      <c r="A23" s="7" t="s">
        <v>178</v>
      </c>
      <c r="B23" s="8">
        <v>293637</v>
      </c>
      <c r="C23" s="8">
        <v>883572</v>
      </c>
      <c r="D23" s="8">
        <v>1716192</v>
      </c>
      <c r="E23" s="8">
        <v>2637157</v>
      </c>
      <c r="F23" s="8">
        <v>3667303</v>
      </c>
      <c r="G23" s="8">
        <v>5626122.3501386754</v>
      </c>
      <c r="H23" s="9"/>
    </row>
    <row r="24" spans="1:8" ht="15.75" customHeight="1" x14ac:dyDescent="0.25">
      <c r="A24" s="10" t="s">
        <v>122</v>
      </c>
      <c r="B24" s="11">
        <v>1239914</v>
      </c>
      <c r="C24" s="11">
        <v>3663052</v>
      </c>
      <c r="D24" s="11">
        <v>7233870</v>
      </c>
      <c r="E24" s="11">
        <v>11238233</v>
      </c>
      <c r="F24" s="11">
        <v>16077571</v>
      </c>
      <c r="G24" s="11">
        <v>22608084.693471279</v>
      </c>
      <c r="H24" s="9"/>
    </row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H1"/>
    <mergeCell ref="A4:H4"/>
    <mergeCell ref="A11:H11"/>
    <mergeCell ref="A17:H17"/>
    <mergeCell ref="A20:H20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showGridLines="0" workbookViewId="0">
      <selection activeCell="B13" sqref="B13"/>
    </sheetView>
  </sheetViews>
  <sheetFormatPr defaultColWidth="14.42578125" defaultRowHeight="15" customHeight="1" x14ac:dyDescent="0.25"/>
  <cols>
    <col min="1" max="1" width="44" customWidth="1"/>
    <col min="2" max="7" width="14" customWidth="1"/>
    <col min="8" max="8" width="28" customWidth="1"/>
    <col min="9" max="26" width="8.7109375" customWidth="1"/>
  </cols>
  <sheetData>
    <row r="1" spans="1:8" ht="27.75" customHeight="1" x14ac:dyDescent="0.25">
      <c r="A1" s="62" t="s">
        <v>259</v>
      </c>
      <c r="B1" s="60"/>
      <c r="C1" s="60"/>
      <c r="D1" s="60"/>
      <c r="E1" s="60"/>
      <c r="F1" s="60"/>
      <c r="G1" s="60"/>
      <c r="H1" s="56"/>
    </row>
    <row r="2" spans="1:8" ht="18" customHeight="1" x14ac:dyDescent="0.25">
      <c r="A2" s="58" t="s">
        <v>260</v>
      </c>
      <c r="B2" s="60"/>
      <c r="C2" s="60"/>
      <c r="D2" s="60"/>
      <c r="E2" s="60"/>
      <c r="F2" s="60"/>
      <c r="G2" s="60"/>
      <c r="H2" s="56"/>
    </row>
    <row r="3" spans="1:8" ht="19.5" customHeight="1" x14ac:dyDescent="0.25">
      <c r="A3" s="5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</row>
    <row r="4" spans="1:8" ht="18" customHeight="1" x14ac:dyDescent="0.25">
      <c r="A4" s="59" t="s">
        <v>261</v>
      </c>
      <c r="B4" s="60"/>
      <c r="C4" s="60"/>
      <c r="D4" s="60"/>
      <c r="E4" s="60"/>
      <c r="F4" s="60"/>
      <c r="G4" s="60"/>
      <c r="H4" s="56"/>
    </row>
    <row r="5" spans="1:8" ht="15.75" customHeight="1" x14ac:dyDescent="0.25">
      <c r="A5" s="7" t="s">
        <v>262</v>
      </c>
      <c r="B5" s="12">
        <v>1</v>
      </c>
      <c r="C5" s="12">
        <v>4</v>
      </c>
      <c r="D5" s="12">
        <v>6</v>
      </c>
      <c r="E5" s="12">
        <v>6</v>
      </c>
      <c r="F5" s="12">
        <v>6</v>
      </c>
      <c r="G5" s="12">
        <v>23</v>
      </c>
      <c r="H5" s="9"/>
    </row>
    <row r="6" spans="1:8" ht="15.75" customHeight="1" x14ac:dyDescent="0.25">
      <c r="A6" s="7" t="s">
        <v>263</v>
      </c>
      <c r="B6" s="12">
        <v>8</v>
      </c>
      <c r="C6" s="12">
        <v>12</v>
      </c>
      <c r="D6" s="12">
        <v>20</v>
      </c>
      <c r="E6" s="12">
        <v>32</v>
      </c>
      <c r="F6" s="12">
        <v>45</v>
      </c>
      <c r="G6" s="12">
        <v>117</v>
      </c>
      <c r="H6" s="9"/>
    </row>
    <row r="7" spans="1:8" ht="15.75" customHeight="1" x14ac:dyDescent="0.25">
      <c r="A7" s="7" t="s">
        <v>264</v>
      </c>
      <c r="B7" s="8">
        <v>302400</v>
      </c>
      <c r="C7" s="8">
        <v>391277</v>
      </c>
      <c r="D7" s="8">
        <v>611803</v>
      </c>
      <c r="E7" s="8">
        <v>995066</v>
      </c>
      <c r="F7" s="8">
        <v>1445871</v>
      </c>
      <c r="G7" s="8">
        <v>2109000</v>
      </c>
      <c r="H7" s="9"/>
    </row>
    <row r="8" spans="1:8" ht="15.75" customHeight="1" x14ac:dyDescent="0.25">
      <c r="A8" s="14" t="s">
        <v>265</v>
      </c>
      <c r="B8" s="15">
        <v>60480</v>
      </c>
      <c r="C8" s="15">
        <v>78255</v>
      </c>
      <c r="D8" s="15">
        <v>122361</v>
      </c>
      <c r="E8" s="15">
        <v>199013</v>
      </c>
      <c r="F8" s="15">
        <v>289174</v>
      </c>
      <c r="G8" s="15">
        <v>421800</v>
      </c>
      <c r="H8" s="9" t="s">
        <v>266</v>
      </c>
    </row>
    <row r="9" spans="1:8" ht="15.75" customHeight="1" x14ac:dyDescent="0.25">
      <c r="A9" s="10" t="s">
        <v>267</v>
      </c>
      <c r="B9" s="11">
        <v>241920</v>
      </c>
      <c r="C9" s="11">
        <v>313022</v>
      </c>
      <c r="D9" s="11">
        <v>489443</v>
      </c>
      <c r="E9" s="11">
        <v>796052</v>
      </c>
      <c r="F9" s="11">
        <v>1156697</v>
      </c>
      <c r="G9" s="11">
        <v>1687200</v>
      </c>
      <c r="H9" s="9"/>
    </row>
    <row r="10" spans="1:8" ht="18" customHeight="1" x14ac:dyDescent="0.25">
      <c r="A10" s="59" t="s">
        <v>268</v>
      </c>
      <c r="B10" s="60"/>
      <c r="C10" s="60"/>
      <c r="D10" s="60"/>
      <c r="E10" s="60"/>
      <c r="F10" s="60"/>
      <c r="G10" s="60"/>
      <c r="H10" s="56"/>
    </row>
    <row r="11" spans="1:8" ht="15.75" customHeight="1" x14ac:dyDescent="0.25">
      <c r="A11" s="20" t="s">
        <v>248</v>
      </c>
      <c r="B11" s="21">
        <v>8</v>
      </c>
      <c r="C11" s="21">
        <v>48</v>
      </c>
      <c r="D11" s="21">
        <v>117</v>
      </c>
      <c r="E11" s="21">
        <v>194</v>
      </c>
      <c r="F11" s="21">
        <v>272</v>
      </c>
      <c r="G11" s="21">
        <v>639</v>
      </c>
      <c r="H11" s="9"/>
    </row>
    <row r="12" spans="1:8" ht="15.75" customHeight="1" x14ac:dyDescent="0.25">
      <c r="A12" s="7" t="s">
        <v>249</v>
      </c>
      <c r="B12" s="8">
        <v>302400</v>
      </c>
      <c r="C12" s="8">
        <v>1565109</v>
      </c>
      <c r="D12" s="8">
        <v>3670820</v>
      </c>
      <c r="E12" s="8">
        <v>5970393</v>
      </c>
      <c r="F12" s="8">
        <v>8675225</v>
      </c>
      <c r="G12" s="8">
        <v>11538000</v>
      </c>
      <c r="H12" s="9"/>
    </row>
    <row r="13" spans="1:8" ht="15.75" customHeight="1" x14ac:dyDescent="0.25">
      <c r="A13" s="7" t="s">
        <v>269</v>
      </c>
      <c r="B13" s="8">
        <v>60480</v>
      </c>
      <c r="C13" s="8">
        <v>313022</v>
      </c>
      <c r="D13" s="8">
        <v>734164</v>
      </c>
      <c r="E13" s="8">
        <v>1194079</v>
      </c>
      <c r="F13" s="8">
        <v>1735045</v>
      </c>
      <c r="G13" s="8">
        <v>2307600</v>
      </c>
      <c r="H13" s="9"/>
    </row>
    <row r="14" spans="1:8" ht="15.75" customHeight="1" x14ac:dyDescent="0.25">
      <c r="A14" s="10" t="s">
        <v>270</v>
      </c>
      <c r="B14" s="11">
        <v>241920</v>
      </c>
      <c r="C14" s="11">
        <v>1252087</v>
      </c>
      <c r="D14" s="11">
        <v>2936656</v>
      </c>
      <c r="E14" s="11">
        <v>4776314</v>
      </c>
      <c r="F14" s="11">
        <v>6940180</v>
      </c>
      <c r="G14" s="11">
        <v>9230400</v>
      </c>
      <c r="H14" s="9"/>
    </row>
    <row r="15" spans="1:8" ht="18" customHeight="1" x14ac:dyDescent="0.25">
      <c r="A15" s="66" t="s">
        <v>271</v>
      </c>
      <c r="B15" s="60"/>
      <c r="C15" s="60"/>
      <c r="D15" s="60"/>
      <c r="E15" s="60"/>
      <c r="F15" s="60"/>
      <c r="G15" s="60"/>
      <c r="H15" s="56"/>
    </row>
    <row r="16" spans="1:8" ht="15.75" customHeight="1" x14ac:dyDescent="0.25">
      <c r="A16" s="7" t="s">
        <v>272</v>
      </c>
      <c r="B16" s="8">
        <v>60480</v>
      </c>
      <c r="C16" s="8">
        <v>373502</v>
      </c>
      <c r="D16" s="8">
        <v>1107666</v>
      </c>
      <c r="E16" s="8">
        <v>2301744</v>
      </c>
      <c r="F16" s="8">
        <v>4036790</v>
      </c>
      <c r="G16" s="8">
        <v>923400</v>
      </c>
      <c r="H16" s="9"/>
    </row>
    <row r="17" spans="1:8" ht="15.75" customHeight="1" x14ac:dyDescent="0.25">
      <c r="A17" s="10" t="s">
        <v>273</v>
      </c>
      <c r="B17" s="11">
        <v>241920</v>
      </c>
      <c r="C17" s="11">
        <v>1494007</v>
      </c>
      <c r="D17" s="11">
        <v>4430663</v>
      </c>
      <c r="E17" s="11">
        <v>9206978</v>
      </c>
      <c r="F17" s="11">
        <v>16147158</v>
      </c>
      <c r="G17" s="11">
        <v>18043200</v>
      </c>
      <c r="H17" s="9"/>
    </row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H1"/>
    <mergeCell ref="A2:H2"/>
    <mergeCell ref="A4:H4"/>
    <mergeCell ref="A10:H10"/>
    <mergeCell ref="A15:H15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showGridLines="0" workbookViewId="0">
      <selection activeCell="A22" sqref="A22:H22"/>
    </sheetView>
  </sheetViews>
  <sheetFormatPr defaultColWidth="14.42578125" defaultRowHeight="15" customHeight="1" x14ac:dyDescent="0.25"/>
  <cols>
    <col min="1" max="1" width="54" customWidth="1"/>
    <col min="2" max="7" width="14" customWidth="1"/>
    <col min="8" max="8" width="28" customWidth="1"/>
    <col min="9" max="26" width="8.7109375" customWidth="1"/>
  </cols>
  <sheetData>
    <row r="1" spans="1:8" ht="27.75" customHeight="1" x14ac:dyDescent="0.25">
      <c r="A1" s="62" t="s">
        <v>274</v>
      </c>
      <c r="B1" s="60"/>
      <c r="C1" s="60"/>
      <c r="D1" s="60"/>
      <c r="E1" s="60"/>
      <c r="F1" s="60"/>
      <c r="G1" s="60"/>
      <c r="H1" s="56"/>
    </row>
    <row r="2" spans="1:8" ht="18" customHeight="1" x14ac:dyDescent="0.25">
      <c r="A2" s="58" t="s">
        <v>275</v>
      </c>
      <c r="B2" s="60"/>
      <c r="C2" s="60"/>
      <c r="D2" s="60"/>
      <c r="E2" s="60"/>
      <c r="F2" s="60"/>
      <c r="G2" s="60"/>
      <c r="H2" s="56"/>
    </row>
    <row r="3" spans="1:8" ht="19.5" customHeight="1" x14ac:dyDescent="0.25">
      <c r="A3" s="5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</row>
    <row r="4" spans="1:8" ht="18" customHeight="1" x14ac:dyDescent="0.25">
      <c r="A4" s="59" t="s">
        <v>276</v>
      </c>
      <c r="B4" s="60"/>
      <c r="C4" s="60"/>
      <c r="D4" s="60"/>
      <c r="E4" s="60"/>
      <c r="F4" s="60"/>
      <c r="G4" s="60"/>
      <c r="H4" s="56"/>
    </row>
    <row r="5" spans="1:8" ht="15.75" customHeight="1" x14ac:dyDescent="0.25">
      <c r="A5" s="7" t="s">
        <v>262</v>
      </c>
      <c r="B5" s="12">
        <v>1</v>
      </c>
      <c r="C5" s="12">
        <v>4</v>
      </c>
      <c r="D5" s="12">
        <v>6</v>
      </c>
      <c r="E5" s="12">
        <v>6</v>
      </c>
      <c r="F5" s="12">
        <v>6</v>
      </c>
      <c r="G5" s="12">
        <v>23</v>
      </c>
      <c r="H5" s="9" t="s">
        <v>277</v>
      </c>
    </row>
    <row r="6" spans="1:8" ht="15.75" customHeight="1" x14ac:dyDescent="0.25">
      <c r="A6" s="7" t="s">
        <v>263</v>
      </c>
      <c r="B6" s="12">
        <v>8</v>
      </c>
      <c r="C6" s="12">
        <v>12</v>
      </c>
      <c r="D6" s="12">
        <v>20</v>
      </c>
      <c r="E6" s="12">
        <v>32</v>
      </c>
      <c r="F6" s="12">
        <v>45</v>
      </c>
      <c r="G6" s="12">
        <v>117</v>
      </c>
      <c r="H6" s="9"/>
    </row>
    <row r="7" spans="1:8" ht="15.75" customHeight="1" x14ac:dyDescent="0.25">
      <c r="A7" s="7" t="s">
        <v>278</v>
      </c>
      <c r="B7" s="8">
        <v>302400</v>
      </c>
      <c r="C7" s="8">
        <v>391277</v>
      </c>
      <c r="D7" s="8">
        <v>611803</v>
      </c>
      <c r="E7" s="8">
        <v>995066</v>
      </c>
      <c r="F7" s="8">
        <v>1445871</v>
      </c>
      <c r="G7" s="8">
        <v>2145000</v>
      </c>
      <c r="H7" s="9" t="s">
        <v>279</v>
      </c>
    </row>
    <row r="8" spans="1:8" ht="18" customHeight="1" x14ac:dyDescent="0.25">
      <c r="A8" s="66" t="s">
        <v>280</v>
      </c>
      <c r="B8" s="60"/>
      <c r="C8" s="60"/>
      <c r="D8" s="60"/>
      <c r="E8" s="60"/>
      <c r="F8" s="60"/>
      <c r="G8" s="60"/>
      <c r="H8" s="56"/>
    </row>
    <row r="9" spans="1:8" ht="15.75" customHeight="1" x14ac:dyDescent="0.25">
      <c r="A9" s="14" t="s">
        <v>281</v>
      </c>
      <c r="B9" s="15">
        <v>60480</v>
      </c>
      <c r="C9" s="15">
        <v>78255</v>
      </c>
      <c r="D9" s="15">
        <v>122361</v>
      </c>
      <c r="E9" s="15">
        <v>199013</v>
      </c>
      <c r="F9" s="15">
        <v>289174</v>
      </c>
      <c r="G9" s="15">
        <v>429000</v>
      </c>
      <c r="H9" s="9" t="s">
        <v>282</v>
      </c>
    </row>
    <row r="10" spans="1:8" ht="15.75" customHeight="1" x14ac:dyDescent="0.25">
      <c r="A10" s="7" t="s">
        <v>283</v>
      </c>
      <c r="B10" s="8">
        <v>41126</v>
      </c>
      <c r="C10" s="8">
        <v>53214</v>
      </c>
      <c r="D10" s="8">
        <v>83205</v>
      </c>
      <c r="E10" s="8">
        <v>135329</v>
      </c>
      <c r="F10" s="8">
        <v>196638</v>
      </c>
      <c r="G10" s="8">
        <v>291720</v>
      </c>
      <c r="H10" s="9" t="s">
        <v>284</v>
      </c>
    </row>
    <row r="11" spans="1:8" ht="15.75" customHeight="1" x14ac:dyDescent="0.25">
      <c r="A11" s="10" t="s">
        <v>285</v>
      </c>
      <c r="B11" s="11">
        <v>60480</v>
      </c>
      <c r="C11" s="11">
        <v>138735</v>
      </c>
      <c r="D11" s="11">
        <v>261096</v>
      </c>
      <c r="E11" s="11">
        <v>460109</v>
      </c>
      <c r="F11" s="11">
        <v>749283</v>
      </c>
      <c r="G11" s="11">
        <v>959400</v>
      </c>
      <c r="H11" s="9" t="s">
        <v>286</v>
      </c>
    </row>
    <row r="12" spans="1:8" ht="15.75" customHeight="1" x14ac:dyDescent="0.25">
      <c r="A12" s="7" t="s">
        <v>287</v>
      </c>
      <c r="B12" s="8">
        <v>41126</v>
      </c>
      <c r="C12" s="8">
        <v>94340</v>
      </c>
      <c r="D12" s="8">
        <v>177545</v>
      </c>
      <c r="E12" s="8">
        <v>312874</v>
      </c>
      <c r="F12" s="8">
        <v>509513</v>
      </c>
      <c r="G12" s="8">
        <v>652392</v>
      </c>
      <c r="H12" s="9"/>
    </row>
    <row r="13" spans="1:8" ht="18" customHeight="1" x14ac:dyDescent="0.25">
      <c r="A13" s="61" t="s">
        <v>288</v>
      </c>
      <c r="B13" s="60"/>
      <c r="C13" s="60"/>
      <c r="D13" s="60"/>
      <c r="E13" s="60"/>
      <c r="F13" s="60"/>
      <c r="G13" s="60"/>
      <c r="H13" s="56"/>
    </row>
    <row r="14" spans="1:8" ht="15.75" customHeight="1" x14ac:dyDescent="0.25">
      <c r="A14" s="7" t="s">
        <v>289</v>
      </c>
      <c r="B14" s="13">
        <v>0.24388799999999999</v>
      </c>
      <c r="C14" s="13">
        <v>0.106817</v>
      </c>
      <c r="D14" s="13">
        <v>8.4574999999999997E-2</v>
      </c>
      <c r="E14" s="13">
        <v>8.8542999999999997E-2</v>
      </c>
      <c r="F14" s="13">
        <v>8.9930999999999997E-2</v>
      </c>
      <c r="G14" s="13">
        <v>0.1220620088825093</v>
      </c>
      <c r="H14" s="9" t="s">
        <v>290</v>
      </c>
    </row>
    <row r="15" spans="1:8" ht="15.75" customHeight="1" x14ac:dyDescent="0.25">
      <c r="A15" s="7" t="s">
        <v>291</v>
      </c>
      <c r="B15" s="8">
        <v>1854105</v>
      </c>
      <c r="C15" s="8">
        <v>12113471</v>
      </c>
      <c r="D15" s="8">
        <v>31043540</v>
      </c>
      <c r="E15" s="8">
        <v>49163049</v>
      </c>
      <c r="F15" s="8">
        <v>91771440</v>
      </c>
      <c r="G15" s="8">
        <v>67381014.925527707</v>
      </c>
      <c r="H15" s="9"/>
    </row>
    <row r="16" spans="1:8" ht="15.75" customHeight="1" x14ac:dyDescent="0.25">
      <c r="A16" s="7" t="s">
        <v>292</v>
      </c>
      <c r="B16" s="8">
        <v>2317631</v>
      </c>
      <c r="C16" s="8">
        <v>13627655</v>
      </c>
      <c r="D16" s="8">
        <v>35700071</v>
      </c>
      <c r="E16" s="8">
        <v>56537506</v>
      </c>
      <c r="F16" s="8">
        <v>105890123</v>
      </c>
      <c r="G16" s="8">
        <v>76845201.188160405</v>
      </c>
      <c r="H16" s="9"/>
    </row>
    <row r="17" spans="1:8" ht="15.75" customHeight="1" x14ac:dyDescent="0.25">
      <c r="A17" s="7" t="s">
        <v>293</v>
      </c>
      <c r="B17" s="8">
        <v>2781157</v>
      </c>
      <c r="C17" s="8">
        <v>15141839</v>
      </c>
      <c r="D17" s="8">
        <v>40356602</v>
      </c>
      <c r="E17" s="8">
        <v>63911963</v>
      </c>
      <c r="F17" s="8">
        <v>120008806</v>
      </c>
      <c r="G17" s="8">
        <v>86309387.450792998</v>
      </c>
      <c r="H17" s="9"/>
    </row>
    <row r="18" spans="1:8" ht="15.75" customHeight="1" x14ac:dyDescent="0.25">
      <c r="A18" s="7" t="s">
        <v>294</v>
      </c>
      <c r="B18" s="8">
        <v>452194</v>
      </c>
      <c r="C18" s="8">
        <v>1293928</v>
      </c>
      <c r="D18" s="8">
        <v>2625502</v>
      </c>
      <c r="E18" s="8">
        <v>4353038</v>
      </c>
      <c r="F18" s="8">
        <v>8253091</v>
      </c>
      <c r="G18" s="8">
        <v>6106048.5611198219</v>
      </c>
      <c r="H18" s="9" t="s">
        <v>295</v>
      </c>
    </row>
    <row r="19" spans="1:8" ht="15.75" customHeight="1" x14ac:dyDescent="0.25">
      <c r="A19" s="14" t="s">
        <v>296</v>
      </c>
      <c r="B19" s="15">
        <v>565242</v>
      </c>
      <c r="C19" s="15">
        <v>1455669</v>
      </c>
      <c r="D19" s="15">
        <v>3019328</v>
      </c>
      <c r="E19" s="15">
        <v>5005994</v>
      </c>
      <c r="F19" s="15">
        <v>9522797</v>
      </c>
      <c r="G19" s="15">
        <v>6975104.9660385977</v>
      </c>
      <c r="H19" s="9" t="s">
        <v>297</v>
      </c>
    </row>
    <row r="20" spans="1:8" ht="15.75" customHeight="1" x14ac:dyDescent="0.25">
      <c r="A20" s="7" t="s">
        <v>298</v>
      </c>
      <c r="B20" s="8">
        <v>678290</v>
      </c>
      <c r="C20" s="8">
        <v>1617410</v>
      </c>
      <c r="D20" s="8">
        <v>3413153</v>
      </c>
      <c r="E20" s="8">
        <v>5658949</v>
      </c>
      <c r="F20" s="8">
        <v>10792503</v>
      </c>
      <c r="G20" s="8">
        <v>7844161.3709573727</v>
      </c>
      <c r="H20" s="9"/>
    </row>
    <row r="21" spans="1:8" ht="15.75" customHeight="1" x14ac:dyDescent="0.25">
      <c r="A21" s="7" t="s">
        <v>299</v>
      </c>
      <c r="B21" s="8">
        <v>384365</v>
      </c>
      <c r="C21" s="8">
        <v>989855</v>
      </c>
      <c r="D21" s="8">
        <v>2053143</v>
      </c>
      <c r="E21" s="8">
        <v>3404076</v>
      </c>
      <c r="F21" s="8">
        <v>6475502</v>
      </c>
      <c r="G21" s="8">
        <v>4743471.3769062469</v>
      </c>
      <c r="H21" s="9" t="s">
        <v>284</v>
      </c>
    </row>
    <row r="22" spans="1:8" ht="18" customHeight="1" x14ac:dyDescent="0.25">
      <c r="A22" s="67" t="s">
        <v>300</v>
      </c>
      <c r="B22" s="60"/>
      <c r="C22" s="60"/>
      <c r="D22" s="60"/>
      <c r="E22" s="60"/>
      <c r="F22" s="60"/>
      <c r="G22" s="60"/>
      <c r="H22" s="56"/>
    </row>
    <row r="23" spans="1:8" ht="15.75" customHeight="1" x14ac:dyDescent="0.25">
      <c r="A23" s="7" t="s">
        <v>301</v>
      </c>
      <c r="B23" s="8">
        <v>60480</v>
      </c>
      <c r="C23" s="8">
        <v>138735</v>
      </c>
      <c r="D23" s="8">
        <v>261096</v>
      </c>
      <c r="E23" s="8">
        <v>460109</v>
      </c>
      <c r="F23" s="8">
        <v>749283</v>
      </c>
      <c r="G23" s="8">
        <v>959400</v>
      </c>
      <c r="H23" s="9" t="s">
        <v>302</v>
      </c>
    </row>
    <row r="24" spans="1:8" ht="15.75" customHeight="1" x14ac:dyDescent="0.25">
      <c r="A24" s="7" t="s">
        <v>303</v>
      </c>
      <c r="B24" s="8">
        <v>452194</v>
      </c>
      <c r="C24" s="8">
        <v>1293928</v>
      </c>
      <c r="D24" s="8">
        <v>2625502</v>
      </c>
      <c r="E24" s="8">
        <v>4353038</v>
      </c>
      <c r="F24" s="8">
        <v>8253091</v>
      </c>
      <c r="G24" s="8">
        <v>6106048.5611198219</v>
      </c>
      <c r="H24" s="9"/>
    </row>
    <row r="25" spans="1:8" ht="15.75" customHeight="1" x14ac:dyDescent="0.25">
      <c r="A25" s="10" t="s">
        <v>304</v>
      </c>
      <c r="B25" s="11">
        <v>512674</v>
      </c>
      <c r="C25" s="11">
        <v>1432663</v>
      </c>
      <c r="D25" s="11">
        <v>2886598</v>
      </c>
      <c r="E25" s="11">
        <v>4813147</v>
      </c>
      <c r="F25" s="11">
        <v>9002374</v>
      </c>
      <c r="G25" s="11">
        <v>7065448.5611198219</v>
      </c>
      <c r="H25" s="9"/>
    </row>
    <row r="26" spans="1:8" ht="15.75" customHeight="1" x14ac:dyDescent="0.25">
      <c r="A26" s="14" t="s">
        <v>305</v>
      </c>
      <c r="B26" s="15">
        <v>625722</v>
      </c>
      <c r="C26" s="15">
        <v>1594404</v>
      </c>
      <c r="D26" s="15">
        <v>3280424</v>
      </c>
      <c r="E26" s="15">
        <v>5466103</v>
      </c>
      <c r="F26" s="15">
        <v>10272081</v>
      </c>
      <c r="G26" s="15">
        <v>7275966.8643172551</v>
      </c>
      <c r="H26" s="9" t="s">
        <v>306</v>
      </c>
    </row>
    <row r="27" spans="1:8" ht="15.75" customHeight="1" x14ac:dyDescent="0.25">
      <c r="A27" s="10" t="s">
        <v>307</v>
      </c>
      <c r="B27" s="11">
        <v>738770</v>
      </c>
      <c r="C27" s="11">
        <v>1756145</v>
      </c>
      <c r="D27" s="11">
        <v>3674249</v>
      </c>
      <c r="E27" s="11">
        <v>6119058</v>
      </c>
      <c r="F27" s="11">
        <v>11541787</v>
      </c>
      <c r="G27" s="11">
        <v>8069453.2900581593</v>
      </c>
      <c r="H27" s="9"/>
    </row>
    <row r="28" spans="1:8" ht="18" customHeight="1" x14ac:dyDescent="0.25">
      <c r="A28" s="66" t="s">
        <v>308</v>
      </c>
      <c r="B28" s="60"/>
      <c r="C28" s="60"/>
      <c r="D28" s="60"/>
      <c r="E28" s="60"/>
      <c r="F28" s="60"/>
      <c r="G28" s="60"/>
      <c r="H28" s="56"/>
    </row>
    <row r="29" spans="1:8" ht="30" customHeight="1" x14ac:dyDescent="0.25">
      <c r="A29" s="63" t="s">
        <v>412</v>
      </c>
      <c r="B29" s="64"/>
      <c r="C29" s="64"/>
      <c r="D29" s="64"/>
      <c r="E29" s="64"/>
      <c r="F29" s="64"/>
      <c r="G29" s="64"/>
      <c r="H29" s="65"/>
    </row>
    <row r="30" spans="1:8" ht="30" customHeight="1" x14ac:dyDescent="0.25">
      <c r="A30" s="63" t="s">
        <v>413</v>
      </c>
      <c r="B30" s="64"/>
      <c r="C30" s="64"/>
      <c r="D30" s="64"/>
      <c r="E30" s="64"/>
      <c r="F30" s="64"/>
      <c r="G30" s="64"/>
      <c r="H30" s="65"/>
    </row>
    <row r="31" spans="1:8" ht="30" customHeight="1" x14ac:dyDescent="0.25">
      <c r="A31" s="63" t="s">
        <v>309</v>
      </c>
      <c r="B31" s="64"/>
      <c r="C31" s="64"/>
      <c r="D31" s="64"/>
      <c r="E31" s="64"/>
      <c r="F31" s="64"/>
      <c r="G31" s="64"/>
      <c r="H31" s="65"/>
    </row>
    <row r="32" spans="1:8" ht="30" customHeight="1" x14ac:dyDescent="0.25">
      <c r="A32" s="63" t="s">
        <v>310</v>
      </c>
      <c r="B32" s="64"/>
      <c r="C32" s="64"/>
      <c r="D32" s="64"/>
      <c r="E32" s="64"/>
      <c r="F32" s="64"/>
      <c r="G32" s="64"/>
      <c r="H32" s="65"/>
    </row>
    <row r="33" spans="1:8" ht="30" customHeight="1" x14ac:dyDescent="0.25">
      <c r="A33" s="63" t="s">
        <v>311</v>
      </c>
      <c r="B33" s="64"/>
      <c r="C33" s="64"/>
      <c r="D33" s="64"/>
      <c r="E33" s="64"/>
      <c r="F33" s="64"/>
      <c r="G33" s="64"/>
      <c r="H33" s="65"/>
    </row>
    <row r="34" spans="1:8" ht="15.75" customHeight="1" x14ac:dyDescent="0.25"/>
    <row r="35" spans="1:8" ht="15.75" customHeight="1" x14ac:dyDescent="0.25"/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29:H29"/>
    <mergeCell ref="A30:H30"/>
    <mergeCell ref="A31:H31"/>
    <mergeCell ref="A32:H32"/>
    <mergeCell ref="A33:H33"/>
    <mergeCell ref="A22:H22"/>
    <mergeCell ref="A28:H28"/>
    <mergeCell ref="A1:H1"/>
    <mergeCell ref="A2:H2"/>
    <mergeCell ref="A4:H4"/>
    <mergeCell ref="A8:H8"/>
    <mergeCell ref="A13:H13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showGridLines="0" workbookViewId="0">
      <selection sqref="A1:H1"/>
    </sheetView>
  </sheetViews>
  <sheetFormatPr defaultColWidth="14.42578125" defaultRowHeight="15" customHeight="1" x14ac:dyDescent="0.25"/>
  <cols>
    <col min="1" max="1" width="50" customWidth="1"/>
    <col min="2" max="7" width="14" customWidth="1"/>
    <col min="8" max="8" width="28" customWidth="1"/>
    <col min="9" max="26" width="8.7109375" customWidth="1"/>
  </cols>
  <sheetData>
    <row r="1" spans="1:8" ht="27.75" customHeight="1" x14ac:dyDescent="0.25">
      <c r="A1" s="62" t="s">
        <v>312</v>
      </c>
      <c r="B1" s="60"/>
      <c r="C1" s="60"/>
      <c r="D1" s="60"/>
      <c r="E1" s="60"/>
      <c r="F1" s="60"/>
      <c r="G1" s="60"/>
      <c r="H1" s="56"/>
    </row>
    <row r="2" spans="1:8" ht="18" customHeight="1" x14ac:dyDescent="0.25">
      <c r="A2" s="58" t="s">
        <v>313</v>
      </c>
      <c r="B2" s="60"/>
      <c r="C2" s="60"/>
      <c r="D2" s="60"/>
      <c r="E2" s="60"/>
      <c r="F2" s="60"/>
      <c r="G2" s="60"/>
      <c r="H2" s="56"/>
    </row>
    <row r="3" spans="1:8" ht="19.5" customHeight="1" x14ac:dyDescent="0.25">
      <c r="A3" s="5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</row>
    <row r="4" spans="1:8" ht="18" customHeight="1" x14ac:dyDescent="0.25">
      <c r="A4" s="61" t="s">
        <v>314</v>
      </c>
      <c r="B4" s="60"/>
      <c r="C4" s="60"/>
      <c r="D4" s="60"/>
      <c r="E4" s="60"/>
      <c r="F4" s="60"/>
      <c r="G4" s="60"/>
      <c r="H4" s="56"/>
    </row>
    <row r="5" spans="1:8" ht="15.75" customHeight="1" x14ac:dyDescent="0.25">
      <c r="A5" s="7" t="s">
        <v>173</v>
      </c>
      <c r="B5" s="8">
        <v>1239914</v>
      </c>
      <c r="C5" s="8">
        <v>3663052</v>
      </c>
      <c r="D5" s="8">
        <v>7233870</v>
      </c>
      <c r="E5" s="8">
        <v>11238233</v>
      </c>
      <c r="F5" s="8">
        <v>16077571</v>
      </c>
      <c r="G5" s="8">
        <v>22608084.693471279</v>
      </c>
      <c r="H5" s="9"/>
    </row>
    <row r="6" spans="1:8" ht="15.75" customHeight="1" x14ac:dyDescent="0.25">
      <c r="A6" s="7" t="s">
        <v>315</v>
      </c>
      <c r="B6" s="8">
        <v>776388</v>
      </c>
      <c r="C6" s="8">
        <v>2148868</v>
      </c>
      <c r="D6" s="8">
        <v>4129516</v>
      </c>
      <c r="E6" s="8">
        <v>6321928</v>
      </c>
      <c r="F6" s="8">
        <v>9018229</v>
      </c>
      <c r="G6" s="8">
        <v>14819878.599722</v>
      </c>
      <c r="H6" s="9"/>
    </row>
    <row r="7" spans="1:8" ht="15.75" customHeight="1" x14ac:dyDescent="0.25">
      <c r="A7" s="10" t="s">
        <v>156</v>
      </c>
      <c r="B7" s="11">
        <v>463526</v>
      </c>
      <c r="C7" s="11">
        <v>1514184</v>
      </c>
      <c r="D7" s="11">
        <v>3104354</v>
      </c>
      <c r="E7" s="11">
        <v>4916305</v>
      </c>
      <c r="F7" s="11">
        <v>7059342</v>
      </c>
      <c r="G7" s="11">
        <v>7788206.0937492698</v>
      </c>
      <c r="H7" s="9"/>
    </row>
    <row r="8" spans="1:8" ht="15.75" customHeight="1" x14ac:dyDescent="0.25">
      <c r="A8" s="7" t="s">
        <v>157</v>
      </c>
      <c r="B8" s="13">
        <v>0.37380000000000002</v>
      </c>
      <c r="C8" s="13">
        <v>0.41339999999999999</v>
      </c>
      <c r="D8" s="13">
        <v>0.42909999999999998</v>
      </c>
      <c r="E8" s="13">
        <v>0.4375</v>
      </c>
      <c r="F8" s="13">
        <v>0.43909999999999999</v>
      </c>
      <c r="G8" s="13">
        <v>0.34457100000000002</v>
      </c>
      <c r="H8" s="9"/>
    </row>
    <row r="9" spans="1:8" ht="15.75" customHeight="1" x14ac:dyDescent="0.25">
      <c r="A9" s="7" t="s">
        <v>316</v>
      </c>
      <c r="B9" s="12">
        <v>4</v>
      </c>
      <c r="C9" s="12">
        <v>8</v>
      </c>
      <c r="D9" s="12">
        <v>10</v>
      </c>
      <c r="E9" s="12">
        <v>10</v>
      </c>
      <c r="F9" s="12">
        <v>13</v>
      </c>
      <c r="G9" s="12">
        <v>0</v>
      </c>
      <c r="H9" s="9" t="s">
        <v>165</v>
      </c>
    </row>
    <row r="10" spans="1:8" ht="15.75" customHeight="1" x14ac:dyDescent="0.25">
      <c r="A10" s="7" t="s">
        <v>317</v>
      </c>
      <c r="B10" s="12">
        <v>5</v>
      </c>
      <c r="C10" s="12">
        <v>9</v>
      </c>
      <c r="D10" s="12">
        <v>11.5</v>
      </c>
      <c r="E10" s="12">
        <v>11.5</v>
      </c>
      <c r="F10" s="12">
        <v>15</v>
      </c>
      <c r="G10" s="12">
        <v>34</v>
      </c>
      <c r="H10" s="9"/>
    </row>
    <row r="11" spans="1:8" ht="15.75" customHeight="1" x14ac:dyDescent="0.25">
      <c r="A11" s="20" t="s">
        <v>318</v>
      </c>
      <c r="B11" s="21">
        <v>6</v>
      </c>
      <c r="C11" s="21">
        <v>10</v>
      </c>
      <c r="D11" s="21">
        <v>13</v>
      </c>
      <c r="E11" s="21">
        <v>13</v>
      </c>
      <c r="F11" s="21">
        <v>17</v>
      </c>
      <c r="G11" s="21">
        <v>39.5</v>
      </c>
      <c r="H11" s="9"/>
    </row>
    <row r="12" spans="1:8" ht="15.75" customHeight="1" x14ac:dyDescent="0.25">
      <c r="A12" s="7" t="s">
        <v>319</v>
      </c>
      <c r="B12" s="12">
        <v>1854105</v>
      </c>
      <c r="C12" s="12">
        <v>12113471</v>
      </c>
      <c r="D12" s="12">
        <v>31043540</v>
      </c>
      <c r="E12" s="12">
        <v>49163049</v>
      </c>
      <c r="F12" s="12">
        <v>91771440</v>
      </c>
      <c r="G12" s="12">
        <v>45</v>
      </c>
      <c r="H12" s="9"/>
    </row>
    <row r="13" spans="1:8" ht="15.75" customHeight="1" x14ac:dyDescent="0.25">
      <c r="A13" s="7" t="s">
        <v>166</v>
      </c>
      <c r="B13" s="8">
        <v>2317631</v>
      </c>
      <c r="C13" s="8">
        <v>13627655</v>
      </c>
      <c r="D13" s="8">
        <v>35700071</v>
      </c>
      <c r="E13" s="8">
        <v>56537506</v>
      </c>
      <c r="F13" s="8">
        <v>105890123</v>
      </c>
      <c r="G13" s="8">
        <v>67381014.925527707</v>
      </c>
      <c r="H13" s="9"/>
    </row>
    <row r="14" spans="1:8" ht="15.75" customHeight="1" x14ac:dyDescent="0.25">
      <c r="A14" s="14" t="s">
        <v>167</v>
      </c>
      <c r="B14" s="15">
        <v>2781157</v>
      </c>
      <c r="C14" s="15">
        <v>15141839</v>
      </c>
      <c r="D14" s="15">
        <v>40356602</v>
      </c>
      <c r="E14" s="15">
        <v>63911963</v>
      </c>
      <c r="F14" s="15">
        <v>120008806</v>
      </c>
      <c r="G14" s="15">
        <v>76845201.188160405</v>
      </c>
      <c r="H14" s="9" t="s">
        <v>320</v>
      </c>
    </row>
    <row r="15" spans="1:8" ht="15.75" customHeight="1" x14ac:dyDescent="0.25">
      <c r="A15" s="7" t="s">
        <v>169</v>
      </c>
      <c r="B15" s="8">
        <v>347645</v>
      </c>
      <c r="C15" s="8">
        <v>1483283</v>
      </c>
      <c r="D15" s="8">
        <v>3811548</v>
      </c>
      <c r="E15" s="8">
        <v>7498777</v>
      </c>
      <c r="F15" s="8">
        <v>12793283</v>
      </c>
      <c r="G15" s="8">
        <v>86309387.450792998</v>
      </c>
      <c r="H15" s="9"/>
    </row>
    <row r="16" spans="1:8" ht="15.75" customHeight="1" x14ac:dyDescent="0.25">
      <c r="A16" s="7" t="s">
        <v>321</v>
      </c>
      <c r="B16" s="8">
        <v>2665276</v>
      </c>
      <c r="C16" s="8">
        <v>15110938</v>
      </c>
      <c r="D16" s="8">
        <v>39511619</v>
      </c>
      <c r="E16" s="8">
        <v>64036283</v>
      </c>
      <c r="F16" s="8">
        <v>118683406</v>
      </c>
      <c r="G16" s="8">
        <v>5841154.5703119496</v>
      </c>
      <c r="H16" s="9"/>
    </row>
    <row r="17" spans="1:8" ht="15.75" customHeight="1" x14ac:dyDescent="0.25">
      <c r="A17" s="14" t="s">
        <v>322</v>
      </c>
      <c r="B17" s="15">
        <v>777653.95833333395</v>
      </c>
      <c r="C17" s="15">
        <v>4726973.54</v>
      </c>
      <c r="D17" s="15">
        <v>13397220.869999999</v>
      </c>
      <c r="E17" s="15">
        <v>22606534.98</v>
      </c>
      <c r="F17" s="15">
        <v>40128377.030000001</v>
      </c>
      <c r="G17" s="15">
        <v>82686355.758472294</v>
      </c>
      <c r="H17" s="9"/>
    </row>
    <row r="18" spans="1:8" ht="18" customHeight="1" x14ac:dyDescent="0.25">
      <c r="A18" s="66" t="s">
        <v>323</v>
      </c>
      <c r="B18" s="60"/>
      <c r="C18" s="60"/>
      <c r="D18" s="60"/>
      <c r="E18" s="60"/>
      <c r="F18" s="60"/>
      <c r="G18" s="60"/>
      <c r="H18" s="56"/>
    </row>
    <row r="19" spans="1:8" ht="15.75" customHeight="1" x14ac:dyDescent="0.25">
      <c r="A19" s="7" t="s">
        <v>324</v>
      </c>
      <c r="B19" s="12">
        <v>4</v>
      </c>
      <c r="C19" s="12">
        <v>6</v>
      </c>
      <c r="D19" s="12">
        <v>6</v>
      </c>
      <c r="E19" s="12">
        <v>0</v>
      </c>
      <c r="F19" s="12">
        <v>0</v>
      </c>
      <c r="G19" s="12">
        <v>15</v>
      </c>
      <c r="H19" s="9" t="s">
        <v>325</v>
      </c>
    </row>
    <row r="20" spans="1:8" ht="15.75" customHeight="1" x14ac:dyDescent="0.25">
      <c r="A20" s="7" t="s">
        <v>326</v>
      </c>
      <c r="B20" s="12">
        <v>6</v>
      </c>
      <c r="C20" s="12">
        <v>7</v>
      </c>
      <c r="D20" s="12">
        <v>8</v>
      </c>
      <c r="E20" s="12">
        <v>0</v>
      </c>
      <c r="F20" s="12">
        <v>0</v>
      </c>
      <c r="G20" s="12">
        <v>21</v>
      </c>
      <c r="H20" s="9" t="s">
        <v>327</v>
      </c>
    </row>
    <row r="21" spans="1:8" ht="15.75" customHeight="1" x14ac:dyDescent="0.25">
      <c r="A21" s="7" t="s">
        <v>328</v>
      </c>
      <c r="B21" s="12">
        <v>8</v>
      </c>
      <c r="C21" s="12">
        <v>8</v>
      </c>
      <c r="D21" s="12">
        <v>10</v>
      </c>
      <c r="E21" s="12">
        <v>0</v>
      </c>
      <c r="F21" s="12">
        <v>0</v>
      </c>
      <c r="G21" s="12">
        <v>27</v>
      </c>
      <c r="H21" s="9" t="s">
        <v>329</v>
      </c>
    </row>
    <row r="22" spans="1:8" ht="15.75" customHeight="1" x14ac:dyDescent="0.25">
      <c r="A22" s="7" t="s">
        <v>330</v>
      </c>
      <c r="B22" s="12">
        <v>10</v>
      </c>
      <c r="C22" s="12">
        <v>9</v>
      </c>
      <c r="D22" s="12">
        <v>13</v>
      </c>
      <c r="E22" s="12">
        <v>0</v>
      </c>
      <c r="F22" s="12">
        <v>0</v>
      </c>
      <c r="G22" s="12">
        <v>34.5</v>
      </c>
      <c r="H22" s="9" t="s">
        <v>331</v>
      </c>
    </row>
    <row r="23" spans="1:8" ht="15.75" customHeight="1" x14ac:dyDescent="0.25">
      <c r="A23" s="7" t="s">
        <v>332</v>
      </c>
      <c r="B23" s="12">
        <v>13</v>
      </c>
      <c r="C23" s="12">
        <v>11.5</v>
      </c>
      <c r="D23" s="12">
        <v>17</v>
      </c>
      <c r="E23" s="12">
        <v>0</v>
      </c>
      <c r="F23" s="12">
        <v>0</v>
      </c>
      <c r="G23" s="12">
        <v>45</v>
      </c>
      <c r="H23" s="9" t="s">
        <v>333</v>
      </c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H1"/>
    <mergeCell ref="A2:H2"/>
    <mergeCell ref="A4:H4"/>
    <mergeCell ref="A18:H18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showGridLines="0" workbookViewId="0">
      <selection sqref="A1:H1"/>
    </sheetView>
  </sheetViews>
  <sheetFormatPr defaultColWidth="14.42578125" defaultRowHeight="15" customHeight="1" x14ac:dyDescent="0.25"/>
  <cols>
    <col min="1" max="1" width="44" customWidth="1"/>
    <col min="2" max="7" width="14" customWidth="1"/>
    <col min="8" max="8" width="28" customWidth="1"/>
    <col min="9" max="26" width="8.7109375" customWidth="1"/>
  </cols>
  <sheetData>
    <row r="1" spans="1:8" ht="27.75" customHeight="1" x14ac:dyDescent="0.25">
      <c r="A1" s="62" t="s">
        <v>334</v>
      </c>
      <c r="B1" s="60"/>
      <c r="C1" s="60"/>
      <c r="D1" s="60"/>
      <c r="E1" s="60"/>
      <c r="F1" s="60"/>
      <c r="G1" s="60"/>
      <c r="H1" s="56"/>
    </row>
    <row r="2" spans="1:8" ht="18" customHeight="1" x14ac:dyDescent="0.25">
      <c r="A2" s="58" t="s">
        <v>335</v>
      </c>
      <c r="B2" s="60"/>
      <c r="C2" s="60"/>
      <c r="D2" s="60"/>
      <c r="E2" s="60"/>
      <c r="F2" s="60"/>
      <c r="G2" s="60"/>
      <c r="H2" s="56"/>
    </row>
    <row r="3" spans="1:8" ht="19.5" customHeight="1" x14ac:dyDescent="0.25">
      <c r="A3" s="5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</row>
    <row r="4" spans="1:8" ht="18" customHeight="1" x14ac:dyDescent="0.25">
      <c r="A4" s="61" t="s">
        <v>336</v>
      </c>
      <c r="B4" s="60"/>
      <c r="C4" s="60"/>
      <c r="D4" s="60"/>
      <c r="E4" s="60"/>
      <c r="F4" s="60"/>
      <c r="G4" s="60"/>
      <c r="H4" s="56"/>
    </row>
    <row r="5" spans="1:8" ht="15.75" customHeight="1" x14ac:dyDescent="0.25">
      <c r="A5" s="22" t="s">
        <v>337</v>
      </c>
      <c r="B5" s="23">
        <v>867940</v>
      </c>
      <c r="C5" s="23">
        <v>2564137</v>
      </c>
      <c r="D5" s="23">
        <v>5063709</v>
      </c>
      <c r="E5" s="23">
        <v>7866763</v>
      </c>
      <c r="F5" s="23">
        <v>11254299</v>
      </c>
      <c r="G5" s="23">
        <v>6124438.335</v>
      </c>
      <c r="H5" s="9"/>
    </row>
    <row r="6" spans="1:8" ht="15.75" customHeight="1" x14ac:dyDescent="0.25">
      <c r="A6" s="22" t="s">
        <v>156</v>
      </c>
      <c r="B6" s="23">
        <v>324468</v>
      </c>
      <c r="C6" s="23">
        <v>1059929</v>
      </c>
      <c r="D6" s="23">
        <v>2173048</v>
      </c>
      <c r="E6" s="23">
        <v>3441413</v>
      </c>
      <c r="F6" s="23">
        <v>4941539</v>
      </c>
      <c r="G6" s="23">
        <v>2108787.8640000001</v>
      </c>
      <c r="H6" s="9"/>
    </row>
    <row r="7" spans="1:8" ht="15.75" customHeight="1" x14ac:dyDescent="0.25">
      <c r="A7" s="24" t="s">
        <v>157</v>
      </c>
      <c r="B7" s="25">
        <v>0.37380000000000002</v>
      </c>
      <c r="C7" s="25">
        <v>0.41339999999999999</v>
      </c>
      <c r="D7" s="25">
        <v>0.42909999999999998</v>
      </c>
      <c r="E7" s="25">
        <v>0.4375</v>
      </c>
      <c r="F7" s="25">
        <v>0.43909999999999999</v>
      </c>
      <c r="G7" s="25">
        <v>0.34494399999999997</v>
      </c>
      <c r="H7" s="9"/>
    </row>
    <row r="8" spans="1:8" ht="15.75" customHeight="1" x14ac:dyDescent="0.25">
      <c r="A8" s="7" t="s">
        <v>338</v>
      </c>
      <c r="B8" s="8">
        <v>243351</v>
      </c>
      <c r="C8" s="8">
        <v>794947</v>
      </c>
      <c r="D8" s="8">
        <v>1629786</v>
      </c>
      <c r="E8" s="8">
        <v>2581060</v>
      </c>
      <c r="F8" s="8">
        <v>3706155</v>
      </c>
      <c r="G8" s="8">
        <v>1581590.898</v>
      </c>
      <c r="H8" s="9"/>
    </row>
    <row r="9" spans="1:8" ht="15.75" customHeight="1" x14ac:dyDescent="0.25">
      <c r="A9" s="7" t="s">
        <v>166</v>
      </c>
      <c r="B9" s="8">
        <v>1297870</v>
      </c>
      <c r="C9" s="8">
        <v>8479433</v>
      </c>
      <c r="D9" s="8">
        <v>21730480</v>
      </c>
      <c r="E9" s="8">
        <v>34414133</v>
      </c>
      <c r="F9" s="8">
        <v>64240012</v>
      </c>
      <c r="G9" s="8">
        <v>8</v>
      </c>
      <c r="H9" s="9"/>
    </row>
    <row r="10" spans="1:8" ht="15.75" customHeight="1" x14ac:dyDescent="0.25">
      <c r="A10" s="22" t="s">
        <v>339</v>
      </c>
      <c r="B10" s="23">
        <v>1622338</v>
      </c>
      <c r="C10" s="23">
        <v>9539236</v>
      </c>
      <c r="D10" s="23">
        <v>24990052</v>
      </c>
      <c r="E10" s="23">
        <v>39576252</v>
      </c>
      <c r="F10" s="23">
        <v>74123089</v>
      </c>
      <c r="G10" s="23">
        <v>10</v>
      </c>
      <c r="H10" s="9"/>
    </row>
    <row r="11" spans="1:8" ht="15.75" customHeight="1" x14ac:dyDescent="0.25">
      <c r="A11" s="7" t="s">
        <v>169</v>
      </c>
      <c r="B11" s="8">
        <v>1946805</v>
      </c>
      <c r="C11" s="8">
        <v>10599290</v>
      </c>
      <c r="D11" s="8">
        <v>28249624</v>
      </c>
      <c r="E11" s="8">
        <v>44738371</v>
      </c>
      <c r="F11" s="8">
        <v>84006166</v>
      </c>
      <c r="G11" s="8">
        <v>13</v>
      </c>
      <c r="H11" s="9"/>
    </row>
    <row r="13" spans="1:8" ht="18" customHeight="1" x14ac:dyDescent="0.25">
      <c r="A13" s="66" t="s">
        <v>340</v>
      </c>
      <c r="B13" s="60"/>
      <c r="C13" s="60"/>
      <c r="D13" s="60"/>
      <c r="E13" s="60"/>
      <c r="F13" s="60"/>
      <c r="G13" s="60"/>
      <c r="H13" s="56"/>
    </row>
    <row r="14" spans="1:8" ht="15.75" customHeight="1" x14ac:dyDescent="0.25">
      <c r="A14" s="10" t="s">
        <v>337</v>
      </c>
      <c r="B14" s="11">
        <v>1239914</v>
      </c>
      <c r="C14" s="11">
        <v>3663052</v>
      </c>
      <c r="D14" s="11">
        <v>7233870</v>
      </c>
      <c r="E14" s="11">
        <v>11238233</v>
      </c>
      <c r="F14" s="11">
        <v>16077571</v>
      </c>
      <c r="G14" s="11">
        <v>8749197.6219999995</v>
      </c>
      <c r="H14" s="9"/>
    </row>
    <row r="15" spans="1:8" ht="15.75" customHeight="1" x14ac:dyDescent="0.25">
      <c r="A15" s="10" t="s">
        <v>156</v>
      </c>
      <c r="B15" s="11">
        <v>463526</v>
      </c>
      <c r="C15" s="11">
        <v>1514184</v>
      </c>
      <c r="D15" s="11">
        <v>3104354</v>
      </c>
      <c r="E15" s="11">
        <v>4916305</v>
      </c>
      <c r="F15" s="11">
        <v>7059342</v>
      </c>
      <c r="G15" s="11">
        <v>3017982.6630000002</v>
      </c>
      <c r="H15" s="9"/>
    </row>
    <row r="16" spans="1:8" ht="15.75" customHeight="1" x14ac:dyDescent="0.25">
      <c r="A16" s="26" t="s">
        <v>157</v>
      </c>
      <c r="B16" s="27">
        <v>0.37380000000000002</v>
      </c>
      <c r="C16" s="27">
        <v>0.41339999999999999</v>
      </c>
      <c r="D16" s="27">
        <v>0.42909999999999998</v>
      </c>
      <c r="E16" s="27">
        <v>0.4375</v>
      </c>
      <c r="F16" s="27">
        <v>0.43909999999999999</v>
      </c>
      <c r="G16" s="27">
        <v>0.34494399999999997</v>
      </c>
      <c r="H16" s="9"/>
    </row>
    <row r="17" spans="1:8" ht="15.75" customHeight="1" x14ac:dyDescent="0.25">
      <c r="A17" s="7" t="s">
        <v>338</v>
      </c>
      <c r="B17" s="8">
        <v>347645</v>
      </c>
      <c r="C17" s="8">
        <v>1135638</v>
      </c>
      <c r="D17" s="8">
        <v>2328266</v>
      </c>
      <c r="E17" s="8">
        <v>3687229</v>
      </c>
      <c r="F17" s="8">
        <v>5294506</v>
      </c>
      <c r="G17" s="8">
        <v>2263486.9980000001</v>
      </c>
      <c r="H17" s="9"/>
    </row>
    <row r="18" spans="1:8" ht="15.75" customHeight="1" x14ac:dyDescent="0.25">
      <c r="A18" s="7" t="s">
        <v>166</v>
      </c>
      <c r="B18" s="8">
        <v>1854105</v>
      </c>
      <c r="C18" s="8">
        <v>12113471</v>
      </c>
      <c r="D18" s="8">
        <v>31043540</v>
      </c>
      <c r="E18" s="8">
        <v>49163049</v>
      </c>
      <c r="F18" s="8">
        <v>91771440</v>
      </c>
      <c r="G18" s="8">
        <v>10</v>
      </c>
      <c r="H18" s="9"/>
    </row>
    <row r="19" spans="1:8" ht="15.75" customHeight="1" x14ac:dyDescent="0.25">
      <c r="A19" s="10" t="s">
        <v>339</v>
      </c>
      <c r="B19" s="11">
        <v>2317631</v>
      </c>
      <c r="C19" s="11">
        <v>13627655</v>
      </c>
      <c r="D19" s="11">
        <v>35700071</v>
      </c>
      <c r="E19" s="11">
        <v>56537506</v>
      </c>
      <c r="F19" s="11">
        <v>105890123</v>
      </c>
      <c r="G19" s="11">
        <v>11.5</v>
      </c>
      <c r="H19" s="9"/>
    </row>
    <row r="20" spans="1:8" ht="15.75" customHeight="1" x14ac:dyDescent="0.25">
      <c r="A20" s="7" t="s">
        <v>169</v>
      </c>
      <c r="B20" s="8">
        <v>2781157</v>
      </c>
      <c r="C20" s="8">
        <v>15141839</v>
      </c>
      <c r="D20" s="8">
        <v>40356602</v>
      </c>
      <c r="E20" s="8">
        <v>63911963</v>
      </c>
      <c r="F20" s="8">
        <v>120008806</v>
      </c>
      <c r="G20" s="8">
        <v>13</v>
      </c>
      <c r="H20" s="9"/>
    </row>
    <row r="21" spans="1:8" ht="15.75" customHeight="1" x14ac:dyDescent="0.25"/>
    <row r="22" spans="1:8" ht="18" customHeight="1" x14ac:dyDescent="0.25">
      <c r="A22" s="67" t="s">
        <v>341</v>
      </c>
      <c r="B22" s="60"/>
      <c r="C22" s="60"/>
      <c r="D22" s="60"/>
      <c r="E22" s="60"/>
      <c r="F22" s="60"/>
      <c r="G22" s="60"/>
      <c r="H22" s="56"/>
    </row>
    <row r="23" spans="1:8" ht="15.75" customHeight="1" x14ac:dyDescent="0.25">
      <c r="A23" s="14" t="s">
        <v>337</v>
      </c>
      <c r="B23" s="15">
        <v>1611888</v>
      </c>
      <c r="C23" s="15">
        <v>4761968</v>
      </c>
      <c r="D23" s="15">
        <v>9404032</v>
      </c>
      <c r="E23" s="15">
        <v>14609703</v>
      </c>
      <c r="F23" s="15">
        <v>20900842</v>
      </c>
      <c r="G23" s="15">
        <v>11373956.909</v>
      </c>
      <c r="H23" s="9"/>
    </row>
    <row r="24" spans="1:8" ht="15.75" customHeight="1" x14ac:dyDescent="0.25">
      <c r="A24" s="14" t="s">
        <v>156</v>
      </c>
      <c r="B24" s="15">
        <v>602584</v>
      </c>
      <c r="C24" s="15">
        <v>1968439</v>
      </c>
      <c r="D24" s="15">
        <v>4035660</v>
      </c>
      <c r="E24" s="15">
        <v>6391196</v>
      </c>
      <c r="F24" s="15">
        <v>9177144</v>
      </c>
      <c r="G24" s="15">
        <v>3927177.463</v>
      </c>
      <c r="H24" s="9"/>
    </row>
    <row r="25" spans="1:8" ht="15.75" customHeight="1" x14ac:dyDescent="0.25">
      <c r="A25" s="28" t="s">
        <v>157</v>
      </c>
      <c r="B25" s="29">
        <v>0.37380000000000002</v>
      </c>
      <c r="C25" s="29">
        <v>0.41339999999999999</v>
      </c>
      <c r="D25" s="29">
        <v>0.42909999999999998</v>
      </c>
      <c r="E25" s="29">
        <v>0.4375</v>
      </c>
      <c r="F25" s="29">
        <v>0.43909999999999999</v>
      </c>
      <c r="G25" s="29">
        <v>0.34494399999999997</v>
      </c>
      <c r="H25" s="9"/>
    </row>
    <row r="26" spans="1:8" ht="15.75" customHeight="1" x14ac:dyDescent="0.25">
      <c r="A26" s="7" t="s">
        <v>338</v>
      </c>
      <c r="B26" s="8">
        <v>451938</v>
      </c>
      <c r="C26" s="8">
        <v>1476329</v>
      </c>
      <c r="D26" s="8">
        <v>3026745</v>
      </c>
      <c r="E26" s="8">
        <v>4793397</v>
      </c>
      <c r="F26" s="8">
        <v>6882858</v>
      </c>
      <c r="G26" s="8">
        <v>2945383.0970000001</v>
      </c>
      <c r="H26" s="9"/>
    </row>
    <row r="27" spans="1:8" ht="15.75" customHeight="1" x14ac:dyDescent="0.25">
      <c r="A27" s="7" t="s">
        <v>166</v>
      </c>
      <c r="B27" s="8">
        <v>2410338</v>
      </c>
      <c r="C27" s="8">
        <v>15747515</v>
      </c>
      <c r="D27" s="8">
        <v>40356602</v>
      </c>
      <c r="E27" s="8">
        <v>63911963</v>
      </c>
      <c r="F27" s="8">
        <v>119302878</v>
      </c>
      <c r="G27" s="8">
        <v>87595310.405807704</v>
      </c>
      <c r="H27" s="9"/>
    </row>
    <row r="28" spans="1:8" ht="15.75" customHeight="1" x14ac:dyDescent="0.25">
      <c r="A28" s="14" t="s">
        <v>339</v>
      </c>
      <c r="B28" s="15">
        <v>3012922</v>
      </c>
      <c r="C28" s="15">
        <v>17717952</v>
      </c>
      <c r="D28" s="15">
        <v>46410093</v>
      </c>
      <c r="E28" s="15">
        <v>73498758</v>
      </c>
      <c r="F28" s="15">
        <v>137657160</v>
      </c>
      <c r="G28" s="15">
        <v>100898760.60386799</v>
      </c>
      <c r="H28" s="9"/>
    </row>
    <row r="29" spans="1:8" ht="15.75" customHeight="1" x14ac:dyDescent="0.25">
      <c r="A29" s="7" t="s">
        <v>169</v>
      </c>
      <c r="B29" s="8">
        <v>3615507</v>
      </c>
      <c r="C29" s="8">
        <v>19688390</v>
      </c>
      <c r="D29" s="8">
        <v>52463583</v>
      </c>
      <c r="E29" s="8">
        <v>83085553</v>
      </c>
      <c r="F29" s="8">
        <v>156011447</v>
      </c>
      <c r="G29" s="8">
        <v>114202210.801929</v>
      </c>
      <c r="H29" s="9"/>
    </row>
    <row r="30" spans="1:8" ht="15.75" customHeight="1" x14ac:dyDescent="0.25"/>
    <row r="31" spans="1:8" ht="18" customHeight="1" x14ac:dyDescent="0.25">
      <c r="A31" s="59" t="s">
        <v>342</v>
      </c>
      <c r="B31" s="60"/>
      <c r="C31" s="60"/>
      <c r="D31" s="60"/>
      <c r="E31" s="60"/>
      <c r="F31" s="60"/>
      <c r="G31" s="60"/>
      <c r="H31" s="56"/>
    </row>
    <row r="32" spans="1:8" ht="15.75" customHeight="1" x14ac:dyDescent="0.25">
      <c r="A32" s="6" t="s">
        <v>343</v>
      </c>
      <c r="B32" s="6" t="s">
        <v>344</v>
      </c>
      <c r="C32" s="6" t="s">
        <v>345</v>
      </c>
      <c r="D32" s="6" t="s">
        <v>346</v>
      </c>
      <c r="E32" s="70" t="s">
        <v>114</v>
      </c>
      <c r="F32" s="64"/>
      <c r="G32" s="64"/>
      <c r="H32" s="65"/>
    </row>
    <row r="33" spans="1:8" ht="15.75" customHeight="1" x14ac:dyDescent="0.25">
      <c r="A33" s="30" t="s">
        <v>347</v>
      </c>
      <c r="B33" s="31">
        <v>11254300</v>
      </c>
      <c r="C33" s="31">
        <v>16077571</v>
      </c>
      <c r="D33" s="32">
        <v>20900842</v>
      </c>
      <c r="E33" s="69"/>
      <c r="F33" s="64"/>
      <c r="G33" s="64"/>
      <c r="H33" s="65"/>
    </row>
    <row r="34" spans="1:8" ht="15.75" customHeight="1" x14ac:dyDescent="0.25">
      <c r="A34" s="30" t="s">
        <v>348</v>
      </c>
      <c r="B34" s="31">
        <v>4941539</v>
      </c>
      <c r="C34" s="31">
        <v>7059342</v>
      </c>
      <c r="D34" s="32">
        <v>9177145</v>
      </c>
      <c r="E34" s="69"/>
      <c r="F34" s="64"/>
      <c r="G34" s="64"/>
      <c r="H34" s="65"/>
    </row>
    <row r="35" spans="1:8" ht="15.75" customHeight="1" x14ac:dyDescent="0.25">
      <c r="A35" s="30" t="s">
        <v>349</v>
      </c>
      <c r="B35" s="32">
        <v>0.43909999999999999</v>
      </c>
      <c r="C35" s="32">
        <v>0.43909999999999999</v>
      </c>
      <c r="D35" s="32">
        <v>0.43909999999999999</v>
      </c>
      <c r="E35" s="69"/>
      <c r="F35" s="64"/>
      <c r="G35" s="64"/>
      <c r="H35" s="65"/>
    </row>
    <row r="36" spans="1:8" ht="15.75" customHeight="1" x14ac:dyDescent="0.25">
      <c r="A36" s="30" t="s">
        <v>350</v>
      </c>
      <c r="B36" s="31">
        <v>56827703</v>
      </c>
      <c r="C36" s="31">
        <v>105890131</v>
      </c>
      <c r="D36" s="31">
        <v>137657169</v>
      </c>
      <c r="E36" s="69"/>
      <c r="F36" s="64"/>
      <c r="G36" s="64"/>
      <c r="H36" s="65"/>
    </row>
    <row r="37" spans="1:8" ht="15.75" customHeight="1" x14ac:dyDescent="0.25">
      <c r="G37">
        <v>8749197.6219999995</v>
      </c>
    </row>
    <row r="38" spans="1:8" ht="15.75" customHeight="1" x14ac:dyDescent="0.25">
      <c r="G38">
        <v>3017982.6630000002</v>
      </c>
    </row>
    <row r="39" spans="1:8" ht="15.75" customHeight="1" x14ac:dyDescent="0.25">
      <c r="G39">
        <v>0.34494399999999997</v>
      </c>
    </row>
    <row r="40" spans="1:8" ht="15.75" customHeight="1" x14ac:dyDescent="0.25">
      <c r="G40">
        <v>34706800.571000002</v>
      </c>
    </row>
    <row r="41" spans="1:8" ht="15.75" customHeight="1" x14ac:dyDescent="0.25">
      <c r="G41">
        <v>11373956.909</v>
      </c>
    </row>
    <row r="42" spans="1:8" ht="15.75" customHeight="1" x14ac:dyDescent="0.25">
      <c r="G42">
        <v>3927177.463</v>
      </c>
    </row>
    <row r="43" spans="1:8" ht="15.75" customHeight="1" x14ac:dyDescent="0.25">
      <c r="G43">
        <v>0.34494399999999997</v>
      </c>
    </row>
    <row r="44" spans="1:8" ht="15.75" customHeight="1" x14ac:dyDescent="0.25">
      <c r="G44">
        <v>45162540.821999997</v>
      </c>
    </row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E33:H33"/>
    <mergeCell ref="E34:H34"/>
    <mergeCell ref="E35:H35"/>
    <mergeCell ref="E36:H36"/>
    <mergeCell ref="A1:H1"/>
    <mergeCell ref="A2:H2"/>
    <mergeCell ref="A4:H4"/>
    <mergeCell ref="A13:H13"/>
    <mergeCell ref="A22:H22"/>
    <mergeCell ref="A31:H31"/>
    <mergeCell ref="E32:H32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showGridLines="0" topLeftCell="A5" workbookViewId="0">
      <selection sqref="A1:H1"/>
    </sheetView>
  </sheetViews>
  <sheetFormatPr defaultColWidth="14.42578125" defaultRowHeight="15" customHeight="1" x14ac:dyDescent="0.25"/>
  <cols>
    <col min="1" max="1" width="42" customWidth="1"/>
    <col min="2" max="7" width="14" customWidth="1"/>
    <col min="8" max="8" width="28" customWidth="1"/>
    <col min="9" max="26" width="8.7109375" customWidth="1"/>
  </cols>
  <sheetData>
    <row r="1" spans="1:8" ht="27.75" customHeight="1" x14ac:dyDescent="0.25">
      <c r="A1" s="62" t="s">
        <v>351</v>
      </c>
      <c r="B1" s="60"/>
      <c r="C1" s="60"/>
      <c r="D1" s="60"/>
      <c r="E1" s="60"/>
      <c r="F1" s="60"/>
      <c r="G1" s="60"/>
      <c r="H1" s="56"/>
    </row>
    <row r="3" spans="1:8" ht="19.5" customHeight="1" x14ac:dyDescent="0.25">
      <c r="A3" s="5" t="s">
        <v>107</v>
      </c>
      <c r="B3" s="6" t="s">
        <v>108</v>
      </c>
      <c r="C3" s="6" t="s">
        <v>109</v>
      </c>
      <c r="D3" s="6" t="s">
        <v>110</v>
      </c>
      <c r="E3" s="6" t="s">
        <v>111</v>
      </c>
      <c r="F3" s="6" t="s">
        <v>112</v>
      </c>
      <c r="G3" s="6" t="s">
        <v>113</v>
      </c>
      <c r="H3" s="6" t="s">
        <v>114</v>
      </c>
    </row>
    <row r="4" spans="1:8" ht="18" customHeight="1" x14ac:dyDescent="0.25">
      <c r="A4" s="59" t="s">
        <v>40</v>
      </c>
      <c r="B4" s="60"/>
      <c r="C4" s="60"/>
      <c r="D4" s="60"/>
      <c r="E4" s="60"/>
      <c r="F4" s="60"/>
      <c r="G4" s="60"/>
      <c r="H4" s="56"/>
    </row>
    <row r="5" spans="1:8" ht="15.75" customHeight="1" x14ac:dyDescent="0.25">
      <c r="A5" s="7" t="s">
        <v>352</v>
      </c>
      <c r="B5" s="8">
        <v>0</v>
      </c>
      <c r="C5" s="8">
        <v>185000</v>
      </c>
      <c r="D5" s="8">
        <v>185000</v>
      </c>
      <c r="E5" s="8">
        <v>185000</v>
      </c>
      <c r="F5" s="8">
        <v>185000</v>
      </c>
      <c r="G5" s="8">
        <v>740000</v>
      </c>
      <c r="H5" s="9" t="s">
        <v>132</v>
      </c>
    </row>
    <row r="6" spans="1:8" ht="15.75" customHeight="1" x14ac:dyDescent="0.25">
      <c r="A6" s="7" t="s">
        <v>181</v>
      </c>
      <c r="B6" s="8">
        <v>0</v>
      </c>
      <c r="C6" s="8">
        <v>42550</v>
      </c>
      <c r="D6" s="8">
        <v>42550</v>
      </c>
      <c r="E6" s="8">
        <v>42550</v>
      </c>
      <c r="F6" s="8">
        <v>42550</v>
      </c>
      <c r="G6" s="8">
        <v>170200</v>
      </c>
      <c r="H6" s="9"/>
    </row>
    <row r="7" spans="1:8" ht="15.75" customHeight="1" x14ac:dyDescent="0.25">
      <c r="A7" s="10" t="s">
        <v>353</v>
      </c>
      <c r="B7" s="11">
        <v>0</v>
      </c>
      <c r="C7" s="11">
        <v>227550</v>
      </c>
      <c r="D7" s="11">
        <v>227550</v>
      </c>
      <c r="E7" s="11">
        <v>227550</v>
      </c>
      <c r="F7" s="11">
        <v>227550</v>
      </c>
      <c r="G7" s="11">
        <v>910200</v>
      </c>
      <c r="H7" s="9"/>
    </row>
    <row r="8" spans="1:8" ht="18" customHeight="1" x14ac:dyDescent="0.25">
      <c r="A8" s="59" t="s">
        <v>47</v>
      </c>
      <c r="B8" s="60"/>
      <c r="C8" s="60"/>
      <c r="D8" s="60"/>
      <c r="E8" s="60"/>
      <c r="F8" s="60"/>
      <c r="G8" s="60"/>
      <c r="H8" s="56"/>
    </row>
    <row r="9" spans="1:8" ht="15.75" customHeight="1" x14ac:dyDescent="0.25">
      <c r="A9" s="7" t="s">
        <v>354</v>
      </c>
      <c r="B9" s="12">
        <v>2</v>
      </c>
      <c r="C9" s="12">
        <v>2</v>
      </c>
      <c r="D9" s="12">
        <v>2</v>
      </c>
      <c r="E9" s="12">
        <v>2</v>
      </c>
      <c r="F9" s="12">
        <v>2</v>
      </c>
      <c r="G9" s="12">
        <v>10</v>
      </c>
      <c r="H9" s="9" t="s">
        <v>355</v>
      </c>
    </row>
    <row r="10" spans="1:8" ht="15.75" customHeight="1" x14ac:dyDescent="0.25">
      <c r="A10" s="10" t="s">
        <v>126</v>
      </c>
      <c r="B10" s="11">
        <v>80000</v>
      </c>
      <c r="C10" s="11">
        <v>80000</v>
      </c>
      <c r="D10" s="11">
        <v>80000</v>
      </c>
      <c r="E10" s="11">
        <v>80000</v>
      </c>
      <c r="F10" s="11">
        <v>80000</v>
      </c>
      <c r="G10" s="11">
        <v>400000</v>
      </c>
      <c r="H10" s="9" t="s">
        <v>356</v>
      </c>
    </row>
    <row r="11" spans="1:8" ht="18" customHeight="1" x14ac:dyDescent="0.25">
      <c r="A11" s="59" t="s">
        <v>357</v>
      </c>
      <c r="B11" s="60"/>
      <c r="C11" s="60"/>
      <c r="D11" s="60"/>
      <c r="E11" s="60"/>
      <c r="F11" s="60"/>
      <c r="G11" s="60"/>
      <c r="H11" s="56"/>
    </row>
    <row r="12" spans="1:8" ht="15.75" customHeight="1" x14ac:dyDescent="0.25">
      <c r="A12" s="7" t="s">
        <v>354</v>
      </c>
      <c r="B12" s="12">
        <v>3</v>
      </c>
      <c r="C12" s="12">
        <v>7</v>
      </c>
      <c r="D12" s="12">
        <v>14</v>
      </c>
      <c r="E12" s="12">
        <v>22</v>
      </c>
      <c r="F12" s="12">
        <v>30</v>
      </c>
      <c r="G12" s="12">
        <v>76</v>
      </c>
      <c r="H12" s="9" t="s">
        <v>358</v>
      </c>
    </row>
    <row r="13" spans="1:8" ht="15.75" customHeight="1" x14ac:dyDescent="0.25">
      <c r="A13" s="10" t="s">
        <v>359</v>
      </c>
      <c r="B13" s="11">
        <v>120000</v>
      </c>
      <c r="C13" s="11">
        <v>280000</v>
      </c>
      <c r="D13" s="11">
        <v>560000</v>
      </c>
      <c r="E13" s="11">
        <v>880000</v>
      </c>
      <c r="F13" s="11">
        <v>1200000</v>
      </c>
      <c r="G13" s="11">
        <v>3040000</v>
      </c>
      <c r="H13" s="9"/>
    </row>
    <row r="14" spans="1:8" ht="18" customHeight="1" x14ac:dyDescent="0.25">
      <c r="A14" s="59" t="s">
        <v>360</v>
      </c>
      <c r="B14" s="60"/>
      <c r="C14" s="60"/>
      <c r="D14" s="60"/>
      <c r="E14" s="60"/>
      <c r="F14" s="60"/>
      <c r="G14" s="60"/>
      <c r="H14" s="56"/>
    </row>
    <row r="15" spans="1:8" ht="15.75" customHeight="1" x14ac:dyDescent="0.25">
      <c r="A15" s="7" t="s">
        <v>354</v>
      </c>
      <c r="B15" s="12">
        <v>2</v>
      </c>
      <c r="C15" s="12">
        <v>5</v>
      </c>
      <c r="D15" s="12">
        <v>10</v>
      </c>
      <c r="E15" s="12">
        <v>15</v>
      </c>
      <c r="F15" s="12">
        <v>21</v>
      </c>
      <c r="G15" s="12">
        <v>53</v>
      </c>
      <c r="H15" s="9" t="s">
        <v>361</v>
      </c>
    </row>
    <row r="16" spans="1:8" ht="15.75" customHeight="1" x14ac:dyDescent="0.25">
      <c r="A16" s="7" t="s">
        <v>362</v>
      </c>
      <c r="B16" s="8">
        <v>140000</v>
      </c>
      <c r="C16" s="8">
        <v>144200</v>
      </c>
      <c r="D16" s="8">
        <v>148526</v>
      </c>
      <c r="E16" s="8">
        <v>152981.78</v>
      </c>
      <c r="F16" s="8">
        <v>157571.2334</v>
      </c>
      <c r="G16" s="8">
        <v>743279.01340000005</v>
      </c>
      <c r="H16" s="9" t="s">
        <v>363</v>
      </c>
    </row>
    <row r="17" spans="1:8" ht="15.75" customHeight="1" x14ac:dyDescent="0.25">
      <c r="A17" s="7" t="s">
        <v>364</v>
      </c>
      <c r="B17" s="8">
        <v>280000</v>
      </c>
      <c r="C17" s="8">
        <v>721000</v>
      </c>
      <c r="D17" s="8">
        <v>1485260</v>
      </c>
      <c r="E17" s="8">
        <v>2294726.7000000002</v>
      </c>
      <c r="F17" s="8">
        <v>3308995.9014000008</v>
      </c>
      <c r="G17" s="8">
        <v>8089982.601400001</v>
      </c>
      <c r="H17" s="9"/>
    </row>
    <row r="18" spans="1:8" ht="15.75" customHeight="1" x14ac:dyDescent="0.25">
      <c r="A18" s="7" t="s">
        <v>181</v>
      </c>
      <c r="B18" s="8">
        <v>64400</v>
      </c>
      <c r="C18" s="8">
        <v>165830</v>
      </c>
      <c r="D18" s="8">
        <v>341609.8</v>
      </c>
      <c r="E18" s="8">
        <v>527787.14100000006</v>
      </c>
      <c r="F18" s="8">
        <v>761069.05732200027</v>
      </c>
      <c r="G18" s="8">
        <v>1860695.998322</v>
      </c>
      <c r="H18" s="9"/>
    </row>
    <row r="19" spans="1:8" ht="15.75" customHeight="1" x14ac:dyDescent="0.25">
      <c r="A19" s="10" t="s">
        <v>365</v>
      </c>
      <c r="B19" s="11">
        <v>344400</v>
      </c>
      <c r="C19" s="11">
        <v>886830</v>
      </c>
      <c r="D19" s="11">
        <v>1826869.8</v>
      </c>
      <c r="E19" s="11">
        <v>2822513.841</v>
      </c>
      <c r="F19" s="11">
        <v>4070064.9587220009</v>
      </c>
      <c r="G19" s="11">
        <v>9950678.5997220017</v>
      </c>
      <c r="H19" s="9"/>
    </row>
    <row r="20" spans="1:8" ht="18" customHeight="1" x14ac:dyDescent="0.25">
      <c r="A20" s="59" t="s">
        <v>147</v>
      </c>
      <c r="B20" s="60"/>
      <c r="C20" s="60"/>
      <c r="D20" s="60"/>
      <c r="E20" s="60"/>
      <c r="F20" s="60"/>
      <c r="G20" s="60"/>
      <c r="H20" s="56"/>
    </row>
    <row r="21" spans="1:8" ht="15.75" customHeight="1" x14ac:dyDescent="0.25">
      <c r="A21" s="7" t="s">
        <v>148</v>
      </c>
      <c r="B21" s="8">
        <v>13000</v>
      </c>
      <c r="C21" s="8">
        <v>39000</v>
      </c>
      <c r="D21" s="8">
        <v>78000</v>
      </c>
      <c r="E21" s="8">
        <v>117000</v>
      </c>
      <c r="F21" s="8">
        <v>162500</v>
      </c>
      <c r="G21" s="8">
        <v>247000</v>
      </c>
      <c r="H21" s="9" t="s">
        <v>74</v>
      </c>
    </row>
    <row r="22" spans="1:8" ht="15.75" customHeight="1" x14ac:dyDescent="0.25">
      <c r="A22" s="7" t="s">
        <v>366</v>
      </c>
      <c r="B22" s="8">
        <v>35000</v>
      </c>
      <c r="C22" s="8">
        <v>35000</v>
      </c>
      <c r="D22" s="8">
        <v>35000</v>
      </c>
      <c r="E22" s="8">
        <v>35000</v>
      </c>
      <c r="F22" s="8">
        <v>35000</v>
      </c>
      <c r="G22" s="8">
        <v>175000</v>
      </c>
      <c r="H22" s="9" t="s">
        <v>367</v>
      </c>
    </row>
    <row r="23" spans="1:8" ht="15.75" customHeight="1" x14ac:dyDescent="0.25">
      <c r="A23" s="7" t="s">
        <v>368</v>
      </c>
      <c r="B23" s="8">
        <v>5000</v>
      </c>
      <c r="C23" s="8">
        <v>8000</v>
      </c>
      <c r="D23" s="8">
        <v>12000</v>
      </c>
      <c r="E23" s="8">
        <v>15000</v>
      </c>
      <c r="F23" s="8">
        <v>18000</v>
      </c>
      <c r="G23" s="8">
        <v>58000</v>
      </c>
      <c r="H23" s="9"/>
    </row>
    <row r="24" spans="1:8" ht="15.75" customHeight="1" x14ac:dyDescent="0.25">
      <c r="A24" s="7" t="s">
        <v>152</v>
      </c>
      <c r="B24" s="8">
        <v>3000</v>
      </c>
      <c r="C24" s="8">
        <v>4000</v>
      </c>
      <c r="D24" s="8">
        <v>5000</v>
      </c>
      <c r="E24" s="8">
        <v>6000</v>
      </c>
      <c r="F24" s="8">
        <v>6000</v>
      </c>
      <c r="G24" s="8">
        <v>24000</v>
      </c>
      <c r="H24" s="9"/>
    </row>
    <row r="25" spans="1:8" ht="15.75" customHeight="1" x14ac:dyDescent="0.25">
      <c r="A25" s="7" t="s">
        <v>153</v>
      </c>
      <c r="B25" s="8">
        <v>2400</v>
      </c>
      <c r="C25" s="8">
        <v>2400</v>
      </c>
      <c r="D25" s="8">
        <v>3000</v>
      </c>
      <c r="E25" s="8">
        <v>3600</v>
      </c>
      <c r="F25" s="8">
        <v>3600</v>
      </c>
      <c r="G25" s="8">
        <v>15000</v>
      </c>
      <c r="H25" s="9"/>
    </row>
    <row r="26" spans="1:8" ht="15.75" customHeight="1" x14ac:dyDescent="0.25">
      <c r="A26" s="10" t="s">
        <v>154</v>
      </c>
      <c r="B26" s="11">
        <v>58400</v>
      </c>
      <c r="C26" s="11">
        <v>88400</v>
      </c>
      <c r="D26" s="11">
        <v>133000</v>
      </c>
      <c r="E26" s="11">
        <v>176600</v>
      </c>
      <c r="F26" s="11">
        <v>225100</v>
      </c>
      <c r="G26" s="11">
        <v>519000</v>
      </c>
      <c r="H26" s="9"/>
    </row>
    <row r="27" spans="1:8" ht="18" customHeight="1" x14ac:dyDescent="0.25">
      <c r="A27" s="59" t="s">
        <v>369</v>
      </c>
      <c r="B27" s="60"/>
      <c r="C27" s="60"/>
      <c r="D27" s="60"/>
      <c r="E27" s="60"/>
      <c r="F27" s="60"/>
      <c r="G27" s="60"/>
      <c r="H27" s="56"/>
    </row>
    <row r="28" spans="1:8" ht="15.75" customHeight="1" x14ac:dyDescent="0.25">
      <c r="A28" s="7" t="s">
        <v>370</v>
      </c>
      <c r="B28" s="8">
        <v>0</v>
      </c>
      <c r="C28" s="8">
        <v>227550</v>
      </c>
      <c r="D28" s="8">
        <v>227550</v>
      </c>
      <c r="E28" s="8">
        <v>227550</v>
      </c>
      <c r="F28" s="8">
        <v>227550</v>
      </c>
      <c r="G28" s="8">
        <v>910200</v>
      </c>
      <c r="H28" s="9"/>
    </row>
    <row r="29" spans="1:8" ht="15.75" customHeight="1" x14ac:dyDescent="0.25">
      <c r="A29" s="7" t="s">
        <v>371</v>
      </c>
      <c r="B29" s="8">
        <v>80000</v>
      </c>
      <c r="C29" s="8">
        <v>80000</v>
      </c>
      <c r="D29" s="8">
        <v>80000</v>
      </c>
      <c r="E29" s="8">
        <v>80000</v>
      </c>
      <c r="F29" s="8">
        <v>80000</v>
      </c>
      <c r="G29" s="8">
        <v>400000</v>
      </c>
      <c r="H29" s="9"/>
    </row>
    <row r="30" spans="1:8" ht="15.75" customHeight="1" x14ac:dyDescent="0.25">
      <c r="A30" s="7" t="s">
        <v>372</v>
      </c>
      <c r="B30" s="8">
        <v>120000</v>
      </c>
      <c r="C30" s="8">
        <v>280000</v>
      </c>
      <c r="D30" s="8">
        <v>560000</v>
      </c>
      <c r="E30" s="8">
        <v>880000</v>
      </c>
      <c r="F30" s="8">
        <v>1200000</v>
      </c>
      <c r="G30" s="8">
        <v>3040000</v>
      </c>
      <c r="H30" s="9"/>
    </row>
    <row r="31" spans="1:8" ht="15.75" customHeight="1" x14ac:dyDescent="0.25">
      <c r="A31" s="7" t="s">
        <v>373</v>
      </c>
      <c r="B31" s="8">
        <v>344400</v>
      </c>
      <c r="C31" s="8">
        <v>886830</v>
      </c>
      <c r="D31" s="8">
        <v>1826869.8</v>
      </c>
      <c r="E31" s="8">
        <v>2822513.841</v>
      </c>
      <c r="F31" s="8">
        <v>4070064.958722</v>
      </c>
      <c r="G31" s="8">
        <v>9950678.5997220017</v>
      </c>
      <c r="H31" s="9"/>
    </row>
    <row r="32" spans="1:8" ht="15.75" customHeight="1" x14ac:dyDescent="0.25">
      <c r="A32" s="7" t="s">
        <v>374</v>
      </c>
      <c r="B32" s="8">
        <v>58400</v>
      </c>
      <c r="C32" s="8">
        <v>88400</v>
      </c>
      <c r="D32" s="8">
        <v>133000</v>
      </c>
      <c r="E32" s="8">
        <v>176600</v>
      </c>
      <c r="F32" s="8">
        <v>225100</v>
      </c>
      <c r="G32" s="8">
        <v>519000</v>
      </c>
      <c r="H32" s="9"/>
    </row>
    <row r="33" spans="1:8" ht="15.75" customHeight="1" x14ac:dyDescent="0.25">
      <c r="A33" s="10" t="s">
        <v>375</v>
      </c>
      <c r="B33" s="11">
        <v>776388</v>
      </c>
      <c r="C33" s="11">
        <v>2148868</v>
      </c>
      <c r="D33" s="11">
        <v>4129516</v>
      </c>
      <c r="E33" s="11">
        <v>6321928</v>
      </c>
      <c r="F33" s="11">
        <v>9018229</v>
      </c>
      <c r="G33" s="11">
        <v>14819878.599722</v>
      </c>
      <c r="H33" s="9"/>
    </row>
    <row r="34" spans="1:8" ht="15.75" customHeight="1" x14ac:dyDescent="0.25">
      <c r="A34" s="7" t="s">
        <v>376</v>
      </c>
      <c r="B34" s="13">
        <v>0.62619999999999998</v>
      </c>
      <c r="C34" s="13">
        <v>0.58660000000000001</v>
      </c>
      <c r="D34" s="13">
        <v>0.57089999999999996</v>
      </c>
      <c r="E34" s="13">
        <v>0.5625</v>
      </c>
      <c r="F34" s="13">
        <v>0.56089999999999995</v>
      </c>
      <c r="G34" s="13">
        <v>0.65549500000000005</v>
      </c>
      <c r="H34" s="9"/>
    </row>
    <row r="35" spans="1:8" ht="15.75" customHeight="1" x14ac:dyDescent="0.25"/>
    <row r="36" spans="1:8" ht="15.75" customHeight="1" x14ac:dyDescent="0.25"/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H20"/>
    <mergeCell ref="A27:H27"/>
    <mergeCell ref="A1:H1"/>
    <mergeCell ref="A4:H4"/>
    <mergeCell ref="A8:H8"/>
    <mergeCell ref="A11:H11"/>
    <mergeCell ref="A14:H14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71D4-9271-450F-9818-85BCE98E5F81}">
  <dimension ref="A1:F24"/>
  <sheetViews>
    <sheetView workbookViewId="0"/>
  </sheetViews>
  <sheetFormatPr defaultRowHeight="15" x14ac:dyDescent="0.25"/>
  <cols>
    <col min="1" max="1" width="41.85546875" customWidth="1"/>
    <col min="2" max="6" width="19" customWidth="1"/>
    <col min="7" max="7" width="22.85546875" customWidth="1"/>
  </cols>
  <sheetData>
    <row r="1" spans="1:6" ht="18.75" x14ac:dyDescent="0.3">
      <c r="A1" s="36" t="s">
        <v>382</v>
      </c>
    </row>
    <row r="3" spans="1:6" x14ac:dyDescent="0.25">
      <c r="A3" s="35" t="s">
        <v>383</v>
      </c>
      <c r="B3" s="33"/>
      <c r="C3" s="33"/>
      <c r="D3" s="33"/>
    </row>
    <row r="4" spans="1:6" x14ac:dyDescent="0.25">
      <c r="A4" s="34" t="s">
        <v>384</v>
      </c>
      <c r="B4" s="37" t="s">
        <v>385</v>
      </c>
      <c r="C4" s="37" t="s">
        <v>386</v>
      </c>
      <c r="D4" s="37" t="s">
        <v>387</v>
      </c>
    </row>
    <row r="5" spans="1:6" x14ac:dyDescent="0.25">
      <c r="A5" s="38" t="s">
        <v>388</v>
      </c>
      <c r="B5" s="39">
        <v>0.4</v>
      </c>
      <c r="C5" s="40">
        <v>100000</v>
      </c>
      <c r="D5" s="41">
        <f>C5*0.12</f>
        <v>12000</v>
      </c>
    </row>
    <row r="6" spans="1:6" x14ac:dyDescent="0.25">
      <c r="A6" s="38" t="s">
        <v>389</v>
      </c>
      <c r="B6" s="39">
        <v>0.4</v>
      </c>
      <c r="C6" s="40">
        <v>280000</v>
      </c>
      <c r="D6" s="41">
        <f>C6*0.12</f>
        <v>33600</v>
      </c>
    </row>
    <row r="7" spans="1:6" x14ac:dyDescent="0.25">
      <c r="A7" s="38" t="s">
        <v>390</v>
      </c>
      <c r="B7" s="39">
        <v>0.2</v>
      </c>
      <c r="C7" s="40">
        <v>500000</v>
      </c>
      <c r="D7" s="41">
        <f>C7*0.12</f>
        <v>60000</v>
      </c>
    </row>
    <row r="8" spans="1:6" x14ac:dyDescent="0.25">
      <c r="A8" s="42" t="s">
        <v>391</v>
      </c>
      <c r="B8" s="43">
        <f>SUM(B5:B7)</f>
        <v>1</v>
      </c>
      <c r="C8" s="44">
        <f>SUMPRODUCT(B5:B7,C5:C7)</f>
        <v>252000</v>
      </c>
      <c r="D8" s="44">
        <f>SUMPRODUCT(B5:B7,D5:D7)</f>
        <v>30240</v>
      </c>
    </row>
    <row r="10" spans="1:6" x14ac:dyDescent="0.25">
      <c r="A10" s="45" t="s">
        <v>392</v>
      </c>
      <c r="B10" s="33"/>
      <c r="C10" s="33"/>
      <c r="D10" s="33"/>
      <c r="E10" s="33"/>
      <c r="F10" s="33"/>
    </row>
    <row r="11" spans="1:6" x14ac:dyDescent="0.25">
      <c r="B11" s="37" t="s">
        <v>377</v>
      </c>
      <c r="C11" s="37" t="s">
        <v>378</v>
      </c>
      <c r="D11" s="37" t="s">
        <v>379</v>
      </c>
      <c r="E11" s="37" t="s">
        <v>380</v>
      </c>
      <c r="F11" s="37" t="s">
        <v>381</v>
      </c>
    </row>
    <row r="12" spans="1:6" x14ac:dyDescent="0.25">
      <c r="A12" s="38" t="s">
        <v>393</v>
      </c>
      <c r="B12" s="46">
        <v>0.12</v>
      </c>
      <c r="C12" s="46">
        <v>0.1225</v>
      </c>
      <c r="D12" s="46">
        <v>0.1275</v>
      </c>
      <c r="E12" s="46">
        <v>0.13</v>
      </c>
      <c r="F12" s="46">
        <v>0.13500000000000001</v>
      </c>
    </row>
    <row r="13" spans="1:6" x14ac:dyDescent="0.25">
      <c r="A13" t="s">
        <v>394</v>
      </c>
      <c r="B13" s="41">
        <f>C8*B12</f>
        <v>30240</v>
      </c>
      <c r="C13" s="41">
        <f>C8*C12</f>
        <v>30870</v>
      </c>
      <c r="D13" s="41">
        <f>C8*D12</f>
        <v>32130</v>
      </c>
      <c r="E13" s="41">
        <f>C8*E12</f>
        <v>32760</v>
      </c>
      <c r="F13" s="41">
        <f>C8*F12</f>
        <v>34020</v>
      </c>
    </row>
    <row r="14" spans="1:6" x14ac:dyDescent="0.25">
      <c r="A14" t="s">
        <v>395</v>
      </c>
      <c r="B14" s="47">
        <f>B13/18000</f>
        <v>1.68</v>
      </c>
      <c r="C14" s="47">
        <f>C13/18000</f>
        <v>1.7150000000000001</v>
      </c>
      <c r="D14" s="47">
        <f>D13/18000</f>
        <v>1.7849999999999999</v>
      </c>
      <c r="E14" s="47">
        <f>E13/18000</f>
        <v>1.82</v>
      </c>
      <c r="F14" s="47">
        <f>F13/18000</f>
        <v>1.89</v>
      </c>
    </row>
    <row r="16" spans="1:6" x14ac:dyDescent="0.25">
      <c r="A16" s="35" t="s">
        <v>396</v>
      </c>
      <c r="B16" s="33"/>
      <c r="C16" s="33"/>
      <c r="D16" s="33"/>
      <c r="E16" s="33"/>
      <c r="F16" s="33"/>
    </row>
    <row r="17" spans="1:6" x14ac:dyDescent="0.25">
      <c r="A17" s="38" t="s">
        <v>397</v>
      </c>
      <c r="B17" s="39">
        <v>0.14000000000000001</v>
      </c>
      <c r="C17" s="39">
        <v>0.16</v>
      </c>
      <c r="D17" s="39">
        <v>0.18</v>
      </c>
      <c r="E17" s="39">
        <v>0.19</v>
      </c>
      <c r="F17" s="39">
        <v>0.2</v>
      </c>
    </row>
    <row r="18" spans="1:6" x14ac:dyDescent="0.25">
      <c r="A18" s="48" t="s">
        <v>398</v>
      </c>
      <c r="B18" s="49" t="s">
        <v>399</v>
      </c>
      <c r="C18" s="49" t="s">
        <v>400</v>
      </c>
      <c r="D18" s="49" t="s">
        <v>401</v>
      </c>
      <c r="E18" s="49" t="s">
        <v>402</v>
      </c>
      <c r="F18" s="49" t="s">
        <v>403</v>
      </c>
    </row>
    <row r="20" spans="1:6" x14ac:dyDescent="0.25">
      <c r="A20" s="50" t="s">
        <v>404</v>
      </c>
    </row>
    <row r="21" spans="1:6" x14ac:dyDescent="0.25">
      <c r="A21" s="51" t="s">
        <v>405</v>
      </c>
    </row>
    <row r="22" spans="1:6" x14ac:dyDescent="0.25">
      <c r="A22" s="52" t="s">
        <v>406</v>
      </c>
    </row>
    <row r="23" spans="1:6" x14ac:dyDescent="0.25">
      <c r="A23" s="52" t="s">
        <v>407</v>
      </c>
    </row>
    <row r="24" spans="1:6" x14ac:dyDescent="0.25">
      <c r="A24" s="52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&amp; Assumptions</vt:lpstr>
      <vt:lpstr>P&amp;L Summary (Annual)</vt:lpstr>
      <vt:lpstr>Cash on Hand</vt:lpstr>
      <vt:lpstr>Key Metrics (PE Dashboard)</vt:lpstr>
      <vt:lpstr>Revenue Detail</vt:lpstr>
      <vt:lpstr>JV Partner Illustration</vt:lpstr>
      <vt:lpstr>JV Compensation &amp; Exit</vt:lpstr>
      <vt:lpstr>Exit Valuation (Tiered)</vt:lpstr>
      <vt:lpstr>Scenario Analysis</vt:lpstr>
      <vt:lpstr>Headcount &amp; Cost Detail</vt:lpstr>
      <vt:lpstr>Client Mix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 lavespere</cp:lastModifiedBy>
  <dcterms:created xsi:type="dcterms:W3CDTF">2026-04-08T00:15:35Z</dcterms:created>
  <dcterms:modified xsi:type="dcterms:W3CDTF">2026-04-17T14:32:11Z</dcterms:modified>
</cp:coreProperties>
</file>